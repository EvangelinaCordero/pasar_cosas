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14. EMESA. BSH919-IC5091/"/>
    </mc:Choice>
  </mc:AlternateContent>
  <xr:revisionPtr revIDLastSave="322" documentId="11_7BD48B3A4211CC1720E3F4D8441A8813DDA51431" xr6:coauthVersionLast="47" xr6:coauthVersionMax="47" xr10:uidLastSave="{49F64CB5-ECE3-4DDB-AE86-E4845B52D54E}"/>
  <bookViews>
    <workbookView xWindow="-120" yWindow="-120" windowWidth="20730" windowHeight="11160" xr2:uid="{00000000-000D-0000-FFFF-FFFF00000000}"/>
  </bookViews>
  <sheets>
    <sheet name="Planilla de Cotizacion" sheetId="14" r:id="rId1"/>
    <sheet name="Planilla de Costos - EERR" sheetId="7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\0">#REF!</definedName>
    <definedName name="\00">#REF!</definedName>
    <definedName name="\1">#REF!</definedName>
    <definedName name="\2">#REF!</definedName>
    <definedName name="\A">[1]Sheet6!#REF!</definedName>
    <definedName name="\A11">#REF!</definedName>
    <definedName name="\A15">#REF!</definedName>
    <definedName name="\A17">#REF!</definedName>
    <definedName name="\A27">#REF!</definedName>
    <definedName name="\A28">#REF!</definedName>
    <definedName name="\B">[1]Sheet6!#REF!</definedName>
    <definedName name="\C">[1]Sheet6!#REF!</definedName>
    <definedName name="\D">[1]Sheet6!#REF!</definedName>
    <definedName name="\E">[1]Sheet6!#REF!</definedName>
    <definedName name="\EDIT">#REF!</definedName>
    <definedName name="\EPSNSEL">#REF!</definedName>
    <definedName name="\f">#REF!</definedName>
    <definedName name="\g">#REF!</definedName>
    <definedName name="\j">#REF!</definedName>
    <definedName name="\K">[1]Sheet6!#REF!</definedName>
    <definedName name="\l">#REF!</definedName>
    <definedName name="\LJSEL">#REF!</definedName>
    <definedName name="\m">#REF!</definedName>
    <definedName name="\MESS">#REF!</definedName>
    <definedName name="\MESS0">#REF!</definedName>
    <definedName name="\MESS1">#REF!</definedName>
    <definedName name="\MESS2">#REF!</definedName>
    <definedName name="\P">[1]Sheet6!#REF!</definedName>
    <definedName name="\PALL">#REF!</definedName>
    <definedName name="\PRES">#REF!</definedName>
    <definedName name="\PRES1">#REF!</definedName>
    <definedName name="\r">#REF!</definedName>
    <definedName name="\s">[2]costo!#REF!</definedName>
    <definedName name="\t">#REF!</definedName>
    <definedName name="\v">#REF!</definedName>
    <definedName name="\w">[2]costo!#REF!</definedName>
    <definedName name="\Y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>#REF!</definedName>
    <definedName name="_____________PAG1">#REF!</definedName>
    <definedName name="_____________PAG2">#REF!</definedName>
    <definedName name="_____________PAG3">#REF!</definedName>
    <definedName name="____________F">#REF!</definedName>
    <definedName name="____________PAG1">#REF!</definedName>
    <definedName name="____________PAG2">#REF!</definedName>
    <definedName name="____________PAG3">#REF!</definedName>
    <definedName name="___________F">#REF!</definedName>
    <definedName name="___________PAG1">#REF!</definedName>
    <definedName name="___________PAG2">#REF!</definedName>
    <definedName name="___________PAG3">#REF!</definedName>
    <definedName name="__________F">#REF!</definedName>
    <definedName name="__________PAG1">#REF!</definedName>
    <definedName name="__________PAG2">#REF!</definedName>
    <definedName name="__________PAG3">#REF!</definedName>
    <definedName name="_________F">#REF!</definedName>
    <definedName name="_________PAG1">#REF!</definedName>
    <definedName name="_________PAG2">#REF!</definedName>
    <definedName name="_________PAG3">#REF!</definedName>
    <definedName name="________F">#REF!</definedName>
    <definedName name="________PAG1">#REF!</definedName>
    <definedName name="________PAG2">#REF!</definedName>
    <definedName name="________PAG3">#REF!</definedName>
    <definedName name="_______F">#REF!</definedName>
    <definedName name="_______PAG1">#REF!</definedName>
    <definedName name="_______PAG2">#REF!</definedName>
    <definedName name="_______PAG3">#REF!</definedName>
    <definedName name="______F">#REF!</definedName>
    <definedName name="______PAG1">#REF!</definedName>
    <definedName name="______PAG2">#REF!</definedName>
    <definedName name="______PAG3">#REF!</definedName>
    <definedName name="______r">#REF!</definedName>
    <definedName name="_____F">#REF!</definedName>
    <definedName name="_____PAG1">#REF!</definedName>
    <definedName name="_____PAG2">#REF!</definedName>
    <definedName name="_____PAG3">#REF!</definedName>
    <definedName name="_____r">#REF!</definedName>
    <definedName name="____F">#REF!</definedName>
    <definedName name="____PAG1">#REF!</definedName>
    <definedName name="____PAG2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>#REF!</definedName>
    <definedName name="___PAG1">#REF!</definedName>
    <definedName name="___PAG2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hidden="1">[3]INFREP!$A$1:$A$1</definedName>
    <definedName name="__123Graph_X" hidden="1">[1]Sheet2!$C$23:$C$228</definedName>
    <definedName name="__AAA1">[1]Sheet6!#REF!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>#REF!</definedName>
    <definedName name="__PAG1">#REF!</definedName>
    <definedName name="__PAG2">#REF!</definedName>
    <definedName name="__PAG3">#REF!</definedName>
    <definedName name="__r">#REF!</definedName>
    <definedName name="__SEG2">[1]Sheet5!#REF!</definedName>
    <definedName name="__TER2">[1]Sheet5!#REF!</definedName>
    <definedName name="_1">#N/A</definedName>
    <definedName name="_11">[2]costo!#REF!</definedName>
    <definedName name="_12">[2]costo!#REF!</definedName>
    <definedName name="_13">[2]costo!#REF!</definedName>
    <definedName name="_14">[2]costo!#REF!</definedName>
    <definedName name="_15">[2]costo!#REF!</definedName>
    <definedName name="_16">[2]costo!#REF!</definedName>
    <definedName name="_17">[2]costo!#REF!</definedName>
    <definedName name="_2">[2]costo!#REF!</definedName>
    <definedName name="_2011_01_BASE_INTEGRADA">#REF!</definedName>
    <definedName name="_21">[2]costo!#REF!</definedName>
    <definedName name="_22">[2]costo!#REF!</definedName>
    <definedName name="_23">[2]costo!#REF!</definedName>
    <definedName name="_24">[2]costo!#REF!</definedName>
    <definedName name="_26">[2]costo!#REF!</definedName>
    <definedName name="_27">[2]costo!#REF!</definedName>
    <definedName name="_3">[2]costo!#REF!</definedName>
    <definedName name="_4">[2]costo!#REF!</definedName>
    <definedName name="_5">[2]costo!#REF!</definedName>
    <definedName name="_6">[2]costo!#REF!</definedName>
    <definedName name="_7">[2]costo!#REF!</definedName>
    <definedName name="_COM1">#REF!</definedName>
    <definedName name="_COM2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>#REF!</definedName>
    <definedName name="_FC">#REF!</definedName>
    <definedName name="_Fill" hidden="1">#REF!</definedName>
    <definedName name="_GOR2">#REF!</definedName>
    <definedName name="_Key1" hidden="1">#REF!</definedName>
    <definedName name="_Key2" hidden="1">#REF!</definedName>
    <definedName name="_Lab1">[4]MiniDB!$D$69</definedName>
    <definedName name="_Lab2">[4]MiniDB!$D$70</definedName>
    <definedName name="_Lab3">[4]MiniDB!$D$71</definedName>
    <definedName name="_Lab4">[4]MiniDB!$D$72</definedName>
    <definedName name="_Lab5">[4]MiniDB!$D$73</definedName>
    <definedName name="_MACRO">#N/A</definedName>
    <definedName name="_MSG2">#REF!</definedName>
    <definedName name="_MTR1">#REF!</definedName>
    <definedName name="_Oil1">[4]MiniDB!$D$22</definedName>
    <definedName name="_Oil2">[4]MiniDB!$D$23</definedName>
    <definedName name="_Oil3">[4]MiniDB!$D$24</definedName>
    <definedName name="_Order1" hidden="1">255</definedName>
    <definedName name="_Order2" hidden="1">255</definedName>
    <definedName name="_P">#REF!</definedName>
    <definedName name="_PAG1">#REF!</definedName>
    <definedName name="_PAG2">#REF!</definedName>
    <definedName name="_PAG3">#REF!</definedName>
    <definedName name="_pc97">'[5]PC97 98'!$A$7</definedName>
    <definedName name="_PCO1">#REF!</definedName>
    <definedName name="_PCO2">#REF!</definedName>
    <definedName name="_PCO3">#REF!</definedName>
    <definedName name="_PCO4">#REF!</definedName>
    <definedName name="_Pdb1">[4]MiniDB!$D$11</definedName>
    <definedName name="_Pdb2">[4]MiniDB!$D$8</definedName>
    <definedName name="_Pdb3">[4]MiniDB!$D$3</definedName>
    <definedName name="_PDG1">#REF!</definedName>
    <definedName name="_PDG2">#REF!</definedName>
    <definedName name="_PDG3">#REF!</definedName>
    <definedName name="_PDG4">#REF!</definedName>
    <definedName name="_PDG5">#REF!</definedName>
    <definedName name="_PDG6">#REF!</definedName>
    <definedName name="_r">#REF!</definedName>
    <definedName name="_RC5">#REF!</definedName>
    <definedName name="_Regression_Int" hidden="1">1</definedName>
    <definedName name="_Rgo1">[4]MiniDB!$D$52</definedName>
    <definedName name="_Rgo2">[4]MiniDB!$D$53</definedName>
    <definedName name="_Rgo3">[4]MiniDB!$D$54</definedName>
    <definedName name="_Rgo4">[4]MiniDB!$D$55</definedName>
    <definedName name="_Sort" hidden="1">#REF!</definedName>
    <definedName name="_Tdb1">[4]MiniDB!$D$28</definedName>
    <definedName name="_Tdb2">[4]MiniDB!$D$29</definedName>
    <definedName name="_Tdb3">[4]MiniDB!$D$30</definedName>
    <definedName name="_TP">#REF!</definedName>
    <definedName name="_TPF">#REF!</definedName>
    <definedName name="_WO2006">[6]InfRep.11_2003!#REF!</definedName>
    <definedName name="_WTI1">#REF!</definedName>
    <definedName name="_WTI2">#REF!</definedName>
    <definedName name="_WTI3">#REF!</definedName>
    <definedName name="_WTI4">#REF!</definedName>
    <definedName name="_x002">'[7]500'!$A$1:$N$60</definedName>
    <definedName name="_X01">'[7]500'!$A$1:$N$60</definedName>
    <definedName name="A">#REF!</definedName>
    <definedName name="A_IMPRESION_IM">#REF!</definedName>
    <definedName name="A_impresión_IM">#REF!</definedName>
    <definedName name="A_IMPRESIÚN_IM">#REF!</definedName>
    <definedName name="A_pozo">[4]MiniDB!$D$39</definedName>
    <definedName name="aa" hidden="1">#REF!</definedName>
    <definedName name="aaaa" hidden="1">#REF!</definedName>
    <definedName name="AbrirImprimir">[8]!AbrirImprimir</definedName>
    <definedName name="ACT">#REF!</definedName>
    <definedName name="Actual">#REF!</definedName>
    <definedName name="Adic">[9]CS!$A$31:$A$38</definedName>
    <definedName name="ADIC_CCT">[10]BD_ADICIONALES!$A$8:$A$14</definedName>
    <definedName name="ADIC_IMPORTE">[10]BD_ADICIONALES!$B$8:$ER$14</definedName>
    <definedName name="Adic_Intern">#REF!</definedName>
    <definedName name="ADIC_ITEM">[10]BD_ADICIONALES!$B$6:$ET$6</definedName>
    <definedName name="ADIC_MES">[10]BD_ADICIONALES!$B$7:$FQ$7</definedName>
    <definedName name="ADIC_PROVINCIA">[11]BD_ADICIONALES!$B$8:$B$16</definedName>
    <definedName name="Administración">#REF!</definedName>
    <definedName name="Afe_Buscado">[12]Cotizaciones!#REF!</definedName>
    <definedName name="Agua">#REF!</definedName>
    <definedName name="AGUA.INY">#REF!</definedName>
    <definedName name="AGUA_ACTUAL_YAC11">'[13]producción por yac-bloques'!#REF!</definedName>
    <definedName name="aisla150">#REF!</definedName>
    <definedName name="aisla600">#REF!</definedName>
    <definedName name="amamam">#N/A</definedName>
    <definedName name="amamama">#N/A</definedName>
    <definedName name="AMORT">#N/A</definedName>
    <definedName name="Amperaje">#REF!</definedName>
    <definedName name="Analisis">#REF!</definedName>
    <definedName name="Analisis_Final">#REF!</definedName>
    <definedName name="anioIni">[14]TABLERO!$C$6</definedName>
    <definedName name="anlisis">#REF!</definedName>
    <definedName name="ANSW">#REF!</definedName>
    <definedName name="AOF">[4]MiniDB!$D$43</definedName>
    <definedName name="API">#REF!</definedName>
    <definedName name="APIDB">[15]API!$A$2:$M$102</definedName>
    <definedName name="aqerqwer" hidden="1">#REF!</definedName>
    <definedName name="areaniv">#REF!</definedName>
    <definedName name="ary">#REF!</definedName>
    <definedName name="asd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>#REF!</definedName>
    <definedName name="B_pozo">[4]MiniDB!$D$40</definedName>
    <definedName name="B4450.">#REF!</definedName>
    <definedName name="Bacterias">'[16]Ultima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[17]Dic2001!$A$12:$I$112</definedName>
    <definedName name="Base6">#REF!</definedName>
    <definedName name="Base7">#REF!</definedName>
    <definedName name="BaseDatos">#REF!</definedName>
    <definedName name="_xlnm.Database">#REF!</definedName>
    <definedName name="BaseGastos">#REF!</definedName>
    <definedName name="bb">#REF!</definedName>
    <definedName name="bbaINY">'[16]Impulsion Bomba Inyectora'!$A$4:$U$231</definedName>
    <definedName name="Bbl">[18]Tablas!$I$4</definedName>
    <definedName name="BHP">#REF!</definedName>
    <definedName name="BHT">#REF!</definedName>
    <definedName name="bipp">[19]SPLITS!#REF!</definedName>
    <definedName name="BOLIVARES">#REF!</definedName>
    <definedName name="Bolívares">#REF!</definedName>
    <definedName name="Bolívares_MRIL">#REF!</definedName>
    <definedName name="BOMBAS">#N/A</definedName>
    <definedName name="Bono">[17]Dic2001!$F$12:$F$112</definedName>
    <definedName name="BorrarHoja">[8]!BorrarHoja</definedName>
    <definedName name="BorrarProducc">[20]Production!$C$6:$L$306</definedName>
    <definedName name="brantes">[21]Sheet1!#REF!</definedName>
    <definedName name="brdesp">[21]Sheet1!#REF!</definedName>
    <definedName name="BRUTA">#REF!</definedName>
    <definedName name="Bruta_Antes">#REF!</definedName>
    <definedName name="Bruta_despues">#REF!</definedName>
    <definedName name="BSW">#REF!</definedName>
    <definedName name="BUILDUP">#REF!</definedName>
    <definedName name="C_">#REF!</definedName>
    <definedName name="c_Afe">#REF!</definedName>
    <definedName name="c_Analisis">#REF!</definedName>
    <definedName name="c_Equipo">#REF!</definedName>
    <definedName name="c_Estado">#REF!</definedName>
    <definedName name="c_Fin">#REF!</definedName>
    <definedName name="c_Inicio">#REF!</definedName>
    <definedName name="c_Objetivo">#REF!</definedName>
    <definedName name="c_Pozo">#REF!</definedName>
    <definedName name="CA">#REF!</definedName>
    <definedName name="cables">#REF!</definedName>
    <definedName name="CALCULOS">#REF!</definedName>
    <definedName name="CALIB">#REF!</definedName>
    <definedName name="CALIB1">#REF!</definedName>
    <definedName name="CAMBIO">#REF!</definedName>
    <definedName name="CamionerosPozos">#REF!</definedName>
    <definedName name="Camisa">'[22]Coef.'!$J$112:$J$115</definedName>
    <definedName name="CANO">#REF!</definedName>
    <definedName name="Cant_CV">#REF!</definedName>
    <definedName name="Cant_turnos">#REF!</definedName>
    <definedName name="CANTESP">#REF!</definedName>
    <definedName name="CARGAR">#REF!</definedName>
    <definedName name="Cargo">#REF!</definedName>
    <definedName name="Carrera">#REF!</definedName>
    <definedName name="cash">#REF!</definedName>
    <definedName name="Categoria">[23]Hoja3!$A$2:$A$9</definedName>
    <definedName name="Catepp">[9]GdP!$F$5:$K$5</definedName>
    <definedName name="Catot">[9]GdP!$F$61:$K$61</definedName>
    <definedName name="CBIOBOMBAS">'[24]CAMBIO DE BOMBA'!$A$1:$J$59</definedName>
    <definedName name="CBIOBOMBASPERDIDA">'[24]CAMBIO DE BOMBA'!$A$136:$J$199</definedName>
    <definedName name="CBIOBOMBASTOTAL">'[24]CAMBIO DE BOMBA'!$A$66:$J$129</definedName>
    <definedName name="cc">#REF!</definedName>
    <definedName name="ccc">#REF!</definedName>
    <definedName name="CCT_1">#REF!</definedName>
    <definedName name="CCT_2">#REF!</definedName>
    <definedName name="Ce">#REF!</definedName>
    <definedName name="Ce35A">[25]Pulling!$C$24</definedName>
    <definedName name="CeCos">[26]CeCos!$D$2:$D$1842</definedName>
    <definedName name="Celdasaborrar">[27]Planilla!$B$9:$C$33,[27]Planilla!$BG$8:$BM$33</definedName>
    <definedName name="CENTENARIO">#REF!</definedName>
    <definedName name="CF">#REF!</definedName>
    <definedName name="cftr">'[28]500'!$A$1:$N$61</definedName>
    <definedName name="CH_DATE">#REF!</definedName>
    <definedName name="CH_PAGE">#REF!</definedName>
    <definedName name="chapa">#REF!</definedName>
    <definedName name="CHECK">#REF!</definedName>
    <definedName name="cia">#REF!</definedName>
    <definedName name="CINCO">"Lista desplegable 1"</definedName>
    <definedName name="Ciudad">#REF!</definedName>
    <definedName name="Clor1">[4]MiniDB!$D$21</definedName>
    <definedName name="Clor2">[4]MiniDB!$D$20</definedName>
    <definedName name="Clor3">[4]MiniDB!$D$19</definedName>
    <definedName name="cmax">#REF!</definedName>
    <definedName name="cmin">#REF!</definedName>
    <definedName name="CNT">#REF!</definedName>
    <definedName name="CNTR">#REF!</definedName>
    <definedName name="Co">#REF!</definedName>
    <definedName name="cober1">[29]Hoja1!$F$3:$F$6</definedName>
    <definedName name="Cobertura">[30]Cobertura!$K$12:$K$13</definedName>
    <definedName name="code">[15]Data!$I$13</definedName>
    <definedName name="coef">'[31]COEF. C'!$A$5:$B$104</definedName>
    <definedName name="Cola_camisa">'[22]Coef.'!$J$117:$J$122</definedName>
    <definedName name="COLOR">#REF!</definedName>
    <definedName name="columna1">#REF!</definedName>
    <definedName name="columna10">#REF!</definedName>
    <definedName name="columna11">#REF!</definedName>
    <definedName name="columna12">#REF!</definedName>
    <definedName name="columna13">#REF!</definedName>
    <definedName name="columna14">#REF!</definedName>
    <definedName name="columna2">#REF!</definedName>
    <definedName name="columna3">#REF!</definedName>
    <definedName name="columna4">#REF!</definedName>
    <definedName name="columna5">#REF!</definedName>
    <definedName name="columna6">#REF!</definedName>
    <definedName name="columna7">#REF!</definedName>
    <definedName name="columna8">#REF!</definedName>
    <definedName name="columna9">#REF!</definedName>
    <definedName name="CombPerf">#REF!</definedName>
    <definedName name="CombustibleF4000">#REF!</definedName>
    <definedName name="CombustibleRanger">#REF!</definedName>
    <definedName name="CombustibleRetro">#REF!</definedName>
    <definedName name="COMENT">#REF!</definedName>
    <definedName name="Comer">#REF!</definedName>
    <definedName name="Comerc">#REF!</definedName>
    <definedName name="CompC">#REF!</definedName>
    <definedName name="ComprPeriods">[20]Production!$P$4</definedName>
    <definedName name="cond">[15]Data!$J$13</definedName>
    <definedName name="CONT\Y">[1]Sheet6!#REF!</definedName>
    <definedName name="Contacto">#REF!</definedName>
    <definedName name="CONTADOR">[1]Sheet6!#REF!</definedName>
    <definedName name="continua">[0]!continua</definedName>
    <definedName name="controasist">[32]Hoja1!$H$1:$H$4</definedName>
    <definedName name="Control">#REF!</definedName>
    <definedName name="CONTROLADOR">[1]Sheet6!#REF!</definedName>
    <definedName name="conv1">[15]Data!$AF$3</definedName>
    <definedName name="conv2">[15]Data!$AF$4</definedName>
    <definedName name="conv3">[15]Data!$AF$5</definedName>
    <definedName name="Conyuge">#REF!</definedName>
    <definedName name="Conyuge1">#REF!</definedName>
    <definedName name="CORROSION">#N/A</definedName>
    <definedName name="costos_diectos">'[33]Cuadro de Resultados'!#REF!</definedName>
    <definedName name="COTA">#REF!</definedName>
    <definedName name="Coti">#REF!</definedName>
    <definedName name="Coti_01">[34]Tablas!$D$4</definedName>
    <definedName name="Coti_02">[34]Tablas!$D$5</definedName>
    <definedName name="Coti_03">[34]Tablas!$D$6</definedName>
    <definedName name="Coti_04">[34]Tablas!$D$7</definedName>
    <definedName name="Coti_05">[34]Tablas!$D$8</definedName>
    <definedName name="Coti_06">[34]Tablas!$D$9</definedName>
    <definedName name="Coti_07">[34]Tablas!$D$10</definedName>
    <definedName name="Coti_08">[34]Tablas!$D$11</definedName>
    <definedName name="Coti_09">[34]Tablas!$D$12</definedName>
    <definedName name="Coti_10">[34]Tablas!$D$13</definedName>
    <definedName name="Coti_11">[34]Tablas!$D$14</definedName>
    <definedName name="Coti_12">[34]Tablas!$D$15</definedName>
    <definedName name="cotiz">'[27]WO 1'!$Q$53</definedName>
    <definedName name="CP">#REF!</definedName>
    <definedName name="CPG">#REF!</definedName>
    <definedName name="CPL">#REF!</definedName>
    <definedName name="Criterio">#REF!</definedName>
    <definedName name="CS">#REF!</definedName>
    <definedName name="CSUB2">#REF!</definedName>
    <definedName name="CUAR">[1]Sheet6!#REF!</definedName>
    <definedName name="CUAR2">[1]Sheet5!#REF!</definedName>
    <definedName name="Cuartil1">[4]MiniDB!$D$46</definedName>
    <definedName name="Cuartil2">[4]MiniDB!$D$47</definedName>
    <definedName name="Cuartil3">[4]MiniDB!$D$48</definedName>
    <definedName name="Cuenta">#REF!</definedName>
    <definedName name="Curvaprog">#REF!</definedName>
    <definedName name="CUST">#REF!</definedName>
    <definedName name="D">#REF!</definedName>
    <definedName name="D_pozo">[4]MiniDB!$D$42</definedName>
    <definedName name="DATA_PRES.DIN">#REF!</definedName>
    <definedName name="DATA_PRES_DIN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>#REF!</definedName>
    <definedName name="DATE0">#REF!</definedName>
    <definedName name="DATOS">[35]DATOS!$A$1:$B$29</definedName>
    <definedName name="Datosaingresar">#REF!</definedName>
    <definedName name="datosimp">#REF!</definedName>
    <definedName name="datosparo">#REF!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'[24]PESCA DE V-B'!$A$69:$J$133</definedName>
    <definedName name="det">#REF!</definedName>
    <definedName name="dete">#REF!</definedName>
    <definedName name="dhsl">#REF!</definedName>
    <definedName name="diagrama">#REF!</definedName>
    <definedName name="diam">[15]Data!$E$7</definedName>
    <definedName name="Días_a_cubrir">#REF!</definedName>
    <definedName name="Días_descanso_titular">#REF!</definedName>
    <definedName name="Días_trabajdos_titular">#REF!</definedName>
    <definedName name="DIC">'[36]Informe global'!$A$6:$AA$107</definedName>
    <definedName name="DIFF">#REF!</definedName>
    <definedName name="Dirección">#REF!</definedName>
    <definedName name="dlev">[15]Data!$D$11</definedName>
    <definedName name="Do">#REF!</definedName>
    <definedName name="Dolar">#REF!</definedName>
    <definedName name="Dólar">#REF!</definedName>
    <definedName name="DOLARES">#REF!</definedName>
    <definedName name="Dólares">#REF!</definedName>
    <definedName name="Dólares_MRIL">#REF!</definedName>
    <definedName name="dp">[15]Data!$H$7</definedName>
    <definedName name="DR_">#REF!</definedName>
    <definedName name="DR_1">#REF!</definedName>
    <definedName name="drf">#REF!</definedName>
    <definedName name="dro">[15]Data!$D$17</definedName>
    <definedName name="drw">[15]Data!$D$19</definedName>
    <definedName name="DTOMAT8">#N/A</definedName>
    <definedName name="DTORMAT">#N/A</definedName>
    <definedName name="DTORSER">#N/A</definedName>
    <definedName name="DTOSER8">#N/A</definedName>
    <definedName name="dyyi">#REF!</definedName>
    <definedName name="E">#REF!</definedName>
    <definedName name="EC_ANtes">#REF!</definedName>
    <definedName name="ec_despues">#REF!</definedName>
    <definedName name="ecant">[21]Sheet1!#REF!</definedName>
    <definedName name="ecdesp">[21]Sheet1!#REF!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>#REF!</definedName>
    <definedName name="EL__PORVENIR">#REF!</definedName>
    <definedName name="ELAPS">#REF!</definedName>
    <definedName name="Empresa">[37]Hoja1!$B$55:$B$56</definedName>
    <definedName name="EMPRESA_DEL_GRUPO">#REF!</definedName>
    <definedName name="END">[0]!END</definedName>
    <definedName name="entAPI">#REF!</definedName>
    <definedName name="entBAF">'[16]Entrada Tk Bafle'!$A$7:$P$81</definedName>
    <definedName name="enter150">#REF!</definedName>
    <definedName name="enter600">#REF!</definedName>
    <definedName name="entidad">#REF!</definedName>
    <definedName name="EQUIPAMIENTO">#REF!</definedName>
    <definedName name="equipo">#REF!</definedName>
    <definedName name="EquipoBASE">#REF!</definedName>
    <definedName name="EquipoCIS">#REF!</definedName>
    <definedName name="EquipoFUGAS">#REF!</definedName>
    <definedName name="EquipoPAT">#REF!</definedName>
    <definedName name="EquipoPCM">#REF!</definedName>
    <definedName name="EquiposPC">#REF!</definedName>
    <definedName name="er">#REF!</definedName>
    <definedName name="esc1bbainy">#REF!</definedName>
    <definedName name="esc1ipe843">#REF!</definedName>
    <definedName name="esc1salfw">#REF!</definedName>
    <definedName name="Escala">#REF!</definedName>
    <definedName name="Escala2">#REF!</definedName>
    <definedName name="ESPA">#REF!</definedName>
    <definedName name="Est">[9]GE!$I$5:$I$36</definedName>
    <definedName name="et">#REF!</definedName>
    <definedName name="ETAPA">[38]MODELO!$D$7</definedName>
    <definedName name="EVI">#REF!</definedName>
    <definedName name="ex_despues">#REF!</definedName>
    <definedName name="exdesp">[21]Sheet1!#REF!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>#REF!</definedName>
    <definedName name="FC.DURACION">#REF!</definedName>
    <definedName name="FC.MES">#REF!</definedName>
    <definedName name="Fd">[39]ESPESOR!$C$15</definedName>
    <definedName name="Fecha">#REF!</definedName>
    <definedName name="Fecha_Antes">#REF!</definedName>
    <definedName name="Fecha_Cierre">'[12]Datos Generales'!$C$3</definedName>
    <definedName name="Fecha_despues">#REF!</definedName>
    <definedName name="Fecha1">[4]MiniDB!$D$10</definedName>
    <definedName name="Fecha2">[4]MiniDB!$D$7</definedName>
    <definedName name="Fecha3">[4]MiniDB!$D$2</definedName>
    <definedName name="FECHAFINAL">[1]Sheet5!#REF!</definedName>
    <definedName name="FECHAFINAL1">[1]Sheet5!#REF!</definedName>
    <definedName name="FECHAINICIAL">[1]Sheet5!#REF!</definedName>
    <definedName name="FECHAINICIAL1">[1]Sheet5!#REF!</definedName>
    <definedName name="fechant">[21]Sheet1!#REF!</definedName>
    <definedName name="fechdesp">[21]Sheet1!#REF!</definedName>
    <definedName name="ff">#REF!</definedName>
    <definedName name="FG">#REF!</definedName>
    <definedName name="FIEL">#REF!</definedName>
    <definedName name="FIL">#REF!</definedName>
    <definedName name="FixedC">#REF!</definedName>
    <definedName name="FL_ID">[4]MiniDB!$D$36</definedName>
    <definedName name="FL_length">[4]MiniDB!$D$35</definedName>
    <definedName name="Fluido">#REF!</definedName>
    <definedName name="Fono">#REF!</definedName>
    <definedName name="Ford4000">#REF!</definedName>
    <definedName name="FORM">#REF!</definedName>
    <definedName name="FORMAC">#REF!</definedName>
    <definedName name="Format">'[40]Base General'!#REF!</definedName>
    <definedName name="FPDe">[15]Data!$D$13</definedName>
    <definedName name="FPV">#REF!</definedName>
    <definedName name="Frec_1">[4]MiniDB!$D$57</definedName>
    <definedName name="Frec_2">[4]MiniDB!$D$58</definedName>
    <definedName name="Frec_3">[4]MiniDB!$D$59</definedName>
    <definedName name="Frec_4">[4]MiniDB!$D$60</definedName>
    <definedName name="Frec_5">[4]MiniDB!$D$61</definedName>
    <definedName name="Frec_6">[4]MiniDB!$D$62</definedName>
    <definedName name="FS">#REF!</definedName>
    <definedName name="FSDFSD">#N/A</definedName>
    <definedName name="Ft">[39]ESPESOR!$C$16</definedName>
    <definedName name="FTF">#REF!</definedName>
    <definedName name="FU">#REF!</definedName>
    <definedName name="fv">#REF!</definedName>
    <definedName name="fyioo">#REF!</definedName>
    <definedName name="G">#REF!</definedName>
    <definedName name="G.1">#REF!</definedName>
    <definedName name="G.2">#REF!</definedName>
    <definedName name="G.3">#REF!</definedName>
    <definedName name="gamma">#REF!</definedName>
    <definedName name="Gan_no_Imp">#REF!</definedName>
    <definedName name="Gan_no_imp1">#REF!</definedName>
    <definedName name="Gas">#REF!</definedName>
    <definedName name="GAS.INY">#REF!</definedName>
    <definedName name="GAS_A">#REF!</definedName>
    <definedName name="Gas_Antes">#REF!</definedName>
    <definedName name="Gas_despues">#REF!</definedName>
    <definedName name="gasant">[21]Sheet1!#REF!</definedName>
    <definedName name="gasdesp">[21]Sheet1!#REF!</definedName>
    <definedName name="GassepModelo">[41]DataCombos2!$B$6:$B$88</definedName>
    <definedName name="GAST">#REF!</definedName>
    <definedName name="GC3500_PRICES">'[42]MASTER TABLE'!$I$547:$I$564</definedName>
    <definedName name="GDEP">#REF!</definedName>
    <definedName name="GENERAL">#N/A</definedName>
    <definedName name="GETDAT">#REF!</definedName>
    <definedName name="gf">#REF!</definedName>
    <definedName name="GG">#REF!</definedName>
    <definedName name="GGRA">#REF!</definedName>
    <definedName name="GL">#REF!</definedName>
    <definedName name="GM3D">#REF!</definedName>
    <definedName name="GOR">#REF!</definedName>
    <definedName name="Gor_Antes">#REF!</definedName>
    <definedName name="GOR_despues">#REF!</definedName>
    <definedName name="gorant">[21]Sheet1!#REF!</definedName>
    <definedName name="GPM">#REF!</definedName>
    <definedName name="_xlnm.Recorder">#REF!</definedName>
    <definedName name="GRABAR">#REF!</definedName>
    <definedName name="GrabarCambios">[8]!GrabarCambios</definedName>
    <definedName name="GRABARDIAS">[1]Sheet6!#REF!</definedName>
    <definedName name="grade">[15]Data!$K$13</definedName>
    <definedName name="Guardias_por_turno">#REF!</definedName>
    <definedName name="h">#REF!</definedName>
    <definedName name="H2O">#REF!</definedName>
    <definedName name="hdp">[43]WTPO0197!#REF!</definedName>
    <definedName name="HeatValue">#REF!</definedName>
    <definedName name="HERRA">#REF!</definedName>
    <definedName name="herramientas">[44]Equipos!#REF!</definedName>
    <definedName name="hh">#REF!</definedName>
    <definedName name="hi">#REF!</definedName>
    <definedName name="Hijo1">#REF!</definedName>
    <definedName name="Hijos">#REF!</definedName>
    <definedName name="hoja2">#REF!</definedName>
    <definedName name="hoja3">#REF!</definedName>
    <definedName name="hoja4">#REF!</definedName>
    <definedName name="hoja5">'[16]Salida Tk Bafle'!$A$7:$P$500</definedName>
    <definedName name="hoja6">'[16]Impulsion Bomba Inyectora'!$A$4:$U$502</definedName>
    <definedName name="Horas_por_turno">#REF!</definedName>
    <definedName name="horasp">#REF!</definedName>
    <definedName name="HP">#REF!</definedName>
    <definedName name="hsd">#REF!</definedName>
    <definedName name="HVGI">#REF!</definedName>
    <definedName name="HVGS">#REF!</definedName>
    <definedName name="HVLS">#REF!</definedName>
    <definedName name="i">#REF!</definedName>
    <definedName name="IB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>#REF!</definedName>
    <definedName name="imputa">'[45]Canon Taller '!$I$15:$J$19</definedName>
    <definedName name="Income">#REF!</definedName>
    <definedName name="Indices">[46]Validaciones!$B$79:$B$83</definedName>
    <definedName name="InfoGlob">'[47]Informe global'!$A$6:$AA$90</definedName>
    <definedName name="INI">#REF!</definedName>
    <definedName name="INICIAL">[1]Sheet5!#REF!</definedName>
    <definedName name="inicio">#REF!</definedName>
    <definedName name="InjectionVC">[20]Datos!$F$66</definedName>
    <definedName name="Insumos_Directo_Indirecto">[48]Validaciones!$B$61:$B$63</definedName>
    <definedName name="INT">#REF!</definedName>
    <definedName name="INV" hidden="1">{#N/A,#N/A,FALSE,"RES-ANUAL";#N/A,#N/A,FALSE,"RES-CUENTA";#N/A,#N/A,FALSE,"AREA-RESP"}</definedName>
    <definedName name="Inversiones">#REF!</definedName>
    <definedName name="Investment">#REF!</definedName>
    <definedName name="Inygas">#REF!</definedName>
    <definedName name="IS">#REF!</definedName>
    <definedName name="ITB">#REF!</definedName>
    <definedName name="IVA">#REF!</definedName>
    <definedName name="IVA_AÑO">[49]IVA!$C$6:$G$6</definedName>
    <definedName name="IVA_IMPORTE">[49]IVA!$C$7:$G$90</definedName>
    <definedName name="IVA_JURISDICCION">[49]IVA!$B$7:$B$90</definedName>
    <definedName name="j">#REF!</definedName>
    <definedName name="jj">#REF!</definedName>
    <definedName name="JJJF">'[7]PROD DIA Y MES'!$A$1:$P$55</definedName>
    <definedName name="k">#REF!</definedName>
    <definedName name="KFAC">#REF!</definedName>
    <definedName name="kk">#REF!</definedName>
    <definedName name="L._DEL__MOJON_____JARILLOSA_____PTO._SILVA">#REF!</definedName>
    <definedName name="LABEL">#REF!</definedName>
    <definedName name="lapso">#REF!</definedName>
    <definedName name="Lavadero">#REF!</definedName>
    <definedName name="Lim_inf">[4]MiniDB!$D$51</definedName>
    <definedName name="Lim_sup">[4]MiniDB!$D$56</definedName>
    <definedName name="LIN">#REF!</definedName>
    <definedName name="ListaActividades">[50]Datos!$G$6:$G$29</definedName>
    <definedName name="ListaCombustibles">#REF!</definedName>
    <definedName name="ListaModelos">'[51]Controles procesos'!$B$29:$B$37</definedName>
    <definedName name="ListaNeumaticos">#REF!</definedName>
    <definedName name="ListaSueldos">#REF!</definedName>
    <definedName name="ListaTiemposUnidades">[50]Datos!$K$6:$K$10</definedName>
    <definedName name="ll">#REF!</definedName>
    <definedName name="LOC">#REF!</definedName>
    <definedName name="LubeF4000">#REF!</definedName>
    <definedName name="LubePerf">#REF!</definedName>
    <definedName name="LubeRanger">#REF!</definedName>
    <definedName name="LubeRetro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>[0]!Macro1</definedName>
    <definedName name="Macro10">[0]!Macro10</definedName>
    <definedName name="Macro2">[0]!Macro2</definedName>
    <definedName name="Macro20">[0]!Macro20</definedName>
    <definedName name="Macro4">[8]!Macro4</definedName>
    <definedName name="Macro6">[0]!Macro6</definedName>
    <definedName name="Macro60">[0]!Macro60</definedName>
    <definedName name="Macro7">[0]!Macro7</definedName>
    <definedName name="Macro70">[0]!Macro70</definedName>
    <definedName name="ManejoDefensivo">#REF!</definedName>
    <definedName name="maquina1">[32]Hoja1!$E$1:$E$14</definedName>
    <definedName name="Máquinas">[9]Maq!$A$6:$A$33</definedName>
    <definedName name="mas">#REF!</definedName>
    <definedName name="MATE">'[52]1240-18-P-RI-002'!#REF!</definedName>
    <definedName name="Materiales">[9]Mat!$A$4:$A$305</definedName>
    <definedName name="Maxima">[4]MiniDB!$D$49</definedName>
    <definedName name="MedicinaLaboral">#REF!</definedName>
    <definedName name="Menor">'[45]Sop Dif '!#REF!</definedName>
    <definedName name="menos">#REF!</definedName>
    <definedName name="MENSAJE_DIAS">[1]Sheet6!#REF!</definedName>
    <definedName name="MENU">#REF!</definedName>
    <definedName name="MENUS">#REF!</definedName>
    <definedName name="mermas">#REF!</definedName>
    <definedName name="MES">#REF!</definedName>
    <definedName name="min">#REF!</definedName>
    <definedName name="Minima">[4]MiniDB!$D$45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[32]Hoja1!$F$1:$F$5</definedName>
    <definedName name="Módulo3.Sector2">[8]!Módulo3.Sector2</definedName>
    <definedName name="Módulo4.Sector3">[8]!Módulo4.Sector3</definedName>
    <definedName name="Módulo5.Sector4">[8]!Módulo5.Sector4</definedName>
    <definedName name="Módulo6.Sector5">[8]!Módulo6.Sector5</definedName>
    <definedName name="MOI">#REF!</definedName>
    <definedName name="Moneda">[12]Resumen!$X$2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>#REF!</definedName>
    <definedName name="MOVPARAFINA">'[24]PERDIDA DE TBG.'!$A$71:$J$132</definedName>
    <definedName name="MOVTBGACIDO">'[24]PERDIDA DE TBG.'!$A$207:$J$268</definedName>
    <definedName name="MOVTBGARENACARB">'[24]PERDIDA DE TBG.'!$A$139:$J$200</definedName>
    <definedName name="MSG">#REF!</definedName>
    <definedName name="MSG0">#REF!</definedName>
    <definedName name="MtoF4000">#REF!</definedName>
    <definedName name="MtoPerf">#REF!</definedName>
    <definedName name="MtoRanger">#REF!</definedName>
    <definedName name="MtoRetro">#REF!</definedName>
    <definedName name="MtoTrailer">#REF!</definedName>
    <definedName name="MTR">#REF!</definedName>
    <definedName name="MTRD">#REF!</definedName>
    <definedName name="MTRT">#REF!</definedName>
    <definedName name="MU">#REF!</definedName>
    <definedName name="MW">#REF!</definedName>
    <definedName name="n">#REF!</definedName>
    <definedName name="N°CCT">'[11]MO - Petrolero Privado'!$E$10</definedName>
    <definedName name="nbreTotal1">#REF!</definedName>
    <definedName name="nbreTotal10">#REF!</definedName>
    <definedName name="nbreTotal2">#REF!</definedName>
    <definedName name="nbreTotal3">#REF!</definedName>
    <definedName name="nbreTotal4">#REF!</definedName>
    <definedName name="nbreTotal5">#REF!</definedName>
    <definedName name="nbreTotal6">#REF!</definedName>
    <definedName name="NDATE">#REF!</definedName>
    <definedName name="Neta">#REF!</definedName>
    <definedName name="Neta_Antes">#REF!</definedName>
    <definedName name="Neta_despues">#REF!</definedName>
    <definedName name="netant">[21]Sheet1!#REF!</definedName>
    <definedName name="netdesp">[21]Sheet1!#REF!</definedName>
    <definedName name="Neto_Arg">#REF!</definedName>
    <definedName name="Neto_Arg_T">#REF!</definedName>
    <definedName name="Netos_país">'[36]Netos  país'!$A$6:$I$107</definedName>
    <definedName name="NeumaticosF4000">#REF!</definedName>
    <definedName name="NeumaticosPerf">#REF!</definedName>
    <definedName name="NeumaticosRanger">#REF!</definedName>
    <definedName name="NeumaticosRetro">#REF!</definedName>
    <definedName name="NeumaticosTrailer">#REF!</definedName>
    <definedName name="NEUQUEN__DISTRICT">#REF!</definedName>
    <definedName name="niveles">#REF!</definedName>
    <definedName name="NOAMORT">[53]Bases!$H$7:$O$60</definedName>
    <definedName name="NOMBRE">#REF!</definedName>
    <definedName name="Normal">[4]MiniDB!$D$44</definedName>
    <definedName name="nro">#REF!</definedName>
    <definedName name="NROW">#REF!</definedName>
    <definedName name="NROWF">#REF!</definedName>
    <definedName name="NTIME">#REF!</definedName>
    <definedName name="NUEDTO.S">#N/A</definedName>
    <definedName name="NUEDTOA">#N/A</definedName>
    <definedName name="NUEDTOP">#N/A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>#REF!</definedName>
    <definedName name="obs_despues">#REF!</definedName>
    <definedName name="obsant">[21]Sheet1!#REF!</definedName>
    <definedName name="obsdesp">[21]Sheet1!#REF!</definedName>
    <definedName name="Observation">[4]MiniDB!$D$34</definedName>
    <definedName name="OGRA">#REF!</definedName>
    <definedName name="OGRA_C">#REF!</definedName>
    <definedName name="OILMTR">#REF!</definedName>
    <definedName name="OilReserves">[20]Datos!$F$13</definedName>
    <definedName name="OILT">#REF!</definedName>
    <definedName name="OiltransC">#REF!</definedName>
    <definedName name="OPC_ELEG">[1]Sheet5!#REF!</definedName>
    <definedName name="operador">#REF!</definedName>
    <definedName name="Operadores">#REF!</definedName>
    <definedName name="ORDEN">#REF!</definedName>
    <definedName name="ORID">#REF!</definedName>
    <definedName name="Orif3">[4]MiniDB!$D$5</definedName>
    <definedName name="orifa">[21]Sheet1!#REF!</definedName>
    <definedName name="orifd">[21]Sheet1!#REF!</definedName>
    <definedName name="Orificio">#REF!</definedName>
    <definedName name="orificio_Antes">#REF!</definedName>
    <definedName name="orificio_despues">#REF!</definedName>
    <definedName name="ot">#REF!</definedName>
    <definedName name="OtherVC">#REF!</definedName>
    <definedName name="Otros">[9]Otros!$A$4:$A$303</definedName>
    <definedName name="Overhead">#REF!</definedName>
    <definedName name="p">#REF!</definedName>
    <definedName name="P.1">#REF!</definedName>
    <definedName name="P.2">#REF!</definedName>
    <definedName name="P.3">#REF!</definedName>
    <definedName name="P.4">#REF!</definedName>
    <definedName name="P.5">#REF!</definedName>
    <definedName name="P.6">#REF!</definedName>
    <definedName name="P.7">#REF!</definedName>
    <definedName name="P.A.">#N/A</definedName>
    <definedName name="pa">#REF!</definedName>
    <definedName name="pat">#REF!</definedName>
    <definedName name="PatenteRanger">#REF!</definedName>
    <definedName name="PatenteSeguroCENT">#REF!</definedName>
    <definedName name="Pb">#REF!</definedName>
    <definedName name="Pboca">#REF!</definedName>
    <definedName name="pbp_Antes">#REF!</definedName>
    <definedName name="pbp_despues">#REF!</definedName>
    <definedName name="PC">#REF!</definedName>
    <definedName name="Pcolumna">#REF!</definedName>
    <definedName name="Pdb_Comp">[4]MiniDB!$D$38</definedName>
    <definedName name="pdepth">[15]Data!$D$9</definedName>
    <definedName name="PE_Obs">[4]MiniDB!$D$37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>#REF!</definedName>
    <definedName name="Perforador">#REF!</definedName>
    <definedName name="PERICAM">[54]PARAM!$A$3</definedName>
    <definedName name="Personal">[9]MO!$A$3:$A$128</definedName>
    <definedName name="PESOS150">#REF!</definedName>
    <definedName name="pesos600">#REF!</definedName>
    <definedName name="PESOS83">'[55]#¡REF'!$K$28</definedName>
    <definedName name="PESOS85">'[55]RESUMEN GRAL'!#REF!</definedName>
    <definedName name="Petróleo_y_Gas_Occidente">#REF!</definedName>
    <definedName name="Pf">#REF!</definedName>
    <definedName name="PGAS1">#REF!</definedName>
    <definedName name="PGAS2">#REF!</definedName>
    <definedName name="PGAS3">#REF!</definedName>
    <definedName name="PGAS4">#REF!</definedName>
    <definedName name="PGAS5">#REF!</definedName>
    <definedName name="PGAS6">#REF!</definedName>
    <definedName name="PHDG">#REF!</definedName>
    <definedName name="PHGAS">#REF!</definedName>
    <definedName name="PHMED">#REF!</definedName>
    <definedName name="PHRES">#REF!</definedName>
    <definedName name="PHTAN">#REF!</definedName>
    <definedName name="pilREV">'[16]Pileta Revestida'!$A$7:$P$54</definedName>
    <definedName name="PINCUPLA">'[24]PESCA DE V-B'!$A$135:$J$195</definedName>
    <definedName name="Pinyeccion">#REF!</definedName>
    <definedName name="PKR">#REF!</definedName>
    <definedName name="PLA">#REF!</definedName>
    <definedName name="PLANILLAS">#REF!</definedName>
    <definedName name="PLANTA__DE__GAS__CENTENARIO">#REF!</definedName>
    <definedName name="Plin1">[4]MiniDB!$D$15</definedName>
    <definedName name="Plin2">[4]MiniDB!$D$14</definedName>
    <definedName name="Plin3">[4]MiniDB!$D$13</definedName>
    <definedName name="Plinea">#REF!</definedName>
    <definedName name="PLPG1">#REF!</definedName>
    <definedName name="PLPG2">#REF!</definedName>
    <definedName name="PLPG3">#REF!</definedName>
    <definedName name="PLPG4">#REF!</definedName>
    <definedName name="plunger">[15]Data!$D$7</definedName>
    <definedName name="PM">#REF!</definedName>
    <definedName name="PMED1">#REF!</definedName>
    <definedName name="PMED2">#REF!</definedName>
    <definedName name="PMED3">#REF!</definedName>
    <definedName name="PMED4">#REF!</definedName>
    <definedName name="PMED5">#REF!</definedName>
    <definedName name="PMED6">#REF!</definedName>
    <definedName name="Porc_T0">[4]MiniDB!$D$63</definedName>
    <definedName name="Porc_T1">[4]MiniDB!$D$64</definedName>
    <definedName name="Porc_T2">[4]MiniDB!$D$65</definedName>
    <definedName name="Porc_T3">[4]MiniDB!$D$66</definedName>
    <definedName name="Porc_T4">[4]MiniDB!$D$67</definedName>
    <definedName name="Porc_T5">[4]MiniDB!$D$68</definedName>
    <definedName name="pozo">#REF!</definedName>
    <definedName name="Pozos">#REF!</definedName>
    <definedName name="pp">[39]ESPESOR!$C$13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>#REF!</definedName>
    <definedName name="PRES2">#REF!</definedName>
    <definedName name="PRES3">#REF!</definedName>
    <definedName name="PRES4">#REF!</definedName>
    <definedName name="PRES5">#REF!</definedName>
    <definedName name="PRES6">#REF!</definedName>
    <definedName name="PresionCO2">#REF!</definedName>
    <definedName name="PRIM">[1]Sheet6!#REF!</definedName>
    <definedName name="PRIM2">[1]Sheet5!#REF!</definedName>
    <definedName name="print">#REF!</definedName>
    <definedName name="Print_Area_MI">#REF!</definedName>
    <definedName name="Print_Titles_MI">#REF!</definedName>
    <definedName name="print1">#REF!,#REF!</definedName>
    <definedName name="PROCESANDO2">[1]Sheet5!#REF!</definedName>
    <definedName name="ProdCorr">#REF!</definedName>
    <definedName name="Prodexp">[20]Datos!$F$74</definedName>
    <definedName name="production">#REF!</definedName>
    <definedName name="prof">#REF!</definedName>
    <definedName name="Proveedores">#REF!</definedName>
    <definedName name="PROVINCIA">'[11]MO - Petrolero Privado'!$E$8</definedName>
    <definedName name="PRTR">#REF!</definedName>
    <definedName name="Psep1">[4]MiniDB!$D$18</definedName>
    <definedName name="Psep2">[4]MiniDB!$D$17</definedName>
    <definedName name="Psep3">[4]MiniDB!$D$16</definedName>
    <definedName name="PTAN1">#REF!</definedName>
    <definedName name="PTAN2">#REF!</definedName>
    <definedName name="PTAN3">#REF!</definedName>
    <definedName name="PTAN4">#REF!</definedName>
    <definedName name="PTAN5">#REF!</definedName>
    <definedName name="PTAN6">#REF!</definedName>
    <definedName name="PUESTO__TOUQUET">#REF!</definedName>
    <definedName name="PUN">#REF!</definedName>
    <definedName name="Puntos_con_telemetria">#REF!</definedName>
    <definedName name="PZ.1">#REF!</definedName>
    <definedName name="PZ.2">#REF!</definedName>
    <definedName name="PZ.3">#REF!</definedName>
    <definedName name="PZ.4">#REF!</definedName>
    <definedName name="q">#REF!</definedName>
    <definedName name="Qab">[56]Datos!$F$48</definedName>
    <definedName name="Qabg">#REF!</definedName>
    <definedName name="Qabo">#REF!</definedName>
    <definedName name="qfh">#REF!</definedName>
    <definedName name="QG">#REF!</definedName>
    <definedName name="Qgas1">[4]MiniDB!$D$12</definedName>
    <definedName name="Qgas2">[4]MiniDB!$D$9</definedName>
    <definedName name="Qgas3">[4]MiniDB!$D$4</definedName>
    <definedName name="Qig">#REF!</definedName>
    <definedName name="Qio">#REF!</definedName>
    <definedName name="QO">#REF!</definedName>
    <definedName name="Qs">#REF!</definedName>
    <definedName name="QUEM">#REF!</definedName>
    <definedName name="QW">#REF!</definedName>
    <definedName name="qwer">#REF!</definedName>
    <definedName name="R_Social">#REF!</definedName>
    <definedName name="RangerCD4x2">#REF!</definedName>
    <definedName name="RangerCD4x4">#REF!</definedName>
    <definedName name="RangerCS4x2">#REF!</definedName>
    <definedName name="RangerCS4x4">#REF!</definedName>
    <definedName name="rango_500">#REF!</definedName>
    <definedName name="rango_505">#REF!</definedName>
    <definedName name="rango_514">#REF!</definedName>
    <definedName name="rango_aclara_505">#REF!</definedName>
    <definedName name="rango_aclara_514">#REF!</definedName>
    <definedName name="Rango_P">[4]MiniDB!$D$50</definedName>
    <definedName name="rango_produccion">#REF!</definedName>
    <definedName name="rango_produccion_total">#REF!</definedName>
    <definedName name="RANGOIMPRESION">#REF!</definedName>
    <definedName name="rara">#REF!</definedName>
    <definedName name="Recover">[57]Macro1!$A$314</definedName>
    <definedName name="RECUP">#REF!</definedName>
    <definedName name="RED">#REF!</definedName>
    <definedName name="Refin">#REF!</definedName>
    <definedName name="region2">[32]Hoja1!$G$1:$G$5</definedName>
    <definedName name="renglon">#REF!</definedName>
    <definedName name="Rep">'[45]Sop Dif '!$K$5</definedName>
    <definedName name="reparacion">#REF!</definedName>
    <definedName name="RES">#REF!</definedName>
    <definedName name="residuales">#REF!</definedName>
    <definedName name="resu150">#REF!</definedName>
    <definedName name="resum600">#REF!</definedName>
    <definedName name="RETRO">#REF!</definedName>
    <definedName name="ROOT">#REF!</definedName>
    <definedName name="rotacion">#REF!</definedName>
    <definedName name="ROTTBGYMOVROTTBG">'[24]PERDIDA DE TBG.'!$A$1:$J$63</definedName>
    <definedName name="ROWS">#REF!</definedName>
    <definedName name="Roygas">#REF!</definedName>
    <definedName name="Royoil">#REF!</definedName>
    <definedName name="rpm">[15]Data!$K$9</definedName>
    <definedName name="rr">[15]Data!$H$9</definedName>
    <definedName name="rrrrrrrrrrrrrr">#REF!</definedName>
    <definedName name="RUT">#REF!</definedName>
    <definedName name="s">[58]Datos!$Q$42</definedName>
    <definedName name="sal">#REF!</definedName>
    <definedName name="SALABA40">[1]Sheet4!#REF!</definedName>
    <definedName name="salAPI">#REF!</definedName>
    <definedName name="SALARIOS">#REF!</definedName>
    <definedName name="salBAF">'[16]Salida Tk Bafle'!$A$7:$P$84</definedName>
    <definedName name="Salesret">#REF!</definedName>
    <definedName name="Salinidad">#REF!</definedName>
    <definedName name="Salinidad_Antes">#REF!</definedName>
    <definedName name="Salinidad_despues">#REF!</definedName>
    <definedName name="SAPBEXdnldView" hidden="1">"BDBYBWNAUJ42UM403UEV7H72C"</definedName>
    <definedName name="SAPBEXsysID" hidden="1">"BP2"</definedName>
    <definedName name="SCI_UTE">'[59]CECO - SCI - SCI PESA'!$A$2:$A$44</definedName>
    <definedName name="SCII">'[60]CECO - SCII'!$A$2:$A$45</definedName>
    <definedName name="SCIO">'[61]CECO - SCIO'!$A$2:$A$4</definedName>
    <definedName name="SDAT">#REF!</definedName>
    <definedName name="Sector">#REF!</definedName>
    <definedName name="Sector1">[8]!Sector1</definedName>
    <definedName name="Sector2">#N/A</definedName>
    <definedName name="SectorTanque1">[8]!SectorTanque1</definedName>
    <definedName name="SEG">[1]Sheet6!#REF!</definedName>
    <definedName name="Segurodeobra">[44]MOI!#REF!</definedName>
    <definedName name="SeguroRanger">#REF!</definedName>
    <definedName name="SELECCION">[1]Sheet5!#REF!</definedName>
    <definedName name="SelloModelo">[62]DataCombos2!$D$6:$D$165</definedName>
    <definedName name="Semanas_por_mes">#REF!</definedName>
    <definedName name="SEPAR">#REF!</definedName>
    <definedName name="SERIE">#REF!</definedName>
    <definedName name="sf">[15]Data!$J$14</definedName>
    <definedName name="SH">[63]InfTerm!#REF!</definedName>
    <definedName name="shdf">#REF!</definedName>
    <definedName name="sino">[32]Hoja1!$D$1:$D$3</definedName>
    <definedName name="SINO2">[64]Hoja1!$K$3:$K$6</definedName>
    <definedName name="sl">[15]Data!$J$5</definedName>
    <definedName name="Sp">[39]ESPESOR!$C$14</definedName>
    <definedName name="spm">[15]Data!$L$5</definedName>
    <definedName name="spmt">[15]Data!$K$5</definedName>
    <definedName name="srdata">[15]Data!$R$3:$U$6</definedName>
    <definedName name="Srink">#REF!</definedName>
    <definedName name="srl">[15]Data!$K$16</definedName>
    <definedName name="sry">#REF!</definedName>
    <definedName name="SS">[63]InfTerm!#REF!</definedName>
    <definedName name="sss">'[65]Informe Mensual'!#REF!</definedName>
    <definedName name="ssssssss">'[66]Informe Mensual'!#REF!</definedName>
    <definedName name="STARP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>#REF!</definedName>
    <definedName name="SueldoOficial">#REF!</definedName>
    <definedName name="SueldoPerforador">#REF!</definedName>
    <definedName name="SueldoSupervisor">#REF!</definedName>
    <definedName name="sup">#REF!</definedName>
    <definedName name="t">#REF!</definedName>
    <definedName name="T_Actividad">[48]Validaciones!$B$4:$B$8</definedName>
    <definedName name="T_Gremio">[48]Validaciones!$D$4:$D$38</definedName>
    <definedName name="T_Nro_CCT">[48]Validaciones!$F$4:$F$11</definedName>
    <definedName name="T_Provincia">[48]Validaciones!$B$11:$B$17</definedName>
    <definedName name="T_Relac_con_servic">[48]Validaciones!$B$39:$B$42</definedName>
    <definedName name="T_rubro">[48]Validaciones!$F$19:$F$23</definedName>
    <definedName name="T_sino">[48]Validaciones!$B$28:$B$29</definedName>
    <definedName name="T_Situac_actual">[48]Validaciones!$B$34:$B$35</definedName>
    <definedName name="T_Tipo_neumat">[67]Validaciones!$B$46:$B$47</definedName>
    <definedName name="T_UUNN">[48]Validaciones!$B$23:$B$25</definedName>
    <definedName name="TABLA.FC_IMPORTE">[68]BD_ADICIONALES.FC!$B$7:$J$13</definedName>
    <definedName name="TABLA.FC_ITEM">[68]BD_ADICIONALES.FC!$A$7:$A$13</definedName>
    <definedName name="TABLA.FC_MES">[68]BD_ADICIONALES.FC!$B$6:$J$6</definedName>
    <definedName name="TABLA.UOCRA_ADIC.UOCRA">[68]BD_ESCALAS.UOCRA!$K$127:$K$262</definedName>
    <definedName name="TABLA.UOCRA_ADIC.ZONA">[68]BD_ESCALAS.UOCRA!$F$127:$F$262</definedName>
    <definedName name="TABLA.UOCRA_AYUDA.ALIM">[68]BD_ESCALAS.UOCRA!$I$127:$I$262</definedName>
    <definedName name="TABLA.UOCRA_CAMPAMENTO">[68]BD_ESCALAS.UOCRA!$J$127:$J$262</definedName>
    <definedName name="TABLA.UOCRA_CATEGORIA">[68]BD_ESCALAS.UOCRA!$B$127:$B$262</definedName>
    <definedName name="TABLA.UOCRA_HSVIAJE">[68]BD_ESCALAS.UOCRA!$G$127:$G$262</definedName>
    <definedName name="TABLA.UOCRA_IMPORTE">[68]BD_ESCALAS.UOCRA!$E$127:$E$262</definedName>
    <definedName name="TABLA.UOCRA_MES">[68]BD_ESCALAS.UOCRA!$C$127:$C$262</definedName>
    <definedName name="TABLA.UOCRA_VIANDA">[68]BD_ESCALAS.UOCRA!$H$127:$H$262</definedName>
    <definedName name="TABLA.UOCRA_ZONA">[68]BD_ESCALAS.UOCRA!$D$127:$D$262</definedName>
    <definedName name="TABLA_CATEGORIA">[10]BD_ESCALAS!$A$10:$A$105</definedName>
    <definedName name="TABLA_CCT">[10]BD_ESCALAS!$C$7:$CD$7</definedName>
    <definedName name="TABLA_IMPORTE">[10]BD_ESCALAS!$C$10:$CD$105</definedName>
    <definedName name="TABLA_MES">[10]BD_ESCALAS!$C$9:$CD$9</definedName>
    <definedName name="TABLA_TURNO">[10]BD_ESCALAS!$B$10:$B$105</definedName>
    <definedName name="TABLA_ZONA">[10]BD_ESCALAS!$C$8:$CD$8</definedName>
    <definedName name="tabladatos">#REF!</definedName>
    <definedName name="TableName">"Dummy"</definedName>
    <definedName name="Tanque2">[8]!Tanque2</definedName>
    <definedName name="Tanque3">[8]!Tanque3</definedName>
    <definedName name="Tanque4">[8]!Tanque4</definedName>
    <definedName name="Tanque5">[8]!Tanque5</definedName>
    <definedName name="Tanque6">[8]!Tanque6</definedName>
    <definedName name="TAREAS">#REF!</definedName>
    <definedName name="tarifa">#REF!</definedName>
    <definedName name="Tb">#REF!</definedName>
    <definedName name="TBG">#N/A</definedName>
    <definedName name="Tboca">#REF!</definedName>
    <definedName name="TC">#REF!</definedName>
    <definedName name="TE">#REF!</definedName>
    <definedName name="TER">[1]Sheet6!#REF!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>#REF!</definedName>
    <definedName name="TicketAyudante">#REF!</definedName>
    <definedName name="TicketOficial">#REF!</definedName>
    <definedName name="TicketPerforador">#REF!</definedName>
    <definedName name="TicketSupervisor">#REF!</definedName>
    <definedName name="TIME">#REF!</definedName>
    <definedName name="TIME1">#REF!</definedName>
    <definedName name="TINC">#REF!</definedName>
    <definedName name="TINT">#REF!</definedName>
    <definedName name="Tipo_Insumos">[48]Validaciones!$B$69:$B$73</definedName>
    <definedName name="tipo1">[32]Hoja1!$A$1:$A$5</definedName>
    <definedName name="Tipo3">[4]MiniDB!$D$6</definedName>
    <definedName name="tipocliente">[32]Hoja1!$B$1:$B$4</definedName>
    <definedName name="TIPSA">#N/A</definedName>
    <definedName name="TIT_POZOS_PETROLIFEROS">#REF!</definedName>
    <definedName name="Titulo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>#REF!</definedName>
    <definedName name="TOT_MES_ACTUAL_OIL">#REF!</definedName>
    <definedName name="total">#REF!</definedName>
    <definedName name="Total_Agua_OIL_Mes_Actual">#REF!</definedName>
    <definedName name="Total_Bolívares">#REF!</definedName>
    <definedName name="TOTAL_CENTENARIO__Field_Gas_Plant">#REF!</definedName>
    <definedName name="Total_Dólares">#REF!</definedName>
    <definedName name="Total_Gas_Asoc_Mes_Actual">#REF!</definedName>
    <definedName name="total1">#REF!</definedName>
    <definedName name="total10">#REF!</definedName>
    <definedName name="total2">#REF!</definedName>
    <definedName name="total3">#REF!</definedName>
    <definedName name="total4">#REF!</definedName>
    <definedName name="total5">#REF!</definedName>
    <definedName name="total6">#REF!</definedName>
    <definedName name="TOTALBBA">'[24]RESUMEN ANUAL'!$A$66:$J$94</definedName>
    <definedName name="TOTALCUERPO">'[24]PESCA DE V-B'!$A$1:$J$63</definedName>
    <definedName name="TOTALFAC">#REF!</definedName>
    <definedName name="TOTALPESC">'[24]RESUMEN ANUAL'!$A$34:$J$62</definedName>
    <definedName name="TOTALPUL">'[24]RESUMEN ANUAL'!$A$1:$J$30</definedName>
    <definedName name="TOTALTBGR">'[24]RESUMEN ANUAL'!$A$98:$J$126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[4]MiniDB!$D$31</definedName>
    <definedName name="Tsep2">[4]MiniDB!$D$32</definedName>
    <definedName name="Tsep3">[4]MiniDB!$D$33</definedName>
    <definedName name="TSTN">#REF!</definedName>
    <definedName name="TSTT">#REF!</definedName>
    <definedName name="TT">#REF!</definedName>
    <definedName name="TUB">#REF!</definedName>
    <definedName name="Turngas">#REF!</definedName>
    <definedName name="Turnoil">#REF!</definedName>
    <definedName name="type">#REF!</definedName>
    <definedName name="u">#REF!</definedName>
    <definedName name="UF">#REF!</definedName>
    <definedName name="UIB">[15]Data!$H$5</definedName>
    <definedName name="Unid.">'[52]1240-18-P-RI-002'!#REF!</definedName>
    <definedName name="Unidadgor">[69]Datos!$H$50</definedName>
    <definedName name="UNION150">#REF!</definedName>
    <definedName name="UNIT">#REF!</definedName>
    <definedName name="UNITC">#REF!</definedName>
    <definedName name="UNITP">#REF!</definedName>
    <definedName name="UNITT">#REF!</definedName>
    <definedName name="UOCRA.DURACION">#REF!</definedName>
    <definedName name="UOCRA.MES">#REF!</definedName>
    <definedName name="UOCRA.ZONA">#REF!</definedName>
    <definedName name="US">[70]IPC!$H$9</definedName>
    <definedName name="Utilidad">#REF!</definedName>
    <definedName name="UTS">[15]Data!$K$14</definedName>
    <definedName name="uu">[0]!uu</definedName>
    <definedName name="v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>#REF!</definedName>
    <definedName name="Vehiculos">[9]Veh!$A$6:$A$23</definedName>
    <definedName name="Vehículos">#REF!</definedName>
    <definedName name="VERGUENZA">#REF!</definedName>
    <definedName name="Vestimenta">#REF!</definedName>
    <definedName name="VfluidC">[20]Datos!$F$62</definedName>
    <definedName name="VgasC">#REF!</definedName>
    <definedName name="Viandas">#REF!</definedName>
    <definedName name="VInjecC">[20]Datos!$F$66</definedName>
    <definedName name="VM">#REF!</definedName>
    <definedName name="VnpozosC">[20]Datos!$F$72</definedName>
    <definedName name="VoilC">#REF!</definedName>
    <definedName name="VOLVER">[71]!VOLVER</definedName>
    <definedName name="vp">[15]Data!$H$16</definedName>
    <definedName name="VtasNetas">#REF!</definedName>
    <definedName name="VwatC">[20]Datos!#REF!</definedName>
    <definedName name="VwellC">#REF!</definedName>
    <definedName name="w">#REF!</definedName>
    <definedName name="Water1">[4]MiniDB!$D$25</definedName>
    <definedName name="Water2">[4]MiniDB!$D$26</definedName>
    <definedName name="Water3">[4]MiniDB!$D$27</definedName>
    <definedName name="wc">[15]Data!$D$15</definedName>
    <definedName name="WCOM">#REF!</definedName>
    <definedName name="WCOM1">#REF!</definedName>
    <definedName name="WELL">#REF!</definedName>
    <definedName name="WF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hidden="1">{#N/A,#N/A,FALSE,"FASE81";#N/A,#N/A,FALSE,"FASE83";#N/A,#N/A,FALSE,"FASE85"}</definedName>
    <definedName name="wrn.LISTADOC." hidden="1">{#N/A,#N/A,FALSE,"GENERAL";#N/A,#N/A,FALSE,"USP 1";#N/A,#N/A,FALSE,"USP 2";#N/A,#N/A,FALSE,"UTE"}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>#REF!</definedName>
    <definedName name="WTI_01">[18]Tablas!$E$4</definedName>
    <definedName name="WTI_02">[18]Tablas!$E$5</definedName>
    <definedName name="WTI_03">[18]Tablas!$E$6</definedName>
    <definedName name="WTI_04">[18]Tablas!$E$7</definedName>
    <definedName name="WTI_05">[18]Tablas!$E$8</definedName>
    <definedName name="WTI_06">[18]Tablas!$E$9</definedName>
    <definedName name="WTI_07">[18]Tablas!$E$10</definedName>
    <definedName name="WTI_08">[18]Tablas!$E$11</definedName>
    <definedName name="WTI_09">[18]Tablas!$E$12</definedName>
    <definedName name="WTI_10">[18]Tablas!$E$13</definedName>
    <definedName name="WTI_11">[18]Tablas!$E$14</definedName>
    <definedName name="WTI_12">[18]Tablas!$E$15</definedName>
    <definedName name="wtrhy">#REF!</definedName>
    <definedName name="ww">#REF!</definedName>
    <definedName name="wwww">#REF!</definedName>
    <definedName name="X">'[28]500'!$A$1:$N$61</definedName>
    <definedName name="xx">[39]ESPESOR!$B$21</definedName>
    <definedName name="xxx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>#REF!</definedName>
    <definedName name="Y_2">#REF!</definedName>
    <definedName name="YACI">#REF!</definedName>
    <definedName name="YACIMIENTO">'[13]resumen mensual de producción'!$C$6</definedName>
    <definedName name="yak">#REF!</definedName>
    <definedName name="yar">#REF!</definedName>
    <definedName name="Yes_No">'[22]Coef.'!$J$112:$J$113</definedName>
    <definedName name="Z">#REF!</definedName>
    <definedName name="zagz">#REF!</definedName>
    <definedName name="ZAP">#REF!</definedName>
    <definedName name="Zb">#REF!</definedName>
    <definedName name="zdgjzfg">#REF!</definedName>
    <definedName name="Zona">[48]Validaciones!$B$51:$B$57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4" l="1"/>
  <c r="F3" i="14"/>
  <c r="E4" i="14"/>
  <c r="D4" i="14"/>
  <c r="D3" i="14"/>
  <c r="J4" i="7"/>
  <c r="L3" i="7"/>
  <c r="K4" i="7" l="1"/>
  <c r="L4" i="7" s="1"/>
  <c r="M4" i="7" s="1"/>
  <c r="C4" i="7" l="1"/>
  <c r="E4" i="7" s="1"/>
  <c r="D4" i="7"/>
  <c r="A4" i="7"/>
  <c r="D3" i="7"/>
  <c r="C3" i="7"/>
  <c r="A3" i="7"/>
  <c r="G4" i="7" l="1"/>
  <c r="E3" i="7"/>
  <c r="G3" i="7" s="1"/>
  <c r="H7" i="7" s="1"/>
  <c r="J3" i="7" l="1"/>
  <c r="K3" i="7" l="1"/>
  <c r="M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C4" authorId="0" shapeId="0" xr:uid="{46573F89-A365-494C-9C55-0BF193CE22C7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sharedStrings.xml><?xml version="1.0" encoding="utf-8"?>
<sst xmlns="http://schemas.openxmlformats.org/spreadsheetml/2006/main" count="29" uniqueCount="25">
  <si>
    <t>K</t>
  </si>
  <si>
    <t>Ítem</t>
  </si>
  <si>
    <t>Fecha</t>
  </si>
  <si>
    <t>Producto</t>
  </si>
  <si>
    <t>Flete [u$d/litro]</t>
  </si>
  <si>
    <t>Precio [u$d/litro]</t>
  </si>
  <si>
    <t>Denominación comercial</t>
  </si>
  <si>
    <t>Descripción</t>
  </si>
  <si>
    <t>Costo Total [u$d/litro]</t>
  </si>
  <si>
    <t>Venta [u$d/mes]</t>
  </si>
  <si>
    <t>Consumo estimado  [litros]</t>
  </si>
  <si>
    <t>CR con flete [u$d/lt]</t>
  </si>
  <si>
    <t>Precio [u$d/lt]</t>
  </si>
  <si>
    <t>Unidad de Presentación</t>
  </si>
  <si>
    <t>CP USD</t>
  </si>
  <si>
    <t>CP %</t>
  </si>
  <si>
    <t>CR + Imp Pais [u$d/lt]</t>
  </si>
  <si>
    <t>BSH919</t>
  </si>
  <si>
    <t>IC5091</t>
  </si>
  <si>
    <t>Ref</t>
  </si>
  <si>
    <t>PCR</t>
  </si>
  <si>
    <t>San Enrique</t>
  </si>
  <si>
    <t>Sec. De Sulfhidrico</t>
  </si>
  <si>
    <t>Inhibidor de Incrustaciones</t>
  </si>
  <si>
    <t>tambor de 200 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</si>
</sst>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Exo"/>
    </font>
    <font>
      <sz val="9"/>
      <name val="Exo"/>
    </font>
    <font>
      <b/>
      <sz val="9"/>
      <name val="Exo"/>
    </font>
    <font>
      <b/>
      <sz val="9"/>
      <color theme="0"/>
      <name val="Exo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8">
    <xf numFmtId="0" fontId="0" fillId="0" borderId="0" xfId="0"/>
    <xf numFmtId="0" fontId="4" fillId="3" borderId="1" xfId="3" applyNumberFormat="1" applyFont="1" applyFill="1" applyBorder="1" applyAlignment="1">
      <alignment horizontal="center" vertical="center" wrapText="1"/>
    </xf>
    <xf numFmtId="0" fontId="3" fillId="0" borderId="1" xfId="3" applyNumberFormat="1" applyBorder="1" applyAlignment="1">
      <alignment horizontal="center" vertical="center" wrapText="1"/>
    </xf>
    <xf numFmtId="0" fontId="2" fillId="0" borderId="1" xfId="3" applyNumberFormat="1" applyFont="1" applyBorder="1" applyAlignment="1">
      <alignment horizontal="center" vertical="center" wrapText="1"/>
    </xf>
    <xf numFmtId="4" fontId="3" fillId="0" borderId="1" xfId="3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8" fillId="0" borderId="0" xfId="2" applyFont="1" applyFill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0" fontId="9" fillId="0" borderId="0" xfId="2" applyFont="1" applyFill="1" applyAlignment="1">
      <alignment vertical="center" wrapText="1"/>
    </xf>
    <xf numFmtId="14" fontId="8" fillId="0" borderId="1" xfId="2" applyNumberFormat="1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center" vertical="center" wrapText="1"/>
    </xf>
    <xf numFmtId="167" fontId="8" fillId="0" borderId="1" xfId="2" applyNumberFormat="1" applyFont="1" applyFill="1" applyBorder="1" applyAlignment="1">
      <alignment horizontal="center" vertical="center" wrapText="1"/>
    </xf>
    <xf numFmtId="166" fontId="8" fillId="0" borderId="1" xfId="2" applyNumberFormat="1" applyFont="1" applyFill="1" applyBorder="1" applyAlignment="1">
      <alignment horizontal="center" vertical="center" wrapText="1"/>
    </xf>
    <xf numFmtId="2" fontId="8" fillId="0" borderId="1" xfId="1" applyNumberFormat="1" applyFont="1" applyFill="1" applyBorder="1" applyAlignment="1">
      <alignment horizontal="center" vertical="center" wrapText="1"/>
    </xf>
    <xf numFmtId="2" fontId="9" fillId="0" borderId="1" xfId="1" applyNumberFormat="1" applyFont="1" applyFill="1" applyBorder="1" applyAlignment="1">
      <alignment horizontal="center" vertical="center" wrapText="1"/>
    </xf>
    <xf numFmtId="3" fontId="8" fillId="0" borderId="1" xfId="1" applyNumberFormat="1" applyFont="1" applyFill="1" applyBorder="1" applyAlignment="1">
      <alignment horizontal="center" vertical="center" wrapText="1"/>
    </xf>
    <xf numFmtId="4" fontId="8" fillId="0" borderId="1" xfId="1" applyNumberFormat="1" applyFont="1" applyFill="1" applyBorder="1" applyAlignment="1">
      <alignment horizontal="center" vertical="center" wrapText="1"/>
    </xf>
    <xf numFmtId="9" fontId="8" fillId="0" borderId="1" xfId="13" applyFont="1" applyFill="1" applyBorder="1" applyAlignment="1">
      <alignment horizontal="center" vertical="center" wrapText="1"/>
    </xf>
    <xf numFmtId="9" fontId="8" fillId="0" borderId="0" xfId="13" applyFont="1" applyFill="1" applyAlignment="1">
      <alignment horizontal="center" vertical="center" wrapText="1"/>
    </xf>
    <xf numFmtId="0" fontId="8" fillId="0" borderId="1" xfId="2" applyFont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8" fillId="0" borderId="3" xfId="2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 wrapText="1"/>
    </xf>
  </cellXfs>
  <cellStyles count="15">
    <cellStyle name="Millares 2" xfId="11" xr:uid="{00000000-0005-0000-0000-000001000000}"/>
    <cellStyle name="Moneda 3" xfId="12" xr:uid="{00000000-0005-0000-0000-000002000000}"/>
    <cellStyle name="Normal" xfId="0" builtinId="0"/>
    <cellStyle name="Normal 100" xfId="2" xr:uid="{00000000-0005-0000-0000-000004000000}"/>
    <cellStyle name="Normal 13 2" xfId="14" xr:uid="{00000000-0005-0000-0000-000005000000}"/>
    <cellStyle name="Normal 17" xfId="6" xr:uid="{00000000-0005-0000-0000-000006000000}"/>
    <cellStyle name="Normal 2" xfId="3" xr:uid="{00000000-0005-0000-0000-000007000000}"/>
    <cellStyle name="Normal 2 2" xfId="4" xr:uid="{00000000-0005-0000-0000-000008000000}"/>
    <cellStyle name="Normal 2 2 3" xfId="5" xr:uid="{00000000-0005-0000-0000-000009000000}"/>
    <cellStyle name="Normal 2 7" xfId="8" xr:uid="{00000000-0005-0000-0000-00000A000000}"/>
    <cellStyle name="Normal 250 2" xfId="1" xr:uid="{00000000-0005-0000-0000-00000B000000}"/>
    <cellStyle name="Normal 4 5" xfId="9" xr:uid="{00000000-0005-0000-0000-00000C000000}"/>
    <cellStyle name="Porcentaje" xfId="13" builtinId="5"/>
    <cellStyle name="Porcentaje 2" xfId="7" xr:uid="{00000000-0005-0000-0000-00000E000000}"/>
    <cellStyle name="Porcentaje 3 2" xfId="10" xr:uid="{00000000-0005-0000-0000-00000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4.xml"/><Relationship Id="rId21" Type="http://schemas.openxmlformats.org/officeDocument/2006/relationships/externalLink" Target="externalLinks/externalLink19.xml"/><Relationship Id="rId42" Type="http://schemas.openxmlformats.org/officeDocument/2006/relationships/externalLink" Target="externalLinks/externalLink40.xml"/><Relationship Id="rId47" Type="http://schemas.openxmlformats.org/officeDocument/2006/relationships/externalLink" Target="externalLinks/externalLink45.xml"/><Relationship Id="rId63" Type="http://schemas.openxmlformats.org/officeDocument/2006/relationships/externalLink" Target="externalLinks/externalLink61.xml"/><Relationship Id="rId68" Type="http://schemas.openxmlformats.org/officeDocument/2006/relationships/externalLink" Target="externalLinks/externalLink66.xml"/><Relationship Id="rId16" Type="http://schemas.openxmlformats.org/officeDocument/2006/relationships/externalLink" Target="externalLinks/externalLink14.xml"/><Relationship Id="rId11" Type="http://schemas.openxmlformats.org/officeDocument/2006/relationships/externalLink" Target="externalLinks/externalLink9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53" Type="http://schemas.openxmlformats.org/officeDocument/2006/relationships/externalLink" Target="externalLinks/externalLink51.xml"/><Relationship Id="rId58" Type="http://schemas.openxmlformats.org/officeDocument/2006/relationships/externalLink" Target="externalLinks/externalLink56.xml"/><Relationship Id="rId74" Type="http://schemas.openxmlformats.org/officeDocument/2006/relationships/theme" Target="theme/theme1.xml"/><Relationship Id="rId79" Type="http://schemas.openxmlformats.org/officeDocument/2006/relationships/customXml" Target="../customXml/item2.xml"/><Relationship Id="rId5" Type="http://schemas.openxmlformats.org/officeDocument/2006/relationships/externalLink" Target="externalLinks/externalLink3.xml"/><Relationship Id="rId61" Type="http://schemas.openxmlformats.org/officeDocument/2006/relationships/externalLink" Target="externalLinks/externalLink59.xml"/><Relationship Id="rId19" Type="http://schemas.openxmlformats.org/officeDocument/2006/relationships/externalLink" Target="externalLinks/externalLink1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externalLink" Target="externalLinks/externalLink41.xml"/><Relationship Id="rId48" Type="http://schemas.openxmlformats.org/officeDocument/2006/relationships/externalLink" Target="externalLinks/externalLink46.xml"/><Relationship Id="rId56" Type="http://schemas.openxmlformats.org/officeDocument/2006/relationships/externalLink" Target="externalLinks/externalLink54.xml"/><Relationship Id="rId64" Type="http://schemas.openxmlformats.org/officeDocument/2006/relationships/externalLink" Target="externalLinks/externalLink62.xml"/><Relationship Id="rId69" Type="http://schemas.openxmlformats.org/officeDocument/2006/relationships/externalLink" Target="externalLinks/externalLink67.xml"/><Relationship Id="rId77" Type="http://schemas.openxmlformats.org/officeDocument/2006/relationships/calcChain" Target="calcChain.xml"/><Relationship Id="rId8" Type="http://schemas.openxmlformats.org/officeDocument/2006/relationships/externalLink" Target="externalLinks/externalLink6.xml"/><Relationship Id="rId51" Type="http://schemas.openxmlformats.org/officeDocument/2006/relationships/externalLink" Target="externalLinks/externalLink49.xml"/><Relationship Id="rId72" Type="http://schemas.openxmlformats.org/officeDocument/2006/relationships/externalLink" Target="externalLinks/externalLink70.xml"/><Relationship Id="rId80" Type="http://schemas.openxmlformats.org/officeDocument/2006/relationships/customXml" Target="../customXml/item3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46" Type="http://schemas.openxmlformats.org/officeDocument/2006/relationships/externalLink" Target="externalLinks/externalLink44.xml"/><Relationship Id="rId59" Type="http://schemas.openxmlformats.org/officeDocument/2006/relationships/externalLink" Target="externalLinks/externalLink57.xml"/><Relationship Id="rId67" Type="http://schemas.openxmlformats.org/officeDocument/2006/relationships/externalLink" Target="externalLinks/externalLink65.xml"/><Relationship Id="rId20" Type="http://schemas.openxmlformats.org/officeDocument/2006/relationships/externalLink" Target="externalLinks/externalLink18.xml"/><Relationship Id="rId41" Type="http://schemas.openxmlformats.org/officeDocument/2006/relationships/externalLink" Target="externalLinks/externalLink39.xml"/><Relationship Id="rId54" Type="http://schemas.openxmlformats.org/officeDocument/2006/relationships/externalLink" Target="externalLinks/externalLink52.xml"/><Relationship Id="rId62" Type="http://schemas.openxmlformats.org/officeDocument/2006/relationships/externalLink" Target="externalLinks/externalLink60.xml"/><Relationship Id="rId70" Type="http://schemas.openxmlformats.org/officeDocument/2006/relationships/externalLink" Target="externalLinks/externalLink68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49" Type="http://schemas.openxmlformats.org/officeDocument/2006/relationships/externalLink" Target="externalLinks/externalLink47.xml"/><Relationship Id="rId57" Type="http://schemas.openxmlformats.org/officeDocument/2006/relationships/externalLink" Target="externalLinks/externalLink55.xml"/><Relationship Id="rId10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9.xml"/><Relationship Id="rId44" Type="http://schemas.openxmlformats.org/officeDocument/2006/relationships/externalLink" Target="externalLinks/externalLink42.xml"/><Relationship Id="rId52" Type="http://schemas.openxmlformats.org/officeDocument/2006/relationships/externalLink" Target="externalLinks/externalLink50.xml"/><Relationship Id="rId60" Type="http://schemas.openxmlformats.org/officeDocument/2006/relationships/externalLink" Target="externalLinks/externalLink58.xml"/><Relationship Id="rId65" Type="http://schemas.openxmlformats.org/officeDocument/2006/relationships/externalLink" Target="externalLinks/externalLink63.xml"/><Relationship Id="rId73" Type="http://schemas.openxmlformats.org/officeDocument/2006/relationships/externalLink" Target="externalLinks/externalLink71.xml"/><Relationship Id="rId78" Type="http://schemas.openxmlformats.org/officeDocument/2006/relationships/customXml" Target="../customXml/item1.xml"/><Relationship Id="rId81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9" Type="http://schemas.openxmlformats.org/officeDocument/2006/relationships/externalLink" Target="externalLinks/externalLink37.xml"/><Relationship Id="rId34" Type="http://schemas.openxmlformats.org/officeDocument/2006/relationships/externalLink" Target="externalLinks/externalLink32.xml"/><Relationship Id="rId50" Type="http://schemas.openxmlformats.org/officeDocument/2006/relationships/externalLink" Target="externalLinks/externalLink48.xml"/><Relationship Id="rId55" Type="http://schemas.openxmlformats.org/officeDocument/2006/relationships/externalLink" Target="externalLinks/externalLink53.xml"/><Relationship Id="rId76" Type="http://schemas.openxmlformats.org/officeDocument/2006/relationships/sharedStrings" Target="sharedStrings.xml"/><Relationship Id="rId7" Type="http://schemas.openxmlformats.org/officeDocument/2006/relationships/externalLink" Target="externalLinks/externalLink5.xml"/><Relationship Id="rId71" Type="http://schemas.openxmlformats.org/officeDocument/2006/relationships/externalLink" Target="externalLinks/externalLink69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7.xml"/><Relationship Id="rId24" Type="http://schemas.openxmlformats.org/officeDocument/2006/relationships/externalLink" Target="externalLinks/externalLink22.xml"/><Relationship Id="rId40" Type="http://schemas.openxmlformats.org/officeDocument/2006/relationships/externalLink" Target="externalLinks/externalLink38.xml"/><Relationship Id="rId45" Type="http://schemas.openxmlformats.org/officeDocument/2006/relationships/externalLink" Target="externalLinks/externalLink43.xml"/><Relationship Id="rId66" Type="http://schemas.openxmlformats.org/officeDocument/2006/relationships/externalLink" Target="externalLinks/externalLink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>
        <row r="6">
          <cell r="A6" t="str">
            <v>LEGAJO</v>
          </cell>
        </row>
      </sheetData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  <sheetName val="pulling 2005   DEF"/>
      <sheetName val="Datos IP Teórico"/>
      <sheetName val="PESCA DE V_B"/>
      <sheetName val="PERDIDA DE TBG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</sheetData>
      <sheetData sheetId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CECO _ SCI _ SCI PESA"/>
    </sheetNames>
    <sheetDataSet>
      <sheetData sheetId="0">
        <row r="2">
          <cell r="A2" t="str">
            <v>AR64ESCG00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>
        <row r="2">
          <cell r="A2" t="str">
            <v>AR64ESCG00</v>
          </cell>
        </row>
      </sheetData>
      <sheetData sheetId="9"/>
      <sheetData sheetId="10"/>
      <sheetData sheetId="1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  <sheetName val="CECO _ SCI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  <sheetData sheetId="1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  <sheetName val="CECO _ SC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</sheetData>
      <sheetData sheetId="3"/>
      <sheetData sheetId="4">
        <row r="7">
          <cell r="BA7" t="str">
            <v>PETROLERO CHUBUT (605/10)</v>
          </cell>
        </row>
      </sheetData>
      <sheetData sheetId="5">
        <row r="6">
          <cell r="BE6" t="str">
            <v>ASIG. VIANDA COMP. NO REM.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98"/>
      <sheetName val="PULL98.xls"/>
      <sheetName val="\\PAMPA_02\Centrilift\Mis docum"/>
    </sheetNames>
    <definedNames>
      <definedName name="VOLVER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F5"/>
  <sheetViews>
    <sheetView showGridLines="0" tabSelected="1" workbookViewId="0">
      <selection activeCell="B2" sqref="B2:F4"/>
    </sheetView>
  </sheetViews>
  <sheetFormatPr baseColWidth="10" defaultRowHeight="15" x14ac:dyDescent="0.25"/>
  <cols>
    <col min="1" max="1" width="1.28515625" customWidth="1"/>
    <col min="2" max="2" width="5.28515625" customWidth="1"/>
    <col min="3" max="3" width="25" customWidth="1"/>
    <col min="4" max="4" width="13.140625" customWidth="1"/>
    <col min="5" max="5" width="22.5703125" customWidth="1"/>
    <col min="6" max="6" width="12.7109375" customWidth="1"/>
  </cols>
  <sheetData>
    <row r="2" spans="2:6" ht="47.25" customHeight="1" x14ac:dyDescent="0.25">
      <c r="B2" s="1" t="s">
        <v>1</v>
      </c>
      <c r="C2" s="1" t="s">
        <v>7</v>
      </c>
      <c r="D2" s="1" t="s">
        <v>6</v>
      </c>
      <c r="E2" s="1" t="s">
        <v>13</v>
      </c>
      <c r="F2" s="1" t="s">
        <v>12</v>
      </c>
    </row>
    <row r="3" spans="2:6" ht="21" customHeight="1" x14ac:dyDescent="0.25">
      <c r="B3" s="2">
        <v>1</v>
      </c>
      <c r="C3" s="3" t="s">
        <v>22</v>
      </c>
      <c r="D3" s="3" t="str">
        <f>+'Planilla de Costos - EERR'!B3</f>
        <v>BSH919</v>
      </c>
      <c r="E3" s="3" t="s">
        <v>24</v>
      </c>
      <c r="F3" s="4">
        <f>+'Planilla de Costos - EERR'!G3</f>
        <v>4.7479401330376945</v>
      </c>
    </row>
    <row r="4" spans="2:6" ht="21" customHeight="1" x14ac:dyDescent="0.25">
      <c r="B4" s="6">
        <v>2</v>
      </c>
      <c r="C4" s="7" t="s">
        <v>23</v>
      </c>
      <c r="D4" s="3" t="str">
        <f>+'Planilla de Costos - EERR'!B4</f>
        <v>IC5091</v>
      </c>
      <c r="E4" s="7" t="str">
        <f>+E3</f>
        <v>tambor de 200 lts</v>
      </c>
      <c r="F4" s="4">
        <f>+'Planilla de Costos - EERR'!G4</f>
        <v>3.9513136363636363</v>
      </c>
    </row>
    <row r="5" spans="2:6" x14ac:dyDescent="0.25">
      <c r="F5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  <pageSetUpPr autoPageBreaks="0" fitToPage="1"/>
  </sheetPr>
  <dimension ref="A1:M9"/>
  <sheetViews>
    <sheetView showGridLines="0" zoomScaleNormal="100" workbookViewId="0">
      <pane ySplit="1" topLeftCell="A2" activePane="bottomLeft" state="frozen"/>
      <selection pane="bottomLeft" activeCell="G17" sqref="G17"/>
    </sheetView>
  </sheetViews>
  <sheetFormatPr baseColWidth="10" defaultColWidth="9.140625" defaultRowHeight="15" x14ac:dyDescent="0.25"/>
  <cols>
    <col min="1" max="1" width="10.85546875" style="9" bestFit="1" customWidth="1"/>
    <col min="2" max="2" width="8.28515625" style="9" bestFit="1" customWidth="1"/>
    <col min="3" max="3" width="10.7109375" style="9" customWidth="1"/>
    <col min="4" max="4" width="11.28515625" style="9" customWidth="1"/>
    <col min="5" max="5" width="11.140625" style="9" bestFit="1" customWidth="1"/>
    <col min="6" max="6" width="5.5703125" style="9" bestFit="1" customWidth="1"/>
    <col min="7" max="7" width="13.28515625" style="9" customWidth="1"/>
    <col min="8" max="8" width="9.5703125" style="10" customWidth="1"/>
    <col min="9" max="9" width="11.28515625" style="9" customWidth="1"/>
    <col min="10" max="10" width="10.5703125" style="9" customWidth="1"/>
    <col min="11" max="11" width="11.140625" style="9" customWidth="1"/>
    <col min="12" max="12" width="8.5703125" style="9" customWidth="1"/>
    <col min="13" max="13" width="7.42578125" style="9" customWidth="1"/>
    <col min="14" max="15" width="10.7109375" style="9" customWidth="1"/>
    <col min="16" max="16" width="3" style="9" customWidth="1"/>
    <col min="17" max="18" width="12.7109375" style="9" customWidth="1"/>
    <col min="19" max="19" width="3" style="9" customWidth="1"/>
    <col min="20" max="21" width="10.85546875" style="9" customWidth="1"/>
    <col min="22" max="22" width="3" style="9" customWidth="1"/>
    <col min="23" max="23" width="11.85546875" style="9" customWidth="1"/>
    <col min="24" max="24" width="3" style="9" customWidth="1"/>
    <col min="25" max="28" width="9.28515625" style="9" customWidth="1"/>
    <col min="29" max="29" width="2.42578125" style="9" customWidth="1"/>
    <col min="30" max="33" width="9.140625" style="9"/>
    <col min="34" max="34" width="4.28515625" style="9" customWidth="1"/>
    <col min="35" max="16384" width="9.140625" style="9"/>
  </cols>
  <sheetData>
    <row r="1" spans="1:13" ht="46.5" customHeight="1" x14ac:dyDescent="0.25"/>
    <row r="2" spans="1:13" ht="58.5" customHeight="1" x14ac:dyDescent="0.25">
      <c r="A2" s="8" t="s">
        <v>2</v>
      </c>
      <c r="B2" s="11" t="s">
        <v>3</v>
      </c>
      <c r="C2" s="11" t="s">
        <v>16</v>
      </c>
      <c r="D2" s="11" t="s">
        <v>4</v>
      </c>
      <c r="E2" s="11" t="s">
        <v>11</v>
      </c>
      <c r="F2" s="11" t="s">
        <v>0</v>
      </c>
      <c r="G2" s="11" t="s">
        <v>5</v>
      </c>
      <c r="H2" s="12"/>
      <c r="I2" s="11" t="s">
        <v>10</v>
      </c>
      <c r="J2" s="11" t="s">
        <v>8</v>
      </c>
      <c r="K2" s="11" t="s">
        <v>9</v>
      </c>
      <c r="L2" s="11" t="s">
        <v>14</v>
      </c>
      <c r="M2" s="11" t="s">
        <v>15</v>
      </c>
    </row>
    <row r="3" spans="1:13" s="10" customFormat="1" ht="15" customHeight="1" x14ac:dyDescent="0.25">
      <c r="A3" s="13">
        <f ca="1">TODAY()</f>
        <v>45317</v>
      </c>
      <c r="B3" s="14" t="s">
        <v>17</v>
      </c>
      <c r="C3" s="15">
        <f>1.86*1.175</f>
        <v>2.1855000000000002</v>
      </c>
      <c r="D3" s="16">
        <f>3400/22/820</f>
        <v>0.18847006651884698</v>
      </c>
      <c r="E3" s="17">
        <f>+D3+C3</f>
        <v>2.3739700665188472</v>
      </c>
      <c r="F3" s="18">
        <v>2</v>
      </c>
      <c r="G3" s="18">
        <f>+F3*E3</f>
        <v>4.7479401330376945</v>
      </c>
      <c r="H3" s="12"/>
      <c r="I3" s="19">
        <v>200</v>
      </c>
      <c r="J3" s="19">
        <f>+I3*E3</f>
        <v>474.79401330376947</v>
      </c>
      <c r="K3" s="19">
        <f>+I3*G3</f>
        <v>949.58802660753895</v>
      </c>
      <c r="L3" s="20">
        <f>K3-J3-4.75%*K3</f>
        <v>429.68858203991135</v>
      </c>
      <c r="M3" s="21">
        <f>+L3/K3</f>
        <v>0.45249999999999996</v>
      </c>
    </row>
    <row r="4" spans="1:13" s="10" customFormat="1" ht="15" customHeight="1" x14ac:dyDescent="0.25">
      <c r="A4" s="13">
        <f ca="1">TODAY()</f>
        <v>45317</v>
      </c>
      <c r="B4" s="14" t="s">
        <v>18</v>
      </c>
      <c r="C4" s="15">
        <f>1.48*1.175</f>
        <v>1.7390000000000001</v>
      </c>
      <c r="D4" s="16">
        <f>3400/22/820</f>
        <v>0.18847006651884698</v>
      </c>
      <c r="E4" s="17">
        <f>+D4+C4</f>
        <v>1.9274700665188471</v>
      </c>
      <c r="F4" s="18">
        <v>2.0499999999999998</v>
      </c>
      <c r="G4" s="18">
        <f>+F4*E4</f>
        <v>3.9513136363636363</v>
      </c>
      <c r="H4" s="12"/>
      <c r="I4" s="19">
        <v>200</v>
      </c>
      <c r="J4" s="19">
        <f t="shared" ref="J4" si="0">+I4*E4</f>
        <v>385.49401330376941</v>
      </c>
      <c r="K4" s="19">
        <f t="shared" ref="K4" si="1">+I4*G4</f>
        <v>790.26272727272726</v>
      </c>
      <c r="L4" s="20">
        <f t="shared" ref="L4" si="2">K4-J4-4.75%*K4</f>
        <v>367.23123442350334</v>
      </c>
      <c r="M4" s="21">
        <f t="shared" ref="M4" si="3">+L4/K4</f>
        <v>0.46469512195121954</v>
      </c>
    </row>
    <row r="5" spans="1:13" x14ac:dyDescent="0.25">
      <c r="I5" s="19"/>
      <c r="J5" s="19"/>
      <c r="K5" s="19"/>
      <c r="L5" s="20"/>
      <c r="M5" s="21"/>
    </row>
    <row r="6" spans="1:13" x14ac:dyDescent="0.25">
      <c r="A6" s="25" t="s">
        <v>19</v>
      </c>
      <c r="B6" s="26"/>
      <c r="C6" s="26"/>
      <c r="D6" s="26"/>
      <c r="E6" s="26"/>
      <c r="F6" s="26"/>
      <c r="G6" s="27"/>
      <c r="I6" s="19"/>
      <c r="J6" s="19"/>
      <c r="K6" s="19"/>
      <c r="L6" s="20"/>
      <c r="M6" s="21"/>
    </row>
    <row r="7" spans="1:13" x14ac:dyDescent="0.25">
      <c r="A7" s="23" t="s">
        <v>20</v>
      </c>
      <c r="B7" s="23" t="s">
        <v>17</v>
      </c>
      <c r="C7" s="23"/>
      <c r="D7" s="23"/>
      <c r="E7" s="23"/>
      <c r="F7" s="23"/>
      <c r="G7" s="24">
        <v>3.05</v>
      </c>
      <c r="H7" s="22">
        <f>+G3/G7-1</f>
        <v>0.55670168296317857</v>
      </c>
      <c r="I7" s="19"/>
      <c r="J7" s="19"/>
      <c r="K7" s="19"/>
      <c r="L7" s="20"/>
      <c r="M7" s="21"/>
    </row>
    <row r="8" spans="1:13" x14ac:dyDescent="0.25">
      <c r="A8" s="23" t="s">
        <v>20</v>
      </c>
      <c r="B8" s="23" t="s">
        <v>18</v>
      </c>
      <c r="C8" s="23"/>
      <c r="D8" s="23"/>
      <c r="E8" s="23"/>
      <c r="F8" s="23"/>
      <c r="G8" s="24">
        <v>3.76</v>
      </c>
      <c r="I8" s="19"/>
      <c r="J8" s="19"/>
      <c r="K8" s="19"/>
      <c r="L8" s="20"/>
      <c r="M8" s="21"/>
    </row>
    <row r="9" spans="1:13" x14ac:dyDescent="0.25">
      <c r="A9" s="23" t="s">
        <v>21</v>
      </c>
      <c r="B9" s="23" t="s">
        <v>18</v>
      </c>
      <c r="C9" s="23"/>
      <c r="D9" s="23"/>
      <c r="E9" s="23"/>
      <c r="F9" s="23"/>
      <c r="G9" s="24">
        <v>3.92</v>
      </c>
      <c r="I9" s="19"/>
      <c r="J9" s="19"/>
      <c r="K9" s="19"/>
      <c r="L9" s="20"/>
      <c r="M9" s="21"/>
    </row>
  </sheetData>
  <mergeCells count="1">
    <mergeCell ref="A6:G6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DA6BA8-91BD-45C7-820E-747ACFB892FC}">
  <ds:schemaRefs>
    <ds:schemaRef ds:uri="http://schemas.microsoft.com/office/2006/metadata/properties"/>
    <ds:schemaRef ds:uri="http://schemas.microsoft.com/office/infopath/2007/PartnerControls"/>
    <ds:schemaRef ds:uri="730269a7-69c5-483f-a552-e74dab880ae2"/>
    <ds:schemaRef ds:uri="40de77e2-37bb-4c7a-ab4d-547915d99553"/>
  </ds:schemaRefs>
</ds:datastoreItem>
</file>

<file path=customXml/itemProps2.xml><?xml version="1.0" encoding="utf-8"?>
<ds:datastoreItem xmlns:ds="http://schemas.openxmlformats.org/officeDocument/2006/customXml" ds:itemID="{C0D6013E-2E6E-454E-8D1B-E1FCA6DC3D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5F9A26-ACAC-4C7B-AAEA-8D10980908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Planilla de Cotizacion</vt:lpstr>
      <vt:lpstr>Planilla de Costos - EERR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fserem</dc:creator>
  <cp:lastModifiedBy>Bergerat, Juan Gabriel</cp:lastModifiedBy>
  <dcterms:created xsi:type="dcterms:W3CDTF">2018-08-13T19:18:03Z</dcterms:created>
  <dcterms:modified xsi:type="dcterms:W3CDTF">2024-01-26T16:27:41Z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MediaServiceImageTags">
    <vt:lpwstr/>
  </property>
</Properties>
</file>