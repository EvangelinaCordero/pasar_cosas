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com.sharepoint.com/sites/CotizacionessucursalOESTE/Documentos compartidos/General/03 - 2023/01-Cotizaciones y Licitaciones/130-OESTE-23. PAE. Sec de O2/Licitación/"/>
    </mc:Choice>
  </mc:AlternateContent>
  <xr:revisionPtr revIDLastSave="410" documentId="11_7BD48B3A4211CC1720E3F4D8441A8813DDA51431" xr6:coauthVersionLast="47" xr6:coauthVersionMax="47" xr10:uidLastSave="{0BEAF330-8E35-4EBD-B565-BA00FBAB4FA1}"/>
  <bookViews>
    <workbookView xWindow="-120" yWindow="-120" windowWidth="20730" windowHeight="11160" activeTab="2" xr2:uid="{00000000-000D-0000-FFFF-FFFF00000000}"/>
  </bookViews>
  <sheets>
    <sheet name="FA" sheetId="15" r:id="rId1"/>
    <sheet name="PC" sheetId="14" r:id="rId2"/>
    <sheet name="K_EERR" sheetId="7" r:id="rId3"/>
    <sheet name="Pedro" sheetId="18" r:id="rId4"/>
    <sheet name="Pliego" sheetId="16" r:id="rId5"/>
    <sheet name="Rta Fer" sheetId="17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</externalReferences>
  <definedNames>
    <definedName name="\0" localSheetId="0">#REF!</definedName>
    <definedName name="\0">#REF!</definedName>
    <definedName name="\00" localSheetId="0">#REF!</definedName>
    <definedName name="\00">#REF!</definedName>
    <definedName name="\1" localSheetId="0">#REF!</definedName>
    <definedName name="\1">#REF!</definedName>
    <definedName name="\2" localSheetId="0">#REF!</definedName>
    <definedName name="\2">#REF!</definedName>
    <definedName name="\A" localSheetId="0">[1]Sheet6!#REF!</definedName>
    <definedName name="\A">[1]Sheet6!#REF!</definedName>
    <definedName name="\A11" localSheetId="0">#REF!</definedName>
    <definedName name="\A11">#REF!</definedName>
    <definedName name="\A15" localSheetId="0">#REF!</definedName>
    <definedName name="\A15">#REF!</definedName>
    <definedName name="\A17" localSheetId="0">#REF!</definedName>
    <definedName name="\A17">#REF!</definedName>
    <definedName name="\A27" localSheetId="0">#REF!</definedName>
    <definedName name="\A27">#REF!</definedName>
    <definedName name="\A28" localSheetId="0">#REF!</definedName>
    <definedName name="\A28">#REF!</definedName>
    <definedName name="\B" localSheetId="0">[1]Sheet6!#REF!</definedName>
    <definedName name="\B">[1]Sheet6!#REF!</definedName>
    <definedName name="\C" localSheetId="0">[1]Sheet6!#REF!</definedName>
    <definedName name="\C">[1]Sheet6!#REF!</definedName>
    <definedName name="\D" localSheetId="0">[1]Sheet6!#REF!</definedName>
    <definedName name="\D">[1]Sheet6!#REF!</definedName>
    <definedName name="\E" localSheetId="0">[1]Sheet6!#REF!</definedName>
    <definedName name="\E">[1]Sheet6!#REF!</definedName>
    <definedName name="\EDIT" localSheetId="0">#REF!</definedName>
    <definedName name="\EDIT">#REF!</definedName>
    <definedName name="\EPSNSEL" localSheetId="0">#REF!</definedName>
    <definedName name="\EPSNSEL">#REF!</definedName>
    <definedName name="\f" localSheetId="0">#REF!</definedName>
    <definedName name="\f">#REF!</definedName>
    <definedName name="\g" localSheetId="0">#REF!</definedName>
    <definedName name="\g">#REF!</definedName>
    <definedName name="\j" localSheetId="0">#REF!</definedName>
    <definedName name="\j">#REF!</definedName>
    <definedName name="\K" localSheetId="0">[1]Sheet6!#REF!</definedName>
    <definedName name="\K">[1]Sheet6!#REF!</definedName>
    <definedName name="\l" localSheetId="0">#REF!</definedName>
    <definedName name="\l">#REF!</definedName>
    <definedName name="\LJSEL" localSheetId="0">#REF!</definedName>
    <definedName name="\LJSEL">#REF!</definedName>
    <definedName name="\m" localSheetId="0">#REF!</definedName>
    <definedName name="\m">#REF!</definedName>
    <definedName name="\MESS" localSheetId="0">#REF!</definedName>
    <definedName name="\MESS">#REF!</definedName>
    <definedName name="\MESS0" localSheetId="0">#REF!</definedName>
    <definedName name="\MESS0">#REF!</definedName>
    <definedName name="\MESS1" localSheetId="0">#REF!</definedName>
    <definedName name="\MESS1">#REF!</definedName>
    <definedName name="\MESS2" localSheetId="0">#REF!</definedName>
    <definedName name="\MESS2">#REF!</definedName>
    <definedName name="\P" localSheetId="0">[1]Sheet6!#REF!</definedName>
    <definedName name="\P">[1]Sheet6!#REF!</definedName>
    <definedName name="\PALL" localSheetId="0">#REF!</definedName>
    <definedName name="\PALL">#REF!</definedName>
    <definedName name="\PRES" localSheetId="0">#REF!</definedName>
    <definedName name="\PRES">#REF!</definedName>
    <definedName name="\PRES1" localSheetId="0">#REF!</definedName>
    <definedName name="\PRES1">#REF!</definedName>
    <definedName name="\r" localSheetId="0">#REF!</definedName>
    <definedName name="\r">#REF!</definedName>
    <definedName name="\s" localSheetId="0">[2]costo!#REF!</definedName>
    <definedName name="\s">[2]costo!#REF!</definedName>
    <definedName name="\t" localSheetId="0">#REF!</definedName>
    <definedName name="\t">#REF!</definedName>
    <definedName name="\v" localSheetId="0">#REF!</definedName>
    <definedName name="\v">#REF!</definedName>
    <definedName name="\w" localSheetId="0">[2]costo!#REF!</definedName>
    <definedName name="\w">[2]costo!#REF!</definedName>
    <definedName name="\Y" localSheetId="0">[1]Sheet6!#REF!</definedName>
    <definedName name="\Y">[1]Sheet6!#REF!</definedName>
    <definedName name="\Z" localSheetId="0">[1]Sheet6!#REF!</definedName>
    <definedName name="\Z">[1]Sheet6!#REF!</definedName>
    <definedName name="________________F">#REF!</definedName>
    <definedName name="________________PAG1">#REF!</definedName>
    <definedName name="________________PAG2">#REF!</definedName>
    <definedName name="________________PAG3">#REF!</definedName>
    <definedName name="_______________F">#REF!</definedName>
    <definedName name="_______________PAG1">#REF!</definedName>
    <definedName name="_______________PAG2">#REF!</definedName>
    <definedName name="_______________PAG3">#REF!</definedName>
    <definedName name="______________F">#REF!</definedName>
    <definedName name="______________PAG1">#REF!</definedName>
    <definedName name="______________PAG2">#REF!</definedName>
    <definedName name="______________PAG3">#REF!</definedName>
    <definedName name="_____________F" localSheetId="0">#REF!</definedName>
    <definedName name="_____________F">#REF!</definedName>
    <definedName name="_____________PAG1" localSheetId="0">#REF!</definedName>
    <definedName name="_____________PAG1">#REF!</definedName>
    <definedName name="_____________PAG2" localSheetId="0">#REF!</definedName>
    <definedName name="_____________PAG2">#REF!</definedName>
    <definedName name="_____________PAG3" localSheetId="0">#REF!</definedName>
    <definedName name="_____________PAG3">#REF!</definedName>
    <definedName name="____________F" localSheetId="0">#REF!</definedName>
    <definedName name="____________F">#REF!</definedName>
    <definedName name="____________PAG1" localSheetId="0">#REF!</definedName>
    <definedName name="____________PAG1">#REF!</definedName>
    <definedName name="____________PAG2" localSheetId="0">#REF!</definedName>
    <definedName name="____________PAG2">#REF!</definedName>
    <definedName name="____________PAG3" localSheetId="0">#REF!</definedName>
    <definedName name="____________PAG3">#REF!</definedName>
    <definedName name="___________F" localSheetId="0">#REF!</definedName>
    <definedName name="___________F">#REF!</definedName>
    <definedName name="___________PAG1" localSheetId="0">#REF!</definedName>
    <definedName name="___________PAG1">#REF!</definedName>
    <definedName name="___________PAG2" localSheetId="0">#REF!</definedName>
    <definedName name="___________PAG2">#REF!</definedName>
    <definedName name="___________PAG3" localSheetId="0">#REF!</definedName>
    <definedName name="___________PAG3">#REF!</definedName>
    <definedName name="__________F" localSheetId="0">#REF!</definedName>
    <definedName name="__________F">#REF!</definedName>
    <definedName name="__________PAG1" localSheetId="0">#REF!</definedName>
    <definedName name="__________PAG1">#REF!</definedName>
    <definedName name="__________PAG2" localSheetId="0">#REF!</definedName>
    <definedName name="__________PAG2">#REF!</definedName>
    <definedName name="__________PAG3" localSheetId="0">#REF!</definedName>
    <definedName name="__________PAG3">#REF!</definedName>
    <definedName name="_________F" localSheetId="0">#REF!</definedName>
    <definedName name="_________F">#REF!</definedName>
    <definedName name="_________PAG1" localSheetId="0">#REF!</definedName>
    <definedName name="_________PAG1">#REF!</definedName>
    <definedName name="_________PAG2" localSheetId="0">#REF!</definedName>
    <definedName name="_________PAG2">#REF!</definedName>
    <definedName name="_________PAG3" localSheetId="0">#REF!</definedName>
    <definedName name="_________PAG3">#REF!</definedName>
    <definedName name="________F" localSheetId="0">#REF!</definedName>
    <definedName name="________F">#REF!</definedName>
    <definedName name="________PAG1" localSheetId="0">#REF!</definedName>
    <definedName name="________PAG1">#REF!</definedName>
    <definedName name="________PAG2" localSheetId="0">#REF!</definedName>
    <definedName name="________PAG2">#REF!</definedName>
    <definedName name="________PAG3" localSheetId="0">#REF!</definedName>
    <definedName name="________PAG3">#REF!</definedName>
    <definedName name="_______F" localSheetId="0">#REF!</definedName>
    <definedName name="_______F">#REF!</definedName>
    <definedName name="_______PAG1" localSheetId="0">#REF!</definedName>
    <definedName name="_______PAG1">#REF!</definedName>
    <definedName name="_______PAG2" localSheetId="0">#REF!</definedName>
    <definedName name="_______PAG2">#REF!</definedName>
    <definedName name="_______PAG3" localSheetId="0">#REF!</definedName>
    <definedName name="_______PAG3">#REF!</definedName>
    <definedName name="______F" localSheetId="0">#REF!</definedName>
    <definedName name="______F">#REF!</definedName>
    <definedName name="______PAG1" localSheetId="0">#REF!</definedName>
    <definedName name="______PAG1">#REF!</definedName>
    <definedName name="______PAG2" localSheetId="0">#REF!</definedName>
    <definedName name="______PAG2">#REF!</definedName>
    <definedName name="______PAG3" localSheetId="0">#REF!</definedName>
    <definedName name="______PAG3">#REF!</definedName>
    <definedName name="______r">#REF!</definedName>
    <definedName name="_____F" localSheetId="0">#REF!</definedName>
    <definedName name="_____F">#REF!</definedName>
    <definedName name="_____PAG1" localSheetId="0">#REF!</definedName>
    <definedName name="_____PAG1">#REF!</definedName>
    <definedName name="_____PAG2" localSheetId="0">#REF!</definedName>
    <definedName name="_____PAG2">#REF!</definedName>
    <definedName name="_____PAG3" localSheetId="0">#REF!</definedName>
    <definedName name="_____PAG3">#REF!</definedName>
    <definedName name="_____r">#REF!</definedName>
    <definedName name="____F" localSheetId="0">#REF!</definedName>
    <definedName name="____F">#REF!</definedName>
    <definedName name="____PAG1" localSheetId="0">#REF!</definedName>
    <definedName name="____PAG1">#REF!</definedName>
    <definedName name="____PAG2" localSheetId="0">#REF!</definedName>
    <definedName name="____PAG2">#REF!</definedName>
    <definedName name="____PAG3" localSheetId="0">#REF!</definedName>
    <definedName name="____PAG3">#REF!</definedName>
    <definedName name="____r">#REF!</definedName>
    <definedName name="___DAT1">#REF!</definedName>
    <definedName name="___DAT10">#REF!</definedName>
    <definedName name="___DAT11">#REF!</definedName>
    <definedName name="___DAT12">#REF!</definedName>
    <definedName name="___DAT13">#REF!</definedName>
    <definedName name="___DAT14">#REF!</definedName>
    <definedName name="___DAT15">#REF!</definedName>
    <definedName name="___DAT16">#REF!</definedName>
    <definedName name="___DAT17">#REF!</definedName>
    <definedName name="___DAT18">#REF!</definedName>
    <definedName name="___DAT19">#REF!</definedName>
    <definedName name="___DAT2">#REF!</definedName>
    <definedName name="___DAT20">#REF!</definedName>
    <definedName name="___DAT21">#REF!</definedName>
    <definedName name="___DAT3">#REF!</definedName>
    <definedName name="___DAT4">#REF!</definedName>
    <definedName name="___DAT5">#REF!</definedName>
    <definedName name="___DAT6">#REF!</definedName>
    <definedName name="___DAT7">#REF!</definedName>
    <definedName name="___DAT8">#REF!</definedName>
    <definedName name="___DAT9">#REF!</definedName>
    <definedName name="___F" localSheetId="0">#REF!</definedName>
    <definedName name="___F">#REF!</definedName>
    <definedName name="___PAG1" localSheetId="0">#REF!</definedName>
    <definedName name="___PAG1">#REF!</definedName>
    <definedName name="___PAG2" localSheetId="0">#REF!</definedName>
    <definedName name="___PAG2">#REF!</definedName>
    <definedName name="___PAG3" localSheetId="0">#REF!</definedName>
    <definedName name="___PAG3">#REF!</definedName>
    <definedName name="___r">#REF!</definedName>
    <definedName name="__123Graph_A" hidden="1">[1]Sheet2!$H$23:$H$228</definedName>
    <definedName name="__123Graph_B" hidden="1">[1]Sheet2!$R$23:$R$228</definedName>
    <definedName name="__123Graph_C" hidden="1">[1]Sheet2!$S$23:$S$228</definedName>
    <definedName name="__123Graph_D" localSheetId="0" hidden="1">[3]INFREP!$A$1:$A$1</definedName>
    <definedName name="__123Graph_D" hidden="1">[4]INFREP!$A$1:$A$1</definedName>
    <definedName name="__123Graph_X" hidden="1">[1]Sheet2!$C$23:$C$228</definedName>
    <definedName name="__AAA1" localSheetId="0">[1]Sheet6!#REF!</definedName>
    <definedName name="__AAA1">[1]Sheet6!#REF!</definedName>
    <definedName name="__ABA40" localSheetId="0">[1]Sheet4!#REF!</definedName>
    <definedName name="__ABA40">[1]Sheet4!#REF!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19">#REF!</definedName>
    <definedName name="__DAT2">#REF!</definedName>
    <definedName name="__DAT20">#REF!</definedName>
    <definedName name="__DAT21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F" localSheetId="0">#REF!</definedName>
    <definedName name="__F">#REF!</definedName>
    <definedName name="__PAG1" localSheetId="0">#REF!</definedName>
    <definedName name="__PAG1">#REF!</definedName>
    <definedName name="__PAG2" localSheetId="0">#REF!</definedName>
    <definedName name="__PAG2">#REF!</definedName>
    <definedName name="__PAG3" localSheetId="0">#REF!</definedName>
    <definedName name="__PAG3">#REF!</definedName>
    <definedName name="__r">#REF!</definedName>
    <definedName name="__SEG2" localSheetId="0">[1]Sheet5!#REF!</definedName>
    <definedName name="__SEG2">[1]Sheet5!#REF!</definedName>
    <definedName name="__TER2" localSheetId="0">[1]Sheet5!#REF!</definedName>
    <definedName name="__TER2">[1]Sheet5!#REF!</definedName>
    <definedName name="_1">#N/A</definedName>
    <definedName name="_11" localSheetId="0">[2]costo!#REF!</definedName>
    <definedName name="_11">[2]costo!#REF!</definedName>
    <definedName name="_12" localSheetId="0">[2]costo!#REF!</definedName>
    <definedName name="_12">[2]costo!#REF!</definedName>
    <definedName name="_13" localSheetId="0">[2]costo!#REF!</definedName>
    <definedName name="_13">[2]costo!#REF!</definedName>
    <definedName name="_14" localSheetId="0">[2]costo!#REF!</definedName>
    <definedName name="_14">[2]costo!#REF!</definedName>
    <definedName name="_15" localSheetId="0">[2]costo!#REF!</definedName>
    <definedName name="_15">[2]costo!#REF!</definedName>
    <definedName name="_16" localSheetId="0">[2]costo!#REF!</definedName>
    <definedName name="_16">[2]costo!#REF!</definedName>
    <definedName name="_17" localSheetId="0">[2]costo!#REF!</definedName>
    <definedName name="_17">[2]costo!#REF!</definedName>
    <definedName name="_2" localSheetId="0">[2]costo!#REF!</definedName>
    <definedName name="_2">[2]costo!#REF!</definedName>
    <definedName name="_2011_01_BASE_INTEGRADA">#REF!</definedName>
    <definedName name="_21" localSheetId="0">[2]costo!#REF!</definedName>
    <definedName name="_21">[2]costo!#REF!</definedName>
    <definedName name="_22" localSheetId="0">[2]costo!#REF!</definedName>
    <definedName name="_22">[2]costo!#REF!</definedName>
    <definedName name="_23" localSheetId="0">[2]costo!#REF!</definedName>
    <definedName name="_23">[2]costo!#REF!</definedName>
    <definedName name="_24" localSheetId="0">[2]costo!#REF!</definedName>
    <definedName name="_24">[2]costo!#REF!</definedName>
    <definedName name="_26" localSheetId="0">[2]costo!#REF!</definedName>
    <definedName name="_26">[2]costo!#REF!</definedName>
    <definedName name="_27" localSheetId="0">[2]costo!#REF!</definedName>
    <definedName name="_27">[2]costo!#REF!</definedName>
    <definedName name="_3" localSheetId="0">[2]costo!#REF!</definedName>
    <definedName name="_3">[2]costo!#REF!</definedName>
    <definedName name="_4" localSheetId="0">[2]costo!#REF!</definedName>
    <definedName name="_4">[2]costo!#REF!</definedName>
    <definedName name="_5" localSheetId="0">[2]costo!#REF!</definedName>
    <definedName name="_5">[2]costo!#REF!</definedName>
    <definedName name="_6" localSheetId="0">[2]costo!#REF!</definedName>
    <definedName name="_6">[2]costo!#REF!</definedName>
    <definedName name="_7" localSheetId="0">[2]costo!#REF!</definedName>
    <definedName name="_7">[2]costo!#REF!</definedName>
    <definedName name="_COM1" localSheetId="0">#REF!</definedName>
    <definedName name="_COM1">#REF!</definedName>
    <definedName name="_COM2" localSheetId="0">#REF!</definedName>
    <definedName name="_COM2">#REF!</definedName>
    <definedName name="_COM3" localSheetId="0">#REF!</definedName>
    <definedName name="_COM3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F" localSheetId="0">#REF!</definedName>
    <definedName name="_F">#REF!</definedName>
    <definedName name="_FC" localSheetId="0">#REF!</definedName>
    <definedName name="_FC">#REF!</definedName>
    <definedName name="_Fill" localSheetId="0" hidden="1">#REF!</definedName>
    <definedName name="_Fill" hidden="1">#REF!</definedName>
    <definedName name="_GOR2" localSheetId="0">#REF!</definedName>
    <definedName name="_GOR2">#REF!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Lab1">[5]MiniDB!$D$69</definedName>
    <definedName name="_Lab2">[5]MiniDB!$D$70</definedName>
    <definedName name="_Lab3">[5]MiniDB!$D$71</definedName>
    <definedName name="_Lab4">[5]MiniDB!$D$72</definedName>
    <definedName name="_Lab5">[5]MiniDB!$D$73</definedName>
    <definedName name="_MACRO">#N/A</definedName>
    <definedName name="_MSG2" localSheetId="0">#REF!</definedName>
    <definedName name="_MSG2">#REF!</definedName>
    <definedName name="_MTR1" localSheetId="0">#REF!</definedName>
    <definedName name="_MTR1">#REF!</definedName>
    <definedName name="_Oil1">[5]MiniDB!$D$22</definedName>
    <definedName name="_Oil2">[5]MiniDB!$D$23</definedName>
    <definedName name="_Oil3">[5]MiniDB!$D$24</definedName>
    <definedName name="_Order1" hidden="1">255</definedName>
    <definedName name="_Order2" hidden="1">255</definedName>
    <definedName name="_P" localSheetId="0">#REF!</definedName>
    <definedName name="_P">#REF!</definedName>
    <definedName name="_PAG1" localSheetId="0">#REF!</definedName>
    <definedName name="_PAG1">#REF!</definedName>
    <definedName name="_PAG2" localSheetId="0">#REF!</definedName>
    <definedName name="_PAG2">#REF!</definedName>
    <definedName name="_PAG3" localSheetId="0">#REF!</definedName>
    <definedName name="_PAG3">#REF!</definedName>
    <definedName name="_pc97">'[6]PC97 98'!$A$7</definedName>
    <definedName name="_PCO1" localSheetId="0">#REF!</definedName>
    <definedName name="_PCO1">#REF!</definedName>
    <definedName name="_PCO2" localSheetId="0">#REF!</definedName>
    <definedName name="_PCO2">#REF!</definedName>
    <definedName name="_PCO3" localSheetId="0">#REF!</definedName>
    <definedName name="_PCO3">#REF!</definedName>
    <definedName name="_PCO4" localSheetId="0">#REF!</definedName>
    <definedName name="_PCO4">#REF!</definedName>
    <definedName name="_Pdb1">[5]MiniDB!$D$11</definedName>
    <definedName name="_Pdb2">[5]MiniDB!$D$8</definedName>
    <definedName name="_Pdb3">[5]MiniDB!$D$3</definedName>
    <definedName name="_PDG1" localSheetId="0">#REF!</definedName>
    <definedName name="_PDG1">#REF!</definedName>
    <definedName name="_PDG2" localSheetId="0">#REF!</definedName>
    <definedName name="_PDG2">#REF!</definedName>
    <definedName name="_PDG3" localSheetId="0">#REF!</definedName>
    <definedName name="_PDG3">#REF!</definedName>
    <definedName name="_PDG4" localSheetId="0">#REF!</definedName>
    <definedName name="_PDG4">#REF!</definedName>
    <definedName name="_PDG5" localSheetId="0">#REF!</definedName>
    <definedName name="_PDG5">#REF!</definedName>
    <definedName name="_PDG6" localSheetId="0">#REF!</definedName>
    <definedName name="_PDG6">#REF!</definedName>
    <definedName name="_r">#REF!</definedName>
    <definedName name="_RC5" localSheetId="0">#REF!</definedName>
    <definedName name="_RC5">#REF!</definedName>
    <definedName name="_Regression_Int" hidden="1">1</definedName>
    <definedName name="_Rgo1">[5]MiniDB!$D$52</definedName>
    <definedName name="_Rgo2">[5]MiniDB!$D$53</definedName>
    <definedName name="_Rgo3">[5]MiniDB!$D$54</definedName>
    <definedName name="_Rgo4">[5]MiniDB!$D$55</definedName>
    <definedName name="_Sort" localSheetId="0" hidden="1">#REF!</definedName>
    <definedName name="_Sort" hidden="1">#REF!</definedName>
    <definedName name="_Tdb1">[5]MiniDB!$D$28</definedName>
    <definedName name="_Tdb2">[5]MiniDB!$D$29</definedName>
    <definedName name="_Tdb3">[5]MiniDB!$D$30</definedName>
    <definedName name="_TP" localSheetId="0">#REF!</definedName>
    <definedName name="_TP">#REF!</definedName>
    <definedName name="_TPF" localSheetId="0">#REF!</definedName>
    <definedName name="_TPF">#REF!</definedName>
    <definedName name="_WO2006" localSheetId="0">[7]InfRep.11_2003!#REF!</definedName>
    <definedName name="_WO2006">[7]InfRep.11_2003!#REF!</definedName>
    <definedName name="_WTI1" localSheetId="0">#REF!</definedName>
    <definedName name="_WTI1">#REF!</definedName>
    <definedName name="_WTI2" localSheetId="0">#REF!</definedName>
    <definedName name="_WTI2">#REF!</definedName>
    <definedName name="_WTI3" localSheetId="0">#REF!</definedName>
    <definedName name="_WTI3">#REF!</definedName>
    <definedName name="_WTI4" localSheetId="0">#REF!</definedName>
    <definedName name="_WTI4">#REF!</definedName>
    <definedName name="_x002">'[8]500'!$A$1:$N$60</definedName>
    <definedName name="_X01">'[8]500'!$A$1:$N$60</definedName>
    <definedName name="A" localSheetId="0">#REF!</definedName>
    <definedName name="A">#REF!</definedName>
    <definedName name="A_IMPRESION_IM" localSheetId="0">#REF!</definedName>
    <definedName name="A_IMPRESION_IM">#REF!</definedName>
    <definedName name="A_impresión_IM" localSheetId="0">#REF!</definedName>
    <definedName name="A_impresión_IM">#REF!</definedName>
    <definedName name="A_IMPRESIÚN_IM" localSheetId="0">#REF!</definedName>
    <definedName name="A_IMPRESIÚN_IM">#REF!</definedName>
    <definedName name="A_pozo">[5]MiniDB!$D$39</definedName>
    <definedName name="aa" hidden="1">#REF!</definedName>
    <definedName name="aaaa" hidden="1">#REF!</definedName>
    <definedName name="AbrirImprimir">[9]!AbrirImprimir</definedName>
    <definedName name="ACT" localSheetId="0">#REF!</definedName>
    <definedName name="ACT">#REF!</definedName>
    <definedName name="Actual" localSheetId="0">#REF!</definedName>
    <definedName name="Actual">#REF!</definedName>
    <definedName name="Adic" localSheetId="0">[10]CS!$A$31:$A$38</definedName>
    <definedName name="Adic">[11]CS!$A$31:$A$38</definedName>
    <definedName name="ADIC_CCT" localSheetId="0">[12]BD_ADICIONALES.PETROLERO!$A$8:$A$14</definedName>
    <definedName name="ADIC_CCT">[13]BD_ADICIONALES!$A$8:$A$14</definedName>
    <definedName name="ADIC_IMPORTE" localSheetId="0">[12]BD_ADICIONALES.PETROLERO!$BE$8:$FL$14</definedName>
    <definedName name="ADIC_IMPORTE">[13]BD_ADICIONALES!$B$8:$ER$14</definedName>
    <definedName name="Adic_Intern">#REF!</definedName>
    <definedName name="ADIC_ITEM" localSheetId="0">[12]BD_ADICIONALES.PETROLERO!$BE$6:$FL$6</definedName>
    <definedName name="ADIC_ITEM">[13]BD_ADICIONALES!$B$6:$ET$6</definedName>
    <definedName name="ADIC_MES" localSheetId="0">[12]BD_ADICIONALES.PETROLERO!$BE$7:$FL$7</definedName>
    <definedName name="ADIC_MES">[13]BD_ADICIONALES!$B$7:$FQ$7</definedName>
    <definedName name="ADIC_PROVINCIA">[14]BD_ADICIONALES!$B$8:$B$16</definedName>
    <definedName name="Administración">#REF!</definedName>
    <definedName name="Afe_Buscado" localSheetId="0">[15]Cotizaciones!#REF!</definedName>
    <definedName name="Afe_Buscado">[15]Cotizaciones!#REF!</definedName>
    <definedName name="Agua" localSheetId="0">#REF!</definedName>
    <definedName name="Agua">#REF!</definedName>
    <definedName name="AGUA.INY" localSheetId="0">#REF!</definedName>
    <definedName name="AGUA.INY">#REF!</definedName>
    <definedName name="AGUA_ACTUAL_YAC11" localSheetId="0">'[16]producción por yac-bloques'!#REF!</definedName>
    <definedName name="AGUA_ACTUAL_YAC11">'[16]producción por yac-bloques'!#REF!</definedName>
    <definedName name="aisla150" localSheetId="0">#REF!</definedName>
    <definedName name="aisla150">#REF!</definedName>
    <definedName name="aisla600" localSheetId="0">#REF!</definedName>
    <definedName name="aisla600">#REF!</definedName>
    <definedName name="amamam">#N/A</definedName>
    <definedName name="amamama">#N/A</definedName>
    <definedName name="AMORT">#N/A</definedName>
    <definedName name="Amperaje" localSheetId="0">#REF!</definedName>
    <definedName name="Amperaje">#REF!</definedName>
    <definedName name="Analisis" localSheetId="0">#REF!</definedName>
    <definedName name="Analisis">#REF!</definedName>
    <definedName name="Analisis_Final" localSheetId="0">#REF!</definedName>
    <definedName name="Analisis_Final">#REF!</definedName>
    <definedName name="anioIni">[17]TABLERO!$C$6</definedName>
    <definedName name="anlisis" localSheetId="0">#REF!</definedName>
    <definedName name="anlisis">#REF!</definedName>
    <definedName name="ANSW" localSheetId="0">#REF!</definedName>
    <definedName name="ANSW">#REF!</definedName>
    <definedName name="AOF">[5]MiniDB!$D$43</definedName>
    <definedName name="API" localSheetId="0">#REF!</definedName>
    <definedName name="API">#REF!</definedName>
    <definedName name="APIDB">[18]API!$A$2:$M$102</definedName>
    <definedName name="aqerqwer" hidden="1">#REF!</definedName>
    <definedName name="areaniv" localSheetId="0">#REF!</definedName>
    <definedName name="areaniv">#REF!</definedName>
    <definedName name="ary" localSheetId="0">#REF!</definedName>
    <definedName name="ary">#REF!</definedName>
    <definedName name="asd" localSheetId="0">#REF!</definedName>
    <definedName name="asd">#REF!</definedName>
    <definedName name="asdf" localSheetId="0">#REF!</definedName>
    <definedName name="asdf">#REF!</definedName>
    <definedName name="asdfasd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tención">#REF!</definedName>
    <definedName name="B" localSheetId="0">#REF!</definedName>
    <definedName name="B">#REF!</definedName>
    <definedName name="B_pozo">[5]MiniDB!$D$40</definedName>
    <definedName name="B4450.">#REF!</definedName>
    <definedName name="Bacterias" localSheetId="0">'[19]Ultima Medicion'!$V$1:$W$5</definedName>
    <definedName name="Bacterias">'[20]Ultima Medicion'!$V$1:$W$5</definedName>
    <definedName name="BAJADAS">#REF!</definedName>
    <definedName name="BAKER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se2">[21]Dic2001!$A$12:$I$112</definedName>
    <definedName name="Base6">#REF!</definedName>
    <definedName name="Base7">#REF!</definedName>
    <definedName name="BaseDatos" localSheetId="0">#REF!</definedName>
    <definedName name="BaseDatos">#REF!</definedName>
    <definedName name="_xlnm.Database" localSheetId="0">#REF!</definedName>
    <definedName name="_xlnm.Database">#REF!</definedName>
    <definedName name="BaseGastos">#REF!</definedName>
    <definedName name="bb">#REF!</definedName>
    <definedName name="bbaINY" localSheetId="0">'[19]Impulsion Bomba Inyectora'!$A$4:$U$231</definedName>
    <definedName name="bbaINY">'[20]Impulsion Bomba Inyectora'!$A$4:$U$231</definedName>
    <definedName name="Bbl">[22]Tablas!$I$4</definedName>
    <definedName name="BHP" localSheetId="0">#REF!</definedName>
    <definedName name="BHP">#REF!</definedName>
    <definedName name="BHT" localSheetId="0">#REF!</definedName>
    <definedName name="BHT">#REF!</definedName>
    <definedName name="bipp">[23]SPLITS!#REF!</definedName>
    <definedName name="BOLIVARES">#REF!</definedName>
    <definedName name="Bolívares">#REF!</definedName>
    <definedName name="Bolívares_MRIL">#REF!</definedName>
    <definedName name="BOMBAS">#N/A</definedName>
    <definedName name="Bono">[21]Dic2001!$F$12:$F$112</definedName>
    <definedName name="BorrarHoja">[9]!BorrarHoja</definedName>
    <definedName name="BorrarProducc">[24]Production!$C$6:$L$306</definedName>
    <definedName name="brantes" localSheetId="0">[25]Sheet1!#REF!</definedName>
    <definedName name="brantes">[25]Sheet1!#REF!</definedName>
    <definedName name="brdesp" localSheetId="0">[25]Sheet1!#REF!</definedName>
    <definedName name="brdesp">[25]Sheet1!#REF!</definedName>
    <definedName name="BRUTA" localSheetId="0">#REF!</definedName>
    <definedName name="BRUTA">#REF!</definedName>
    <definedName name="Bruta_Antes" localSheetId="0">#REF!</definedName>
    <definedName name="Bruta_Antes">#REF!</definedName>
    <definedName name="Bruta_despues" localSheetId="0">#REF!</definedName>
    <definedName name="Bruta_despues">#REF!</definedName>
    <definedName name="BSW" localSheetId="0">#REF!</definedName>
    <definedName name="BSW">#REF!</definedName>
    <definedName name="BUILDUP" localSheetId="0">#REF!</definedName>
    <definedName name="BUILDUP">#REF!</definedName>
    <definedName name="C_" localSheetId="0">#REF!</definedName>
    <definedName name="C_">#REF!</definedName>
    <definedName name="c_Afe" localSheetId="0">#REF!</definedName>
    <definedName name="c_Afe">#REF!</definedName>
    <definedName name="c_Analisis" localSheetId="0">#REF!</definedName>
    <definedName name="c_Analisis">#REF!</definedName>
    <definedName name="c_Equipo" localSheetId="0">#REF!</definedName>
    <definedName name="c_Equipo">#REF!</definedName>
    <definedName name="c_Estado" localSheetId="0">#REF!</definedName>
    <definedName name="c_Estado">#REF!</definedName>
    <definedName name="c_Fin" localSheetId="0">#REF!</definedName>
    <definedName name="c_Fin">#REF!</definedName>
    <definedName name="c_Inicio" localSheetId="0">#REF!</definedName>
    <definedName name="c_Inicio">#REF!</definedName>
    <definedName name="c_Objetivo" localSheetId="0">#REF!</definedName>
    <definedName name="c_Objetivo">#REF!</definedName>
    <definedName name="C_pozo" localSheetId="0">[5]MiniDB!$D$41</definedName>
    <definedName name="c_Pozo">#REF!</definedName>
    <definedName name="CA" localSheetId="0">#REF!</definedName>
    <definedName name="CA">#REF!</definedName>
    <definedName name="cables" localSheetId="0">#REF!</definedName>
    <definedName name="cables">#REF!</definedName>
    <definedName name="CALCULOS" localSheetId="0">#REF!</definedName>
    <definedName name="CALCULOS">#REF!</definedName>
    <definedName name="CALIB" localSheetId="0">#REF!</definedName>
    <definedName name="CALIB">#REF!</definedName>
    <definedName name="CALIB1" localSheetId="0">#REF!</definedName>
    <definedName name="CALIB1">#REF!</definedName>
    <definedName name="CAMBIO">#REF!</definedName>
    <definedName name="CamionerosPozos">#REF!</definedName>
    <definedName name="Camisa">'[26]Coef.'!$J$112:$J$115</definedName>
    <definedName name="CANO" localSheetId="0">#REF!</definedName>
    <definedName name="CANO">#REF!</definedName>
    <definedName name="Cant_CV">#REF!</definedName>
    <definedName name="Cant_turnos">#REF!</definedName>
    <definedName name="CANTESP" localSheetId="0">#REF!</definedName>
    <definedName name="CANTESP">#REF!</definedName>
    <definedName name="CARGAR" localSheetId="0">#REF!</definedName>
    <definedName name="CARGAR">#REF!</definedName>
    <definedName name="Cargo">#REF!</definedName>
    <definedName name="Carrera" localSheetId="0">#REF!</definedName>
    <definedName name="Carrera">#REF!</definedName>
    <definedName name="cash" localSheetId="0">#REF!</definedName>
    <definedName name="cash">#REF!</definedName>
    <definedName name="Categoria" localSheetId="0">[27]Hoja3!$A$2:$A$9</definedName>
    <definedName name="Categoria">[28]Hoja3!$A$2:$A$9</definedName>
    <definedName name="Catepp" localSheetId="0">[10]GdP!$F$5:$K$5</definedName>
    <definedName name="Catepp">[11]GdP!$F$5:$K$5</definedName>
    <definedName name="Catot" localSheetId="0">[10]GdP!$F$61:$K$61</definedName>
    <definedName name="Catot">[11]GdP!$F$61:$K$61</definedName>
    <definedName name="CBIOBOMBAS">'[29]CAMBIO DE BOMBA'!$A$1:$J$59</definedName>
    <definedName name="CBIOBOMBASPERDIDA">'[29]CAMBIO DE BOMBA'!$A$136:$J$199</definedName>
    <definedName name="CBIOBOMBASTOTAL">'[29]CAMBIO DE BOMBA'!$A$66:$J$129</definedName>
    <definedName name="cc">#REF!</definedName>
    <definedName name="ccc" localSheetId="0">#REF!</definedName>
    <definedName name="ccc">#REF!</definedName>
    <definedName name="CCT_1" localSheetId="0">#REF!</definedName>
    <definedName name="CCT_1">#REF!</definedName>
    <definedName name="CCT_2" localSheetId="0">#REF!</definedName>
    <definedName name="CCT_2">#REF!</definedName>
    <definedName name="Ce" localSheetId="0">#REF!</definedName>
    <definedName name="Ce">#REF!</definedName>
    <definedName name="Ce35A">[30]Pulling!$C$24</definedName>
    <definedName name="CeCos">[31]CeCos!$D$2:$D$1842</definedName>
    <definedName name="Celdasaborrar">[32]Planilla!$B$9:$C$33,[32]Planilla!$BG$8:$BM$33</definedName>
    <definedName name="CENTENARIO" localSheetId="0">#REF!</definedName>
    <definedName name="CENTENARIO">#REF!</definedName>
    <definedName name="CF" localSheetId="0">#REF!</definedName>
    <definedName name="CF">#REF!</definedName>
    <definedName name="cftr">'[33]500'!$A$1:$N$61</definedName>
    <definedName name="CH_DATE" localSheetId="0">#REF!</definedName>
    <definedName name="CH_DATE">#REF!</definedName>
    <definedName name="CH_PAGE" localSheetId="0">#REF!</definedName>
    <definedName name="CH_PAGE">#REF!</definedName>
    <definedName name="chapa" localSheetId="0">#REF!</definedName>
    <definedName name="chapa">#REF!</definedName>
    <definedName name="CHECK" localSheetId="0">#REF!</definedName>
    <definedName name="CHECK">#REF!</definedName>
    <definedName name="cia">#REF!</definedName>
    <definedName name="CINCO">"Lista desplegable 1"</definedName>
    <definedName name="Ciudad">#REF!</definedName>
    <definedName name="Clor1">[5]MiniDB!$D$21</definedName>
    <definedName name="Clor2">[5]MiniDB!$D$20</definedName>
    <definedName name="Clor3">[5]MiniDB!$D$19</definedName>
    <definedName name="cmax" localSheetId="0">#REF!</definedName>
    <definedName name="cmax">#REF!</definedName>
    <definedName name="cmin" localSheetId="0">#REF!</definedName>
    <definedName name="cmin">#REF!</definedName>
    <definedName name="CNT" localSheetId="0">#REF!</definedName>
    <definedName name="CNT">#REF!</definedName>
    <definedName name="CNTR" localSheetId="0">#REF!</definedName>
    <definedName name="CNTR">#REF!</definedName>
    <definedName name="Co">#REF!</definedName>
    <definedName name="cober1">[34]Hoja1!$F$3:$F$6</definedName>
    <definedName name="Cobertura">[35]Cobertura!$K$12:$K$13</definedName>
    <definedName name="code">[18]Data!$I$13</definedName>
    <definedName name="coef">'[36]COEF. C'!$A$5:$B$104</definedName>
    <definedName name="Cola_camisa">'[26]Coef.'!$J$117:$J$122</definedName>
    <definedName name="COLOR" localSheetId="0">#REF!</definedName>
    <definedName name="COLOR">#REF!</definedName>
    <definedName name="columna1" localSheetId="0">#REF!</definedName>
    <definedName name="columna1">#REF!</definedName>
    <definedName name="columna10" localSheetId="0">#REF!</definedName>
    <definedName name="columna10">#REF!</definedName>
    <definedName name="columna11" localSheetId="0">#REF!</definedName>
    <definedName name="columna11">#REF!</definedName>
    <definedName name="columna12" localSheetId="0">#REF!</definedName>
    <definedName name="columna12">#REF!</definedName>
    <definedName name="columna13" localSheetId="0">#REF!</definedName>
    <definedName name="columna13">#REF!</definedName>
    <definedName name="columna14" localSheetId="0">#REF!</definedName>
    <definedName name="columna14">#REF!</definedName>
    <definedName name="columna2" localSheetId="0">#REF!</definedName>
    <definedName name="columna2">#REF!</definedName>
    <definedName name="columna3" localSheetId="0">#REF!</definedName>
    <definedName name="columna3">#REF!</definedName>
    <definedName name="columna4" localSheetId="0">#REF!</definedName>
    <definedName name="columna4">#REF!</definedName>
    <definedName name="columna5" localSheetId="0">#REF!</definedName>
    <definedName name="columna5">#REF!</definedName>
    <definedName name="columna6" localSheetId="0">#REF!</definedName>
    <definedName name="columna6">#REF!</definedName>
    <definedName name="columna7" localSheetId="0">#REF!</definedName>
    <definedName name="columna7">#REF!</definedName>
    <definedName name="columna8" localSheetId="0">#REF!</definedName>
    <definedName name="columna8">#REF!</definedName>
    <definedName name="columna9" localSheetId="0">#REF!</definedName>
    <definedName name="columna9">#REF!</definedName>
    <definedName name="CombPerf" localSheetId="0">#REF!</definedName>
    <definedName name="CombPerf">#REF!</definedName>
    <definedName name="CombustibleF4000" localSheetId="0">#REF!</definedName>
    <definedName name="CombustibleF4000">#REF!</definedName>
    <definedName name="CombustibleRanger" localSheetId="0">#REF!</definedName>
    <definedName name="CombustibleRanger">#REF!</definedName>
    <definedName name="CombustibleRetro" localSheetId="0">#REF!</definedName>
    <definedName name="CombustibleRetro">#REF!</definedName>
    <definedName name="COMENT" localSheetId="0">#REF!</definedName>
    <definedName name="COMENT">#REF!</definedName>
    <definedName name="Comer" localSheetId="0">#REF!</definedName>
    <definedName name="Comer">#REF!</definedName>
    <definedName name="Comerc" localSheetId="0">#REF!</definedName>
    <definedName name="Comerc">#REF!</definedName>
    <definedName name="CompC" localSheetId="0">#REF!</definedName>
    <definedName name="CompC">#REF!</definedName>
    <definedName name="ComprPeriods">[24]Production!$P$4</definedName>
    <definedName name="cond">[18]Data!$J$13</definedName>
    <definedName name="CONT\Y" localSheetId="0">[1]Sheet6!#REF!</definedName>
    <definedName name="CONT\Y">[1]Sheet6!#REF!</definedName>
    <definedName name="Contacto">#REF!</definedName>
    <definedName name="CONTADOR" localSheetId="0">[1]Sheet6!#REF!</definedName>
    <definedName name="CONTADOR">[1]Sheet6!#REF!</definedName>
    <definedName name="continua" localSheetId="0">FA!continua</definedName>
    <definedName name="continua">[0]!continua</definedName>
    <definedName name="controasist">[37]Hoja1!$H$1:$H$4</definedName>
    <definedName name="Control" localSheetId="0">#REF!</definedName>
    <definedName name="Control">#REF!</definedName>
    <definedName name="CONTROLADOR" localSheetId="0">[1]Sheet6!#REF!</definedName>
    <definedName name="CONTROLADOR">[1]Sheet6!#REF!</definedName>
    <definedName name="conv1">[18]Data!$AF$3</definedName>
    <definedName name="conv2">[18]Data!$AF$4</definedName>
    <definedName name="conv3">[18]Data!$AF$5</definedName>
    <definedName name="Conyuge">#REF!</definedName>
    <definedName name="Conyuge1">#REF!</definedName>
    <definedName name="CORROSION">#N/A</definedName>
    <definedName name="costos_diectos">'[38]Cuadro de Resultados'!#REF!</definedName>
    <definedName name="COTA" localSheetId="0">#REF!</definedName>
    <definedName name="COTA">#REF!</definedName>
    <definedName name="Coti" localSheetId="0">#REF!</definedName>
    <definedName name="Coti">#REF!</definedName>
    <definedName name="Coti_01">[39]Tablas!$D$4</definedName>
    <definedName name="Coti_02">[39]Tablas!$D$5</definedName>
    <definedName name="Coti_03">[39]Tablas!$D$6</definedName>
    <definedName name="Coti_04">[39]Tablas!$D$7</definedName>
    <definedName name="Coti_05">[39]Tablas!$D$8</definedName>
    <definedName name="Coti_06">[39]Tablas!$D$9</definedName>
    <definedName name="Coti_07">[39]Tablas!$D$10</definedName>
    <definedName name="Coti_08">[39]Tablas!$D$11</definedName>
    <definedName name="Coti_09">[39]Tablas!$D$12</definedName>
    <definedName name="Coti_10">[39]Tablas!$D$13</definedName>
    <definedName name="Coti_11">[39]Tablas!$D$14</definedName>
    <definedName name="Coti_12">[39]Tablas!$D$15</definedName>
    <definedName name="cotiz">'[32]WO 1'!$Q$53</definedName>
    <definedName name="CP" localSheetId="0">#REF!</definedName>
    <definedName name="CP">#REF!</definedName>
    <definedName name="CPG" localSheetId="0">#REF!</definedName>
    <definedName name="CPG">#REF!</definedName>
    <definedName name="CPL" localSheetId="0">#REF!</definedName>
    <definedName name="CPL">#REF!</definedName>
    <definedName name="Criterio">#REF!</definedName>
    <definedName name="CS" localSheetId="0">#REF!</definedName>
    <definedName name="CS">#REF!</definedName>
    <definedName name="CSUB2" localSheetId="0">#REF!</definedName>
    <definedName name="CSUB2">#REF!</definedName>
    <definedName name="CUAR" localSheetId="0">[1]Sheet6!#REF!</definedName>
    <definedName name="CUAR">[1]Sheet6!#REF!</definedName>
    <definedName name="CUAR2" localSheetId="0">[1]Sheet5!#REF!</definedName>
    <definedName name="CUAR2">[1]Sheet5!#REF!</definedName>
    <definedName name="Cuartil1">[5]MiniDB!$D$46</definedName>
    <definedName name="Cuartil2">[5]MiniDB!$D$47</definedName>
    <definedName name="Cuartil3">[5]MiniDB!$D$48</definedName>
    <definedName name="Cuenta">#REF!</definedName>
    <definedName name="Curvaprog" localSheetId="0">#REF!</definedName>
    <definedName name="Curvaprog">#REF!</definedName>
    <definedName name="CUST" localSheetId="0">#REF!</definedName>
    <definedName name="CUST">#REF!</definedName>
    <definedName name="D" localSheetId="0">#REF!</definedName>
    <definedName name="D">#REF!</definedName>
    <definedName name="D_pozo">[5]MiniDB!$D$42</definedName>
    <definedName name="DATA_PRES.DIN" localSheetId="0">#REF!</definedName>
    <definedName name="DATA_PRES.DIN">#REF!</definedName>
    <definedName name="DATA_PRES_DIN" localSheetId="0">#REF!</definedName>
    <definedName name="DATA_PRES_DIN">#REF!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DATE" localSheetId="0">#REF!</definedName>
    <definedName name="DATE">#REF!</definedName>
    <definedName name="DATE0" localSheetId="0">#REF!</definedName>
    <definedName name="DATE0">#REF!</definedName>
    <definedName name="datos" localSheetId="0">[40]RUBROS!$A$2:$B$562</definedName>
    <definedName name="DATOS">[41]DATOS!$A$1:$B$29</definedName>
    <definedName name="Datosaingresar" localSheetId="0">#REF!</definedName>
    <definedName name="Datosaingresar">#REF!</definedName>
    <definedName name="datosimp" localSheetId="0">#REF!</definedName>
    <definedName name="datosimp">#REF!</definedName>
    <definedName name="datosparo" localSheetId="0">#REF!</definedName>
    <definedName name="datosparo">#REF!</definedName>
    <definedName name="dd" localSheetId="0" hidden="1">{#N/A,#N/A,FALSE,"SERIE_150";#N/A,#N/A,FALSE,"SERIE_600 "}</definedName>
    <definedName name="dd" hidden="1">{#N/A,#N/A,FALSE,"SERIE_150";#N/A,#N/A,FALSE,"SERIE_600 "}</definedName>
    <definedName name="dddd">#REF!</definedName>
    <definedName name="De">#REF!</definedName>
    <definedName name="Ded_Esp">#REF!</definedName>
    <definedName name="Ded_Esp1">#REF!</definedName>
    <definedName name="Deducciones1">#REF!</definedName>
    <definedName name="Deducciones2">#REF!</definedName>
    <definedName name="Desarrollo" localSheetId="0">#REF!</definedName>
    <definedName name="Desarrollo">#REF!</definedName>
    <definedName name="Desc_Serv1">#REF!</definedName>
    <definedName name="Desc_Serv2">#REF!</definedName>
    <definedName name="Desc_Serv3">#REF!</definedName>
    <definedName name="Desc_Serv4">#REF!</definedName>
    <definedName name="Desc_Serv5">#REF!</definedName>
    <definedName name="Descuento_Bolívares">#REF!</definedName>
    <definedName name="Descuento_Dólares">#REF!</definedName>
    <definedName name="DESENRVBBEO">'[29]PESCA DE V-B'!$A$69:$J$133</definedName>
    <definedName name="det">#REF!</definedName>
    <definedName name="dete">#REF!</definedName>
    <definedName name="dhsl" localSheetId="0">#REF!</definedName>
    <definedName name="dhsl">#REF!</definedName>
    <definedName name="diagrama" localSheetId="0">#REF!</definedName>
    <definedName name="diagrama">#REF!</definedName>
    <definedName name="diam">[18]Data!$E$7</definedName>
    <definedName name="Días_a_cubrir">#REF!</definedName>
    <definedName name="Días_descanso_titular">#REF!</definedName>
    <definedName name="Días_trabajdos_titular">#REF!</definedName>
    <definedName name="DIC">'[42]Informe global'!$A$6:$AA$107</definedName>
    <definedName name="DIFF" localSheetId="0">#REF!</definedName>
    <definedName name="DIFF">#REF!</definedName>
    <definedName name="Dirección">#REF!</definedName>
    <definedName name="dlev">[18]Data!$D$11</definedName>
    <definedName name="Do">#REF!</definedName>
    <definedName name="Dolar" localSheetId="0">#REF!</definedName>
    <definedName name="Dolar">#REF!</definedName>
    <definedName name="Dólar" localSheetId="0">#REF!</definedName>
    <definedName name="Dólar">#REF!</definedName>
    <definedName name="DOLARES">#REF!</definedName>
    <definedName name="Dólares">#REF!</definedName>
    <definedName name="Dólares_MRIL">#REF!</definedName>
    <definedName name="dp">[18]Data!$H$7</definedName>
    <definedName name="DR_" localSheetId="0">#REF!</definedName>
    <definedName name="DR_">#REF!</definedName>
    <definedName name="DR_1" localSheetId="0">#REF!</definedName>
    <definedName name="DR_1">#REF!</definedName>
    <definedName name="drf" localSheetId="0">#REF!</definedName>
    <definedName name="drf">#REF!</definedName>
    <definedName name="dro">[18]Data!$D$17</definedName>
    <definedName name="drw">[18]Data!$D$19</definedName>
    <definedName name="DTOMAT8">#N/A</definedName>
    <definedName name="DTORMAT">#N/A</definedName>
    <definedName name="DTORSER">#N/A</definedName>
    <definedName name="DTOSER8">#N/A</definedName>
    <definedName name="dyyi" localSheetId="0">#REF!</definedName>
    <definedName name="dyyi">#REF!</definedName>
    <definedName name="E" localSheetId="0">#REF!</definedName>
    <definedName name="E">#REF!</definedName>
    <definedName name="EC_ANtes" localSheetId="0">#REF!</definedName>
    <definedName name="EC_ANtes">#REF!</definedName>
    <definedName name="ec_despues" localSheetId="0">#REF!</definedName>
    <definedName name="ec_despues">#REF!</definedName>
    <definedName name="ecant" localSheetId="0">[25]Sheet1!#REF!</definedName>
    <definedName name="ecant">[25]Sheet1!#REF!</definedName>
    <definedName name="ecdesp" localSheetId="0">[25]Sheet1!#REF!</definedName>
    <definedName name="ecdesp">[25]Sheet1!#REF!</definedName>
    <definedName name="EDIT2" localSheetId="0">#REF!</definedName>
    <definedName name="EDIT2">#REF!</definedName>
    <definedName name="ee">#REF!</definedName>
    <definedName name="eeeeeee">#REF!</definedName>
    <definedName name="eeerr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ejecucion" localSheetId="0">#REF!</definedName>
    <definedName name="ejecucion">#REF!</definedName>
    <definedName name="EL__PORVENIR" localSheetId="0">#REF!</definedName>
    <definedName name="EL__PORVENIR">#REF!</definedName>
    <definedName name="ELAPS" localSheetId="0">#REF!</definedName>
    <definedName name="ELAPS">#REF!</definedName>
    <definedName name="Empresa">[43]Hoja1!$B$55:$B$56</definedName>
    <definedName name="EMPRESA_DEL_GRUPO">#REF!</definedName>
    <definedName name="END" localSheetId="0">FA!END</definedName>
    <definedName name="END">[0]!END</definedName>
    <definedName name="entAPI" localSheetId="0">#REF!</definedName>
    <definedName name="entAPI">#REF!</definedName>
    <definedName name="entBAF" localSheetId="0">'[19]Entrada Tk Bafle'!$A$7:$P$81</definedName>
    <definedName name="entBAF">'[20]Entrada Tk Bafle'!$A$7:$P$81</definedName>
    <definedName name="enter150" localSheetId="0">#REF!</definedName>
    <definedName name="enter150">#REF!</definedName>
    <definedName name="enter600" localSheetId="0">#REF!</definedName>
    <definedName name="enter600">#REF!</definedName>
    <definedName name="entidad" localSheetId="0">#REF!</definedName>
    <definedName name="entidad">#REF!</definedName>
    <definedName name="EQUIPAMIENTO" localSheetId="0">#REF!</definedName>
    <definedName name="EQUIPAMIENTO">#REF!</definedName>
    <definedName name="equipo" localSheetId="0">#REF!</definedName>
    <definedName name="equipo">#REF!</definedName>
    <definedName name="EquipoBASE" localSheetId="0">#REF!</definedName>
    <definedName name="EquipoBASE">#REF!</definedName>
    <definedName name="EquipoCIS" localSheetId="0">#REF!</definedName>
    <definedName name="EquipoCIS">#REF!</definedName>
    <definedName name="EquipoFUGAS" localSheetId="0">#REF!</definedName>
    <definedName name="EquipoFUGAS">#REF!</definedName>
    <definedName name="EquipoPAT" localSheetId="0">#REF!</definedName>
    <definedName name="EquipoPAT">#REF!</definedName>
    <definedName name="EquipoPCM" localSheetId="0">#REF!</definedName>
    <definedName name="EquipoPCM">#REF!</definedName>
    <definedName name="EquiposPC" localSheetId="0">#REF!</definedName>
    <definedName name="EquiposPC">#REF!</definedName>
    <definedName name="er" localSheetId="0">#REF!</definedName>
    <definedName name="er">#REF!</definedName>
    <definedName name="esc1bbainy" localSheetId="0">#REF!</definedName>
    <definedName name="esc1bbainy">#REF!</definedName>
    <definedName name="esc1ipe843" localSheetId="0">#REF!</definedName>
    <definedName name="esc1ipe843">#REF!</definedName>
    <definedName name="esc1salfw" localSheetId="0">#REF!</definedName>
    <definedName name="esc1salfw">#REF!</definedName>
    <definedName name="Escala">#REF!</definedName>
    <definedName name="Escala2">#REF!</definedName>
    <definedName name="ESPA" localSheetId="0">#REF!</definedName>
    <definedName name="ESPA">#REF!</definedName>
    <definedName name="Est" localSheetId="0">[10]GE!$I$5:$I$36</definedName>
    <definedName name="Est">[11]GE!$I$5:$I$36</definedName>
    <definedName name="et" localSheetId="0">#REF!</definedName>
    <definedName name="et">#REF!</definedName>
    <definedName name="ETAPA" localSheetId="0">[44]MODELO!$D$7</definedName>
    <definedName name="ETAPA">[45]MODELO!$D$7</definedName>
    <definedName name="EVI">#REF!</definedName>
    <definedName name="ex_despues" localSheetId="0">#REF!</definedName>
    <definedName name="ex_despues">#REF!</definedName>
    <definedName name="exdesp" localSheetId="0">[25]Sheet1!#REF!</definedName>
    <definedName name="exdesp">[25]Sheet1!#REF!</definedName>
    <definedName name="fab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Fax">#REF!</definedName>
    <definedName name="FB" localSheetId="0">#REF!</definedName>
    <definedName name="FB">#REF!</definedName>
    <definedName name="FC.DURACION" localSheetId="0">'[12]FUERA DE CONVENIO'!#REF!</definedName>
    <definedName name="FC.DURACION">#REF!</definedName>
    <definedName name="FC.MES" localSheetId="0">'[12]FUERA DE CONVENIO'!$D$8</definedName>
    <definedName name="FC.MES">#REF!</definedName>
    <definedName name="Fd">[46]ESPESOR!$C$15</definedName>
    <definedName name="Fecha" localSheetId="0">#REF!</definedName>
    <definedName name="Fecha">#REF!</definedName>
    <definedName name="Fecha_Antes" localSheetId="0">#REF!</definedName>
    <definedName name="Fecha_Antes">#REF!</definedName>
    <definedName name="Fecha_Cierre">'[15]Datos Generales'!$C$3</definedName>
    <definedName name="Fecha_despues" localSheetId="0">#REF!</definedName>
    <definedName name="Fecha_despues">#REF!</definedName>
    <definedName name="Fecha1">[5]MiniDB!$D$10</definedName>
    <definedName name="Fecha2">[5]MiniDB!$D$7</definedName>
    <definedName name="Fecha3">[5]MiniDB!$D$2</definedName>
    <definedName name="FECHAFINAL" localSheetId="0">[1]Sheet5!#REF!</definedName>
    <definedName name="FECHAFINAL">[1]Sheet5!#REF!</definedName>
    <definedName name="FECHAFINAL1" localSheetId="0">[1]Sheet5!#REF!</definedName>
    <definedName name="FECHAFINAL1">[1]Sheet5!#REF!</definedName>
    <definedName name="FECHAINICIAL" localSheetId="0">[1]Sheet5!#REF!</definedName>
    <definedName name="FECHAINICIAL">[1]Sheet5!#REF!</definedName>
    <definedName name="FECHAINICIAL1" localSheetId="0">[1]Sheet5!#REF!</definedName>
    <definedName name="FECHAINICIAL1">[1]Sheet5!#REF!</definedName>
    <definedName name="fechant" localSheetId="0">[25]Sheet1!#REF!</definedName>
    <definedName name="fechant">[25]Sheet1!#REF!</definedName>
    <definedName name="fechdesp" localSheetId="0">[25]Sheet1!#REF!</definedName>
    <definedName name="fechdesp">[25]Sheet1!#REF!</definedName>
    <definedName name="ff">#REF!</definedName>
    <definedName name="FG" localSheetId="0">#REF!</definedName>
    <definedName name="FG">#REF!</definedName>
    <definedName name="FIEL" localSheetId="0">#REF!</definedName>
    <definedName name="FIEL">#REF!</definedName>
    <definedName name="FIL" localSheetId="0">#REF!</definedName>
    <definedName name="FIL">#REF!</definedName>
    <definedName name="FixedC" localSheetId="0">#REF!</definedName>
    <definedName name="FixedC">#REF!</definedName>
    <definedName name="FL_ID">[5]MiniDB!$D$36</definedName>
    <definedName name="FL_length">[5]MiniDB!$D$35</definedName>
    <definedName name="Fluido" localSheetId="0">#REF!</definedName>
    <definedName name="Fluido">#REF!</definedName>
    <definedName name="Fono">#REF!</definedName>
    <definedName name="Ford4000" localSheetId="0">#REF!</definedName>
    <definedName name="Ford4000">#REF!</definedName>
    <definedName name="FORM" localSheetId="0">#REF!</definedName>
    <definedName name="FORM">#REF!</definedName>
    <definedName name="FORMAC" localSheetId="0">#REF!</definedName>
    <definedName name="FORMAC">#REF!</definedName>
    <definedName name="Format">'[47]Base General'!#REF!</definedName>
    <definedName name="FPDe">[18]Data!$D$13</definedName>
    <definedName name="FPV" localSheetId="0">#REF!</definedName>
    <definedName name="FPV">#REF!</definedName>
    <definedName name="Frec_1">[5]MiniDB!$D$57</definedName>
    <definedName name="Frec_2">[5]MiniDB!$D$58</definedName>
    <definedName name="Frec_3">[5]MiniDB!$D$59</definedName>
    <definedName name="Frec_4">[5]MiniDB!$D$60</definedName>
    <definedName name="Frec_5">[5]MiniDB!$D$61</definedName>
    <definedName name="Frec_6">[5]MiniDB!$D$62</definedName>
    <definedName name="FS" localSheetId="0">#REF!</definedName>
    <definedName name="FS">#REF!</definedName>
    <definedName name="FSDFSD">#N/A</definedName>
    <definedName name="Ft">[46]ESPESOR!$C$16</definedName>
    <definedName name="FTF" localSheetId="0">#REF!</definedName>
    <definedName name="FTF">#REF!</definedName>
    <definedName name="FU" localSheetId="0">#REF!</definedName>
    <definedName name="FU">#REF!</definedName>
    <definedName name="fv">#REF!</definedName>
    <definedName name="fyioo" localSheetId="0">#REF!</definedName>
    <definedName name="fyioo">#REF!</definedName>
    <definedName name="G" localSheetId="0">#REF!</definedName>
    <definedName name="G">#REF!</definedName>
    <definedName name="G.1" localSheetId="0">#REF!</definedName>
    <definedName name="G.1">#REF!</definedName>
    <definedName name="G.2" localSheetId="0">#REF!</definedName>
    <definedName name="G.2">#REF!</definedName>
    <definedName name="G.3" localSheetId="0">#REF!</definedName>
    <definedName name="G.3">#REF!</definedName>
    <definedName name="gamma">#REF!</definedName>
    <definedName name="Gan_no_Imp">#REF!</definedName>
    <definedName name="Gan_no_imp1">#REF!</definedName>
    <definedName name="Gas" localSheetId="0">#REF!</definedName>
    <definedName name="Gas">#REF!</definedName>
    <definedName name="GAS.INY" localSheetId="0">#REF!</definedName>
    <definedName name="GAS.INY">#REF!</definedName>
    <definedName name="GAS_A" localSheetId="0">#REF!</definedName>
    <definedName name="GAS_A">#REF!</definedName>
    <definedName name="Gas_Antes" localSheetId="0">#REF!</definedName>
    <definedName name="Gas_Antes">#REF!</definedName>
    <definedName name="Gas_despues" localSheetId="0">#REF!</definedName>
    <definedName name="Gas_despues">#REF!</definedName>
    <definedName name="gasant" localSheetId="0">[25]Sheet1!#REF!</definedName>
    <definedName name="gasant">[25]Sheet1!#REF!</definedName>
    <definedName name="gasdesp" localSheetId="0">[25]Sheet1!#REF!</definedName>
    <definedName name="gasdesp">[25]Sheet1!#REF!</definedName>
    <definedName name="GassepModelo">[48]DataCombos2!$B$6:$B$88</definedName>
    <definedName name="GAST" localSheetId="0">#REF!</definedName>
    <definedName name="GAST">#REF!</definedName>
    <definedName name="GC3500_PRICES">'[49]MASTER TABLE'!$I$547:$I$564</definedName>
    <definedName name="GDEP" localSheetId="0">#REF!</definedName>
    <definedName name="GDEP">#REF!</definedName>
    <definedName name="GENERAL">#N/A</definedName>
    <definedName name="GETDAT" localSheetId="0">#REF!</definedName>
    <definedName name="GETDAT">#REF!</definedName>
    <definedName name="gf">#REF!</definedName>
    <definedName name="GG" localSheetId="0">#REF!</definedName>
    <definedName name="GG">#REF!</definedName>
    <definedName name="GGRA" localSheetId="0">#REF!</definedName>
    <definedName name="GGRA">#REF!</definedName>
    <definedName name="GL" localSheetId="0">#REF!</definedName>
    <definedName name="GL">#REF!</definedName>
    <definedName name="GM3D" localSheetId="0">#REF!</definedName>
    <definedName name="GM3D">#REF!</definedName>
    <definedName name="GOR" localSheetId="0">#REF!</definedName>
    <definedName name="GOR">#REF!</definedName>
    <definedName name="Gor_Antes" localSheetId="0">#REF!</definedName>
    <definedName name="Gor_Antes">#REF!</definedName>
    <definedName name="GOR_despues" localSheetId="0">#REF!</definedName>
    <definedName name="GOR_despues">#REF!</definedName>
    <definedName name="gorant" localSheetId="0">[25]Sheet1!#REF!</definedName>
    <definedName name="gorant">[25]Sheet1!#REF!</definedName>
    <definedName name="GPM" localSheetId="0">#REF!</definedName>
    <definedName name="GPM">#REF!</definedName>
    <definedName name="_xlnm.Recorder">#REF!</definedName>
    <definedName name="GRABAR" localSheetId="0">#REF!</definedName>
    <definedName name="GRABAR">#REF!</definedName>
    <definedName name="GrabarCambios">[9]!GrabarCambios</definedName>
    <definedName name="GRABARDIAS" localSheetId="0">[1]Sheet6!#REF!</definedName>
    <definedName name="GRABARDIAS">[1]Sheet6!#REF!</definedName>
    <definedName name="grade">[18]Data!$K$13</definedName>
    <definedName name="Guardias_por_turno">#REF!</definedName>
    <definedName name="h">#REF!</definedName>
    <definedName name="H2O" localSheetId="0">#REF!</definedName>
    <definedName name="H2O">#REF!</definedName>
    <definedName name="hdp" localSheetId="0">[50]WTPO0197!#REF!</definedName>
    <definedName name="hdp">[50]WTPO0197!#REF!</definedName>
    <definedName name="HeatValue" localSheetId="0">#REF!</definedName>
    <definedName name="HeatValue">#REF!</definedName>
    <definedName name="HERRA" localSheetId="0">#REF!</definedName>
    <definedName name="HERRA">#REF!</definedName>
    <definedName name="herramientas">[51]Equipos!#REF!</definedName>
    <definedName name="hh">#REF!</definedName>
    <definedName name="hi" localSheetId="0">#REF!</definedName>
    <definedName name="hi">#REF!</definedName>
    <definedName name="Hijo1">#REF!</definedName>
    <definedName name="Hijos">#REF!</definedName>
    <definedName name="hoja2" localSheetId="0">#REF!</definedName>
    <definedName name="hoja2">#REF!</definedName>
    <definedName name="hoja3" localSheetId="0">#REF!</definedName>
    <definedName name="hoja3">#REF!</definedName>
    <definedName name="hoja4" localSheetId="0">#REF!</definedName>
    <definedName name="hoja4">#REF!</definedName>
    <definedName name="hoja5" localSheetId="0">'[19]Salida Tk Bafle'!$A$7:$P$500</definedName>
    <definedName name="hoja5">'[20]Salida Tk Bafle'!$A$7:$P$500</definedName>
    <definedName name="hoja6" localSheetId="0">'[19]Impulsion Bomba Inyectora'!$A$4:$U$502</definedName>
    <definedName name="hoja6">'[20]Impulsion Bomba Inyectora'!$A$4:$U$502</definedName>
    <definedName name="Horas_por_turno">#REF!</definedName>
    <definedName name="horasp" localSheetId="0">#REF!</definedName>
    <definedName name="horasp">#REF!</definedName>
    <definedName name="HP" localSheetId="0">#REF!</definedName>
    <definedName name="HP">#REF!</definedName>
    <definedName name="hsd" localSheetId="0">#REF!</definedName>
    <definedName name="hsd">#REF!</definedName>
    <definedName name="HVGI" localSheetId="0">#REF!</definedName>
    <definedName name="HVGI">#REF!</definedName>
    <definedName name="HVGS" localSheetId="0">#REF!</definedName>
    <definedName name="HVGS">#REF!</definedName>
    <definedName name="HVLS" localSheetId="0">#REF!</definedName>
    <definedName name="HVLS">#REF!</definedName>
    <definedName name="i">#REF!</definedName>
    <definedName name="IB" localSheetId="0">#REF!</definedName>
    <definedName name="IB">#REF!</definedName>
    <definedName name="iff" localSheetId="0">#REF!</definedName>
    <definedName name="iff">#REF!</definedName>
    <definedName name="ii">#REF!</definedName>
    <definedName name="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mp_1">#REF!</definedName>
    <definedName name="Imp_2">#REF!</definedName>
    <definedName name="Impuestos" localSheetId="0">#REF!</definedName>
    <definedName name="Impuestos">#REF!</definedName>
    <definedName name="imputa">'[52]Canon Taller '!$I$15:$J$19</definedName>
    <definedName name="Income" localSheetId="0">#REF!</definedName>
    <definedName name="Income">#REF!</definedName>
    <definedName name="Indices">[53]Validaciones!$B$79:$B$83</definedName>
    <definedName name="InfoGlob">'[54]Informe global'!$A$6:$AA$90</definedName>
    <definedName name="INI" localSheetId="0">#REF!</definedName>
    <definedName name="INI">#REF!</definedName>
    <definedName name="INICIAL" localSheetId="0">[1]Sheet5!#REF!</definedName>
    <definedName name="INICIAL">[1]Sheet5!#REF!</definedName>
    <definedName name="inicio" localSheetId="0">#REF!</definedName>
    <definedName name="inicio">#REF!</definedName>
    <definedName name="InjectionVC">[24]Datos!$F$66</definedName>
    <definedName name="Insumos_Directo_Indirecto">[55]Validaciones!$B$61:$B$63</definedName>
    <definedName name="INT" localSheetId="0">#REF!</definedName>
    <definedName name="INT">#REF!</definedName>
    <definedName name="INV" localSheetId="0" hidden="1">{#N/A,#N/A,FALSE,"RES-ANUAL";#N/A,#N/A,FALSE,"RES-CUENTA";#N/A,#N/A,FALSE,"AREA-RESP"}</definedName>
    <definedName name="INV" hidden="1">{#N/A,#N/A,FALSE,"RES-ANUAL";#N/A,#N/A,FALSE,"RES-CUENTA";#N/A,#N/A,FALSE,"AREA-RESP"}</definedName>
    <definedName name="Inversiones" localSheetId="0">#REF!</definedName>
    <definedName name="Inversiones">#REF!</definedName>
    <definedName name="Investment" localSheetId="0">#REF!</definedName>
    <definedName name="Investment">#REF!</definedName>
    <definedName name="Inygas" localSheetId="0">#REF!</definedName>
    <definedName name="Inygas">#REF!</definedName>
    <definedName name="IS" localSheetId="0">#REF!</definedName>
    <definedName name="IS">#REF!</definedName>
    <definedName name="ITB" localSheetId="0">#REF!</definedName>
    <definedName name="ITB">#REF!</definedName>
    <definedName name="IVA">#REF!</definedName>
    <definedName name="IVA_AÑO">[56]IVA!$C$6:$G$6</definedName>
    <definedName name="IVA_IMPORTE">[56]IVA!$C$7:$G$90</definedName>
    <definedName name="IVA_JURISDICCION">[56]IVA!$B$7:$B$90</definedName>
    <definedName name="j" localSheetId="0">#REF!</definedName>
    <definedName name="j">#REF!</definedName>
    <definedName name="jj">#REF!</definedName>
    <definedName name="JJJF">'[8]PROD DIA Y MES'!$A$1:$P$55</definedName>
    <definedName name="k">#REF!</definedName>
    <definedName name="KFAC" localSheetId="0">#REF!</definedName>
    <definedName name="KFAC">#REF!</definedName>
    <definedName name="kk">#REF!</definedName>
    <definedName name="L._DEL__MOJON_____JARILLOSA_____PTO._SILVA" localSheetId="0">#REF!</definedName>
    <definedName name="L._DEL__MOJON_____JARILLOSA_____PTO._SILVA">#REF!</definedName>
    <definedName name="LABEL" localSheetId="0">#REF!</definedName>
    <definedName name="LABEL">#REF!</definedName>
    <definedName name="lapso" localSheetId="0">#REF!</definedName>
    <definedName name="lapso">#REF!</definedName>
    <definedName name="Lavadero" localSheetId="0">#REF!</definedName>
    <definedName name="Lavadero">#REF!</definedName>
    <definedName name="Lim_inf">[5]MiniDB!$D$51</definedName>
    <definedName name="Lim_sup">[5]MiniDB!$D$56</definedName>
    <definedName name="LIN" localSheetId="0">#REF!</definedName>
    <definedName name="LIN">#REF!</definedName>
    <definedName name="ListaActividades">[57]Datos!$G$6:$G$29</definedName>
    <definedName name="ListaCombustibles" localSheetId="0">#REF!</definedName>
    <definedName name="ListaCombustibles">#REF!</definedName>
    <definedName name="ListaModelos">'[58]Controles procesos'!$B$29:$B$37</definedName>
    <definedName name="ListaNeumaticos" localSheetId="0">#REF!</definedName>
    <definedName name="ListaNeumaticos">#REF!</definedName>
    <definedName name="ListaSueldos" localSheetId="0">#REF!</definedName>
    <definedName name="ListaSueldos">#REF!</definedName>
    <definedName name="ListaTiemposUnidades">[57]Datos!$K$6:$K$10</definedName>
    <definedName name="ll">#REF!</definedName>
    <definedName name="LOC">#REF!</definedName>
    <definedName name="LubeF4000" localSheetId="0">#REF!</definedName>
    <definedName name="LubeF4000">#REF!</definedName>
    <definedName name="LubePerf" localSheetId="0">#REF!</definedName>
    <definedName name="LubePerf">#REF!</definedName>
    <definedName name="LubeRanger" localSheetId="0">#REF!</definedName>
    <definedName name="LubeRanger">#REF!</definedName>
    <definedName name="LubeRetro" localSheetId="0">#REF!</definedName>
    <definedName name="LubeRetro">#REF!</definedName>
    <definedName name="M" localSheetId="0">#REF!</definedName>
    <definedName name="M">#REF!</definedName>
    <definedName name="m8m8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acro1" localSheetId="0">FA!Macro1</definedName>
    <definedName name="Macro1">[0]!Macro1</definedName>
    <definedName name="Macro10" localSheetId="0">FA!Macro10</definedName>
    <definedName name="Macro10">[0]!Macro10</definedName>
    <definedName name="Macro2" localSheetId="0">FA!Macro2</definedName>
    <definedName name="Macro2">[0]!Macro2</definedName>
    <definedName name="Macro20" localSheetId="0">FA!Macro20</definedName>
    <definedName name="Macro20">[0]!Macro20</definedName>
    <definedName name="Macro4">[9]!Macro4</definedName>
    <definedName name="Macro6" localSheetId="0">FA!Macro6</definedName>
    <definedName name="Macro6">[0]!Macro6</definedName>
    <definedName name="Macro60" localSheetId="0">FA!Macro60</definedName>
    <definedName name="Macro60">[0]!Macro60</definedName>
    <definedName name="Macro7" localSheetId="0">FA!Macro7</definedName>
    <definedName name="Macro7">[0]!Macro7</definedName>
    <definedName name="Macro70" localSheetId="0">FA!Macro70</definedName>
    <definedName name="Macro70">[0]!Macro70</definedName>
    <definedName name="ManejoDefensivo" localSheetId="0">#REF!</definedName>
    <definedName name="ManejoDefensivo">#REF!</definedName>
    <definedName name="maquina1">[37]Hoja1!$E$1:$E$14</definedName>
    <definedName name="Máquinas" localSheetId="0">[10]Maq!$A$6:$A$33</definedName>
    <definedName name="Máquinas">[11]Maq!$A$6:$A$33</definedName>
    <definedName name="mas">#REF!</definedName>
    <definedName name="MATE">'[59]1240-18-P-RI-002'!#REF!</definedName>
    <definedName name="Materiales" localSheetId="0">[10]Mat!$A$4:$A$305</definedName>
    <definedName name="Materiales">[11]Mat!$A$4:$A$305</definedName>
    <definedName name="Maxima">[5]MiniDB!$D$49</definedName>
    <definedName name="MedicinaLaboral" localSheetId="0">#REF!</definedName>
    <definedName name="MedicinaLaboral">#REF!</definedName>
    <definedName name="Menor">'[52]Sop Dif '!#REF!</definedName>
    <definedName name="menos">#REF!</definedName>
    <definedName name="MENSAJE_DIAS" localSheetId="0">[1]Sheet6!#REF!</definedName>
    <definedName name="MENSAJE_DIAS">[1]Sheet6!#REF!</definedName>
    <definedName name="MENU" localSheetId="0">#REF!</definedName>
    <definedName name="MENU">#REF!</definedName>
    <definedName name="MENUS" localSheetId="0">#REF!</definedName>
    <definedName name="MENUS">#REF!</definedName>
    <definedName name="mermas">#REF!</definedName>
    <definedName name="MES" localSheetId="0">#REF!</definedName>
    <definedName name="MES">#REF!</definedName>
    <definedName name="min">#REF!</definedName>
    <definedName name="Minima">[5]MiniDB!$D$45</definedName>
    <definedName name="mm">#REF!</definedName>
    <definedName name="mm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N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odalidad">[37]Hoja1!$F$1:$F$5</definedName>
    <definedName name="Módulo3.Sector2">[9]!Módulo3.Sector2</definedName>
    <definedName name="Módulo4.Sector3">[9]!Módulo4.Sector3</definedName>
    <definedName name="Módulo5.Sector4">[9]!Módulo5.Sector4</definedName>
    <definedName name="Módulo6.Sector5">[9]!Módulo6.Sector5</definedName>
    <definedName name="MOI">#REF!</definedName>
    <definedName name="Moneda">[15]Resumen!$X$2</definedName>
    <definedName name="MONTO">#REF!</definedName>
    <definedName name="Monto_Descuento_Bolívares">#REF!</definedName>
    <definedName name="Monto_Descuento_Dólares">#REF!</definedName>
    <definedName name="Mopre1">#REF!</definedName>
    <definedName name="movimiento" localSheetId="0">#REF!</definedName>
    <definedName name="movimiento">#REF!</definedName>
    <definedName name="MOVPARAFINA">'[29]PERDIDA DE TBG.'!$A$71:$J$132</definedName>
    <definedName name="MOVTBGACIDO">'[29]PERDIDA DE TBG.'!$A$207:$J$268</definedName>
    <definedName name="MOVTBGARENACARB">'[29]PERDIDA DE TBG.'!$A$139:$J$200</definedName>
    <definedName name="MSG" localSheetId="0">#REF!</definedName>
    <definedName name="MSG">#REF!</definedName>
    <definedName name="MSG0" localSheetId="0">#REF!</definedName>
    <definedName name="MSG0">#REF!</definedName>
    <definedName name="MtoF4000" localSheetId="0">#REF!</definedName>
    <definedName name="MtoF4000">#REF!</definedName>
    <definedName name="MtoPerf" localSheetId="0">#REF!</definedName>
    <definedName name="MtoPerf">#REF!</definedName>
    <definedName name="MtoRanger" localSheetId="0">#REF!</definedName>
    <definedName name="MtoRanger">#REF!</definedName>
    <definedName name="MtoRetro" localSheetId="0">#REF!</definedName>
    <definedName name="MtoRetro">#REF!</definedName>
    <definedName name="MtoTrailer" localSheetId="0">#REF!</definedName>
    <definedName name="MtoTrailer">#REF!</definedName>
    <definedName name="MTR" localSheetId="0">#REF!</definedName>
    <definedName name="MTR">#REF!</definedName>
    <definedName name="MTRD" localSheetId="0">#REF!</definedName>
    <definedName name="MTRD">#REF!</definedName>
    <definedName name="MTRT" localSheetId="0">#REF!</definedName>
    <definedName name="MTRT">#REF!</definedName>
    <definedName name="MU">#REF!</definedName>
    <definedName name="MW" localSheetId="0">#REF!</definedName>
    <definedName name="MW">#REF!</definedName>
    <definedName name="n">#REF!</definedName>
    <definedName name="N°CCT">'[14]MO - Petrolero Privado'!$E$10</definedName>
    <definedName name="nbreTotal1" localSheetId="0">#REF!</definedName>
    <definedName name="nbreTotal1">#REF!</definedName>
    <definedName name="nbreTotal10" localSheetId="0">#REF!</definedName>
    <definedName name="nbreTotal10">#REF!</definedName>
    <definedName name="nbreTotal2" localSheetId="0">#REF!</definedName>
    <definedName name="nbreTotal2">#REF!</definedName>
    <definedName name="nbreTotal3" localSheetId="0">#REF!</definedName>
    <definedName name="nbreTotal3">#REF!</definedName>
    <definedName name="nbreTotal4" localSheetId="0">#REF!</definedName>
    <definedName name="nbreTotal4">#REF!</definedName>
    <definedName name="nbreTotal5" localSheetId="0">#REF!</definedName>
    <definedName name="nbreTotal5">#REF!</definedName>
    <definedName name="nbreTotal6" localSheetId="0">#REF!</definedName>
    <definedName name="nbreTotal6">#REF!</definedName>
    <definedName name="NDATE" localSheetId="0">#REF!</definedName>
    <definedName name="NDATE">#REF!</definedName>
    <definedName name="Neta" localSheetId="0">#REF!</definedName>
    <definedName name="Neta">#REF!</definedName>
    <definedName name="Neta_Antes" localSheetId="0">#REF!</definedName>
    <definedName name="Neta_Antes">#REF!</definedName>
    <definedName name="Neta_despues" localSheetId="0">#REF!</definedName>
    <definedName name="Neta_despues">#REF!</definedName>
    <definedName name="netant" localSheetId="0">[25]Sheet1!#REF!</definedName>
    <definedName name="netant">[25]Sheet1!#REF!</definedName>
    <definedName name="netdesp" localSheetId="0">[25]Sheet1!#REF!</definedName>
    <definedName name="netdesp">[25]Sheet1!#REF!</definedName>
    <definedName name="Neto_Arg">#REF!</definedName>
    <definedName name="Neto_Arg_T">#REF!</definedName>
    <definedName name="Netos_país">'[42]Netos  país'!$A$6:$I$107</definedName>
    <definedName name="NeumaticosF4000" localSheetId="0">#REF!</definedName>
    <definedName name="NeumaticosF4000">#REF!</definedName>
    <definedName name="NeumaticosPerf" localSheetId="0">#REF!</definedName>
    <definedName name="NeumaticosPerf">#REF!</definedName>
    <definedName name="NeumaticosRanger" localSheetId="0">#REF!</definedName>
    <definedName name="NeumaticosRanger">#REF!</definedName>
    <definedName name="NeumaticosRetro" localSheetId="0">#REF!</definedName>
    <definedName name="NeumaticosRetro">#REF!</definedName>
    <definedName name="NeumaticosTrailer" localSheetId="0">#REF!</definedName>
    <definedName name="NeumaticosTrailer">#REF!</definedName>
    <definedName name="NEUQUEN__DISTRICT" localSheetId="0">#REF!</definedName>
    <definedName name="NEUQUEN__DISTRICT">#REF!</definedName>
    <definedName name="niveles" localSheetId="0">#REF!</definedName>
    <definedName name="niveles">#REF!</definedName>
    <definedName name="NOAMORT">[60]Bases!$H$7:$O$60</definedName>
    <definedName name="NOMBRE">#REF!</definedName>
    <definedName name="Normal">[5]MiniDB!$D$44</definedName>
    <definedName name="nro" localSheetId="0">#REF!</definedName>
    <definedName name="nro">#REF!</definedName>
    <definedName name="NROW" localSheetId="0">#REF!</definedName>
    <definedName name="NROW">#REF!</definedName>
    <definedName name="NROWF" localSheetId="0">#REF!</definedName>
    <definedName name="NROWF">#REF!</definedName>
    <definedName name="NTIME" localSheetId="0">#REF!</definedName>
    <definedName name="NTIME">#REF!</definedName>
    <definedName name="NUEDTO.S">#N/A</definedName>
    <definedName name="NUEDTOA">#N/A</definedName>
    <definedName name="NUEDTOP">#N/A</definedName>
    <definedName name="NUEVA" localSheetId="0">#REF!</definedName>
    <definedName name="NUEVA">#REF!</definedName>
    <definedName name="ñ">#REF!</definedName>
    <definedName name="o">#REF!</definedName>
    <definedName name="O_Cargas">#REF!</definedName>
    <definedName name="O_Cargas1">#REF!</definedName>
    <definedName name="obs_Antes" localSheetId="0">#REF!</definedName>
    <definedName name="obs_Antes">#REF!</definedName>
    <definedName name="obs_despues" localSheetId="0">#REF!</definedName>
    <definedName name="obs_despues">#REF!</definedName>
    <definedName name="obsant" localSheetId="0">[25]Sheet1!#REF!</definedName>
    <definedName name="obsant">[25]Sheet1!#REF!</definedName>
    <definedName name="obsdesp" localSheetId="0">[25]Sheet1!#REF!</definedName>
    <definedName name="obsdesp">[25]Sheet1!#REF!</definedName>
    <definedName name="Observation">[5]MiniDB!$D$34</definedName>
    <definedName name="OGRA" localSheetId="0">#REF!</definedName>
    <definedName name="OGRA">#REF!</definedName>
    <definedName name="OGRA_C" localSheetId="0">#REF!</definedName>
    <definedName name="OGRA_C">#REF!</definedName>
    <definedName name="OILMTR" localSheetId="0">#REF!</definedName>
    <definedName name="OILMTR">#REF!</definedName>
    <definedName name="OilReserves">[24]Datos!$F$13</definedName>
    <definedName name="OILT" localSheetId="0">#REF!</definedName>
    <definedName name="OILT">#REF!</definedName>
    <definedName name="OiltransC" localSheetId="0">#REF!</definedName>
    <definedName name="OiltransC">#REF!</definedName>
    <definedName name="OPC_ELEG" localSheetId="0">[1]Sheet5!#REF!</definedName>
    <definedName name="OPC_ELEG">[1]Sheet5!#REF!</definedName>
    <definedName name="operador" localSheetId="0">#REF!</definedName>
    <definedName name="operador">#REF!</definedName>
    <definedName name="Operadores">#REF!</definedName>
    <definedName name="ORDEN">#REF!</definedName>
    <definedName name="ORID" localSheetId="0">#REF!</definedName>
    <definedName name="ORID">#REF!</definedName>
    <definedName name="Orif3">[5]MiniDB!$D$5</definedName>
    <definedName name="orifa" localSheetId="0">[25]Sheet1!#REF!</definedName>
    <definedName name="orifa">[25]Sheet1!#REF!</definedName>
    <definedName name="orifd" localSheetId="0">[25]Sheet1!#REF!</definedName>
    <definedName name="orifd">[25]Sheet1!#REF!</definedName>
    <definedName name="Orificio" localSheetId="0">#REF!</definedName>
    <definedName name="Orificio">#REF!</definedName>
    <definedName name="orificio_Antes" localSheetId="0">#REF!</definedName>
    <definedName name="orificio_Antes">#REF!</definedName>
    <definedName name="orificio_despues" localSheetId="0">#REF!</definedName>
    <definedName name="orificio_despues">#REF!</definedName>
    <definedName name="ot" localSheetId="0">#REF!</definedName>
    <definedName name="ot">#REF!</definedName>
    <definedName name="OtherVC" localSheetId="0">#REF!</definedName>
    <definedName name="OtherVC">#REF!</definedName>
    <definedName name="Otros" localSheetId="0">[10]Otros!$A$4:$A$303</definedName>
    <definedName name="Otros">[11]Otros!$A$4:$A$303</definedName>
    <definedName name="Overhead" localSheetId="0">#REF!</definedName>
    <definedName name="Overhead">#REF!</definedName>
    <definedName name="p">#REF!</definedName>
    <definedName name="P.1" localSheetId="0">#REF!</definedName>
    <definedName name="P.1">#REF!</definedName>
    <definedName name="P.2" localSheetId="0">#REF!</definedName>
    <definedName name="P.2">#REF!</definedName>
    <definedName name="P.3" localSheetId="0">#REF!</definedName>
    <definedName name="P.3">#REF!</definedName>
    <definedName name="P.4" localSheetId="0">#REF!</definedName>
    <definedName name="P.4">#REF!</definedName>
    <definedName name="P.5" localSheetId="0">#REF!</definedName>
    <definedName name="P.5">#REF!</definedName>
    <definedName name="P.6" localSheetId="0">#REF!</definedName>
    <definedName name="P.6">#REF!</definedName>
    <definedName name="P.7" localSheetId="0">#REF!</definedName>
    <definedName name="P.7">#REF!</definedName>
    <definedName name="P.A.">#N/A</definedName>
    <definedName name="pa" localSheetId="0">#REF!</definedName>
    <definedName name="pa">#REF!</definedName>
    <definedName name="pat">#REF!</definedName>
    <definedName name="PatenteRanger" localSheetId="0">#REF!</definedName>
    <definedName name="PatenteRanger">#REF!</definedName>
    <definedName name="PatenteSeguroCENT" localSheetId="0">#REF!</definedName>
    <definedName name="PatenteSeguroCENT">#REF!</definedName>
    <definedName name="Pb" localSheetId="0">#REF!</definedName>
    <definedName name="Pb">#REF!</definedName>
    <definedName name="Pboca" localSheetId="0">#REF!</definedName>
    <definedName name="Pboca">#REF!</definedName>
    <definedName name="pbp_Antes" localSheetId="0">#REF!</definedName>
    <definedName name="pbp_Antes">#REF!</definedName>
    <definedName name="pbp_despues" localSheetId="0">#REF!</definedName>
    <definedName name="pbp_despues">#REF!</definedName>
    <definedName name="PC" localSheetId="0">#REF!</definedName>
    <definedName name="PC">#REF!</definedName>
    <definedName name="Pcolumna" localSheetId="0">#REF!</definedName>
    <definedName name="Pcolumna">#REF!</definedName>
    <definedName name="Pdb_Comp">[5]MiniDB!$D$38</definedName>
    <definedName name="pdepth">[18]Data!$D$9</definedName>
    <definedName name="PE_Obs">[5]MiniDB!$D$37</definedName>
    <definedName name="PEPITO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RF" localSheetId="0">#REF!</definedName>
    <definedName name="PERF">#REF!</definedName>
    <definedName name="Perforador" localSheetId="0">#REF!</definedName>
    <definedName name="Perforador">#REF!</definedName>
    <definedName name="PERICAM">[61]PARAM!$A$3</definedName>
    <definedName name="Personal" localSheetId="0">[10]MO!$A$3:$A$128</definedName>
    <definedName name="Personal">[11]MO!$A$3:$A$128</definedName>
    <definedName name="PESOS150" localSheetId="0">#REF!</definedName>
    <definedName name="PESOS150">#REF!</definedName>
    <definedName name="pesos600" localSheetId="0">#REF!</definedName>
    <definedName name="pesos600">#REF!</definedName>
    <definedName name="PESOS83">'[62]#¡REF'!$K$28</definedName>
    <definedName name="PESOS85" localSheetId="0">'[62]RESUMEN GRAL'!#REF!</definedName>
    <definedName name="PESOS85">'[62]RESUMEN GRAL'!#REF!</definedName>
    <definedName name="Petróleo_y_Gas_Occidente">#REF!</definedName>
    <definedName name="Pf" localSheetId="0">#REF!</definedName>
    <definedName name="Pf">#REF!</definedName>
    <definedName name="PGAS1" localSheetId="0">#REF!</definedName>
    <definedName name="PGAS1">#REF!</definedName>
    <definedName name="PGAS2" localSheetId="0">#REF!</definedName>
    <definedName name="PGAS2">#REF!</definedName>
    <definedName name="PGAS3" localSheetId="0">#REF!</definedName>
    <definedName name="PGAS3">#REF!</definedName>
    <definedName name="PGAS4" localSheetId="0">#REF!</definedName>
    <definedName name="PGAS4">#REF!</definedName>
    <definedName name="PGAS5" localSheetId="0">#REF!</definedName>
    <definedName name="PGAS5">#REF!</definedName>
    <definedName name="PGAS6" localSheetId="0">#REF!</definedName>
    <definedName name="PGAS6">#REF!</definedName>
    <definedName name="PHDG" localSheetId="0">#REF!</definedName>
    <definedName name="PHDG">#REF!</definedName>
    <definedName name="PHGAS" localSheetId="0">#REF!</definedName>
    <definedName name="PHGAS">#REF!</definedName>
    <definedName name="PHMED" localSheetId="0">#REF!</definedName>
    <definedName name="PHMED">#REF!</definedName>
    <definedName name="PHRES" localSheetId="0">#REF!</definedName>
    <definedName name="PHRES">#REF!</definedName>
    <definedName name="PHTAN" localSheetId="0">#REF!</definedName>
    <definedName name="PHTAN">#REF!</definedName>
    <definedName name="pilREV" localSheetId="0">'[19]Pileta Revestida'!$A$7:$P$54</definedName>
    <definedName name="pilREV">'[20]Pileta Revestida'!$A$7:$P$54</definedName>
    <definedName name="PINCUPLA">'[29]PESCA DE V-B'!$A$135:$J$195</definedName>
    <definedName name="Pinyeccion" localSheetId="0">#REF!</definedName>
    <definedName name="Pinyeccion">#REF!</definedName>
    <definedName name="PKR" localSheetId="0">#REF!</definedName>
    <definedName name="PKR">#REF!</definedName>
    <definedName name="PLA" localSheetId="0">#REF!</definedName>
    <definedName name="PLA">#REF!</definedName>
    <definedName name="PLANILLAS" localSheetId="0">#REF!</definedName>
    <definedName name="PLANILLAS">#REF!</definedName>
    <definedName name="PLANTA__DE__GAS__CENTENARIO" localSheetId="0">#REF!</definedName>
    <definedName name="PLANTA__DE__GAS__CENTENARIO">#REF!</definedName>
    <definedName name="Plin1">[5]MiniDB!$D$15</definedName>
    <definedName name="Plin2">[5]MiniDB!$D$14</definedName>
    <definedName name="Plin3">[5]MiniDB!$D$13</definedName>
    <definedName name="Plinea" localSheetId="0">#REF!</definedName>
    <definedName name="Plinea">#REF!</definedName>
    <definedName name="PLPG1" localSheetId="0">#REF!</definedName>
    <definedName name="PLPG1">#REF!</definedName>
    <definedName name="PLPG2" localSheetId="0">#REF!</definedName>
    <definedName name="PLPG2">#REF!</definedName>
    <definedName name="PLPG3" localSheetId="0">#REF!</definedName>
    <definedName name="PLPG3">#REF!</definedName>
    <definedName name="PLPG4" localSheetId="0">#REF!</definedName>
    <definedName name="PLPG4">#REF!</definedName>
    <definedName name="plunger">[18]Data!$D$7</definedName>
    <definedName name="PM" localSheetId="0">#REF!</definedName>
    <definedName name="PM">#REF!</definedName>
    <definedName name="PMED1" localSheetId="0">#REF!</definedName>
    <definedName name="PMED1">#REF!</definedName>
    <definedName name="PMED2" localSheetId="0">#REF!</definedName>
    <definedName name="PMED2">#REF!</definedName>
    <definedName name="PMED3" localSheetId="0">#REF!</definedName>
    <definedName name="PMED3">#REF!</definedName>
    <definedName name="PMED4" localSheetId="0">#REF!</definedName>
    <definedName name="PMED4">#REF!</definedName>
    <definedName name="PMED5" localSheetId="0">#REF!</definedName>
    <definedName name="PMED5">#REF!</definedName>
    <definedName name="PMED6" localSheetId="0">#REF!</definedName>
    <definedName name="PMED6">#REF!</definedName>
    <definedName name="Porc_T0">[5]MiniDB!$D$63</definedName>
    <definedName name="Porc_T1">[5]MiniDB!$D$64</definedName>
    <definedName name="Porc_T2">[5]MiniDB!$D$65</definedName>
    <definedName name="Porc_T3">[5]MiniDB!$D$66</definedName>
    <definedName name="Porc_T4">[5]MiniDB!$D$67</definedName>
    <definedName name="Porc_T5">[5]MiniDB!$D$68</definedName>
    <definedName name="Pozo" localSheetId="0">[5]MiniDB!$D$1</definedName>
    <definedName name="pozo">#REF!</definedName>
    <definedName name="Pozos">#REF!</definedName>
    <definedName name="pp">[46]ESPESOR!$C$13</definedName>
    <definedName name="ppp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PRES1" localSheetId="0">#REF!</definedName>
    <definedName name="PRES1">#REF!</definedName>
    <definedName name="PRES2" localSheetId="0">#REF!</definedName>
    <definedName name="PRES2">#REF!</definedName>
    <definedName name="PRES3" localSheetId="0">#REF!</definedName>
    <definedName name="PRES3">#REF!</definedName>
    <definedName name="PRES4" localSheetId="0">#REF!</definedName>
    <definedName name="PRES4">#REF!</definedName>
    <definedName name="PRES5" localSheetId="0">#REF!</definedName>
    <definedName name="PRES5">#REF!</definedName>
    <definedName name="PRES6" localSheetId="0">#REF!</definedName>
    <definedName name="PRES6">#REF!</definedName>
    <definedName name="PresionCO2">#REF!</definedName>
    <definedName name="PRIM" localSheetId="0">[1]Sheet6!#REF!</definedName>
    <definedName name="PRIM">[1]Sheet6!#REF!</definedName>
    <definedName name="PRIM2" localSheetId="0">[1]Sheet5!#REF!</definedName>
    <definedName name="PRIM2">[1]Sheet5!#REF!</definedName>
    <definedName name="print" localSheetId="0">#REF!</definedName>
    <definedName name="print">#REF!</definedName>
    <definedName name="Print_Area_MI" localSheetId="0">#REF!</definedName>
    <definedName name="Print_Area_MI">#REF!</definedName>
    <definedName name="Print_Titles_MI" localSheetId="0">#REF!</definedName>
    <definedName name="Print_Titles_MI">#REF!</definedName>
    <definedName name="print1" localSheetId="0">#REF!,#REF!</definedName>
    <definedName name="print1">#REF!,#REF!</definedName>
    <definedName name="PROCESANDO2" localSheetId="0">[1]Sheet5!#REF!</definedName>
    <definedName name="PROCESANDO2">[1]Sheet5!#REF!</definedName>
    <definedName name="ProdCorr" localSheetId="0">#REF!</definedName>
    <definedName name="ProdCorr">#REF!</definedName>
    <definedName name="Prodexp">[24]Datos!$F$74</definedName>
    <definedName name="production" localSheetId="0">#REF!</definedName>
    <definedName name="production">#REF!</definedName>
    <definedName name="prof" localSheetId="0">#REF!</definedName>
    <definedName name="prof">#REF!</definedName>
    <definedName name="Proveedores">#REF!</definedName>
    <definedName name="PROVINCIA">'[14]MO - Petrolero Privado'!$E$8</definedName>
    <definedName name="PRTR" localSheetId="0">#REF!</definedName>
    <definedName name="PRTR">#REF!</definedName>
    <definedName name="Psep1">[5]MiniDB!$D$18</definedName>
    <definedName name="Psep2">[5]MiniDB!$D$17</definedName>
    <definedName name="Psep3">[5]MiniDB!$D$16</definedName>
    <definedName name="PTAN1" localSheetId="0">#REF!</definedName>
    <definedName name="PTAN1">#REF!</definedName>
    <definedName name="PTAN2" localSheetId="0">#REF!</definedName>
    <definedName name="PTAN2">#REF!</definedName>
    <definedName name="PTAN3" localSheetId="0">#REF!</definedName>
    <definedName name="PTAN3">#REF!</definedName>
    <definedName name="PTAN4" localSheetId="0">#REF!</definedName>
    <definedName name="PTAN4">#REF!</definedName>
    <definedName name="PTAN5" localSheetId="0">#REF!</definedName>
    <definedName name="PTAN5">#REF!</definedName>
    <definedName name="PTAN6" localSheetId="0">#REF!</definedName>
    <definedName name="PTAN6">#REF!</definedName>
    <definedName name="PUESTO__TOUQUET" localSheetId="0">#REF!</definedName>
    <definedName name="PUESTO__TOUQUET">#REF!</definedName>
    <definedName name="PUN" localSheetId="0">#REF!</definedName>
    <definedName name="PUN">#REF!</definedName>
    <definedName name="Puntos_con_telemetria">#REF!</definedName>
    <definedName name="PZ.1" localSheetId="0">#REF!</definedName>
    <definedName name="PZ.1">#REF!</definedName>
    <definedName name="PZ.2" localSheetId="0">#REF!</definedName>
    <definedName name="PZ.2">#REF!</definedName>
    <definedName name="PZ.3" localSheetId="0">#REF!</definedName>
    <definedName name="PZ.3">#REF!</definedName>
    <definedName name="PZ.4" localSheetId="0">#REF!</definedName>
    <definedName name="PZ.4">#REF!</definedName>
    <definedName name="q">#REF!</definedName>
    <definedName name="Qab">[63]Datos!$F$48</definedName>
    <definedName name="Qabg" localSheetId="0">#REF!</definedName>
    <definedName name="Qabg">#REF!</definedName>
    <definedName name="Qabo" localSheetId="0">#REF!</definedName>
    <definedName name="Qabo">#REF!</definedName>
    <definedName name="qfh" localSheetId="0">#REF!</definedName>
    <definedName name="qfh">#REF!</definedName>
    <definedName name="QG" localSheetId="0">#REF!</definedName>
    <definedName name="QG">#REF!</definedName>
    <definedName name="Qgas1">[5]MiniDB!$D$12</definedName>
    <definedName name="Qgas2">[5]MiniDB!$D$9</definedName>
    <definedName name="Qgas3">[5]MiniDB!$D$4</definedName>
    <definedName name="Qig" localSheetId="0">#REF!</definedName>
    <definedName name="Qig">#REF!</definedName>
    <definedName name="Qio" localSheetId="0">#REF!</definedName>
    <definedName name="Qio">#REF!</definedName>
    <definedName name="QO" localSheetId="0">#REF!</definedName>
    <definedName name="QO">#REF!</definedName>
    <definedName name="Qs" localSheetId="0">#REF!</definedName>
    <definedName name="Qs">#REF!</definedName>
    <definedName name="QUEM" localSheetId="0">#REF!</definedName>
    <definedName name="QUEM">#REF!</definedName>
    <definedName name="QW" localSheetId="0">#REF!</definedName>
    <definedName name="QW">#REF!</definedName>
    <definedName name="qwer" localSheetId="0">#REF!</definedName>
    <definedName name="qwer">#REF!</definedName>
    <definedName name="R_Social">#REF!</definedName>
    <definedName name="RangerCD4x2" localSheetId="0">#REF!</definedName>
    <definedName name="RangerCD4x2">#REF!</definedName>
    <definedName name="RangerCD4x4" localSheetId="0">#REF!</definedName>
    <definedName name="RangerCD4x4">#REF!</definedName>
    <definedName name="RangerCS4x2" localSheetId="0">#REF!</definedName>
    <definedName name="RangerCS4x2">#REF!</definedName>
    <definedName name="RangerCS4x4" localSheetId="0">#REF!</definedName>
    <definedName name="RangerCS4x4">#REF!</definedName>
    <definedName name="rango_500" localSheetId="0">#REF!</definedName>
    <definedName name="rango_500">#REF!</definedName>
    <definedName name="rango_505" localSheetId="0">#REF!</definedName>
    <definedName name="rango_505">#REF!</definedName>
    <definedName name="rango_514" localSheetId="0">#REF!</definedName>
    <definedName name="rango_514">#REF!</definedName>
    <definedName name="rango_aclara_505" localSheetId="0">#REF!</definedName>
    <definedName name="rango_aclara_505">#REF!</definedName>
    <definedName name="rango_aclara_514" localSheetId="0">#REF!</definedName>
    <definedName name="rango_aclara_514">#REF!</definedName>
    <definedName name="Rango_P">[5]MiniDB!$D$50</definedName>
    <definedName name="rango_produccion" localSheetId="0">#REF!</definedName>
    <definedName name="rango_produccion">#REF!</definedName>
    <definedName name="rango_produccion_total" localSheetId="0">#REF!</definedName>
    <definedName name="rango_produccion_total">#REF!</definedName>
    <definedName name="RANGOIMPRESION">#REF!</definedName>
    <definedName name="rara">#REF!</definedName>
    <definedName name="Recover">[64]Macro1!$A$314</definedName>
    <definedName name="RECUP" localSheetId="0">#REF!</definedName>
    <definedName name="RECUP">#REF!</definedName>
    <definedName name="RED" localSheetId="0">#REF!</definedName>
    <definedName name="RED">#REF!</definedName>
    <definedName name="Refin" localSheetId="0">#REF!</definedName>
    <definedName name="Refin">#REF!</definedName>
    <definedName name="region2">[37]Hoja1!$G$1:$G$5</definedName>
    <definedName name="renglon">#REF!</definedName>
    <definedName name="Rep">'[52]Sop Dif '!$K$5</definedName>
    <definedName name="reparacion" localSheetId="0">#REF!</definedName>
    <definedName name="reparacion">#REF!</definedName>
    <definedName name="RES" localSheetId="0">[61]PARAM!$A$1</definedName>
    <definedName name="RES">#REF!</definedName>
    <definedName name="residuales">#REF!</definedName>
    <definedName name="resu150" localSheetId="0">#REF!</definedName>
    <definedName name="resu150">#REF!</definedName>
    <definedName name="resum600" localSheetId="0">#REF!</definedName>
    <definedName name="resum600">#REF!</definedName>
    <definedName name="RETRO" localSheetId="0">#REF!</definedName>
    <definedName name="RETRO">#REF!</definedName>
    <definedName name="ROOT" localSheetId="0">#REF!</definedName>
    <definedName name="ROOT">#REF!</definedName>
    <definedName name="rotacion" localSheetId="0">#REF!</definedName>
    <definedName name="rotacion">#REF!</definedName>
    <definedName name="ROTTBGYMOVROTTBG">'[29]PERDIDA DE TBG.'!$A$1:$J$63</definedName>
    <definedName name="ROWS" localSheetId="0">#REF!</definedName>
    <definedName name="ROWS">#REF!</definedName>
    <definedName name="Roygas" localSheetId="0">#REF!</definedName>
    <definedName name="Roygas">#REF!</definedName>
    <definedName name="Royoil" localSheetId="0">#REF!</definedName>
    <definedName name="Royoil">#REF!</definedName>
    <definedName name="rpm">[18]Data!$K$9</definedName>
    <definedName name="rr">[18]Data!$H$9</definedName>
    <definedName name="rrrrrrrrrrrrrr">#REF!</definedName>
    <definedName name="RUT">#REF!</definedName>
    <definedName name="S" localSheetId="0">#REF!</definedName>
    <definedName name="s">[65]Datos!$Q$42</definedName>
    <definedName name="sal" localSheetId="0">#REF!</definedName>
    <definedName name="sal">#REF!</definedName>
    <definedName name="SALABA40" localSheetId="0">[1]Sheet4!#REF!</definedName>
    <definedName name="SALABA40">[1]Sheet4!#REF!</definedName>
    <definedName name="salAPI" localSheetId="0">#REF!</definedName>
    <definedName name="salAPI">#REF!</definedName>
    <definedName name="SALARIOS">#REF!</definedName>
    <definedName name="salBAF" localSheetId="0">'[19]Salida Tk Bafle'!$A$7:$P$84</definedName>
    <definedName name="salBAF">'[20]Salida Tk Bafle'!$A$7:$P$84</definedName>
    <definedName name="Salesret" localSheetId="0">#REF!</definedName>
    <definedName name="Salesret">#REF!</definedName>
    <definedName name="Salinidad" localSheetId="0">#REF!</definedName>
    <definedName name="Salinidad">#REF!</definedName>
    <definedName name="Salinidad_Antes" localSheetId="0">#REF!</definedName>
    <definedName name="Salinidad_Antes">#REF!</definedName>
    <definedName name="Salinidad_despues" localSheetId="0">#REF!</definedName>
    <definedName name="Salinidad_despues">#REF!</definedName>
    <definedName name="SAPBEXdnldView" hidden="1">"BDBYBWNAUJ42UM403UEV7H72C"</definedName>
    <definedName name="SAPBEXsysID" hidden="1">"BP2"</definedName>
    <definedName name="SCI_UTE">'[66]CECO - SCI - SCI PESA'!$A$2:$A$44</definedName>
    <definedName name="SCII">'[67]CECO - SCII'!$A$2:$A$45</definedName>
    <definedName name="SCIO">'[68]CECO - SCIO'!$A$2:$A$4</definedName>
    <definedName name="SDAT" localSheetId="0">#REF!</definedName>
    <definedName name="SDAT">#REF!</definedName>
    <definedName name="Sector">#REF!</definedName>
    <definedName name="Sector1">[9]!Sector1</definedName>
    <definedName name="Sector2">#N/A</definedName>
    <definedName name="SectorTanque1">[9]!SectorTanque1</definedName>
    <definedName name="SEG" localSheetId="0">[1]Sheet6!#REF!</definedName>
    <definedName name="SEG">[1]Sheet6!#REF!</definedName>
    <definedName name="Segurodeobra">[51]MOI!#REF!</definedName>
    <definedName name="SeguroRanger" localSheetId="0">#REF!</definedName>
    <definedName name="SeguroRanger">#REF!</definedName>
    <definedName name="SELECCION" localSheetId="0">[1]Sheet5!#REF!</definedName>
    <definedName name="SELECCION">[1]Sheet5!#REF!</definedName>
    <definedName name="SelloModelo">[69]DataCombos2!$D$6:$D$165</definedName>
    <definedName name="Semanas_por_mes">#REF!</definedName>
    <definedName name="SEPAR" localSheetId="0">#REF!</definedName>
    <definedName name="SEPAR">#REF!</definedName>
    <definedName name="SERIE" localSheetId="0">#REF!</definedName>
    <definedName name="SERIE">#REF!</definedName>
    <definedName name="sf">[18]Data!$J$14</definedName>
    <definedName name="SH" localSheetId="0">[70]InfTerm!#REF!</definedName>
    <definedName name="SH">[70]InfTerm!#REF!</definedName>
    <definedName name="shdf" localSheetId="0">#REF!</definedName>
    <definedName name="shdf">#REF!</definedName>
    <definedName name="sino">[37]Hoja1!$D$1:$D$3</definedName>
    <definedName name="SINO2">[71]Hoja1!$K$3:$K$6</definedName>
    <definedName name="sl">[18]Data!$J$5</definedName>
    <definedName name="Sp">[46]ESPESOR!$C$14</definedName>
    <definedName name="spm">[18]Data!$L$5</definedName>
    <definedName name="spmt">[18]Data!$K$5</definedName>
    <definedName name="srdata">[18]Data!$R$3:$U$6</definedName>
    <definedName name="Srink" localSheetId="0">#REF!</definedName>
    <definedName name="Srink">#REF!</definedName>
    <definedName name="srl">[18]Data!$K$16</definedName>
    <definedName name="sry" localSheetId="0">#REF!</definedName>
    <definedName name="sry">#REF!</definedName>
    <definedName name="ss" localSheetId="0">'[72]Informe Mensual'!#REF!</definedName>
    <definedName name="SS">[70]InfTerm!#REF!</definedName>
    <definedName name="sss">'[72]Informe Mensual'!#REF!</definedName>
    <definedName name="ssssssss">'[73]Informe Mensual'!#REF!</definedName>
    <definedName name="STARP" localSheetId="0">#REF!</definedName>
    <definedName name="STARP">#REF!</definedName>
    <definedName name="STAT" localSheetId="0">#REF!</definedName>
    <definedName name="STAT">#REF!</definedName>
    <definedName name="Sub_Total_Bolívares">#REF!</definedName>
    <definedName name="Sub_Total_Dólares">#REF!</definedName>
    <definedName name="Subcuenta">#REF!</definedName>
    <definedName name="SueldoAyudante" localSheetId="0">#REF!</definedName>
    <definedName name="SueldoAyudante">#REF!</definedName>
    <definedName name="SueldoOficial" localSheetId="0">#REF!</definedName>
    <definedName name="SueldoOficial">#REF!</definedName>
    <definedName name="SueldoPerforador" localSheetId="0">#REF!</definedName>
    <definedName name="SueldoPerforador">#REF!</definedName>
    <definedName name="SueldoSupervisor" localSheetId="0">#REF!</definedName>
    <definedName name="SueldoSupervisor">#REF!</definedName>
    <definedName name="sup" localSheetId="0">#REF!</definedName>
    <definedName name="sup">#REF!</definedName>
    <definedName name="t">#REF!</definedName>
    <definedName name="T_Actividad">[55]Validaciones!$B$4:$B$8</definedName>
    <definedName name="T_Gremio">[55]Validaciones!$D$4:$D$38</definedName>
    <definedName name="T_Nro_CCT">[55]Validaciones!$F$4:$F$11</definedName>
    <definedName name="T_Provincia">[55]Validaciones!$B$11:$B$17</definedName>
    <definedName name="T_Relac_con_servic">[55]Validaciones!$B$39:$B$42</definedName>
    <definedName name="T_rubro">[55]Validaciones!$F$19:$F$23</definedName>
    <definedName name="T_sino">[55]Validaciones!$B$28:$B$29</definedName>
    <definedName name="T_Situac_actual">[55]Validaciones!$B$34:$B$35</definedName>
    <definedName name="T_Tipo_neumat" localSheetId="0">[74]Validaciones!$B$46:$B$47</definedName>
    <definedName name="T_Tipo_neumat">[75]Validaciones!$B$46:$B$47</definedName>
    <definedName name="T_UUNN">[55]Validaciones!$B$23:$B$25</definedName>
    <definedName name="TABLA.FC_IMPORTE">[12]BD_ADICIONALES.FC!$B$7:$J$13</definedName>
    <definedName name="TABLA.FC_ITEM">[12]BD_ADICIONALES.FC!$A$7:$A$13</definedName>
    <definedName name="TABLA.FC_MES">[12]BD_ADICIONALES.FC!$B$6:$J$6</definedName>
    <definedName name="TABLA.UOCRA_ADIC.UOCRA">[12]BD_ESCALAS.UOCRA!$K$127:$K$262</definedName>
    <definedName name="TABLA.UOCRA_ADIC.ZONA">[12]BD_ESCALAS.UOCRA!$F$127:$F$262</definedName>
    <definedName name="TABLA.UOCRA_AYUDA.ALIM">[12]BD_ESCALAS.UOCRA!$I$127:$I$262</definedName>
    <definedName name="TABLA.UOCRA_CAMPAMENTO">[12]BD_ESCALAS.UOCRA!$J$127:$J$262</definedName>
    <definedName name="TABLA.UOCRA_CATEGORIA">[12]BD_ESCALAS.UOCRA!$B$127:$B$262</definedName>
    <definedName name="TABLA.UOCRA_HSVIAJE">[12]BD_ESCALAS.UOCRA!$G$127:$G$262</definedName>
    <definedName name="TABLA.UOCRA_IMPORTE">[12]BD_ESCALAS.UOCRA!$E$127:$E$262</definedName>
    <definedName name="TABLA.UOCRA_MES">[12]BD_ESCALAS.UOCRA!$C$127:$C$262</definedName>
    <definedName name="TABLA.UOCRA_VIANDA">[12]BD_ESCALAS.UOCRA!$H$127:$H$262</definedName>
    <definedName name="TABLA.UOCRA_ZONA">[12]BD_ESCALAS.UOCRA!$D$127:$D$262</definedName>
    <definedName name="TABLA_CATEGORIA" localSheetId="0">[12]BD_ESCALAS.PETROLERO!$A$10:$A$105</definedName>
    <definedName name="TABLA_CATEGORIA">[13]BD_ESCALAS!$A$10:$A$105</definedName>
    <definedName name="TABLA_CCT" localSheetId="0">[12]BD_ESCALAS.PETROLERO!$BA$7:$CN$7</definedName>
    <definedName name="TABLA_CCT">[13]BD_ESCALAS!$C$7:$CD$7</definedName>
    <definedName name="TABLA_IMPORTE" localSheetId="0">[12]BD_ESCALAS.PETROLERO!$BA$10:$CN$105</definedName>
    <definedName name="TABLA_IMPORTE">[13]BD_ESCALAS!$C$10:$CD$105</definedName>
    <definedName name="TABLA_MES" localSheetId="0">[12]BD_ESCALAS.PETROLERO!$BA$9:$CN$9</definedName>
    <definedName name="TABLA_MES">[13]BD_ESCALAS!$C$9:$CD$9</definedName>
    <definedName name="TABLA_TURNO" localSheetId="0">[12]BD_ESCALAS.PETROLERO!$B$10:$B$105</definedName>
    <definedName name="TABLA_TURNO">[13]BD_ESCALAS!$B$10:$B$105</definedName>
    <definedName name="TABLA_ZONA" localSheetId="0">[12]BD_ESCALAS.PETROLERO!$BA$8:$CN$8</definedName>
    <definedName name="TABLA_ZONA">[13]BD_ESCALAS!$C$8:$CD$8</definedName>
    <definedName name="tabladatos">#REF!</definedName>
    <definedName name="TableName">"Dummy"</definedName>
    <definedName name="Tanque2">[9]!Tanque2</definedName>
    <definedName name="Tanque3">[9]!Tanque3</definedName>
    <definedName name="Tanque4">[9]!Tanque4</definedName>
    <definedName name="Tanque5">[9]!Tanque5</definedName>
    <definedName name="Tanque6">[9]!Tanque6</definedName>
    <definedName name="TAREAS" localSheetId="0">#REF!</definedName>
    <definedName name="TAREAS">#REF!</definedName>
    <definedName name="tarifa" localSheetId="0">#REF!</definedName>
    <definedName name="tarifa">#REF!</definedName>
    <definedName name="Tb" localSheetId="0">#REF!</definedName>
    <definedName name="Tb">#REF!</definedName>
    <definedName name="TBG">#N/A</definedName>
    <definedName name="Tboca" localSheetId="0">#REF!</definedName>
    <definedName name="Tboca">#REF!</definedName>
    <definedName name="TC" localSheetId="0">#REF!</definedName>
    <definedName name="TC">#REF!</definedName>
    <definedName name="TE" localSheetId="0">#REF!</definedName>
    <definedName name="TE">#REF!</definedName>
    <definedName name="TER" localSheetId="0">[1]Sheet6!#REF!</definedName>
    <definedName name="TER">[1]Sheet6!#REF!</definedName>
    <definedName name="termino" localSheetId="0">#REF!</definedName>
    <definedName name="termino">#REF!</definedName>
    <definedName name="TEST0">#REF!</definedName>
    <definedName name="TEST1">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19">#REF!</definedName>
    <definedName name="TEST2">#REF!</definedName>
    <definedName name="TEST20">#REF!</definedName>
    <definedName name="TEST21">#REF!</definedName>
    <definedName name="TEST22">#REF!</definedName>
    <definedName name="TEST23">#REF!</definedName>
    <definedName name="TEST24">#REF!</definedName>
    <definedName name="TEST25">#REF!</definedName>
    <definedName name="TEST26">#REF!</definedName>
    <definedName name="TEST27">#REF!</definedName>
    <definedName name="TEST28">#REF!</definedName>
    <definedName name="TEST29">#REF!</definedName>
    <definedName name="TEST3">#REF!</definedName>
    <definedName name="TEST30">#REF!</definedName>
    <definedName name="TEST31">#REF!</definedName>
    <definedName name="TEST32">#REF!</definedName>
    <definedName name="TEST33">#REF!</definedName>
    <definedName name="TEST34">#REF!</definedName>
    <definedName name="TEST35">#REF!</definedName>
    <definedName name="TEST36">#REF!</definedName>
    <definedName name="TEST37">#REF!</definedName>
    <definedName name="TEST38">#REF!</definedName>
    <definedName name="TEST39">#REF!</definedName>
    <definedName name="TEST4">#REF!</definedName>
    <definedName name="TEST40">#REF!</definedName>
    <definedName name="TEST41">#REF!</definedName>
    <definedName name="TEST42">#REF!</definedName>
    <definedName name="TEST43">#REF!</definedName>
    <definedName name="TEST44">#REF!</definedName>
    <definedName name="TEST45">#REF!</definedName>
    <definedName name="TEST46">#REF!</definedName>
    <definedName name="TEST47">#REF!</definedName>
    <definedName name="TEST48">#REF!</definedName>
    <definedName name="TEST49">#REF!</definedName>
    <definedName name="TEST5">#REF!</definedName>
    <definedName name="TEST50">#REF!</definedName>
    <definedName name="TEST51">#REF!</definedName>
    <definedName name="TEST52">#REF!</definedName>
    <definedName name="TEST53">#REF!</definedName>
    <definedName name="TEST54">#REF!</definedName>
    <definedName name="TEST55">#REF!</definedName>
    <definedName name="TEST56">#REF!</definedName>
    <definedName name="TEST57">#REF!</definedName>
    <definedName name="TEST58">#REF!</definedName>
    <definedName name="TEST59">#REF!</definedName>
    <definedName name="TEST6">#REF!</definedName>
    <definedName name="TEST60">#REF!</definedName>
    <definedName name="TEST61">#REF!</definedName>
    <definedName name="TEST62">#REF!</definedName>
    <definedName name="TEST63">#REF!</definedName>
    <definedName name="TEST64">#REF!</definedName>
    <definedName name="TEST7">#REF!</definedName>
    <definedName name="TEST8">#REF!</definedName>
    <definedName name="TEST9">#REF!</definedName>
    <definedName name="TESTHKEY">#REF!</definedName>
    <definedName name="TESTKEYS">#REF!</definedName>
    <definedName name="TESTVKEY">#REF!</definedName>
    <definedName name="Tf" localSheetId="0">#REF!</definedName>
    <definedName name="Tf">#REF!</definedName>
    <definedName name="TicketAyudante" localSheetId="0">#REF!</definedName>
    <definedName name="TicketAyudante">#REF!</definedName>
    <definedName name="TicketOficial" localSheetId="0">#REF!</definedName>
    <definedName name="TicketOficial">#REF!</definedName>
    <definedName name="TicketPerforador" localSheetId="0">#REF!</definedName>
    <definedName name="TicketPerforador">#REF!</definedName>
    <definedName name="TicketSupervisor" localSheetId="0">#REF!</definedName>
    <definedName name="TicketSupervisor">#REF!</definedName>
    <definedName name="TIME" localSheetId="0">#REF!</definedName>
    <definedName name="TIME">#REF!</definedName>
    <definedName name="TIME1" localSheetId="0">#REF!</definedName>
    <definedName name="TIME1">#REF!</definedName>
    <definedName name="TINC" localSheetId="0">#REF!</definedName>
    <definedName name="TINC">#REF!</definedName>
    <definedName name="TINT" localSheetId="0">#REF!</definedName>
    <definedName name="TINT">#REF!</definedName>
    <definedName name="Tipo_Insumos">[55]Validaciones!$B$69:$B$73</definedName>
    <definedName name="tipo1">[37]Hoja1!$A$1:$A$5</definedName>
    <definedName name="Tipo3">[5]MiniDB!$D$6</definedName>
    <definedName name="tipocliente">[37]Hoja1!$B$1:$B$4</definedName>
    <definedName name="TIPSA">#N/A</definedName>
    <definedName name="TIT_POZOS_PETROLIFEROS" localSheetId="0">#REF!</definedName>
    <definedName name="TIT_POZOS_PETROLIFEROS">#REF!</definedName>
    <definedName name="Titulo">#REF!</definedName>
    <definedName name="Título" localSheetId="0">#REF!</definedName>
    <definedName name="Título">#REF!</definedName>
    <definedName name="Titulo_1">#REF!</definedName>
    <definedName name="_xlnm.Print_Titles">#N/A</definedName>
    <definedName name="Títulos_a_imprimir_IM">#REF!</definedName>
    <definedName name="tm">#REF!</definedName>
    <definedName name="Torque" localSheetId="0">#REF!</definedName>
    <definedName name="Torque">#REF!</definedName>
    <definedName name="TOT_MES_ACTUAL_OIL" localSheetId="0">#REF!</definedName>
    <definedName name="TOT_MES_ACTUAL_OIL">#REF!</definedName>
    <definedName name="total" localSheetId="0">#REF!</definedName>
    <definedName name="total">#REF!</definedName>
    <definedName name="Total_Agua_OIL_Mes_Actual" localSheetId="0">#REF!</definedName>
    <definedName name="Total_Agua_OIL_Mes_Actual">#REF!</definedName>
    <definedName name="Total_Bolívares">#REF!</definedName>
    <definedName name="TOTAL_CENTENARIO__Field_Gas_Plant" localSheetId="0">#REF!</definedName>
    <definedName name="TOTAL_CENTENARIO__Field_Gas_Plant">#REF!</definedName>
    <definedName name="Total_Dólares">#REF!</definedName>
    <definedName name="Total_Gas_Asoc_Mes_Actual" localSheetId="0">#REF!</definedName>
    <definedName name="Total_Gas_Asoc_Mes_Actual">#REF!</definedName>
    <definedName name="total1" localSheetId="0">#REF!</definedName>
    <definedName name="total1">#REF!</definedName>
    <definedName name="total10" localSheetId="0">#REF!</definedName>
    <definedName name="total10">#REF!</definedName>
    <definedName name="total2" localSheetId="0">#REF!</definedName>
    <definedName name="total2">#REF!</definedName>
    <definedName name="total3" localSheetId="0">#REF!</definedName>
    <definedName name="total3">#REF!</definedName>
    <definedName name="total4" localSheetId="0">#REF!</definedName>
    <definedName name="total4">#REF!</definedName>
    <definedName name="total5" localSheetId="0">#REF!</definedName>
    <definedName name="total5">#REF!</definedName>
    <definedName name="total6" localSheetId="0">#REF!</definedName>
    <definedName name="total6">#REF!</definedName>
    <definedName name="TOTALBBA">'[29]RESUMEN ANUAL'!$A$66:$J$94</definedName>
    <definedName name="TOTALCUERPO">'[29]PESCA DE V-B'!$A$1:$J$63</definedName>
    <definedName name="TOTALFAC" localSheetId="0">#REF!</definedName>
    <definedName name="TOTALFAC">#REF!</definedName>
    <definedName name="TOTALPESC">'[29]RESUMEN ANUAL'!$A$34:$J$62</definedName>
    <definedName name="TOTALPUL">'[29]RESUMEN ANUAL'!$A$1:$J$30</definedName>
    <definedName name="TOTALTBGR">'[29]RESUMEN ANUAL'!$A$98:$J$126</definedName>
    <definedName name="TP" localSheetId="0">#REF!</definedName>
    <definedName name="TP">#REF!</definedName>
    <definedName name="tra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iler" localSheetId="0">#REF!</definedName>
    <definedName name="Trailer">#REF!</definedName>
    <definedName name="Trepano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sep1">[5]MiniDB!$D$31</definedName>
    <definedName name="Tsep2">[5]MiniDB!$D$32</definedName>
    <definedName name="Tsep3">[5]MiniDB!$D$33</definedName>
    <definedName name="TSTN" localSheetId="0">#REF!</definedName>
    <definedName name="TSTN">#REF!</definedName>
    <definedName name="TSTT" localSheetId="0">#REF!</definedName>
    <definedName name="TSTT">#REF!</definedName>
    <definedName name="TT" localSheetId="0">#REF!</definedName>
    <definedName name="TT">#REF!</definedName>
    <definedName name="TUB" localSheetId="0">#REF!</definedName>
    <definedName name="TUB">#REF!</definedName>
    <definedName name="Turngas" localSheetId="0">#REF!</definedName>
    <definedName name="Turngas">#REF!</definedName>
    <definedName name="Turnoil" localSheetId="0">#REF!</definedName>
    <definedName name="Turnoil">#REF!</definedName>
    <definedName name="type" localSheetId="0">#REF!</definedName>
    <definedName name="type">#REF!</definedName>
    <definedName name="u">#REF!</definedName>
    <definedName name="UF">#REF!</definedName>
    <definedName name="UIB">[18]Data!$H$5</definedName>
    <definedName name="Unid.">'[59]1240-18-P-RI-002'!#REF!</definedName>
    <definedName name="Unidadgor">[76]Datos!$H$50</definedName>
    <definedName name="UNION150" localSheetId="0">#REF!</definedName>
    <definedName name="UNION150">#REF!</definedName>
    <definedName name="UNIT" localSheetId="0">#REF!</definedName>
    <definedName name="UNIT">#REF!</definedName>
    <definedName name="UNITC" localSheetId="0">#REF!</definedName>
    <definedName name="UNITC">#REF!</definedName>
    <definedName name="UNITP" localSheetId="0">#REF!</definedName>
    <definedName name="UNITP">#REF!</definedName>
    <definedName name="UNITT" localSheetId="0">#REF!</definedName>
    <definedName name="UNITT">#REF!</definedName>
    <definedName name="UOCRA.DURACION" localSheetId="0">#REF!</definedName>
    <definedName name="UOCRA.DURACION">#REF!</definedName>
    <definedName name="UOCRA.MES" localSheetId="0">[12]UOCRA!$D$8</definedName>
    <definedName name="UOCRA.MES">#REF!</definedName>
    <definedName name="UOCRA.ZONA" localSheetId="0">[12]UOCRA!$D$9</definedName>
    <definedName name="UOCRA.ZONA">#REF!</definedName>
    <definedName name="US">[77]IPC!$H$9</definedName>
    <definedName name="Utilidad">#REF!</definedName>
    <definedName name="UTS">[18]Data!$K$14</definedName>
    <definedName name="uu" localSheetId="0">FA!uu</definedName>
    <definedName name="uu">[0]!uu</definedName>
    <definedName name="v">#REF!</definedName>
    <definedName name="V0" localSheetId="0">#REF!</definedName>
    <definedName name="V0">#REF!</definedName>
    <definedName name="Valor_Final">#REF!</definedName>
    <definedName name="Valor_Serv1">#REF!</definedName>
    <definedName name="Valor_Serv2">#REF!</definedName>
    <definedName name="Valor_Serv3">#REF!</definedName>
    <definedName name="Valor_Serv4">#REF!</definedName>
    <definedName name="Valor_Serv5">#REF!</definedName>
    <definedName name="varios" localSheetId="0">#REF!</definedName>
    <definedName name="varios">#REF!</definedName>
    <definedName name="Vehiculos" localSheetId="0">[10]Veh!$A$6:$A$23</definedName>
    <definedName name="Vehiculos">[11]Veh!$A$6:$A$23</definedName>
    <definedName name="Vehículos" localSheetId="0">#REF!</definedName>
    <definedName name="Vehículos">#REF!</definedName>
    <definedName name="VERGUENZA">#REF!</definedName>
    <definedName name="Vestimenta" localSheetId="0">#REF!</definedName>
    <definedName name="Vestimenta">#REF!</definedName>
    <definedName name="VfluidC">[24]Datos!$F$62</definedName>
    <definedName name="VgasC" localSheetId="0">#REF!</definedName>
    <definedName name="VgasC">#REF!</definedName>
    <definedName name="Viandas" localSheetId="0">#REF!</definedName>
    <definedName name="Viandas">#REF!</definedName>
    <definedName name="VInjecC">[24]Datos!$F$66</definedName>
    <definedName name="VM" localSheetId="0">#REF!</definedName>
    <definedName name="VM">#REF!</definedName>
    <definedName name="VnpozosC">[24]Datos!$F$72</definedName>
    <definedName name="VoilC" localSheetId="0">#REF!</definedName>
    <definedName name="VoilC">#REF!</definedName>
    <definedName name="VOLVER">[78]!VOLVER</definedName>
    <definedName name="vp">[18]Data!$H$16</definedName>
    <definedName name="VtasNetas">#REF!</definedName>
    <definedName name="VwatC" localSheetId="0">[24]Datos!#REF!</definedName>
    <definedName name="VwatC">[24]Datos!#REF!</definedName>
    <definedName name="VwellC" localSheetId="0">#REF!</definedName>
    <definedName name="VwellC">#REF!</definedName>
    <definedName name="w">#REF!</definedName>
    <definedName name="Water1">[5]MiniDB!$D$25</definedName>
    <definedName name="Water2">[5]MiniDB!$D$26</definedName>
    <definedName name="Water3">[5]MiniDB!$D$27</definedName>
    <definedName name="wc">[18]Data!$D$15</definedName>
    <definedName name="WCOM" localSheetId="0">#REF!</definedName>
    <definedName name="WCOM">#REF!</definedName>
    <definedName name="WCOM1" localSheetId="0">#REF!</definedName>
    <definedName name="WCOM1">#REF!</definedName>
    <definedName name="WELL" localSheetId="0">#REF!</definedName>
    <definedName name="WELL">#REF!</definedName>
    <definedName name="WF" localSheetId="0">#REF!</definedName>
    <definedName name="WF">#REF!</definedName>
    <definedName name="Winterest" localSheetId="0">#REF!</definedName>
    <definedName name="Winterest">#REF!</definedName>
    <definedName name="wlasa">#REF!</definedName>
    <definedName name="wrn.Completo260.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wrn.COMPUMAT." localSheetId="0" hidden="1">{#N/A,#N/A,FALSE,"SERIE_150";#N/A,#N/A,FALSE,"SERIE_600 "}</definedName>
    <definedName name="wrn.COMPUMAT." hidden="1">{#N/A,#N/A,FALSE,"SERIE_150";#N/A,#N/A,FALSE,"SERIE_600 "}</definedName>
    <definedName name="wrn.FORECAST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INDIRECTOS." localSheetId="0" hidden="1">{#N/A,#N/A,FALSE,"FASE81";#N/A,#N/A,FALSE,"FASE83";#N/A,#N/A,FALSE,"FASE85"}</definedName>
    <definedName name="wrn.INDIRECTOS." hidden="1">{#N/A,#N/A,FALSE,"FASE81";#N/A,#N/A,FALSE,"FASE83";#N/A,#N/A,FALSE,"FASE85"}</definedName>
    <definedName name="wrn.LISTADOC." localSheetId="0" hidden="1">{#N/A,#N/A,FALSE,"GENERAL";#N/A,#N/A,FALSE,"USP 1";#N/A,#N/A,FALSE,"USP 2";#N/A,#N/A,FALSE,"UTE"}</definedName>
    <definedName name="wrn.LISTADOC." hidden="1">{#N/A,#N/A,FALSE,"GENERAL";#N/A,#N/A,FALSE,"USP 1";#N/A,#N/A,FALSE,"USP 2";#N/A,#N/A,FALSE,"UTE"}</definedName>
    <definedName name="wrn.nnn." localSheetId="0" hidden="1">{#N/A,#N/A,FALSE,"RES-ANUAL";#N/A,#N/A,FALSE,"RES-CUENTA";#N/A,#N/A,FALSE,"AREA-RESP"}</definedName>
    <definedName name="wrn.nnn." hidden="1">{#N/A,#N/A,FALSE,"RES-ANUAL";#N/A,#N/A,FALSE,"RES-CUENTA";#N/A,#N/A,FALSE,"AREA-RESP"}</definedName>
    <definedName name="wrn.Payroll.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cinv96." localSheetId="0" hidden="1">{#N/A,#N/A,TRUE,"DESARROLLO";#N/A,#N/A,TRUE,"MANTENIMIENTO";#N/A,#N/A,TRUE,"MENSUAL";#N/A,#N/A,TRUE,"PORCUENTA";#N/A,#N/A,TRUE,"DETALLE"}</definedName>
    <definedName name="wrn.pcinv96." hidden="1">{#N/A,#N/A,TRUE,"DESARROLLO";#N/A,#N/A,TRUE,"MANTENIMIENTO";#N/A,#N/A,TRUE,"MENSUAL";#N/A,#N/A,TRUE,"PORCUENTA";#N/A,#N/A,TRUE,"DETALLE"}</definedName>
    <definedName name="wrn.PEPE.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ull97." hidden="1">{#N/A,#N/A,FALSE,"ENE"}</definedName>
    <definedName name="wrn.pull98." hidden="1">{#N/A,#N/A,FALSE,"ENE"}</definedName>
    <definedName name="wrn.Sale_Local_Q2." hidden="1">{"Sales_Local_Q2",#N/A,FALSE,"Q1_2000"}</definedName>
    <definedName name="wrn.Sale_Local_Q4." hidden="1">{"Sales_Local_Q4",#N/A,FALSE,"Q4_1999"}</definedName>
    <definedName name="WSAL" localSheetId="0">#REF!</definedName>
    <definedName name="WSAL">#REF!</definedName>
    <definedName name="WTI_01">[22]Tablas!$E$4</definedName>
    <definedName name="WTI_02">[22]Tablas!$E$5</definedName>
    <definedName name="WTI_03">[22]Tablas!$E$6</definedName>
    <definedName name="WTI_04">[22]Tablas!$E$7</definedName>
    <definedName name="WTI_05">[22]Tablas!$E$8</definedName>
    <definedName name="WTI_06">[22]Tablas!$E$9</definedName>
    <definedName name="WTI_07">[22]Tablas!$E$10</definedName>
    <definedName name="WTI_08">[22]Tablas!$E$11</definedName>
    <definedName name="WTI_09">[22]Tablas!$E$12</definedName>
    <definedName name="WTI_10">[22]Tablas!$E$13</definedName>
    <definedName name="WTI_11">[22]Tablas!$E$14</definedName>
    <definedName name="WTI_12">[22]Tablas!$E$15</definedName>
    <definedName name="wtrhy" localSheetId="0">#REF!</definedName>
    <definedName name="wtrhy">#REF!</definedName>
    <definedName name="ww" localSheetId="0">#REF!</definedName>
    <definedName name="ww">#REF!</definedName>
    <definedName name="wwww" localSheetId="0">#REF!</definedName>
    <definedName name="wwww">#REF!</definedName>
    <definedName name="x" localSheetId="0">#REF!</definedName>
    <definedName name="X">'[33]500'!$A$1:$N$61</definedName>
    <definedName name="xx">[46]ESPESOR!$B$21</definedName>
    <definedName name="xxx" localSheetId="0">#REF!</definedName>
    <definedName name="xxx">#REF!</definedName>
    <definedName name="xxxx" localSheetId="0">#REF!</definedName>
    <definedName name="xxxx">#REF!</definedName>
    <definedName name="xxxxxxxxxxx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Y" localSheetId="0">#REF!</definedName>
    <definedName name="Y">#REF!</definedName>
    <definedName name="Y_2" localSheetId="0">#REF!</definedName>
    <definedName name="Y_2">#REF!</definedName>
    <definedName name="YACI" localSheetId="0">#REF!</definedName>
    <definedName name="YACI">#REF!</definedName>
    <definedName name="Yacimiento" localSheetId="0">[43]Hoja1!$B$57:$B$65</definedName>
    <definedName name="YACIMIENTO">'[16]resumen mensual de producción'!$C$6</definedName>
    <definedName name="yak" localSheetId="0">#REF!</definedName>
    <definedName name="yak">#REF!</definedName>
    <definedName name="yar" localSheetId="0">#REF!</definedName>
    <definedName name="yar">#REF!</definedName>
    <definedName name="Yes_No">'[26]Coef.'!$J$112:$J$113</definedName>
    <definedName name="Z" localSheetId="0">#REF!</definedName>
    <definedName name="Z">#REF!</definedName>
    <definedName name="zagz" localSheetId="0">#REF!</definedName>
    <definedName name="zagz">#REF!</definedName>
    <definedName name="ZAP" localSheetId="0">#REF!</definedName>
    <definedName name="ZAP">#REF!</definedName>
    <definedName name="Zb" localSheetId="0">#REF!</definedName>
    <definedName name="Zb">#REF!</definedName>
    <definedName name="zdgjzfg" localSheetId="0">#REF!</definedName>
    <definedName name="zdgjzfg">#REF!</definedName>
    <definedName name="Zona">[55]Validaciones!$B$51:$B$57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7" l="1"/>
  <c r="M5" i="7"/>
  <c r="L4" i="7"/>
  <c r="L3" i="7"/>
  <c r="J5" i="7"/>
  <c r="C3" i="7" l="1"/>
  <c r="K4" i="7"/>
  <c r="B3" i="7"/>
  <c r="C6" i="7" l="1"/>
  <c r="C8" i="7"/>
  <c r="D3" i="7"/>
  <c r="C4" i="7"/>
  <c r="E3" i="7" l="1"/>
  <c r="E4" i="7"/>
  <c r="J4" i="7" l="1"/>
  <c r="M4" i="7" s="1"/>
  <c r="F4" i="7"/>
  <c r="J3" i="7"/>
  <c r="F3" i="7"/>
  <c r="K3" i="7"/>
  <c r="M3" i="7" l="1"/>
  <c r="K5" i="7"/>
  <c r="F3" i="14" l="1"/>
  <c r="F4" i="14"/>
  <c r="H4" i="14" s="1"/>
  <c r="G3" i="14" l="1"/>
  <c r="H3" i="14" l="1"/>
  <c r="F23" i="15"/>
  <c r="E23" i="15"/>
  <c r="D23" i="15"/>
  <c r="C23" i="15"/>
  <c r="B23" i="15"/>
  <c r="L20" i="15"/>
  <c r="J20" i="15" s="1"/>
  <c r="D7" i="15" s="1"/>
  <c r="L19" i="15"/>
  <c r="J19" i="15" s="1"/>
  <c r="D6" i="15" s="1"/>
  <c r="L18" i="15"/>
  <c r="J18" i="15" s="1"/>
  <c r="D5" i="15" s="1"/>
  <c r="K17" i="15"/>
  <c r="J21" i="15" l="1"/>
  <c r="G23" i="15"/>
  <c r="J22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Bergerat, Juan (Los Perales)</author>
  </authors>
  <commentList>
    <comment ref="C3" authorId="0" shapeId="0" xr:uid="{C2AA3BCC-5207-4A30-953C-DDD92D5428FB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  <comment ref="C4" authorId="0" shapeId="0" xr:uid="{20E9266C-6251-4A2D-ABDE-3734D9374391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</commentList>
</comments>
</file>

<file path=xl/sharedStrings.xml><?xml version="1.0" encoding="utf-8"?>
<sst xmlns="http://schemas.openxmlformats.org/spreadsheetml/2006/main" count="106" uniqueCount="92">
  <si>
    <t>K</t>
  </si>
  <si>
    <t>Ítem</t>
  </si>
  <si>
    <t>TC</t>
  </si>
  <si>
    <t>Producto</t>
  </si>
  <si>
    <t>Flete [u$d/litro]</t>
  </si>
  <si>
    <t>Precio [u$d/litro]</t>
  </si>
  <si>
    <t>Denominación comercial</t>
  </si>
  <si>
    <t>Descripción</t>
  </si>
  <si>
    <t>Costo Total [u$d/litro]</t>
  </si>
  <si>
    <t>Venta [u$d/mes]</t>
  </si>
  <si>
    <t>Consumo estimado  [litros]</t>
  </si>
  <si>
    <t>CR con flete [u$d/lt]</t>
  </si>
  <si>
    <t>Precio [u$d/lt]</t>
  </si>
  <si>
    <t>Unidad de Presentación</t>
  </si>
  <si>
    <t>Provisión de PQs</t>
  </si>
  <si>
    <t>Factor</t>
  </si>
  <si>
    <t>Ponderación</t>
  </si>
  <si>
    <t>Fuente</t>
  </si>
  <si>
    <t>Valor Base</t>
  </si>
  <si>
    <t>Moneda</t>
  </si>
  <si>
    <r>
      <t>Fecha Valor Base [X</t>
    </r>
    <r>
      <rPr>
        <vertAlign val="subscript"/>
        <sz val="10"/>
        <color theme="0"/>
        <rFont val="Exo 2"/>
      </rPr>
      <t>o</t>
    </r>
    <r>
      <rPr>
        <sz val="10"/>
        <color theme="0"/>
        <rFont val="Exo 2"/>
      </rPr>
      <t>]</t>
    </r>
  </si>
  <si>
    <t>WPU</t>
  </si>
  <si>
    <t>PPI (Producer price index)</t>
  </si>
  <si>
    <t>US bureau of labor statistics - Chemicals and allied products (WPU06)</t>
  </si>
  <si>
    <t>-</t>
  </si>
  <si>
    <t>GO</t>
  </si>
  <si>
    <t>Solventes</t>
  </si>
  <si>
    <t>Precio surtidor Gas Oil grado 3 s/imp., YPF, publicado por la Secretaría de Energía de la Nación, para la ciudad de Neuquen (Islas Malvinas e Ilia)</t>
  </si>
  <si>
    <t>AR$</t>
  </si>
  <si>
    <t>MO</t>
  </si>
  <si>
    <t>Mano de Obra</t>
  </si>
  <si>
    <t>Según Sueldo testigo A determinar donde se evidencien todas las componentes salariales normales Y habituales.</t>
  </si>
  <si>
    <t>IPIM</t>
  </si>
  <si>
    <t>Insumos</t>
  </si>
  <si>
    <t>IPIM, NG</t>
  </si>
  <si>
    <t>Tipo de Cambio</t>
  </si>
  <si>
    <t>Cotización Billete Venta - Dólar Banco Nación</t>
  </si>
  <si>
    <t>Proyección</t>
  </si>
  <si>
    <t>factor jul20 a jul21</t>
  </si>
  <si>
    <t>jul-20-jul21</t>
  </si>
  <si>
    <t>MATERIAS PRIMAS</t>
  </si>
  <si>
    <t>SOLVENTES</t>
  </si>
  <si>
    <t>MANO DE OBRA</t>
  </si>
  <si>
    <t>GASTOS E INSUMOS</t>
  </si>
  <si>
    <t>TASA DE CAMBIO USD</t>
  </si>
  <si>
    <t>FACTOR DE AJUSTE</t>
  </si>
  <si>
    <t>S</t>
  </si>
  <si>
    <t>D</t>
  </si>
  <si>
    <t>M</t>
  </si>
  <si>
    <t>(WPU06)</t>
  </si>
  <si>
    <t xml:space="preserve">(Gas Oil Grado 2) </t>
  </si>
  <si>
    <t>(Indice Salarial CCT 605/10)</t>
  </si>
  <si>
    <t>(IPIM Nivel General)</t>
  </si>
  <si>
    <t>(Tasa de Cambio)</t>
  </si>
  <si>
    <t>FA</t>
  </si>
  <si>
    <t>Incidencia</t>
  </si>
  <si>
    <t>Índice</t>
  </si>
  <si>
    <t>Observaciones</t>
  </si>
  <si>
    <t>MOP</t>
  </si>
  <si>
    <t>Según Sueldo testigo a determinar donde se evidencien todas las componentes salariales normales y habituales.</t>
  </si>
  <si>
    <t>Resto</t>
  </si>
  <si>
    <t>IPIM, Nivel General, publicado por INDEC ipm_08_21.pdf. Base 0 para Nivel General Cuadro 2 fijado en 2,2 puntos.</t>
  </si>
  <si>
    <t>Equipos</t>
  </si>
  <si>
    <t>IPIM 34</t>
  </si>
  <si>
    <t>IPIM 34, publicado por INDEC ipm_08_21.pdf. Base 0 para Vehículos automotores, carrocerías y repuestos Cuadro 2 fijado en 2,6 puntos.</t>
  </si>
  <si>
    <t>Combustibles y Lubricantes</t>
  </si>
  <si>
    <t>Gas Oil</t>
  </si>
  <si>
    <t>Precio surtidor Gas Oil grado 3, YPF, publicado por la Secretaría de Energía de la Nación, para la ciudad de Rincón de los sauces, Provincia de Neuquén (http://res1104.se.gov.ar/consultaprecios.eess.php)</t>
  </si>
  <si>
    <t>Valor Base 0 $ 102,70 por litro</t>
  </si>
  <si>
    <t>Instrumentos y Subcontratos</t>
  </si>
  <si>
    <t>U$D</t>
  </si>
  <si>
    <t>Valor dólar Billete tipo Vendedor publicado por el Banco de la Nación Argentina correspondiente al día anterior al cierre del mes anterior al que se aplica la revisión. Valor base 0 $ 101,75 por unidad.</t>
  </si>
  <si>
    <t>TOTAL</t>
  </si>
  <si>
    <t>Cantidad [Litros]</t>
  </si>
  <si>
    <t>Precio Total [USD]</t>
  </si>
  <si>
    <t>DS533</t>
  </si>
  <si>
    <t>CP USD</t>
  </si>
  <si>
    <t>CP %</t>
  </si>
  <si>
    <t>Flete</t>
  </si>
  <si>
    <t>HCL 30%</t>
  </si>
  <si>
    <t>IBC descartable de 1.000 lts</t>
  </si>
  <si>
    <t>Flete desde Tartagal a Yacimiento Palmar Lagro</t>
  </si>
  <si>
    <t>unidad</t>
  </si>
  <si>
    <t>CR + Imp Pais [u$d/lt]</t>
  </si>
  <si>
    <t>Opción</t>
  </si>
  <si>
    <t>NQN</t>
  </si>
  <si>
    <t>GSJ</t>
  </si>
  <si>
    <t>Concentración solicitada</t>
  </si>
  <si>
    <t>Concentración SO4345</t>
  </si>
  <si>
    <t>Concentración Clar</t>
  </si>
  <si>
    <t>Tenemos que andar con 11% menos</t>
  </si>
  <si>
    <t>SO4345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</si>
</sst>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&quot;$&quot;\ * #,##0.00_ ;_ &quot;$&quot;\ * \-#,##0.00_ ;_ &quot;$&quot;\ * &quot;-&quot;??_ ;_ @_ "/>
    <numFmt numFmtId="165" formatCode="_(* #,##0.00_);_(* \(#,##0.00\);_(* &quot;-&quot;??_);_(@_)"/>
    <numFmt numFmtId="166" formatCode="0.0%"/>
    <numFmt numFmtId="167" formatCode="0.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Exo 2"/>
    </font>
    <font>
      <sz val="10"/>
      <color theme="0"/>
      <name val="Exo 2"/>
    </font>
    <font>
      <vertAlign val="subscript"/>
      <sz val="10"/>
      <color theme="0"/>
      <name val="Exo 2"/>
    </font>
    <font>
      <sz val="10"/>
      <color theme="1"/>
      <name val="Exo 2"/>
    </font>
    <font>
      <sz val="8"/>
      <color rgb="FF000000"/>
      <name val="Arial"/>
      <family val="2"/>
    </font>
    <font>
      <b/>
      <sz val="16"/>
      <color theme="0"/>
      <name val="Exo 2"/>
    </font>
    <font>
      <b/>
      <sz val="10"/>
      <color theme="1"/>
      <name val="Arial"/>
      <family val="2"/>
    </font>
    <font>
      <b/>
      <sz val="16"/>
      <color theme="1"/>
      <name val="Exo 2"/>
    </font>
    <font>
      <b/>
      <i/>
      <sz val="10"/>
      <color theme="1"/>
      <name val="Arial"/>
      <family val="2"/>
    </font>
    <font>
      <sz val="12"/>
      <color theme="1"/>
      <name val="Exo 2"/>
    </font>
    <font>
      <b/>
      <sz val="12"/>
      <color theme="1"/>
      <name val="Arial"/>
      <family val="2"/>
    </font>
    <font>
      <b/>
      <sz val="9"/>
      <color theme="1"/>
      <name val="HelveticaNeueLT Std"/>
      <family val="2"/>
    </font>
    <font>
      <sz val="9"/>
      <color theme="1"/>
      <name val="HelveticaNeueLT Std"/>
      <family val="2"/>
    </font>
    <font>
      <sz val="9"/>
      <color theme="0"/>
      <name val="Exo"/>
    </font>
    <font>
      <sz val="9"/>
      <name val="Exo"/>
    </font>
    <font>
      <b/>
      <sz val="9"/>
      <name val="Exo"/>
    </font>
    <font>
      <b/>
      <sz val="9"/>
      <color theme="0"/>
      <name val="Exo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5DCE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6">
    <xf numFmtId="0" fontId="0" fillId="0" borderId="0"/>
    <xf numFmtId="0" fontId="1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/>
  </cellStyleXfs>
  <cellXfs count="70">
    <xf numFmtId="0" fontId="0" fillId="0" borderId="0" xfId="0"/>
    <xf numFmtId="0" fontId="4" fillId="4" borderId="1" xfId="3" applyFont="1" applyFill="1" applyBorder="1" applyAlignment="1">
      <alignment horizontal="center" vertical="center" wrapText="1"/>
    </xf>
    <xf numFmtId="0" fontId="3" fillId="0" borderId="1" xfId="3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3" fontId="3" fillId="0" borderId="1" xfId="3" applyNumberFormat="1" applyBorder="1" applyAlignment="1">
      <alignment horizontal="center" vertical="center" wrapText="1"/>
    </xf>
    <xf numFmtId="4" fontId="3" fillId="0" borderId="1" xfId="3" applyNumberFormat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8" fillId="0" borderId="0" xfId="0" applyFont="1"/>
    <xf numFmtId="0" fontId="9" fillId="2" borderId="0" xfId="0" applyFont="1" applyFill="1" applyAlignment="1">
      <alignment horizontal="left" vertical="center" wrapText="1"/>
    </xf>
    <xf numFmtId="0" fontId="9" fillId="2" borderId="0" xfId="0" applyFont="1" applyFill="1" applyAlignment="1">
      <alignment horizontal="center" vertical="center" wrapText="1"/>
    </xf>
    <xf numFmtId="0" fontId="11" fillId="0" borderId="2" xfId="0" applyFont="1" applyBorder="1" applyAlignment="1">
      <alignment horizontal="left" vertical="center" wrapText="1"/>
    </xf>
    <xf numFmtId="166" fontId="11" fillId="0" borderId="2" xfId="0" applyNumberFormat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14" fontId="11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3" fontId="12" fillId="0" borderId="0" xfId="0" applyNumberFormat="1" applyFont="1" applyAlignment="1">
      <alignment horizontal="center" vertical="center"/>
    </xf>
    <xf numFmtId="0" fontId="8" fillId="0" borderId="1" xfId="0" applyFont="1" applyBorder="1"/>
    <xf numFmtId="0" fontId="15" fillId="0" borderId="1" xfId="0" applyFont="1" applyBorder="1"/>
    <xf numFmtId="0" fontId="14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 wrapText="1"/>
    </xf>
    <xf numFmtId="17" fontId="17" fillId="0" borderId="3" xfId="0" applyNumberFormat="1" applyFont="1" applyBorder="1" applyAlignment="1">
      <alignment horizontal="center"/>
    </xf>
    <xf numFmtId="0" fontId="18" fillId="8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2" fontId="8" fillId="0" borderId="1" xfId="0" applyNumberFormat="1" applyFont="1" applyBorder="1"/>
    <xf numFmtId="2" fontId="17" fillId="0" borderId="1" xfId="0" applyNumberFormat="1" applyFont="1" applyBorder="1" applyAlignment="1">
      <alignment horizontal="center"/>
    </xf>
    <xf numFmtId="0" fontId="19" fillId="9" borderId="4" xfId="0" applyFont="1" applyFill="1" applyBorder="1" applyAlignment="1">
      <alignment horizontal="center" vertical="center"/>
    </xf>
    <xf numFmtId="0" fontId="19" fillId="9" borderId="5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10" fontId="20" fillId="0" borderId="7" xfId="0" applyNumberFormat="1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left" vertical="center" indent="2"/>
    </xf>
    <xf numFmtId="0" fontId="19" fillId="0" borderId="7" xfId="0" applyFont="1" applyBorder="1" applyAlignment="1">
      <alignment horizontal="left" vertical="center" indent="2"/>
    </xf>
    <xf numFmtId="0" fontId="7" fillId="0" borderId="9" xfId="15" applyBorder="1" applyAlignment="1">
      <alignment horizontal="left" vertical="center" indent="2"/>
    </xf>
    <xf numFmtId="0" fontId="20" fillId="0" borderId="7" xfId="0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 indent="2"/>
    </xf>
    <xf numFmtId="9" fontId="20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0" xfId="2" applyFont="1" applyAlignment="1">
      <alignment horizontal="center" vertical="center" wrapText="1"/>
    </xf>
    <xf numFmtId="14" fontId="22" fillId="5" borderId="1" xfId="2" applyNumberFormat="1" applyFont="1" applyFill="1" applyBorder="1" applyAlignment="1">
      <alignment horizontal="center" vertical="center" wrapText="1"/>
    </xf>
    <xf numFmtId="0" fontId="22" fillId="5" borderId="1" xfId="2" applyFont="1" applyFill="1" applyBorder="1" applyAlignment="1">
      <alignment horizontal="center" vertical="center" wrapText="1"/>
    </xf>
    <xf numFmtId="167" fontId="22" fillId="5" borderId="1" xfId="2" applyNumberFormat="1" applyFont="1" applyFill="1" applyBorder="1" applyAlignment="1">
      <alignment horizontal="center" vertical="center" wrapText="1"/>
    </xf>
    <xf numFmtId="2" fontId="22" fillId="5" borderId="1" xfId="1" applyNumberFormat="1" applyFont="1" applyFill="1" applyBorder="1" applyAlignment="1">
      <alignment horizontal="center" vertical="center" wrapText="1"/>
    </xf>
    <xf numFmtId="2" fontId="23" fillId="5" borderId="1" xfId="1" applyNumberFormat="1" applyFont="1" applyFill="1" applyBorder="1" applyAlignment="1">
      <alignment horizontal="center" vertical="center" wrapText="1"/>
    </xf>
    <xf numFmtId="3" fontId="22" fillId="5" borderId="1" xfId="1" applyNumberFormat="1" applyFont="1" applyFill="1" applyBorder="1" applyAlignment="1">
      <alignment horizontal="center" vertical="center" wrapText="1"/>
    </xf>
    <xf numFmtId="9" fontId="22" fillId="5" borderId="1" xfId="13" applyFont="1" applyFill="1" applyBorder="1" applyAlignment="1">
      <alignment horizontal="center" vertical="center" wrapText="1"/>
    </xf>
    <xf numFmtId="0" fontId="24" fillId="3" borderId="1" xfId="1" applyFont="1" applyFill="1" applyBorder="1" applyAlignment="1">
      <alignment horizontal="center" vertical="center" wrapText="1"/>
    </xf>
    <xf numFmtId="0" fontId="23" fillId="0" borderId="0" xfId="2" applyFont="1" applyAlignment="1">
      <alignment vertical="center" wrapText="1"/>
    </xf>
    <xf numFmtId="0" fontId="25" fillId="0" borderId="0" xfId="0" applyFont="1"/>
    <xf numFmtId="0" fontId="22" fillId="0" borderId="1" xfId="2" applyFont="1" applyBorder="1" applyAlignment="1">
      <alignment horizontal="center" vertical="center" wrapText="1"/>
    </xf>
    <xf numFmtId="3" fontId="23" fillId="0" borderId="1" xfId="2" applyNumberFormat="1" applyFont="1" applyBorder="1" applyAlignment="1">
      <alignment horizontal="center" vertical="center" wrapText="1"/>
    </xf>
    <xf numFmtId="9" fontId="22" fillId="0" borderId="1" xfId="2" applyNumberFormat="1" applyFont="1" applyBorder="1" applyAlignment="1">
      <alignment horizontal="center" vertical="center" wrapText="1"/>
    </xf>
    <xf numFmtId="9" fontId="22" fillId="0" borderId="1" xfId="13" applyFont="1" applyBorder="1" applyAlignment="1">
      <alignment horizontal="center" vertical="center" wrapText="1"/>
    </xf>
    <xf numFmtId="9" fontId="22" fillId="0" borderId="0" xfId="13" applyFont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4" fillId="6" borderId="1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10" fontId="20" fillId="0" borderId="8" xfId="0" applyNumberFormat="1" applyFont="1" applyBorder="1" applyAlignment="1">
      <alignment horizontal="center" vertical="center"/>
    </xf>
    <xf numFmtId="10" fontId="20" fillId="0" borderId="6" xfId="0" applyNumberFormat="1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wrapText="1"/>
    </xf>
    <xf numFmtId="0" fontId="22" fillId="0" borderId="1" xfId="2" applyFont="1" applyBorder="1" applyAlignment="1">
      <alignment horizontal="center" vertical="center" wrapText="1"/>
    </xf>
    <xf numFmtId="9" fontId="23" fillId="0" borderId="1" xfId="13" applyFont="1" applyBorder="1" applyAlignment="1">
      <alignment horizontal="center" vertical="center" wrapText="1"/>
    </xf>
  </cellXfs>
  <cellStyles count="16">
    <cellStyle name="Hipervínculo" xfId="15" builtinId="8"/>
    <cellStyle name="Millares 2" xfId="11" xr:uid="{00000000-0005-0000-0000-000001000000}"/>
    <cellStyle name="Moneda 3" xfId="12" xr:uid="{00000000-0005-0000-0000-000002000000}"/>
    <cellStyle name="Normal" xfId="0" builtinId="0"/>
    <cellStyle name="Normal 100" xfId="2" xr:uid="{00000000-0005-0000-0000-000004000000}"/>
    <cellStyle name="Normal 13 2" xfId="14" xr:uid="{00000000-0005-0000-0000-000005000000}"/>
    <cellStyle name="Normal 17" xfId="6" xr:uid="{00000000-0005-0000-0000-000006000000}"/>
    <cellStyle name="Normal 2" xfId="3" xr:uid="{00000000-0005-0000-0000-000007000000}"/>
    <cellStyle name="Normal 2 2" xfId="4" xr:uid="{00000000-0005-0000-0000-000008000000}"/>
    <cellStyle name="Normal 2 2 3" xfId="5" xr:uid="{00000000-0005-0000-0000-000009000000}"/>
    <cellStyle name="Normal 2 7" xfId="8" xr:uid="{00000000-0005-0000-0000-00000A000000}"/>
    <cellStyle name="Normal 250 2" xfId="1" xr:uid="{00000000-0005-0000-0000-00000B000000}"/>
    <cellStyle name="Normal 4 5" xfId="9" xr:uid="{00000000-0005-0000-0000-00000C000000}"/>
    <cellStyle name="Porcentaje" xfId="13" builtinId="5"/>
    <cellStyle name="Porcentaje 2" xfId="7" xr:uid="{00000000-0005-0000-0000-00000E000000}"/>
    <cellStyle name="Porcentaje 3 2" xfId="10" xr:uid="{00000000-0005-0000-0000-00000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0.xml"/><Relationship Id="rId21" Type="http://schemas.openxmlformats.org/officeDocument/2006/relationships/externalLink" Target="externalLinks/externalLink15.xml"/><Relationship Id="rId42" Type="http://schemas.openxmlformats.org/officeDocument/2006/relationships/externalLink" Target="externalLinks/externalLink36.xml"/><Relationship Id="rId47" Type="http://schemas.openxmlformats.org/officeDocument/2006/relationships/externalLink" Target="externalLinks/externalLink41.xml"/><Relationship Id="rId63" Type="http://schemas.openxmlformats.org/officeDocument/2006/relationships/externalLink" Target="externalLinks/externalLink57.xml"/><Relationship Id="rId68" Type="http://schemas.openxmlformats.org/officeDocument/2006/relationships/externalLink" Target="externalLinks/externalLink62.xml"/><Relationship Id="rId84" Type="http://schemas.openxmlformats.org/officeDocument/2006/relationships/externalLink" Target="externalLinks/externalLink78.xml"/><Relationship Id="rId89" Type="http://schemas.openxmlformats.org/officeDocument/2006/relationships/customXml" Target="../customXml/item1.xml"/><Relationship Id="rId16" Type="http://schemas.openxmlformats.org/officeDocument/2006/relationships/externalLink" Target="externalLinks/externalLink10.xml"/><Relationship Id="rId11" Type="http://schemas.openxmlformats.org/officeDocument/2006/relationships/externalLink" Target="externalLinks/externalLink5.xml"/><Relationship Id="rId32" Type="http://schemas.openxmlformats.org/officeDocument/2006/relationships/externalLink" Target="externalLinks/externalLink26.xml"/><Relationship Id="rId37" Type="http://schemas.openxmlformats.org/officeDocument/2006/relationships/externalLink" Target="externalLinks/externalLink31.xml"/><Relationship Id="rId53" Type="http://schemas.openxmlformats.org/officeDocument/2006/relationships/externalLink" Target="externalLinks/externalLink47.xml"/><Relationship Id="rId58" Type="http://schemas.openxmlformats.org/officeDocument/2006/relationships/externalLink" Target="externalLinks/externalLink52.xml"/><Relationship Id="rId74" Type="http://schemas.openxmlformats.org/officeDocument/2006/relationships/externalLink" Target="externalLinks/externalLink68.xml"/><Relationship Id="rId79" Type="http://schemas.openxmlformats.org/officeDocument/2006/relationships/externalLink" Target="externalLinks/externalLink73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2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externalLink" Target="externalLinks/externalLink21.xml"/><Relationship Id="rId30" Type="http://schemas.openxmlformats.org/officeDocument/2006/relationships/externalLink" Target="externalLinks/externalLink24.xml"/><Relationship Id="rId35" Type="http://schemas.openxmlformats.org/officeDocument/2006/relationships/externalLink" Target="externalLinks/externalLink29.xml"/><Relationship Id="rId43" Type="http://schemas.openxmlformats.org/officeDocument/2006/relationships/externalLink" Target="externalLinks/externalLink37.xml"/><Relationship Id="rId48" Type="http://schemas.openxmlformats.org/officeDocument/2006/relationships/externalLink" Target="externalLinks/externalLink42.xml"/><Relationship Id="rId56" Type="http://schemas.openxmlformats.org/officeDocument/2006/relationships/externalLink" Target="externalLinks/externalLink50.xml"/><Relationship Id="rId64" Type="http://schemas.openxmlformats.org/officeDocument/2006/relationships/externalLink" Target="externalLinks/externalLink58.xml"/><Relationship Id="rId69" Type="http://schemas.openxmlformats.org/officeDocument/2006/relationships/externalLink" Target="externalLinks/externalLink63.xml"/><Relationship Id="rId77" Type="http://schemas.openxmlformats.org/officeDocument/2006/relationships/externalLink" Target="externalLinks/externalLink71.xml"/><Relationship Id="rId8" Type="http://schemas.openxmlformats.org/officeDocument/2006/relationships/externalLink" Target="externalLinks/externalLink2.xml"/><Relationship Id="rId51" Type="http://schemas.openxmlformats.org/officeDocument/2006/relationships/externalLink" Target="externalLinks/externalLink45.xml"/><Relationship Id="rId72" Type="http://schemas.openxmlformats.org/officeDocument/2006/relationships/externalLink" Target="externalLinks/externalLink66.xml"/><Relationship Id="rId80" Type="http://schemas.openxmlformats.org/officeDocument/2006/relationships/externalLink" Target="externalLinks/externalLink74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33" Type="http://schemas.openxmlformats.org/officeDocument/2006/relationships/externalLink" Target="externalLinks/externalLink27.xml"/><Relationship Id="rId38" Type="http://schemas.openxmlformats.org/officeDocument/2006/relationships/externalLink" Target="externalLinks/externalLink32.xml"/><Relationship Id="rId46" Type="http://schemas.openxmlformats.org/officeDocument/2006/relationships/externalLink" Target="externalLinks/externalLink40.xml"/><Relationship Id="rId59" Type="http://schemas.openxmlformats.org/officeDocument/2006/relationships/externalLink" Target="externalLinks/externalLink53.xml"/><Relationship Id="rId67" Type="http://schemas.openxmlformats.org/officeDocument/2006/relationships/externalLink" Target="externalLinks/externalLink61.xml"/><Relationship Id="rId20" Type="http://schemas.openxmlformats.org/officeDocument/2006/relationships/externalLink" Target="externalLinks/externalLink14.xml"/><Relationship Id="rId41" Type="http://schemas.openxmlformats.org/officeDocument/2006/relationships/externalLink" Target="externalLinks/externalLink35.xml"/><Relationship Id="rId54" Type="http://schemas.openxmlformats.org/officeDocument/2006/relationships/externalLink" Target="externalLinks/externalLink48.xml"/><Relationship Id="rId62" Type="http://schemas.openxmlformats.org/officeDocument/2006/relationships/externalLink" Target="externalLinks/externalLink56.xml"/><Relationship Id="rId70" Type="http://schemas.openxmlformats.org/officeDocument/2006/relationships/externalLink" Target="externalLinks/externalLink64.xml"/><Relationship Id="rId75" Type="http://schemas.openxmlformats.org/officeDocument/2006/relationships/externalLink" Target="externalLinks/externalLink69.xml"/><Relationship Id="rId83" Type="http://schemas.openxmlformats.org/officeDocument/2006/relationships/externalLink" Target="externalLinks/externalLink77.xml"/><Relationship Id="rId88" Type="http://schemas.openxmlformats.org/officeDocument/2006/relationships/calcChain" Target="calcChain.xml"/><Relationship Id="rId9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externalLink" Target="externalLinks/externalLink22.xml"/><Relationship Id="rId36" Type="http://schemas.openxmlformats.org/officeDocument/2006/relationships/externalLink" Target="externalLinks/externalLink30.xml"/><Relationship Id="rId49" Type="http://schemas.openxmlformats.org/officeDocument/2006/relationships/externalLink" Target="externalLinks/externalLink43.xml"/><Relationship Id="rId57" Type="http://schemas.openxmlformats.org/officeDocument/2006/relationships/externalLink" Target="externalLinks/externalLink51.xml"/><Relationship Id="rId10" Type="http://schemas.openxmlformats.org/officeDocument/2006/relationships/externalLink" Target="externalLinks/externalLink4.xml"/><Relationship Id="rId31" Type="http://schemas.openxmlformats.org/officeDocument/2006/relationships/externalLink" Target="externalLinks/externalLink25.xml"/><Relationship Id="rId44" Type="http://schemas.openxmlformats.org/officeDocument/2006/relationships/externalLink" Target="externalLinks/externalLink38.xml"/><Relationship Id="rId52" Type="http://schemas.openxmlformats.org/officeDocument/2006/relationships/externalLink" Target="externalLinks/externalLink46.xml"/><Relationship Id="rId60" Type="http://schemas.openxmlformats.org/officeDocument/2006/relationships/externalLink" Target="externalLinks/externalLink54.xml"/><Relationship Id="rId65" Type="http://schemas.openxmlformats.org/officeDocument/2006/relationships/externalLink" Target="externalLinks/externalLink59.xml"/><Relationship Id="rId73" Type="http://schemas.openxmlformats.org/officeDocument/2006/relationships/externalLink" Target="externalLinks/externalLink67.xml"/><Relationship Id="rId78" Type="http://schemas.openxmlformats.org/officeDocument/2006/relationships/externalLink" Target="externalLinks/externalLink72.xml"/><Relationship Id="rId81" Type="http://schemas.openxmlformats.org/officeDocument/2006/relationships/externalLink" Target="externalLinks/externalLink75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39" Type="http://schemas.openxmlformats.org/officeDocument/2006/relationships/externalLink" Target="externalLinks/externalLink33.xml"/><Relationship Id="rId34" Type="http://schemas.openxmlformats.org/officeDocument/2006/relationships/externalLink" Target="externalLinks/externalLink28.xml"/><Relationship Id="rId50" Type="http://schemas.openxmlformats.org/officeDocument/2006/relationships/externalLink" Target="externalLinks/externalLink44.xml"/><Relationship Id="rId55" Type="http://schemas.openxmlformats.org/officeDocument/2006/relationships/externalLink" Target="externalLinks/externalLink49.xml"/><Relationship Id="rId76" Type="http://schemas.openxmlformats.org/officeDocument/2006/relationships/externalLink" Target="externalLinks/externalLink70.xml"/><Relationship Id="rId7" Type="http://schemas.openxmlformats.org/officeDocument/2006/relationships/externalLink" Target="externalLinks/externalLink1.xml"/><Relationship Id="rId71" Type="http://schemas.openxmlformats.org/officeDocument/2006/relationships/externalLink" Target="externalLinks/externalLink65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3.xml"/><Relationship Id="rId24" Type="http://schemas.openxmlformats.org/officeDocument/2006/relationships/externalLink" Target="externalLinks/externalLink18.xml"/><Relationship Id="rId40" Type="http://schemas.openxmlformats.org/officeDocument/2006/relationships/externalLink" Target="externalLinks/externalLink34.xml"/><Relationship Id="rId45" Type="http://schemas.openxmlformats.org/officeDocument/2006/relationships/externalLink" Target="externalLinks/externalLink39.xml"/><Relationship Id="rId66" Type="http://schemas.openxmlformats.org/officeDocument/2006/relationships/externalLink" Target="externalLinks/externalLink60.xml"/><Relationship Id="rId87" Type="http://schemas.openxmlformats.org/officeDocument/2006/relationships/sharedStrings" Target="sharedStrings.xml"/><Relationship Id="rId61" Type="http://schemas.openxmlformats.org/officeDocument/2006/relationships/externalLink" Target="externalLinks/externalLink55.xml"/><Relationship Id="rId82" Type="http://schemas.openxmlformats.org/officeDocument/2006/relationships/externalLink" Target="externalLinks/externalLink76.xml"/><Relationship Id="rId19" Type="http://schemas.openxmlformats.org/officeDocument/2006/relationships/externalLink" Target="externalLinks/externalLink1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445433</xdr:colOff>
      <xdr:row>9</xdr:row>
      <xdr:rowOff>52669</xdr:rowOff>
    </xdr:from>
    <xdr:ext cx="8706971" cy="4594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207433" y="2995894"/>
              <a:ext cx="8706971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𝑪𝒐𝒆𝒇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𝑨𝒋𝒖𝒔𝒕𝒆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𝒅𝒆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𝒑𝒓𝒆𝒄𝒊𝒐𝒔</m:t>
                      </m:r>
                    </m:e>
                    <m:sub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𝒏</m:t>
                      </m:r>
                    </m:sub>
                  </m:sSub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𝟕𝟎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𝑾𝑷𝑼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𝑾𝑷𝑼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den>
                  </m:f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d>
                    <m:dPr>
                      <m:begChr m:val="["/>
                      <m:endChr m:val="]"/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𝟏𝟕𝟖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ES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𝑮𝑶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ES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𝑮𝑶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𝟎𝟕𝟐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𝑴𝑶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𝑴𝑶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𝟎𝟓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</m:e>
                  </m:d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den>
                  </m:f>
                </m:oMath>
              </a14:m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15C1F710-F4B0-4E43-B464-4D3B01B3E3C4}"/>
                </a:ext>
              </a:extLst>
            </xdr:cNvPr>
            <xdr:cNvSpPr txBox="1"/>
          </xdr:nvSpPr>
          <xdr:spPr>
            <a:xfrm>
              <a:off x="1207433" y="2995894"/>
              <a:ext cx="8706971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〖𝑪𝒐𝒆𝒇. 𝑨𝒋𝒖𝒔𝒕𝒆 𝒅𝒆 𝒑𝒓𝒆𝒄𝒊𝒐𝒔〗_𝒏=𝟎,𝟕𝟎×〖𝑾𝑷𝑼〗_𝒏/〖𝑾𝑷𝑼〗_𝒐 +[𝟎,𝟏𝟕𝟖×〖</a:t>
              </a:r>
              <a:r>
                <a:rPr lang="es-E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𝑮𝑶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〗_𝒏/〖</a:t>
              </a:r>
              <a:r>
                <a:rPr lang="es-E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𝑮𝑶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〗_𝒐 +𝟎,𝟎𝟕𝟐×〖𝑴𝑶〗_𝒏/〖𝑴𝑶〗_𝒐 +𝟎,𝟎𝟓×〖𝑰𝑷𝑰𝑴〗_𝒏/〖𝑰𝑷𝑰𝑴〗_𝒐 ]×〖𝑻𝑪〗_𝒐/〖𝑻𝑪〗_𝒏 </a:t>
              </a:r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Fallback>
    </mc:AlternateContent>
    <xdr:clientData/>
  </xdr:oneCellAnchor>
  <xdr:twoCellAnchor editAs="oneCell">
    <xdr:from>
      <xdr:col>0</xdr:col>
      <xdr:colOff>28575</xdr:colOff>
      <xdr:row>24</xdr:row>
      <xdr:rowOff>9525</xdr:rowOff>
    </xdr:from>
    <xdr:to>
      <xdr:col>10</xdr:col>
      <xdr:colOff>417636</xdr:colOff>
      <xdr:row>28</xdr:row>
      <xdr:rowOff>95112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6991350"/>
          <a:ext cx="11714286" cy="11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26</xdr:row>
      <xdr:rowOff>15075</xdr:rowOff>
    </xdr:from>
    <xdr:to>
      <xdr:col>10</xdr:col>
      <xdr:colOff>677553</xdr:colOff>
      <xdr:row>33</xdr:row>
      <xdr:rowOff>124075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BA7F829-4057-D819-4D0F-CF4159D4E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5796750"/>
          <a:ext cx="7373628" cy="1442500"/>
        </a:xfrm>
        <a:prstGeom prst="rect">
          <a:avLst/>
        </a:prstGeom>
      </xdr:spPr>
    </xdr:pic>
    <xdr:clientData/>
  </xdr:twoCellAnchor>
  <xdr:twoCellAnchor editAs="oneCell">
    <xdr:from>
      <xdr:col>0</xdr:col>
      <xdr:colOff>1104900</xdr:colOff>
      <xdr:row>34</xdr:row>
      <xdr:rowOff>180975</xdr:rowOff>
    </xdr:from>
    <xdr:to>
      <xdr:col>16</xdr:col>
      <xdr:colOff>10804</xdr:colOff>
      <xdr:row>48</xdr:row>
      <xdr:rowOff>86084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A99E52D-0A2A-C17E-B72C-4196976C5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4900" y="7486650"/>
          <a:ext cx="9164329" cy="25721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0</xdr:row>
      <xdr:rowOff>123825</xdr:rowOff>
    </xdr:from>
    <xdr:to>
      <xdr:col>8</xdr:col>
      <xdr:colOff>345756</xdr:colOff>
      <xdr:row>16</xdr:row>
      <xdr:rowOff>162521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BA6B2385-DD1F-4360-AE7F-FEAF05871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5350" y="123825"/>
          <a:ext cx="5546406" cy="30866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82026</xdr:rowOff>
    </xdr:from>
    <xdr:to>
      <xdr:col>14</xdr:col>
      <xdr:colOff>582768</xdr:colOff>
      <xdr:row>13</xdr:row>
      <xdr:rowOff>95750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F72190-EA1C-0FDF-E125-850F05F93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82026"/>
          <a:ext cx="10812618" cy="3109349"/>
        </a:xfrm>
        <a:prstGeom prst="rect">
          <a:avLst/>
        </a:prstGeom>
      </xdr:spPr>
    </xdr:pic>
    <xdr:clientData/>
  </xdr:twoCellAnchor>
  <xdr:twoCellAnchor editAs="oneCell">
    <xdr:from>
      <xdr:col>5</xdr:col>
      <xdr:colOff>426578</xdr:colOff>
      <xdr:row>7</xdr:row>
      <xdr:rowOff>189139</xdr:rowOff>
    </xdr:from>
    <xdr:to>
      <xdr:col>11</xdr:col>
      <xdr:colOff>592783</xdr:colOff>
      <xdr:row>19</xdr:row>
      <xdr:rowOff>132505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F076D5A-B0AA-2DDE-850F-FFB488A16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91649" y="1903639"/>
          <a:ext cx="4738205" cy="288250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638175</xdr:colOff>
      <xdr:row>2</xdr:row>
      <xdr:rowOff>102072</xdr:rowOff>
    </xdr:from>
    <xdr:to>
      <xdr:col>14</xdr:col>
      <xdr:colOff>687571</xdr:colOff>
      <xdr:row>19</xdr:row>
      <xdr:rowOff>162470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041B219-2751-C373-8627-9440EE3BE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483072"/>
          <a:ext cx="10717396" cy="329889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Secundaria\Porvenir\C&#225;lculo%20Qi.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7933\Cementaci&#243;n\Hern&#225;n\Trabajos%20de%20Campo\Informes%20de%20Operaciones\Chevron%20San%20Jorge%20SRL\ET-598\Aislaci&#243;n\aisl%20ET-59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indows\TEMP\AFES\PTER11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AFES\PTER110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Local%20Data/back%20AF%20%20recuperado/My%20Documents/Carpeta%20de%20Control%20de%20Pozos/Resumen%20y%20an&#225;lisis%2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2MIS001\Users\VictorErnesto\Propuesta\Soportes\Estadisticas%20Perf%2097%2098%2099%2000%2001%207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rguevara\LOCALS~1\Temp\notes8DDD21\CE1134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_FS01\VOL1\NEUQUEN\Contabilidad\Budget\1999\Definitivo\BUDGET%201999%20(Definitivo%2015-3-99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102378\C\access\LOYOLA\basi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costan/Configuraci&#243;n%20local/Temp/Apertura%20de%20Costos%20Tipo%20PAE%20-%20vfinal%201.0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PAE/Licitaci&#243;n%20Capilares%20Dic17/Econ&#243;mico/Apertura%20de%20Costos%20Tipo%20PAE%20-%20vfinal%201.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personal/ana_cevnia_pecomenergia_com_ar/Documents/ESCRITORIO/SALARIOS/01-Reportes%20Mensuales%20Completos/02.%20Febrero%202021/Copia%20de%20COTIZACI&#211;N%20MO%20PAE-%20Asan%20con%20incremento%201225%2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Total/Licitacion%20Capilares%202018/Econ&#243;mico/BNDTQ-%20180164-CAPILLARY%20STRING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AppData/Local/Microsoft/Windows/Temporary%20Internet%20Files/Content.Outlook/8ZMJZ5EL/BNDAL-18150-YPFAR%20-%20Montaje%20Controladores%20de%20Pozo%20(rev.A)%20SANTA%20CRUZ%20(003)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DM-PLANILLA%20COMEDOR-AFES%20ACTUALIZADOS\AFES\Afes%20Centenario%202008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foProd%202.0\Porvenir\Mensual\2002\Mensual%20del%20%20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WINDOWS\TEMP\CURVA-MEDJDM-Prod-2001-Total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API1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ill/Configuraci&#243;n%20local/Archivos%20temporales%20de%20Internet/Content.IE5/1R4XPPCF/Planta%20de%20Inyeccion%20-%20Cerro%20Dragon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Bill\Configuraci&#243;n%20local\Archivos%20temporales%20de%20Internet\Content.IE5\1R4XPPCF\Planta%20de%20Inyeccion%20-%20Cerro%20Dragon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Abril\Informe%20Asignados%20Internacionales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4\Versi&#243;n%2023-01-04%20Con%203%20Perfora%20Gas%20Centenario\Produc%20Vtas%20Precios%20Budget%202004%20(NP)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reyandr\My%20Documents\2004%20files\Finance%202004\Repsol%20YPF%20analysis%20-%20December%202004%20II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09\EE_AFES\WO&amp;CONV\EE_Ce-1038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cmontiel\LOCALS~1\Temp\notes8DDD21\CE1052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earntmulti5\general$\Ingenieria\Tratamiento%20Qu&#237;mico\EL%20TRAPIAL\NALCO\Tratamiento%20Quimico\Inhibidor%20de%20Incrustaciones\Pozos%20criticos\Copia%20de%20SPEF-ETm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miculi/Mis%20documentos/Miculian%20Pablo/Bolland%20&amp;%20Cia/Costeo%20preliminar%203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pmiculi\Mis%20documentos\Miculian%20Pablo\Bolland%20&amp;%20Cia\Costeo%20preliminar%203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Sectores\Ing.%20Prod\PULLING\SEGUIMIENTO\Pulling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~0052671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traprod.pan-energy.com/Documents%20and%20Settings/usuario/Mis%20documentos/AA%20Cutover/PEPS/PEPS%20PLANTAS%20TODAS%20LAS%20AREAS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ecoronad\LOCALS~1\Temp\notes8DDD21\AFE%20&amp;%20WO\AFE-2004\EPO\AFE&amp;WO%20NA-18\AFE%20WO&amp;PEM%20NA-18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0\Definitivo\BUDGET%202000%20(Definitivo%2001.02.00)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Aquanima/Proyectos/Chile/Banco%20Santander/6041%20-%20Servicio%20Apoyo%20de%20Vigilancia/3%20Inteligencia%20Mercado/RFI_6041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8/Casos/D&amp;S/ASEO/RFI/RFI%20Recibidos/analisis/RFI%20Recibidos/Limoci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TOTAUSTR\INS\BASICA\INSTRUM\PSV'S\CALCULO\10D110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9/Casos/TOTTUS/RFI/Recepci&#243;n%20RFI/Floor_Crew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WINDOWS\Temp\Estudio%202525%20ver%2022deMayo%20con%20zona%20y%20modif%20CC%20JP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7\Budget%202007%20Inversiones%20501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ectores\Producci&#243;n\DARIO\PRESUP%202004\CONSOLIDADO%20FINAL%20MEDANITO%20CS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msanch/Mis%20documentos/Ventas/Pendientes%20NQN%202012%2006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Enero\Informe%20Asignados%20Internacionales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corder/Mis%20documentos/evangelina/Yacimiento/YPF/Informe%20varios/Informes%20T&#233;cnicos/Intervenci&#243;n-fotos-tendencia-croma-bsr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fdirocco/Documents/BND%20-%20Gesti&#243;n%20de%20Personas%20MZA/Cotizaciones/TRAZADORES/201801%20Pablo%20Mu&#241;oz/Cotizaci&#243;n%20MO%20201801%20rev.A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Documents/BND%20-%20Gesti&#243;n%20de%20Personas%20MZA/Cotizaciones/TRAZADORES/201801%20Pablo%20Mu&#241;oz/Cotizaci&#243;n%20MO%20201801%20rev.A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05\biblioteca\Biblioteca\Piping\Soporte%20de%20C&#225;lculo\Espesor\Caner&#237;as%20PEAD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fsnas01\Depart\COMPENSACIONES\INFORMES%20SOLICITADOS\2009\R&amp;P\Ejercicio%20Octubre%202008\Recibidos\10-08_ANALISIS%20EJERCICIO%20DE%20NOV%20v3.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16/03%20Pulling%20PP%2016%20(02-04-04)/RI%20PP16%20(05-04-04)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My%20Documents\A%20RIO%20GALLEGOS\Alianza%20Petrobras\Contrato\Copy%20of%20Petrobras%20%20Agosto%20%202006%20con%20Bombas%20Centurion%20a%20Presentar%20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TPO0197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LBERTO\Formularios%20Servicios\PPTO.%20PETROANDINA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Local%20Settings\Temporary%20Internet%20Files\OLK10\WINDOWS\Temporary%20Internet%20Files\Content.IE5\9GNO1ELY\Certificado%2003-02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costan/Configuraci&#243;n%20local/Temp/CATRIEL_JUL13.xlsx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Simulaci&#243;n%20aumentos\Simulaci&#243;n%20condiciones\Informe%20Asignados%20Internacionales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huench/Mis%20documentos/PQB%20NEUQUEN/CUENTAS/DISCRIMINACION%20DE%20PRECIOS%20Y%20RECURSOS%20YPF/FINAL%20FINAL/ANEXO%20III%204944903%20u$s_912$_%20%20Ajustada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iculi.ARGENTINA/AppData/Local/Microsoft/Windows/Temporary%20Internet%20Files/Content.Outlook/PEZDPPGF/Cotizaci&#243;n%20PM-FS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odelo%20Unificado%20V2.8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ETREVEN\BSC-FIN\BILANCIO\2014\SA\Petreven%20S.A.%20BCA%20Menu%20Administrador.xlsm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lientes_doc\BOLLAND\0034_1st%20Iny%20Trapial\piping\c&#243;mputo%20el%20trapial%202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jose-h\Mis%20documentos\AA\CONTRATO%20O&amp;M%20YPF\Estudio%20Econ&#243;mico\Tarifa%20WO%20O&amp;M%20%20%20incremental\REE%20EPASA%20TARIFA%20Incremental%20WO%20UNAO%20ene2008%20rev%202%20YPF-EPASA%2019may08%20DTM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/cotizaciones/PEREZ%20COMPANC/PLANILLAYPF5645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oter\ARCHI\UGA%20S%20A\906\PIPING\Computo\BASEDAT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_A.B.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NogueraL\AppData\Roaming\Microsoft\Excel\OXYPOARG_R_Service_Order_Contract_Details%20(cancel)%20(version%201)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10\Conversiones\EE_Ce-1015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Mant.Junio-Julio%202009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O&amp;M%20-%20Paro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Ingenier&#237;a%20Extracci&#243;n%20Junio%20Rev1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28/01%20Pulling%20PP%2028%20(11-05-04)/RP%20PP28%20(11-05-04)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svera\Local%20Settings\Temporary%20Internet%20Files\Content.Outlook\RTB1BOIN\EQUIPOS\Cinco%20Saltos\PRo.x-1\Programa\Coversion%20Programas%20Finales%20Ce\CE23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qnbua-dc\respaldo$\Documents%20and%20Settings\Victoria.Maes\Configuraci&#243;n%20local\Archivos%20temporales%20de%20Internet\OLK88\RFI_6041%20(2)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9_Archivos%20adjuntos%20comprimidos%20de%20WinZip%20(2).zip/Planilla%20Certificaci&#243;n%20Enero%202016-Catriel-Zona%20I%20II%20y%20VAM-.xlsm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12_Archivos%20adjuntos%20comprimidos%20de%20WinZip%20(2).zip/Planilla%20Certificaci&#243;n%20Abril%202016-Catriel-Zona%20I%20II%20y%20VAM.xlsm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huench/Configuraci&#243;n%20local/Temp/Copia%20de%20NUEVO%20ANEXO%20III%20V7%2049_%20AJ_CCT%2053-6346-12%20mh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mhuench\Configuraci&#243;n%20local\Temp\Copia%20de%20NUEVO%20ANEXO%20III%20V7%2049_%20AJ_CCT%2053-6346-12%20mh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(3)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bidart/Mis%20documentos/Pamela/Banco%20Santander/Cheques/Estadisticas%20Cheques%20y%20Dctos.Valorados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MPA_02\Centrilift\Mis%20documentos\Puesto%20Hern&#225;ndez\Disco%20Q\Ingenieria%20de%20Produccion\Pulling%20-%20Parte%20diario\Pulling-Intervenciones\PULL9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cope"/>
      <sheetName val="costo"/>
      <sheetName val="programa"/>
      <sheetName val="estatica"/>
      <sheetName val="FMT y DP"/>
      <sheetName val="Call Sheet"/>
      <sheetName val="costo con N2"/>
      <sheetName val="costo 13.9# + Flow Check"/>
      <sheetName val="FMT_y_DP"/>
      <sheetName val="Call_Sheet"/>
      <sheetName val="costo_con_N2"/>
      <sheetName val="costo_13_9#_+_Flow_Check"/>
      <sheetName val="Gradientes Program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 SCADA"/>
      <sheetName val="S-102"/>
      <sheetName val="SCADA"/>
      <sheetName val="Correcciones"/>
      <sheetName val="Novedades"/>
      <sheetName val="Curvas"/>
      <sheetName val="MiniDB"/>
      <sheetName val="DB_declinacion"/>
      <sheetName val="Impres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>
        <row r="1">
          <cell r="D1" t="str">
            <v>R-15</v>
          </cell>
        </row>
        <row r="2">
          <cell r="D2">
            <v>37765</v>
          </cell>
        </row>
        <row r="3">
          <cell r="D3">
            <v>1237</v>
          </cell>
        </row>
        <row r="4">
          <cell r="D4">
            <v>485888</v>
          </cell>
        </row>
        <row r="5">
          <cell r="D5" t="str">
            <v>128/64 2R</v>
          </cell>
        </row>
        <row r="6">
          <cell r="D6" t="str">
            <v>Standard</v>
          </cell>
        </row>
        <row r="7">
          <cell r="D7">
            <v>37753</v>
          </cell>
        </row>
        <row r="8">
          <cell r="D8">
            <v>1244</v>
          </cell>
        </row>
        <row r="9">
          <cell r="D9">
            <v>522625</v>
          </cell>
        </row>
        <row r="10">
          <cell r="D10">
            <v>37638</v>
          </cell>
        </row>
        <row r="11">
          <cell r="D11">
            <v>1341</v>
          </cell>
        </row>
        <row r="12">
          <cell r="D12">
            <v>504162</v>
          </cell>
        </row>
        <row r="13">
          <cell r="D13">
            <v>1230</v>
          </cell>
        </row>
        <row r="14">
          <cell r="D14">
            <v>1237</v>
          </cell>
        </row>
        <row r="15">
          <cell r="D15">
            <v>1330</v>
          </cell>
        </row>
        <row r="16">
          <cell r="D16">
            <v>1119</v>
          </cell>
        </row>
        <row r="17">
          <cell r="D17">
            <v>1130</v>
          </cell>
        </row>
        <row r="18">
          <cell r="D18">
            <v>1115.2</v>
          </cell>
        </row>
        <row r="19">
          <cell r="D19">
            <v>0.6</v>
          </cell>
        </row>
        <row r="20">
          <cell r="D20">
            <v>0.43</v>
          </cell>
        </row>
        <row r="22">
          <cell r="D22">
            <v>25.911000000000001</v>
          </cell>
        </row>
        <row r="24">
          <cell r="D24">
            <v>27.558</v>
          </cell>
        </row>
        <row r="25">
          <cell r="D25">
            <v>2.6259999999999999</v>
          </cell>
        </row>
        <row r="27">
          <cell r="D27">
            <v>3.3319999999999999</v>
          </cell>
        </row>
        <row r="28">
          <cell r="D28">
            <v>59</v>
          </cell>
        </row>
        <row r="29">
          <cell r="D29">
            <v>60</v>
          </cell>
        </row>
        <row r="30">
          <cell r="D30">
            <v>60</v>
          </cell>
        </row>
        <row r="31">
          <cell r="D31">
            <v>33.799999999999997</v>
          </cell>
        </row>
        <row r="32">
          <cell r="D32">
            <v>32.799999999999997</v>
          </cell>
        </row>
        <row r="33">
          <cell r="D33">
            <v>25.14</v>
          </cell>
        </row>
        <row r="34">
          <cell r="D34" t="str">
            <v xml:space="preserve">Control Std. realizado con la surgencia de las dos ramas, para ello se cerro el R1001. </v>
          </cell>
        </row>
        <row r="35">
          <cell r="D35">
            <v>4315.7700000000004</v>
          </cell>
        </row>
        <row r="36">
          <cell r="D36">
            <v>3.8260000000000001</v>
          </cell>
        </row>
        <row r="37">
          <cell r="D37" t="str">
            <v>Control por 12 horas, se tomó cloruros de Bdp. En producción estable toda la semana con variaciones el dia 28 de mayo y  02 de junio por la compresora Chango Norte</v>
          </cell>
        </row>
        <row r="38">
          <cell r="D38">
            <v>1407.81</v>
          </cell>
        </row>
        <row r="39">
          <cell r="D39">
            <v>-0.54663074</v>
          </cell>
        </row>
        <row r="40">
          <cell r="D40">
            <v>382.56658055999998</v>
          </cell>
        </row>
        <row r="41">
          <cell r="D41">
            <v>1004566.3479349</v>
          </cell>
        </row>
        <row r="42">
          <cell r="D42">
            <v>-155475.79529256001</v>
          </cell>
        </row>
        <row r="44">
          <cell r="D44">
            <v>1254</v>
          </cell>
        </row>
        <row r="45">
          <cell r="D45">
            <v>1245</v>
          </cell>
        </row>
        <row r="46">
          <cell r="D46">
            <v>1249.4613037109375</v>
          </cell>
        </row>
        <row r="47">
          <cell r="D47">
            <v>1252</v>
          </cell>
        </row>
        <row r="48">
          <cell r="D48">
            <v>1254.9107360839844</v>
          </cell>
        </row>
        <row r="49">
          <cell r="D49">
            <v>1268</v>
          </cell>
        </row>
        <row r="50">
          <cell r="D50">
            <v>5.75</v>
          </cell>
        </row>
        <row r="51">
          <cell r="D51">
            <v>0</v>
          </cell>
        </row>
        <row r="52">
          <cell r="D52">
            <v>1204</v>
          </cell>
        </row>
        <row r="53">
          <cell r="D53">
            <v>1254</v>
          </cell>
        </row>
        <row r="54">
          <cell r="D54">
            <v>1304</v>
          </cell>
        </row>
        <row r="55">
          <cell r="D55">
            <v>1354</v>
          </cell>
        </row>
        <row r="56">
          <cell r="D56">
            <v>1404</v>
          </cell>
        </row>
        <row r="57">
          <cell r="D57">
            <v>0</v>
          </cell>
        </row>
        <row r="58">
          <cell r="D58">
            <v>0</v>
          </cell>
        </row>
        <row r="59">
          <cell r="D59">
            <v>113</v>
          </cell>
        </row>
        <row r="60">
          <cell r="D60">
            <v>55</v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>
            <v>0</v>
          </cell>
        </row>
        <row r="65">
          <cell r="D65">
            <v>0.67261904761904767</v>
          </cell>
        </row>
        <row r="66">
          <cell r="D66">
            <v>0.32738095238095238</v>
          </cell>
        </row>
        <row r="67">
          <cell r="D67">
            <v>0</v>
          </cell>
        </row>
        <row r="68">
          <cell r="D68">
            <v>0</v>
          </cell>
        </row>
        <row r="69">
          <cell r="D69" t="str">
            <v>0 % de la semana entre 0 - 1204 psi</v>
          </cell>
        </row>
        <row r="70">
          <cell r="D70" t="str">
            <v>67.26 % de la semana entre 1205 - 1254 psi</v>
          </cell>
        </row>
        <row r="71">
          <cell r="D71" t="str">
            <v>32.74 % de la semana entre 1255 - 1304 psi</v>
          </cell>
        </row>
        <row r="72">
          <cell r="D72" t="str">
            <v>0 % de la semana entre 1305 - 1354 psi</v>
          </cell>
        </row>
        <row r="73">
          <cell r="D73" t="str">
            <v>0 % de la semana entre 1355 - 1404 psi</v>
          </cell>
        </row>
      </sheetData>
      <sheetData sheetId="7"/>
      <sheetData sheetId="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onas c rc"/>
      <sheetName val="Mejores vs Piloto"/>
      <sheetName val="Piloto"/>
      <sheetName val="zonas 97 a 01 7"/>
      <sheetName val="97 a 2001 7"/>
      <sheetName val="% Varios"/>
      <sheetName val="2001 7"/>
      <sheetName val="2000"/>
      <sheetName val="99"/>
      <sheetName val="98"/>
      <sheetName val="97"/>
      <sheetName val="PC97 98"/>
      <sheetName val="RC 102 00 01 1"/>
      <sheetName val="RC136 00 01 1"/>
      <sheetName val="RC Downtime"/>
      <sheetName val="zonas_c_rc"/>
      <sheetName val="Mejores_vs_Piloto"/>
      <sheetName val="zonas_97_a_01_7"/>
      <sheetName val="97_a_2001_7"/>
      <sheetName val="%_Varios"/>
      <sheetName val="2001_7"/>
      <sheetName val="PC97_98"/>
      <sheetName val="RC_102_00_01_1"/>
      <sheetName val="RC136_00_01_1"/>
      <sheetName val="RC_Down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7">
          <cell r="A7">
            <v>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 1"/>
      <sheetName val="Term 2"/>
      <sheetName val="Term 3"/>
      <sheetName val="K"/>
      <sheetName val="costos"/>
      <sheetName val="Informe Term. (2)"/>
      <sheetName val="Informe Term. (3)"/>
      <sheetName val="AFE00Caratula"/>
      <sheetName val="AFE Costos"/>
      <sheetName val="Rep 08-2003 "/>
      <sheetName val="InfRep.11_20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RESUMEN INV EXPLO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507 Exp"/>
      <sheetName val="507 Exp Aclara"/>
      <sheetName val="Budget 99 Vs. Fct 6+6 "/>
      <sheetName val="RESUMEN"/>
      <sheetName val="PROD DIA Y MES"/>
      <sheetName val="PROD TOTAL"/>
      <sheetName val="PRECIOS"/>
      <sheetName val="PRECIOS GAS"/>
      <sheetName val="CASHFLOW"/>
      <sheetName val="Sheet1"/>
      <sheetName val="Datos"/>
      <sheetName val="Chart2"/>
      <sheetName val="Reservoirs Evolution"/>
      <sheetName val="BUDGET 1999 (Definitivo 15-3-9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N1" t="str">
            <v>U$S 000</v>
          </cell>
        </row>
        <row r="2">
          <cell r="A2" t="str">
            <v>INVESTMENT AND DEVELOPMENT PLAN YEAR 1999</v>
          </cell>
        </row>
        <row r="3">
          <cell r="A3" t="str">
            <v>NEUQUEN OFFICE - BUDGET 1999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N14">
            <v>0</v>
          </cell>
        </row>
        <row r="15">
          <cell r="A15" t="str">
            <v xml:space="preserve">        Battery</v>
          </cell>
          <cell r="N15">
            <v>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Gasolinoducto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20">
          <cell r="A20" t="str">
            <v>Gas Proyect</v>
          </cell>
          <cell r="N20">
            <v>0</v>
          </cell>
        </row>
        <row r="22">
          <cell r="A22" t="str">
            <v>Gas Lift / Plunger Lift</v>
          </cell>
          <cell r="N22">
            <v>0</v>
          </cell>
        </row>
        <row r="23">
          <cell r="N23">
            <v>0</v>
          </cell>
        </row>
        <row r="25">
          <cell r="A25" t="str">
            <v>Vehicles</v>
          </cell>
          <cell r="D25">
            <v>17</v>
          </cell>
          <cell r="N25">
            <v>17</v>
          </cell>
        </row>
        <row r="26">
          <cell r="D26">
            <v>1</v>
          </cell>
          <cell r="N26">
            <v>1</v>
          </cell>
        </row>
        <row r="28">
          <cell r="A28" t="str">
            <v>Miscellaneous</v>
          </cell>
          <cell r="B28">
            <v>20</v>
          </cell>
          <cell r="C28">
            <v>16</v>
          </cell>
          <cell r="D28">
            <v>20</v>
          </cell>
          <cell r="G28">
            <v>14</v>
          </cell>
          <cell r="N28">
            <v>70</v>
          </cell>
        </row>
        <row r="29">
          <cell r="N29">
            <v>0</v>
          </cell>
        </row>
        <row r="30">
          <cell r="A30" t="str">
            <v>Total Capitalized</v>
          </cell>
          <cell r="B30">
            <v>20</v>
          </cell>
          <cell r="C30">
            <v>16</v>
          </cell>
          <cell r="D30">
            <v>37</v>
          </cell>
          <cell r="E30">
            <v>0</v>
          </cell>
          <cell r="F30">
            <v>0</v>
          </cell>
          <cell r="G30">
            <v>14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87</v>
          </cell>
        </row>
        <row r="32">
          <cell r="A32" t="str">
            <v>Workovers</v>
          </cell>
          <cell r="N32">
            <v>0</v>
          </cell>
        </row>
        <row r="33">
          <cell r="N33">
            <v>0</v>
          </cell>
        </row>
        <row r="35">
          <cell r="A35" t="str">
            <v>Conversions &amp; Sel. Inyec.</v>
          </cell>
          <cell r="N35">
            <v>0</v>
          </cell>
        </row>
        <row r="36">
          <cell r="N36">
            <v>0</v>
          </cell>
        </row>
        <row r="38">
          <cell r="A38" t="str">
            <v>Water Disposal System</v>
          </cell>
          <cell r="N38">
            <v>0</v>
          </cell>
        </row>
        <row r="39">
          <cell r="N39">
            <v>0</v>
          </cell>
        </row>
        <row r="41">
          <cell r="A41" t="str">
            <v>Repair Oil &amp; Gas Line</v>
          </cell>
          <cell r="N41">
            <v>0</v>
          </cell>
        </row>
        <row r="43">
          <cell r="A43" t="str">
            <v>Core Analysis</v>
          </cell>
          <cell r="N43">
            <v>0</v>
          </cell>
        </row>
        <row r="45">
          <cell r="A45" t="str">
            <v>Testing</v>
          </cell>
          <cell r="N45">
            <v>0</v>
          </cell>
        </row>
        <row r="48">
          <cell r="A48" t="str">
            <v>Enviroment</v>
          </cell>
          <cell r="N48">
            <v>0</v>
          </cell>
        </row>
        <row r="51">
          <cell r="A51" t="str">
            <v>Road &amp; Dirt Works</v>
          </cell>
          <cell r="N51">
            <v>0</v>
          </cell>
        </row>
        <row r="53">
          <cell r="A53" t="str">
            <v>Miscellaneous Studies</v>
          </cell>
          <cell r="N53">
            <v>0</v>
          </cell>
        </row>
        <row r="55">
          <cell r="A55" t="str">
            <v>Miscellaneous</v>
          </cell>
          <cell r="N55">
            <v>0</v>
          </cell>
        </row>
        <row r="57">
          <cell r="A57" t="str">
            <v>Abandono Pozo</v>
          </cell>
          <cell r="N57">
            <v>0</v>
          </cell>
        </row>
        <row r="59">
          <cell r="A59" t="str">
            <v>Total Non Capitalized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Total Investiments</v>
          </cell>
          <cell r="B60">
            <v>20</v>
          </cell>
          <cell r="C60">
            <v>16</v>
          </cell>
          <cell r="D60">
            <v>37</v>
          </cell>
          <cell r="E60">
            <v>0</v>
          </cell>
          <cell r="F60">
            <v>0</v>
          </cell>
          <cell r="G60">
            <v>14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87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>
        <row r="2">
          <cell r="A2" t="str">
            <v>PRODUCTION &amp; SALES VOLUMES</v>
          </cell>
        </row>
        <row r="3">
          <cell r="A3" t="str">
            <v>NEUQUEN DISTRICT - BUDGET 1999</v>
          </cell>
        </row>
        <row r="7">
          <cell r="B7" t="str">
            <v>DAILY OIL PRODUCTION VOLUMES SCHEDULE</v>
          </cell>
        </row>
        <row r="8">
          <cell r="B8" t="str">
            <v>m3/d</v>
          </cell>
        </row>
        <row r="10">
          <cell r="C10" t="str">
            <v>Jan</v>
          </cell>
          <cell r="D10" t="str">
            <v>Feb</v>
          </cell>
          <cell r="E10" t="str">
            <v>Mar</v>
          </cell>
          <cell r="F10" t="str">
            <v>Apr</v>
          </cell>
          <cell r="G10" t="str">
            <v>May</v>
          </cell>
          <cell r="H10" t="str">
            <v>Jun</v>
          </cell>
          <cell r="I10" t="str">
            <v>Jul</v>
          </cell>
          <cell r="J10" t="str">
            <v>Aug</v>
          </cell>
          <cell r="K10" t="str">
            <v>Sep</v>
          </cell>
          <cell r="L10" t="str">
            <v>Oct</v>
          </cell>
          <cell r="M10" t="str">
            <v>Nov</v>
          </cell>
          <cell r="N10" t="str">
            <v>Dec</v>
          </cell>
          <cell r="O10" t="str">
            <v>Avg</v>
          </cell>
        </row>
        <row r="11">
          <cell r="B11" t="str">
            <v xml:space="preserve">  Centenario (1)</v>
          </cell>
          <cell r="C11">
            <v>456</v>
          </cell>
          <cell r="D11">
            <v>425</v>
          </cell>
          <cell r="E11">
            <v>424</v>
          </cell>
          <cell r="F11">
            <v>429</v>
          </cell>
          <cell r="G11">
            <v>432</v>
          </cell>
          <cell r="H11">
            <v>430</v>
          </cell>
          <cell r="I11">
            <v>457</v>
          </cell>
          <cell r="J11">
            <v>462</v>
          </cell>
          <cell r="K11">
            <v>460</v>
          </cell>
          <cell r="L11">
            <v>426</v>
          </cell>
          <cell r="M11">
            <v>448</v>
          </cell>
          <cell r="N11">
            <v>443</v>
          </cell>
          <cell r="O11">
            <v>441</v>
          </cell>
        </row>
        <row r="12">
          <cell r="B12" t="str">
            <v xml:space="preserve">  El Porvenir</v>
          </cell>
          <cell r="C12">
            <v>448</v>
          </cell>
          <cell r="D12">
            <v>460</v>
          </cell>
          <cell r="E12">
            <v>480</v>
          </cell>
          <cell r="F12">
            <v>489</v>
          </cell>
          <cell r="G12">
            <v>497</v>
          </cell>
          <cell r="H12">
            <v>506</v>
          </cell>
          <cell r="I12">
            <v>503</v>
          </cell>
          <cell r="J12">
            <v>507</v>
          </cell>
          <cell r="K12">
            <v>513</v>
          </cell>
          <cell r="L12">
            <v>510</v>
          </cell>
          <cell r="M12">
            <v>506</v>
          </cell>
          <cell r="N12">
            <v>501</v>
          </cell>
          <cell r="O12">
            <v>493.33333333333331</v>
          </cell>
        </row>
        <row r="13">
          <cell r="B13" t="str">
            <v xml:space="preserve">  Aguada Baguales</v>
          </cell>
          <cell r="C13">
            <v>209</v>
          </cell>
          <cell r="D13">
            <v>218</v>
          </cell>
          <cell r="E13">
            <v>203</v>
          </cell>
          <cell r="F13">
            <v>197</v>
          </cell>
          <cell r="G13">
            <v>203</v>
          </cell>
          <cell r="H13">
            <v>207</v>
          </cell>
          <cell r="I13">
            <v>206</v>
          </cell>
          <cell r="J13">
            <v>205</v>
          </cell>
          <cell r="K13">
            <v>199</v>
          </cell>
          <cell r="L13">
            <v>194</v>
          </cell>
          <cell r="M13">
            <v>189</v>
          </cell>
          <cell r="N13">
            <v>185</v>
          </cell>
          <cell r="O13">
            <v>201.25</v>
          </cell>
        </row>
        <row r="14">
          <cell r="B14" t="str">
            <v xml:space="preserve">  Puesto Touquet (1)</v>
          </cell>
          <cell r="C14">
            <v>1.4667741935483871</v>
          </cell>
          <cell r="D14">
            <v>1.5106000000000002</v>
          </cell>
          <cell r="E14">
            <v>1.4086899354838709</v>
          </cell>
          <cell r="F14">
            <v>1.5223760800000001</v>
          </cell>
          <cell r="G14">
            <v>1.4655509753290323</v>
          </cell>
          <cell r="H14">
            <v>1.4597499872320001</v>
          </cell>
          <cell r="I14">
            <v>1.4053185760608413</v>
          </cell>
          <cell r="J14">
            <v>1.3761523262170436</v>
          </cell>
          <cell r="K14">
            <v>1.3706849867308604</v>
          </cell>
          <cell r="L14">
            <v>1.3196519342516873</v>
          </cell>
          <cell r="M14">
            <v>1.31439642363618</v>
          </cell>
          <cell r="N14">
            <v>1.2655074391151264</v>
          </cell>
          <cell r="O14">
            <v>1.4071210714670859</v>
          </cell>
        </row>
        <row r="15">
          <cell r="B15" t="str">
            <v xml:space="preserve">  (1) Includes Gasoline &amp; Cond.</v>
          </cell>
        </row>
        <row r="16">
          <cell r="B16" t="str">
            <v>DAILY GAS SALES VOLUMES SCHEDULE</v>
          </cell>
        </row>
        <row r="17">
          <cell r="B17" t="str">
            <v>Mm3/d</v>
          </cell>
        </row>
        <row r="19">
          <cell r="C19" t="str">
            <v>Jan</v>
          </cell>
          <cell r="D19" t="str">
            <v>Feb</v>
          </cell>
          <cell r="E19" t="str">
            <v>Mar</v>
          </cell>
          <cell r="F19" t="str">
            <v>Apr</v>
          </cell>
          <cell r="G19" t="str">
            <v>May</v>
          </cell>
          <cell r="H19" t="str">
            <v>Jun</v>
          </cell>
          <cell r="I19" t="str">
            <v>Jul</v>
          </cell>
          <cell r="J19" t="str">
            <v>Aug</v>
          </cell>
          <cell r="K19" t="str">
            <v>Sep</v>
          </cell>
          <cell r="L19" t="str">
            <v>Oct</v>
          </cell>
          <cell r="M19" t="str">
            <v>Nov</v>
          </cell>
          <cell r="N19" t="str">
            <v>Dec</v>
          </cell>
          <cell r="O19" t="str">
            <v>Avg</v>
          </cell>
        </row>
        <row r="20">
          <cell r="B20" t="str">
            <v xml:space="preserve">  Centenario</v>
          </cell>
          <cell r="C20">
            <v>1240</v>
          </cell>
          <cell r="D20">
            <v>1238</v>
          </cell>
          <cell r="E20">
            <v>1350</v>
          </cell>
          <cell r="F20">
            <v>1500</v>
          </cell>
          <cell r="G20">
            <v>1500</v>
          </cell>
          <cell r="H20">
            <v>1500</v>
          </cell>
          <cell r="I20">
            <v>1900</v>
          </cell>
          <cell r="J20">
            <v>1950</v>
          </cell>
          <cell r="K20">
            <v>1950</v>
          </cell>
          <cell r="L20">
            <v>1635</v>
          </cell>
          <cell r="M20">
            <v>1950</v>
          </cell>
          <cell r="N20">
            <v>1949.8</v>
          </cell>
          <cell r="O20">
            <v>1638.5666666666666</v>
          </cell>
        </row>
        <row r="21">
          <cell r="B21" t="str">
            <v xml:space="preserve">  Aguada Baguales</v>
          </cell>
          <cell r="C21">
            <v>0</v>
          </cell>
          <cell r="D21">
            <v>0</v>
          </cell>
          <cell r="E21">
            <v>25</v>
          </cell>
          <cell r="F21">
            <v>25</v>
          </cell>
          <cell r="G21">
            <v>25</v>
          </cell>
          <cell r="H21">
            <v>25</v>
          </cell>
          <cell r="I21">
            <v>25</v>
          </cell>
          <cell r="J21">
            <v>25</v>
          </cell>
          <cell r="K21">
            <v>25</v>
          </cell>
          <cell r="L21">
            <v>25</v>
          </cell>
          <cell r="M21">
            <v>25</v>
          </cell>
          <cell r="N21">
            <v>25</v>
          </cell>
          <cell r="O21">
            <v>20.833333333333332</v>
          </cell>
        </row>
        <row r="22">
          <cell r="B22" t="str">
            <v xml:space="preserve">  Puesto Touquet</v>
          </cell>
          <cell r="C22">
            <v>201</v>
          </cell>
          <cell r="D22">
            <v>190</v>
          </cell>
          <cell r="E22">
            <v>190</v>
          </cell>
          <cell r="F22">
            <v>190</v>
          </cell>
          <cell r="G22">
            <v>190</v>
          </cell>
          <cell r="H22">
            <v>190</v>
          </cell>
          <cell r="I22">
            <v>190</v>
          </cell>
          <cell r="J22">
            <v>190</v>
          </cell>
          <cell r="K22">
            <v>190</v>
          </cell>
          <cell r="L22">
            <v>190</v>
          </cell>
          <cell r="M22">
            <v>190</v>
          </cell>
          <cell r="N22">
            <v>190</v>
          </cell>
          <cell r="O22">
            <v>190.91666666666666</v>
          </cell>
        </row>
        <row r="23">
          <cell r="B23" t="str">
            <v xml:space="preserve">  Puesto Silva</v>
          </cell>
          <cell r="C23">
            <v>122</v>
          </cell>
          <cell r="D23">
            <v>120</v>
          </cell>
          <cell r="E23">
            <v>116</v>
          </cell>
          <cell r="F23">
            <v>104</v>
          </cell>
          <cell r="G23">
            <v>108</v>
          </cell>
          <cell r="H23">
            <v>97</v>
          </cell>
          <cell r="I23">
            <v>135</v>
          </cell>
          <cell r="J23">
            <v>132</v>
          </cell>
          <cell r="K23">
            <v>122</v>
          </cell>
          <cell r="L23">
            <v>124</v>
          </cell>
          <cell r="M23">
            <v>115</v>
          </cell>
          <cell r="N23">
            <v>114.5</v>
          </cell>
          <cell r="O23">
            <v>117.45833333333333</v>
          </cell>
        </row>
        <row r="25">
          <cell r="B25" t="str">
            <v>DAILY PROPANE - BUTANE SALES VOLUMES SCHEDULE</v>
          </cell>
        </row>
        <row r="26">
          <cell r="B26" t="str">
            <v>Tn/d</v>
          </cell>
        </row>
        <row r="28">
          <cell r="C28" t="str">
            <v>Jan</v>
          </cell>
          <cell r="D28" t="str">
            <v>Feb</v>
          </cell>
          <cell r="E28" t="str">
            <v>Mar</v>
          </cell>
          <cell r="F28" t="str">
            <v>Apr</v>
          </cell>
          <cell r="G28" t="str">
            <v>May</v>
          </cell>
          <cell r="H28" t="str">
            <v>Jun</v>
          </cell>
          <cell r="I28" t="str">
            <v>Jul</v>
          </cell>
          <cell r="J28" t="str">
            <v>Aug</v>
          </cell>
          <cell r="K28" t="str">
            <v>Sep</v>
          </cell>
          <cell r="L28" t="str">
            <v>Oct</v>
          </cell>
          <cell r="M28" t="str">
            <v>Nov</v>
          </cell>
          <cell r="N28" t="str">
            <v>Dec</v>
          </cell>
          <cell r="O28" t="str">
            <v>Avg</v>
          </cell>
        </row>
        <row r="29">
          <cell r="B29" t="str">
            <v xml:space="preserve">  Centenario</v>
          </cell>
          <cell r="C29">
            <v>85</v>
          </cell>
          <cell r="D29">
            <v>82.035714285714292</v>
          </cell>
          <cell r="E29">
            <v>80</v>
          </cell>
          <cell r="F29">
            <v>96.666666666666671</v>
          </cell>
          <cell r="G29">
            <v>96.677419354838705</v>
          </cell>
          <cell r="H29">
            <v>96.666666666666671</v>
          </cell>
          <cell r="I29">
            <v>108.6774193548387</v>
          </cell>
          <cell r="J29">
            <v>108.6774193548387</v>
          </cell>
          <cell r="K29">
            <v>108.66666666666667</v>
          </cell>
          <cell r="L29">
            <v>94.645161290322577</v>
          </cell>
          <cell r="M29">
            <v>108.66666666666667</v>
          </cell>
          <cell r="N29">
            <v>108.6774193548387</v>
          </cell>
          <cell r="O29">
            <v>97.921434971838195</v>
          </cell>
        </row>
        <row r="32">
          <cell r="B32" t="str">
            <v>MONTHLY OIL PRODUCTION VOLUMES SCHEDULE</v>
          </cell>
        </row>
        <row r="33">
          <cell r="B33" t="str">
            <v>m3</v>
          </cell>
        </row>
        <row r="35">
          <cell r="C35" t="str">
            <v>Jan</v>
          </cell>
          <cell r="D35" t="str">
            <v>Feb</v>
          </cell>
          <cell r="E35" t="str">
            <v>Mar</v>
          </cell>
          <cell r="F35" t="str">
            <v>Apr</v>
          </cell>
          <cell r="G35" t="str">
            <v>May</v>
          </cell>
          <cell r="H35" t="str">
            <v>Jun</v>
          </cell>
          <cell r="I35" t="str">
            <v>Jul</v>
          </cell>
          <cell r="J35" t="str">
            <v>Aug</v>
          </cell>
          <cell r="K35" t="str">
            <v>Sep</v>
          </cell>
          <cell r="L35" t="str">
            <v>Oct</v>
          </cell>
          <cell r="M35" t="str">
            <v>Nov</v>
          </cell>
          <cell r="N35" t="str">
            <v>Dec</v>
          </cell>
          <cell r="O35" t="str">
            <v>Total</v>
          </cell>
        </row>
        <row r="36">
          <cell r="B36" t="str">
            <v xml:space="preserve">  Centenario (1)</v>
          </cell>
          <cell r="C36">
            <v>14136</v>
          </cell>
          <cell r="D36">
            <v>11900</v>
          </cell>
          <cell r="E36">
            <v>13144</v>
          </cell>
          <cell r="F36">
            <v>12870</v>
          </cell>
          <cell r="G36">
            <v>13392</v>
          </cell>
          <cell r="H36">
            <v>12900</v>
          </cell>
          <cell r="I36">
            <v>14167</v>
          </cell>
          <cell r="J36">
            <v>14322</v>
          </cell>
          <cell r="K36">
            <v>13800</v>
          </cell>
          <cell r="L36">
            <v>13206</v>
          </cell>
          <cell r="M36">
            <v>13440</v>
          </cell>
          <cell r="N36">
            <v>13733</v>
          </cell>
          <cell r="O36">
            <v>161010</v>
          </cell>
        </row>
        <row r="37">
          <cell r="B37" t="str">
            <v xml:space="preserve">  El Porvenir</v>
          </cell>
          <cell r="C37">
            <v>13888</v>
          </cell>
          <cell r="D37">
            <v>12880</v>
          </cell>
          <cell r="E37">
            <v>14880</v>
          </cell>
          <cell r="F37">
            <v>14670</v>
          </cell>
          <cell r="G37">
            <v>15407</v>
          </cell>
          <cell r="H37">
            <v>15180</v>
          </cell>
          <cell r="I37">
            <v>15593</v>
          </cell>
          <cell r="J37">
            <v>15717</v>
          </cell>
          <cell r="K37">
            <v>15390</v>
          </cell>
          <cell r="L37">
            <v>15810</v>
          </cell>
          <cell r="M37">
            <v>15180</v>
          </cell>
          <cell r="N37">
            <v>15531</v>
          </cell>
          <cell r="O37">
            <v>180126</v>
          </cell>
        </row>
        <row r="38">
          <cell r="B38" t="str">
            <v xml:space="preserve">  Aguada Baguales</v>
          </cell>
          <cell r="C38">
            <v>6479</v>
          </cell>
          <cell r="D38">
            <v>6104</v>
          </cell>
          <cell r="E38">
            <v>6293</v>
          </cell>
          <cell r="F38">
            <v>5910</v>
          </cell>
          <cell r="G38">
            <v>6293</v>
          </cell>
          <cell r="H38">
            <v>6210</v>
          </cell>
          <cell r="I38">
            <v>6386</v>
          </cell>
          <cell r="J38">
            <v>6355</v>
          </cell>
          <cell r="K38">
            <v>5970</v>
          </cell>
          <cell r="L38">
            <v>6014</v>
          </cell>
          <cell r="M38">
            <v>5670</v>
          </cell>
          <cell r="N38">
            <v>5735</v>
          </cell>
          <cell r="O38">
            <v>73419</v>
          </cell>
        </row>
        <row r="39">
          <cell r="B39" t="str">
            <v xml:space="preserve">  Puesto Touquet (1)</v>
          </cell>
          <cell r="C39">
            <v>45.47</v>
          </cell>
          <cell r="D39">
            <v>42.296800000000005</v>
          </cell>
          <cell r="E39">
            <v>43.669387999999998</v>
          </cell>
          <cell r="F39">
            <v>45.671282400000003</v>
          </cell>
          <cell r="G39">
            <v>45.432080235200004</v>
          </cell>
          <cell r="H39">
            <v>43.792499616960001</v>
          </cell>
          <cell r="I39">
            <v>43.564875857886079</v>
          </cell>
          <cell r="J39">
            <v>42.660722112728351</v>
          </cell>
          <cell r="K39">
            <v>41.120549601925809</v>
          </cell>
          <cell r="L39">
            <v>40.909209961802304</v>
          </cell>
          <cell r="M39">
            <v>39.431892709085403</v>
          </cell>
          <cell r="N39">
            <v>39.230730612568919</v>
          </cell>
          <cell r="O39">
            <v>513.25003110815692</v>
          </cell>
        </row>
        <row r="40">
          <cell r="B40" t="str">
            <v xml:space="preserve">  (1) Includes Gasoline &amp; Cond.</v>
          </cell>
        </row>
        <row r="41">
          <cell r="B41" t="str">
            <v>MONTHLY GAS SALES VOLUMES SCHEDULE</v>
          </cell>
        </row>
        <row r="42">
          <cell r="B42" t="str">
            <v>Mm3</v>
          </cell>
        </row>
        <row r="44">
          <cell r="C44" t="str">
            <v>Jan</v>
          </cell>
          <cell r="D44" t="str">
            <v>Feb</v>
          </cell>
          <cell r="E44" t="str">
            <v>Mar</v>
          </cell>
          <cell r="F44" t="str">
            <v>Apr</v>
          </cell>
          <cell r="G44" t="str">
            <v>May</v>
          </cell>
          <cell r="H44" t="str">
            <v>Jun</v>
          </cell>
          <cell r="I44" t="str">
            <v>Jul</v>
          </cell>
          <cell r="J44" t="str">
            <v>Aug</v>
          </cell>
          <cell r="K44" t="str">
            <v>Sep</v>
          </cell>
          <cell r="L44" t="str">
            <v>Oct</v>
          </cell>
          <cell r="M44" t="str">
            <v>Nov</v>
          </cell>
          <cell r="N44" t="str">
            <v>Dec</v>
          </cell>
          <cell r="O44" t="str">
            <v>Total</v>
          </cell>
        </row>
        <row r="45">
          <cell r="B45" t="str">
            <v xml:space="preserve">  Centenario</v>
          </cell>
          <cell r="C45">
            <v>38440</v>
          </cell>
          <cell r="D45">
            <v>34664</v>
          </cell>
          <cell r="E45">
            <v>41850</v>
          </cell>
          <cell r="F45">
            <v>45000</v>
          </cell>
          <cell r="G45">
            <v>46500</v>
          </cell>
          <cell r="H45">
            <v>45000</v>
          </cell>
          <cell r="I45">
            <v>58900</v>
          </cell>
          <cell r="J45">
            <v>60450</v>
          </cell>
          <cell r="K45">
            <v>58500</v>
          </cell>
          <cell r="L45">
            <v>50685</v>
          </cell>
          <cell r="M45">
            <v>58500</v>
          </cell>
          <cell r="N45">
            <v>60443.799999999996</v>
          </cell>
          <cell r="O45">
            <v>598932.80000000005</v>
          </cell>
        </row>
        <row r="46">
          <cell r="B46" t="str">
            <v xml:space="preserve">  Aguada Baguales</v>
          </cell>
          <cell r="C46">
            <v>0</v>
          </cell>
          <cell r="D46">
            <v>0</v>
          </cell>
          <cell r="E46">
            <v>775</v>
          </cell>
          <cell r="F46">
            <v>750</v>
          </cell>
          <cell r="G46">
            <v>775</v>
          </cell>
          <cell r="H46">
            <v>750</v>
          </cell>
          <cell r="I46">
            <v>775</v>
          </cell>
          <cell r="J46">
            <v>775</v>
          </cell>
          <cell r="K46">
            <v>750</v>
          </cell>
          <cell r="L46">
            <v>775</v>
          </cell>
          <cell r="M46">
            <v>750</v>
          </cell>
          <cell r="N46">
            <v>775</v>
          </cell>
          <cell r="O46">
            <v>7650</v>
          </cell>
        </row>
        <row r="47">
          <cell r="B47" t="str">
            <v xml:space="preserve">  Puesto Touquet</v>
          </cell>
          <cell r="C47">
            <v>6231</v>
          </cell>
          <cell r="D47">
            <v>5320</v>
          </cell>
          <cell r="E47">
            <v>5890</v>
          </cell>
          <cell r="F47">
            <v>5700</v>
          </cell>
          <cell r="G47">
            <v>5890</v>
          </cell>
          <cell r="H47">
            <v>5700</v>
          </cell>
          <cell r="I47">
            <v>5890</v>
          </cell>
          <cell r="J47">
            <v>5890</v>
          </cell>
          <cell r="K47">
            <v>5700</v>
          </cell>
          <cell r="L47">
            <v>5890</v>
          </cell>
          <cell r="M47">
            <v>5700</v>
          </cell>
          <cell r="N47">
            <v>5890</v>
          </cell>
          <cell r="O47">
            <v>69691</v>
          </cell>
        </row>
        <row r="48">
          <cell r="B48" t="str">
            <v xml:space="preserve">  Puesto Silva</v>
          </cell>
          <cell r="C48">
            <v>3782</v>
          </cell>
          <cell r="D48">
            <v>3360</v>
          </cell>
          <cell r="E48">
            <v>3596</v>
          </cell>
          <cell r="F48">
            <v>3120</v>
          </cell>
          <cell r="G48">
            <v>3348</v>
          </cell>
          <cell r="H48">
            <v>2910</v>
          </cell>
          <cell r="I48">
            <v>4185</v>
          </cell>
          <cell r="J48">
            <v>4092</v>
          </cell>
          <cell r="K48">
            <v>3660</v>
          </cell>
          <cell r="L48">
            <v>3844</v>
          </cell>
          <cell r="M48">
            <v>3450</v>
          </cell>
          <cell r="N48">
            <v>3549.5</v>
          </cell>
          <cell r="O48">
            <v>42896.5</v>
          </cell>
        </row>
        <row r="50">
          <cell r="B50" t="str">
            <v>MONTHLY PROPANE - BUTANE SALES VOLUMES SCHEDULE</v>
          </cell>
        </row>
        <row r="51">
          <cell r="B51" t="str">
            <v>Tn</v>
          </cell>
        </row>
        <row r="53">
          <cell r="C53" t="str">
            <v>Jan</v>
          </cell>
          <cell r="D53" t="str">
            <v>Feb</v>
          </cell>
          <cell r="E53" t="str">
            <v>Mar</v>
          </cell>
          <cell r="F53" t="str">
            <v>Apr</v>
          </cell>
          <cell r="G53" t="str">
            <v>May</v>
          </cell>
          <cell r="H53" t="str">
            <v>Jun</v>
          </cell>
          <cell r="I53" t="str">
            <v>Jul</v>
          </cell>
          <cell r="J53" t="str">
            <v>Aug</v>
          </cell>
          <cell r="K53" t="str">
            <v>Sep</v>
          </cell>
          <cell r="L53" t="str">
            <v>Oct</v>
          </cell>
          <cell r="M53" t="str">
            <v>Nov</v>
          </cell>
          <cell r="N53" t="str">
            <v>Dec</v>
          </cell>
          <cell r="O53" t="str">
            <v>Total</v>
          </cell>
        </row>
        <row r="54">
          <cell r="B54" t="str">
            <v xml:space="preserve">  Centenario</v>
          </cell>
          <cell r="C54">
            <v>2635</v>
          </cell>
          <cell r="D54">
            <v>2297</v>
          </cell>
          <cell r="E54">
            <v>2480</v>
          </cell>
          <cell r="F54">
            <v>2900</v>
          </cell>
          <cell r="G54">
            <v>2997</v>
          </cell>
          <cell r="H54">
            <v>2900</v>
          </cell>
          <cell r="I54">
            <v>3369</v>
          </cell>
          <cell r="J54">
            <v>3369</v>
          </cell>
          <cell r="K54">
            <v>3260</v>
          </cell>
          <cell r="L54">
            <v>2934</v>
          </cell>
          <cell r="M54">
            <v>3260</v>
          </cell>
          <cell r="N54">
            <v>3369</v>
          </cell>
          <cell r="O54">
            <v>35770</v>
          </cell>
        </row>
      </sheetData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"/>
    </sheetNames>
    <definedNames>
      <definedName name="AbrirImprimir"/>
      <definedName name="BorrarHoja"/>
      <definedName name="GrabarCambios"/>
      <definedName name="Macro4"/>
      <definedName name="Módulo3.Sector2"/>
      <definedName name="Módulo4.Sector3"/>
      <definedName name="Módulo5.Sector4"/>
      <definedName name="Módulo6.Sector5"/>
      <definedName name="Sector1"/>
      <definedName name="SectorTanque1"/>
      <definedName name="Tanque2"/>
      <definedName name="Tanque3"/>
      <definedName name="Tanque4"/>
      <definedName name="Tanque5"/>
      <definedName name="Tanque6"/>
    </defined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/>
      <sheetData sheetId="5"/>
      <sheetData sheetId="6"/>
      <sheetData sheetId="7"/>
      <sheetData sheetId="8">
        <row r="5">
          <cell r="I5" t="str">
            <v>SOLDADORES</v>
          </cell>
        </row>
        <row r="6">
          <cell r="I6" t="str">
            <v>CAÑISTAS</v>
          </cell>
        </row>
        <row r="7">
          <cell r="I7" t="str">
            <v>RETROEXCAVADORA</v>
          </cell>
        </row>
        <row r="8">
          <cell r="I8" t="str">
            <v>LABORATORISTAS</v>
          </cell>
        </row>
        <row r="9">
          <cell r="I9" t="str">
            <v>OPERADORES DE PLANTA KK</v>
          </cell>
        </row>
        <row r="10">
          <cell r="I10" t="str">
            <v>OPERADORES DE PLANTA PC</v>
          </cell>
        </row>
        <row r="11">
          <cell r="I11" t="str">
            <v>OPERADORES DE PRODUCCION</v>
          </cell>
        </row>
        <row r="12">
          <cell r="I12" t="str">
            <v>SOPORTES DE PRODUCCIÓN</v>
          </cell>
        </row>
      </sheetData>
      <sheetData sheetId="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  <sheetName val="RESUMEN Item 10"/>
      <sheetName val="RESUMEN Item 9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5">
          <cell r="A5" t="str">
            <v>JUAN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>
        <row r="6">
          <cell r="A6" t="str">
            <v>TOYOTA</v>
          </cell>
        </row>
      </sheetData>
      <sheetData sheetId="5">
        <row r="6">
          <cell r="F6">
            <v>0</v>
          </cell>
        </row>
      </sheetData>
      <sheetData sheetId="6"/>
      <sheetData sheetId="7"/>
      <sheetData sheetId="8">
        <row r="5">
          <cell r="I5" t="str">
            <v>SERVICIO</v>
          </cell>
        </row>
      </sheetData>
      <sheetData sheetId="9"/>
      <sheetData sheetId="10"/>
      <sheetData sheetId="1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UOCRA"/>
      <sheetName val="ASAN- P. PRIVAD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43739</v>
          </cell>
        </row>
      </sheetData>
      <sheetData sheetId="2">
        <row r="8">
          <cell r="D8">
            <v>43374</v>
          </cell>
        </row>
        <row r="9">
          <cell r="D9" t="str">
            <v>Zona 2</v>
          </cell>
        </row>
      </sheetData>
      <sheetData sheetId="3"/>
      <sheetData sheetId="4">
        <row r="7"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  <cell r="CE7" t="str">
            <v>PETROLERO CHUBUT (605/10)</v>
          </cell>
          <cell r="CF7" t="str">
            <v>PETROLERO CHUBUT (605/10)</v>
          </cell>
          <cell r="CG7" t="str">
            <v>PETROLERO FASP (643/12)</v>
          </cell>
          <cell r="CH7" t="str">
            <v>PETROLERO FASP (643/12)</v>
          </cell>
          <cell r="CI7" t="str">
            <v>PETROLERO FASP (643/12)</v>
          </cell>
          <cell r="CJ7" t="str">
            <v>PETROLERO FASP (643/12)</v>
          </cell>
          <cell r="CK7" t="str">
            <v>PETROLERO FASP (643/12)</v>
          </cell>
          <cell r="CL7" t="str">
            <v>PETROLERO RN, NQN Y LP (644/12)</v>
          </cell>
          <cell r="CM7" t="str">
            <v>PETROLERO RN, NQN Y LP (644/12)</v>
          </cell>
          <cell r="CN7" t="str">
            <v>PETROLERO RN, NQN Y LP (644/12)</v>
          </cell>
        </row>
        <row r="8"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  <cell r="CE8" t="str">
            <v>BASICA</v>
          </cell>
          <cell r="CF8">
            <v>1</v>
          </cell>
          <cell r="CG8" t="str">
            <v>BASICA</v>
          </cell>
          <cell r="CH8">
            <v>3</v>
          </cell>
          <cell r="CI8">
            <v>2</v>
          </cell>
          <cell r="CJ8">
            <v>1</v>
          </cell>
          <cell r="CK8" t="str">
            <v>CUENCA AUSTRAL</v>
          </cell>
          <cell r="CL8" t="str">
            <v>BASICA</v>
          </cell>
          <cell r="CM8">
            <v>3</v>
          </cell>
          <cell r="CN8">
            <v>2</v>
          </cell>
        </row>
        <row r="9">
          <cell r="BH9">
            <v>43862</v>
          </cell>
          <cell r="BI9">
            <v>43862</v>
          </cell>
          <cell r="BJ9">
            <v>43862</v>
          </cell>
          <cell r="BQ9">
            <v>43739</v>
          </cell>
          <cell r="BR9">
            <v>43739</v>
          </cell>
          <cell r="BS9">
            <v>43739</v>
          </cell>
          <cell r="BT9">
            <v>43739</v>
          </cell>
          <cell r="BX9">
            <v>43739</v>
          </cell>
          <cell r="BY9">
            <v>43739</v>
          </cell>
          <cell r="BZ9">
            <v>43739</v>
          </cell>
          <cell r="CA9">
            <v>43862</v>
          </cell>
          <cell r="CB9">
            <v>43862</v>
          </cell>
          <cell r="CC9">
            <v>43862</v>
          </cell>
          <cell r="CD9">
            <v>43862</v>
          </cell>
          <cell r="CE9">
            <v>43862</v>
          </cell>
          <cell r="CF9">
            <v>43862</v>
          </cell>
          <cell r="CG9">
            <v>43862</v>
          </cell>
          <cell r="CH9">
            <v>43862</v>
          </cell>
          <cell r="CI9">
            <v>43862</v>
          </cell>
          <cell r="CJ9">
            <v>43862</v>
          </cell>
        </row>
        <row r="10">
          <cell r="A10" t="str">
            <v>INGRESANTE</v>
          </cell>
          <cell r="B10" t="str">
            <v>D</v>
          </cell>
          <cell r="BH10">
            <v>14439</v>
          </cell>
          <cell r="BI10">
            <v>20503</v>
          </cell>
          <cell r="BJ10">
            <v>23536</v>
          </cell>
          <cell r="BR10">
            <v>13456</v>
          </cell>
          <cell r="BS10">
            <v>19108</v>
          </cell>
          <cell r="BT10">
            <v>21933</v>
          </cell>
          <cell r="BX10">
            <v>13456</v>
          </cell>
          <cell r="BY10">
            <v>19108</v>
          </cell>
          <cell r="BZ10">
            <v>21933</v>
          </cell>
          <cell r="CH10">
            <v>14439</v>
          </cell>
          <cell r="CI10">
            <v>20503</v>
          </cell>
          <cell r="CJ10">
            <v>23536</v>
          </cell>
        </row>
        <row r="11">
          <cell r="A11" t="str">
            <v>INGRESANTE</v>
          </cell>
          <cell r="B11" t="str">
            <v>A</v>
          </cell>
          <cell r="BH11">
            <v>19204</v>
          </cell>
          <cell r="BI11">
            <v>27269</v>
          </cell>
          <cell r="BJ11">
            <v>31303</v>
          </cell>
          <cell r="BR11">
            <v>17896</v>
          </cell>
          <cell r="BS11">
            <v>25414</v>
          </cell>
          <cell r="BT11">
            <v>29171</v>
          </cell>
          <cell r="BX11">
            <v>17896</v>
          </cell>
          <cell r="BY11">
            <v>25414</v>
          </cell>
          <cell r="BZ11">
            <v>29171</v>
          </cell>
          <cell r="CH11">
            <v>19204</v>
          </cell>
          <cell r="CI11">
            <v>27269</v>
          </cell>
          <cell r="CJ11">
            <v>31303</v>
          </cell>
        </row>
        <row r="12">
          <cell r="A12" t="str">
            <v>INGRESANTE</v>
          </cell>
          <cell r="B12" t="str">
            <v>B</v>
          </cell>
          <cell r="BH12">
            <v>17616</v>
          </cell>
          <cell r="BI12">
            <v>25014</v>
          </cell>
          <cell r="BJ12">
            <v>28714</v>
          </cell>
          <cell r="BR12">
            <v>16416</v>
          </cell>
          <cell r="BS12">
            <v>23312</v>
          </cell>
          <cell r="BT12">
            <v>26758</v>
          </cell>
          <cell r="BX12">
            <v>16416</v>
          </cell>
          <cell r="BY12">
            <v>23312</v>
          </cell>
          <cell r="BZ12">
            <v>26758</v>
          </cell>
          <cell r="CH12">
            <v>17616</v>
          </cell>
          <cell r="CI12">
            <v>25014</v>
          </cell>
          <cell r="CJ12">
            <v>28714</v>
          </cell>
        </row>
        <row r="13">
          <cell r="A13" t="str">
            <v>INGRESANTE</v>
          </cell>
          <cell r="B13" t="str">
            <v>Y</v>
          </cell>
          <cell r="BH13">
            <v>15161</v>
          </cell>
          <cell r="BI13">
            <v>21528</v>
          </cell>
          <cell r="BJ13">
            <v>24713</v>
          </cell>
          <cell r="BR13">
            <v>14129</v>
          </cell>
          <cell r="BS13">
            <v>20063</v>
          </cell>
          <cell r="BT13">
            <v>23030</v>
          </cell>
          <cell r="BX13">
            <v>14129</v>
          </cell>
          <cell r="BY13">
            <v>20063</v>
          </cell>
          <cell r="BZ13">
            <v>23030</v>
          </cell>
          <cell r="CH13">
            <v>15161</v>
          </cell>
          <cell r="CI13">
            <v>21528</v>
          </cell>
          <cell r="CJ13">
            <v>24713</v>
          </cell>
        </row>
        <row r="14">
          <cell r="A14" t="str">
            <v>A</v>
          </cell>
          <cell r="B14" t="str">
            <v>D</v>
          </cell>
          <cell r="BH14">
            <v>14731</v>
          </cell>
          <cell r="BI14">
            <v>20918</v>
          </cell>
          <cell r="BJ14">
            <v>24012</v>
          </cell>
          <cell r="BR14">
            <v>13728</v>
          </cell>
          <cell r="BS14">
            <v>19494</v>
          </cell>
          <cell r="BT14">
            <v>22377</v>
          </cell>
          <cell r="BX14">
            <v>13728</v>
          </cell>
          <cell r="BY14">
            <v>19494</v>
          </cell>
          <cell r="BZ14">
            <v>22377</v>
          </cell>
          <cell r="CH14">
            <v>14731</v>
          </cell>
          <cell r="CI14">
            <v>20918</v>
          </cell>
          <cell r="CJ14">
            <v>24012</v>
          </cell>
        </row>
        <row r="15">
          <cell r="A15" t="str">
            <v>A</v>
          </cell>
          <cell r="B15" t="str">
            <v>A</v>
          </cell>
          <cell r="BH15">
            <v>19592</v>
          </cell>
          <cell r="BI15">
            <v>27821</v>
          </cell>
          <cell r="BJ15">
            <v>31936</v>
          </cell>
          <cell r="BR15">
            <v>18258</v>
          </cell>
          <cell r="BS15">
            <v>25927</v>
          </cell>
          <cell r="BT15">
            <v>29761</v>
          </cell>
          <cell r="BX15">
            <v>18258</v>
          </cell>
          <cell r="BY15">
            <v>25927</v>
          </cell>
          <cell r="BZ15">
            <v>29761</v>
          </cell>
          <cell r="CH15">
            <v>19592</v>
          </cell>
          <cell r="CI15">
            <v>27821</v>
          </cell>
          <cell r="CJ15">
            <v>31936</v>
          </cell>
        </row>
        <row r="16">
          <cell r="A16" t="str">
            <v>A</v>
          </cell>
          <cell r="B16" t="str">
            <v>B</v>
          </cell>
          <cell r="BH16">
            <v>17972</v>
          </cell>
          <cell r="BI16">
            <v>25520</v>
          </cell>
          <cell r="BJ16">
            <v>29295</v>
          </cell>
          <cell r="BR16">
            <v>16748</v>
          </cell>
          <cell r="BS16">
            <v>23783</v>
          </cell>
          <cell r="BT16">
            <v>27300</v>
          </cell>
          <cell r="BX16">
            <v>16748</v>
          </cell>
          <cell r="BY16">
            <v>23783</v>
          </cell>
          <cell r="BZ16">
            <v>27300</v>
          </cell>
          <cell r="CH16">
            <v>17972</v>
          </cell>
          <cell r="CI16">
            <v>25520</v>
          </cell>
          <cell r="CJ16">
            <v>29295</v>
          </cell>
        </row>
        <row r="17">
          <cell r="A17" t="str">
            <v>A</v>
          </cell>
          <cell r="B17" t="str">
            <v>Y</v>
          </cell>
          <cell r="BH17">
            <v>15468</v>
          </cell>
          <cell r="BI17">
            <v>21964</v>
          </cell>
          <cell r="BJ17">
            <v>25213</v>
          </cell>
          <cell r="BR17">
            <v>14414</v>
          </cell>
          <cell r="BS17">
            <v>20469</v>
          </cell>
          <cell r="BT17">
            <v>23496</v>
          </cell>
          <cell r="BX17">
            <v>14414</v>
          </cell>
          <cell r="BY17">
            <v>20469</v>
          </cell>
          <cell r="BZ17">
            <v>23496</v>
          </cell>
          <cell r="CH17">
            <v>15468</v>
          </cell>
          <cell r="CI17">
            <v>21964</v>
          </cell>
          <cell r="CJ17">
            <v>25213</v>
          </cell>
        </row>
        <row r="18">
          <cell r="A18" t="str">
            <v>B</v>
          </cell>
          <cell r="B18" t="str">
            <v>D</v>
          </cell>
          <cell r="BH18">
            <v>15039</v>
          </cell>
          <cell r="BI18">
            <v>21355</v>
          </cell>
          <cell r="BJ18">
            <v>24514</v>
          </cell>
          <cell r="BR18">
            <v>14015</v>
          </cell>
          <cell r="BS18">
            <v>19901</v>
          </cell>
          <cell r="BT18">
            <v>22844</v>
          </cell>
          <cell r="BX18">
            <v>14015</v>
          </cell>
          <cell r="BY18">
            <v>19901</v>
          </cell>
          <cell r="BZ18">
            <v>22844</v>
          </cell>
          <cell r="CH18">
            <v>15039</v>
          </cell>
          <cell r="CI18">
            <v>21355</v>
          </cell>
          <cell r="CJ18">
            <v>24514</v>
          </cell>
        </row>
        <row r="19">
          <cell r="A19" t="str">
            <v>B</v>
          </cell>
          <cell r="B19" t="str">
            <v>A</v>
          </cell>
          <cell r="BH19">
            <v>20002</v>
          </cell>
          <cell r="BI19">
            <v>28402</v>
          </cell>
          <cell r="BJ19">
            <v>32604</v>
          </cell>
          <cell r="BR19">
            <v>18640</v>
          </cell>
          <cell r="BS19">
            <v>26468</v>
          </cell>
          <cell r="BT19">
            <v>30383</v>
          </cell>
          <cell r="BX19">
            <v>18640</v>
          </cell>
          <cell r="BY19">
            <v>26468</v>
          </cell>
          <cell r="BZ19">
            <v>30383</v>
          </cell>
          <cell r="CH19">
            <v>20002</v>
          </cell>
          <cell r="CI19">
            <v>28402</v>
          </cell>
          <cell r="CJ19">
            <v>32604</v>
          </cell>
        </row>
        <row r="20">
          <cell r="A20" t="str">
            <v>B</v>
          </cell>
          <cell r="B20" t="str">
            <v>B</v>
          </cell>
          <cell r="BH20">
            <v>18348</v>
          </cell>
          <cell r="BI20">
            <v>26053</v>
          </cell>
          <cell r="BJ20">
            <v>29907</v>
          </cell>
          <cell r="BR20">
            <v>17098</v>
          </cell>
          <cell r="BS20">
            <v>24279</v>
          </cell>
          <cell r="BT20">
            <v>27870</v>
          </cell>
          <cell r="BX20">
            <v>17098</v>
          </cell>
          <cell r="BY20">
            <v>24279</v>
          </cell>
          <cell r="BZ20">
            <v>27870</v>
          </cell>
          <cell r="CH20">
            <v>18348</v>
          </cell>
          <cell r="CI20">
            <v>26053</v>
          </cell>
          <cell r="CJ20">
            <v>29907</v>
          </cell>
        </row>
        <row r="21">
          <cell r="A21" t="str">
            <v>B</v>
          </cell>
          <cell r="B21" t="str">
            <v>Y</v>
          </cell>
          <cell r="BH21">
            <v>15791</v>
          </cell>
          <cell r="BI21">
            <v>22423</v>
          </cell>
          <cell r="BJ21">
            <v>25740</v>
          </cell>
          <cell r="BR21">
            <v>14716</v>
          </cell>
          <cell r="BS21">
            <v>20896</v>
          </cell>
          <cell r="BT21">
            <v>23986</v>
          </cell>
          <cell r="BX21">
            <v>14716</v>
          </cell>
          <cell r="BY21">
            <v>20896</v>
          </cell>
          <cell r="BZ21">
            <v>23986</v>
          </cell>
          <cell r="CH21">
            <v>15791</v>
          </cell>
          <cell r="CI21">
            <v>22423</v>
          </cell>
          <cell r="CJ21">
            <v>25740</v>
          </cell>
        </row>
        <row r="22">
          <cell r="A22" t="str">
            <v>C</v>
          </cell>
          <cell r="B22" t="str">
            <v>D</v>
          </cell>
          <cell r="BH22">
            <v>15364</v>
          </cell>
          <cell r="BI22">
            <v>21817</v>
          </cell>
          <cell r="BJ22">
            <v>25043</v>
          </cell>
          <cell r="BR22">
            <v>14318</v>
          </cell>
          <cell r="BS22">
            <v>20332</v>
          </cell>
          <cell r="BT22">
            <v>23338</v>
          </cell>
          <cell r="BX22">
            <v>14318</v>
          </cell>
          <cell r="BY22">
            <v>20332</v>
          </cell>
          <cell r="BZ22">
            <v>23338</v>
          </cell>
          <cell r="CH22">
            <v>15364</v>
          </cell>
          <cell r="CI22">
            <v>21817</v>
          </cell>
          <cell r="CJ22">
            <v>25043</v>
          </cell>
        </row>
        <row r="23">
          <cell r="A23" t="str">
            <v>C</v>
          </cell>
          <cell r="B23" t="str">
            <v>A</v>
          </cell>
          <cell r="BH23">
            <v>20434</v>
          </cell>
          <cell r="BI23">
            <v>29017</v>
          </cell>
          <cell r="BJ23">
            <v>33307</v>
          </cell>
          <cell r="BR23">
            <v>19043</v>
          </cell>
          <cell r="BS23">
            <v>27042</v>
          </cell>
          <cell r="BT23">
            <v>31040</v>
          </cell>
          <cell r="BX23">
            <v>19043</v>
          </cell>
          <cell r="BY23">
            <v>27042</v>
          </cell>
          <cell r="BZ23">
            <v>31040</v>
          </cell>
          <cell r="CH23">
            <v>20434</v>
          </cell>
          <cell r="CI23">
            <v>29017</v>
          </cell>
          <cell r="CJ23">
            <v>33307</v>
          </cell>
        </row>
        <row r="24">
          <cell r="A24" t="str">
            <v>C</v>
          </cell>
          <cell r="B24" t="str">
            <v>B</v>
          </cell>
          <cell r="BH24">
            <v>18744</v>
          </cell>
          <cell r="BI24">
            <v>26617</v>
          </cell>
          <cell r="BJ24">
            <v>30552</v>
          </cell>
          <cell r="BR24">
            <v>17468</v>
          </cell>
          <cell r="BS24">
            <v>24805</v>
          </cell>
          <cell r="BT24">
            <v>28472</v>
          </cell>
          <cell r="BX24">
            <v>17468</v>
          </cell>
          <cell r="BY24">
            <v>24805</v>
          </cell>
          <cell r="BZ24">
            <v>28472</v>
          </cell>
          <cell r="CH24">
            <v>18744</v>
          </cell>
          <cell r="CI24">
            <v>26617</v>
          </cell>
          <cell r="CJ24">
            <v>30552</v>
          </cell>
        </row>
        <row r="25">
          <cell r="A25" t="str">
            <v>C</v>
          </cell>
          <cell r="B25" t="str">
            <v>Y</v>
          </cell>
          <cell r="BH25">
            <v>16132</v>
          </cell>
          <cell r="BI25">
            <v>22908</v>
          </cell>
          <cell r="BJ25">
            <v>26295</v>
          </cell>
          <cell r="BR25">
            <v>15034</v>
          </cell>
          <cell r="BS25">
            <v>21349</v>
          </cell>
          <cell r="BT25">
            <v>24505</v>
          </cell>
          <cell r="BX25">
            <v>15034</v>
          </cell>
          <cell r="BY25">
            <v>21349</v>
          </cell>
          <cell r="BZ25">
            <v>24505</v>
          </cell>
          <cell r="CH25">
            <v>16132</v>
          </cell>
          <cell r="CI25">
            <v>22908</v>
          </cell>
          <cell r="CJ25">
            <v>26295</v>
          </cell>
        </row>
        <row r="26">
          <cell r="A26" t="str">
            <v>D</v>
          </cell>
          <cell r="B26" t="str">
            <v>D</v>
          </cell>
          <cell r="BH26">
            <v>15785</v>
          </cell>
          <cell r="BI26">
            <v>22415</v>
          </cell>
          <cell r="BJ26">
            <v>25730</v>
          </cell>
          <cell r="BR26">
            <v>14710</v>
          </cell>
          <cell r="BS26">
            <v>20888</v>
          </cell>
          <cell r="BT26">
            <v>23977</v>
          </cell>
          <cell r="BX26">
            <v>14710</v>
          </cell>
          <cell r="BY26">
            <v>20888</v>
          </cell>
          <cell r="BZ26">
            <v>23977</v>
          </cell>
          <cell r="CH26">
            <v>15785</v>
          </cell>
          <cell r="CI26">
            <v>22415</v>
          </cell>
          <cell r="CJ26">
            <v>25730</v>
          </cell>
        </row>
        <row r="27">
          <cell r="A27" t="str">
            <v>D</v>
          </cell>
          <cell r="B27" t="str">
            <v>A</v>
          </cell>
          <cell r="BH27">
            <v>20994</v>
          </cell>
          <cell r="BI27">
            <v>29812</v>
          </cell>
          <cell r="BJ27">
            <v>34221</v>
          </cell>
          <cell r="BR27">
            <v>19564</v>
          </cell>
          <cell r="BS27">
            <v>27781</v>
          </cell>
          <cell r="BT27">
            <v>31889</v>
          </cell>
          <cell r="BX27">
            <v>19564</v>
          </cell>
          <cell r="BY27">
            <v>27781</v>
          </cell>
          <cell r="BZ27">
            <v>31889</v>
          </cell>
          <cell r="CH27">
            <v>20994</v>
          </cell>
          <cell r="CI27">
            <v>29812</v>
          </cell>
          <cell r="CJ27">
            <v>34221</v>
          </cell>
        </row>
        <row r="28">
          <cell r="A28" t="str">
            <v>D</v>
          </cell>
          <cell r="B28" t="str">
            <v>B</v>
          </cell>
          <cell r="BH28">
            <v>19258</v>
          </cell>
          <cell r="BI28">
            <v>27346</v>
          </cell>
          <cell r="BJ28">
            <v>31391</v>
          </cell>
          <cell r="BR28">
            <v>17946</v>
          </cell>
          <cell r="BS28">
            <v>25483</v>
          </cell>
          <cell r="BT28">
            <v>29252</v>
          </cell>
          <cell r="BX28">
            <v>17946</v>
          </cell>
          <cell r="BY28">
            <v>25483</v>
          </cell>
          <cell r="BZ28">
            <v>29252</v>
          </cell>
          <cell r="CH28">
            <v>19258</v>
          </cell>
          <cell r="CI28">
            <v>27346</v>
          </cell>
          <cell r="CJ28">
            <v>31391</v>
          </cell>
        </row>
        <row r="29">
          <cell r="A29" t="str">
            <v>D</v>
          </cell>
          <cell r="B29" t="str">
            <v>Y</v>
          </cell>
          <cell r="BH29">
            <v>16574</v>
          </cell>
          <cell r="BI29">
            <v>23536</v>
          </cell>
          <cell r="BJ29">
            <v>27017</v>
          </cell>
          <cell r="BR29">
            <v>15446</v>
          </cell>
          <cell r="BS29">
            <v>21932</v>
          </cell>
          <cell r="BT29">
            <v>25176</v>
          </cell>
          <cell r="BX29">
            <v>15446</v>
          </cell>
          <cell r="BY29">
            <v>21932</v>
          </cell>
          <cell r="BZ29">
            <v>25176</v>
          </cell>
          <cell r="CH29">
            <v>16574</v>
          </cell>
          <cell r="CI29">
            <v>23536</v>
          </cell>
          <cell r="CJ29">
            <v>27017</v>
          </cell>
        </row>
        <row r="30">
          <cell r="A30" t="str">
            <v>E</v>
          </cell>
          <cell r="B30" t="str">
            <v>D</v>
          </cell>
          <cell r="BH30">
            <v>16180</v>
          </cell>
          <cell r="BI30">
            <v>22976</v>
          </cell>
          <cell r="BJ30">
            <v>26373</v>
          </cell>
          <cell r="BR30">
            <v>15078</v>
          </cell>
          <cell r="BS30">
            <v>21411</v>
          </cell>
          <cell r="BT30">
            <v>24577</v>
          </cell>
          <cell r="BX30">
            <v>15078</v>
          </cell>
          <cell r="BY30">
            <v>21411</v>
          </cell>
          <cell r="BZ30">
            <v>24577</v>
          </cell>
          <cell r="CH30">
            <v>16180</v>
          </cell>
          <cell r="CI30">
            <v>22976</v>
          </cell>
          <cell r="CJ30">
            <v>26373</v>
          </cell>
        </row>
        <row r="31">
          <cell r="A31" t="str">
            <v>E</v>
          </cell>
          <cell r="B31" t="str">
            <v>A</v>
          </cell>
          <cell r="BH31">
            <v>21519</v>
          </cell>
          <cell r="BI31">
            <v>30558</v>
          </cell>
          <cell r="BJ31">
            <v>35076</v>
          </cell>
          <cell r="BR31">
            <v>20054</v>
          </cell>
          <cell r="BS31">
            <v>28477</v>
          </cell>
          <cell r="BT31">
            <v>32687</v>
          </cell>
          <cell r="BX31">
            <v>20054</v>
          </cell>
          <cell r="BY31">
            <v>28477</v>
          </cell>
          <cell r="BZ31">
            <v>32687</v>
          </cell>
          <cell r="CH31">
            <v>21519</v>
          </cell>
          <cell r="CI31">
            <v>30558</v>
          </cell>
          <cell r="CJ31">
            <v>35076</v>
          </cell>
        </row>
        <row r="32">
          <cell r="A32" t="str">
            <v>E</v>
          </cell>
          <cell r="B32" t="str">
            <v>B</v>
          </cell>
          <cell r="BH32">
            <v>19740</v>
          </cell>
          <cell r="BI32">
            <v>28031</v>
          </cell>
          <cell r="BJ32">
            <v>32175</v>
          </cell>
          <cell r="BR32">
            <v>18395</v>
          </cell>
          <cell r="BS32">
            <v>26121</v>
          </cell>
          <cell r="BT32">
            <v>29984</v>
          </cell>
          <cell r="BX32">
            <v>18395</v>
          </cell>
          <cell r="BY32">
            <v>26121</v>
          </cell>
          <cell r="BZ32">
            <v>29984</v>
          </cell>
          <cell r="CH32">
            <v>19740</v>
          </cell>
          <cell r="CI32">
            <v>28031</v>
          </cell>
          <cell r="CJ32">
            <v>32175</v>
          </cell>
        </row>
        <row r="33">
          <cell r="A33" t="str">
            <v>E</v>
          </cell>
          <cell r="B33" t="str">
            <v>Y</v>
          </cell>
          <cell r="BH33">
            <v>16989</v>
          </cell>
          <cell r="BI33">
            <v>24125</v>
          </cell>
          <cell r="BJ33">
            <v>27692</v>
          </cell>
          <cell r="BR33">
            <v>15832</v>
          </cell>
          <cell r="BS33">
            <v>22482</v>
          </cell>
          <cell r="BT33">
            <v>25806</v>
          </cell>
          <cell r="BX33">
            <v>15832</v>
          </cell>
          <cell r="BY33">
            <v>22482</v>
          </cell>
          <cell r="BZ33">
            <v>25806</v>
          </cell>
          <cell r="CH33">
            <v>16989</v>
          </cell>
          <cell r="CI33">
            <v>24125</v>
          </cell>
          <cell r="CJ33">
            <v>27692</v>
          </cell>
        </row>
        <row r="34">
          <cell r="A34" t="str">
            <v>F</v>
          </cell>
          <cell r="B34" t="str">
            <v>D</v>
          </cell>
          <cell r="BH34">
            <v>16647</v>
          </cell>
          <cell r="BI34">
            <v>23639</v>
          </cell>
          <cell r="BJ34">
            <v>27135</v>
          </cell>
          <cell r="BR34">
            <v>15513</v>
          </cell>
          <cell r="BS34">
            <v>22028</v>
          </cell>
          <cell r="BT34">
            <v>25286</v>
          </cell>
          <cell r="BX34">
            <v>15513</v>
          </cell>
          <cell r="BY34">
            <v>22028</v>
          </cell>
          <cell r="BZ34">
            <v>25286</v>
          </cell>
          <cell r="CH34">
            <v>16647</v>
          </cell>
          <cell r="CI34">
            <v>23639</v>
          </cell>
          <cell r="CJ34">
            <v>27135</v>
          </cell>
        </row>
        <row r="35">
          <cell r="A35" t="str">
            <v>F</v>
          </cell>
          <cell r="B35" t="str">
            <v>A</v>
          </cell>
          <cell r="BH35">
            <v>22141</v>
          </cell>
          <cell r="BI35">
            <v>31440</v>
          </cell>
          <cell r="BJ35">
            <v>36090</v>
          </cell>
          <cell r="BR35">
            <v>20632</v>
          </cell>
          <cell r="BS35">
            <v>29297</v>
          </cell>
          <cell r="BT35">
            <v>33630</v>
          </cell>
          <cell r="BX35">
            <v>20632</v>
          </cell>
          <cell r="BY35">
            <v>29297</v>
          </cell>
          <cell r="BZ35">
            <v>33630</v>
          </cell>
          <cell r="CH35">
            <v>22141</v>
          </cell>
          <cell r="CI35">
            <v>31440</v>
          </cell>
          <cell r="CJ35">
            <v>36090</v>
          </cell>
        </row>
        <row r="36">
          <cell r="A36" t="str">
            <v>F</v>
          </cell>
          <cell r="B36" t="str">
            <v>B</v>
          </cell>
          <cell r="BH36">
            <v>20309</v>
          </cell>
          <cell r="BI36">
            <v>28840</v>
          </cell>
          <cell r="BJ36">
            <v>33105</v>
          </cell>
          <cell r="BR36">
            <v>18926</v>
          </cell>
          <cell r="BS36">
            <v>26874</v>
          </cell>
          <cell r="BT36">
            <v>30849</v>
          </cell>
          <cell r="BX36">
            <v>18926</v>
          </cell>
          <cell r="BY36">
            <v>26874</v>
          </cell>
          <cell r="BZ36">
            <v>30849</v>
          </cell>
          <cell r="CH36">
            <v>20309</v>
          </cell>
          <cell r="CI36">
            <v>28840</v>
          </cell>
          <cell r="CJ36">
            <v>33105</v>
          </cell>
        </row>
        <row r="37">
          <cell r="A37" t="str">
            <v>F</v>
          </cell>
          <cell r="B37" t="str">
            <v>Y</v>
          </cell>
          <cell r="BH37">
            <v>17479</v>
          </cell>
          <cell r="BI37">
            <v>24821</v>
          </cell>
          <cell r="BJ37">
            <v>28492</v>
          </cell>
          <cell r="BR37">
            <v>16289</v>
          </cell>
          <cell r="BS37">
            <v>23129</v>
          </cell>
          <cell r="BT37">
            <v>26550</v>
          </cell>
          <cell r="BX37">
            <v>16289</v>
          </cell>
          <cell r="BY37">
            <v>23129</v>
          </cell>
          <cell r="BZ37">
            <v>26550</v>
          </cell>
          <cell r="CH37">
            <v>17479</v>
          </cell>
          <cell r="CI37">
            <v>24821</v>
          </cell>
          <cell r="CJ37">
            <v>28492</v>
          </cell>
        </row>
        <row r="38">
          <cell r="A38" t="str">
            <v>G</v>
          </cell>
          <cell r="B38" t="str">
            <v>D</v>
          </cell>
          <cell r="BH38">
            <v>17294</v>
          </cell>
          <cell r="BI38">
            <v>24557</v>
          </cell>
          <cell r="BJ38">
            <v>28189</v>
          </cell>
          <cell r="BR38">
            <v>16117</v>
          </cell>
          <cell r="BS38">
            <v>22886</v>
          </cell>
          <cell r="BT38">
            <v>26271</v>
          </cell>
          <cell r="BX38">
            <v>16117</v>
          </cell>
          <cell r="BY38">
            <v>22886</v>
          </cell>
          <cell r="BZ38">
            <v>26271</v>
          </cell>
          <cell r="CH38">
            <v>17294</v>
          </cell>
          <cell r="CI38">
            <v>24557</v>
          </cell>
          <cell r="CJ38">
            <v>28189</v>
          </cell>
        </row>
        <row r="39">
          <cell r="A39" t="str">
            <v>G</v>
          </cell>
          <cell r="B39" t="str">
            <v>A</v>
          </cell>
          <cell r="BH39">
            <v>23001</v>
          </cell>
          <cell r="BI39">
            <v>32661</v>
          </cell>
          <cell r="BJ39">
            <v>37491</v>
          </cell>
          <cell r="BR39">
            <v>21436</v>
          </cell>
          <cell r="BS39">
            <v>30438</v>
          </cell>
          <cell r="BT39">
            <v>34940</v>
          </cell>
          <cell r="BX39">
            <v>21436</v>
          </cell>
          <cell r="BY39">
            <v>30438</v>
          </cell>
          <cell r="BZ39">
            <v>34940</v>
          </cell>
          <cell r="CH39">
            <v>23001</v>
          </cell>
          <cell r="CI39">
            <v>32661</v>
          </cell>
          <cell r="CJ39">
            <v>37491</v>
          </cell>
        </row>
        <row r="40">
          <cell r="A40" t="str">
            <v>G</v>
          </cell>
          <cell r="B40" t="str">
            <v>B</v>
          </cell>
          <cell r="BH40">
            <v>21099</v>
          </cell>
          <cell r="BI40">
            <v>29960</v>
          </cell>
          <cell r="BJ40">
            <v>34391</v>
          </cell>
          <cell r="BR40">
            <v>19663</v>
          </cell>
          <cell r="BS40">
            <v>27921</v>
          </cell>
          <cell r="BT40">
            <v>32051</v>
          </cell>
          <cell r="BX40">
            <v>19663</v>
          </cell>
          <cell r="BY40">
            <v>27921</v>
          </cell>
          <cell r="BZ40">
            <v>32051</v>
          </cell>
          <cell r="CH40">
            <v>21099</v>
          </cell>
          <cell r="CI40">
            <v>29960</v>
          </cell>
          <cell r="CJ40">
            <v>34391</v>
          </cell>
        </row>
        <row r="41">
          <cell r="A41" t="str">
            <v>G</v>
          </cell>
          <cell r="B41" t="str">
            <v>Y</v>
          </cell>
          <cell r="BH41">
            <v>18159</v>
          </cell>
          <cell r="BI41">
            <v>25785</v>
          </cell>
          <cell r="BJ41">
            <v>29598</v>
          </cell>
          <cell r="BR41">
            <v>16923</v>
          </cell>
          <cell r="BS41">
            <v>24030</v>
          </cell>
          <cell r="BT41">
            <v>27585</v>
          </cell>
          <cell r="BX41">
            <v>16923</v>
          </cell>
          <cell r="BY41">
            <v>24030</v>
          </cell>
          <cell r="BZ41">
            <v>27585</v>
          </cell>
          <cell r="CH41">
            <v>18159</v>
          </cell>
          <cell r="CI41">
            <v>25785</v>
          </cell>
          <cell r="CJ41">
            <v>29598</v>
          </cell>
        </row>
        <row r="42">
          <cell r="A42" t="str">
            <v>H</v>
          </cell>
          <cell r="B42" t="str">
            <v>D</v>
          </cell>
          <cell r="BH42">
            <v>18008</v>
          </cell>
          <cell r="BI42">
            <v>25571</v>
          </cell>
          <cell r="BJ42">
            <v>29353</v>
          </cell>
          <cell r="BR42">
            <v>16782</v>
          </cell>
          <cell r="BS42">
            <v>23830</v>
          </cell>
          <cell r="BT42">
            <v>27355</v>
          </cell>
          <cell r="BX42">
            <v>16782</v>
          </cell>
          <cell r="BY42">
            <v>23830</v>
          </cell>
          <cell r="BZ42">
            <v>27355</v>
          </cell>
          <cell r="CH42">
            <v>18008</v>
          </cell>
          <cell r="CI42">
            <v>25571</v>
          </cell>
          <cell r="CJ42">
            <v>29353</v>
          </cell>
        </row>
        <row r="43">
          <cell r="A43" t="str">
            <v>H</v>
          </cell>
          <cell r="B43" t="str">
            <v>A</v>
          </cell>
          <cell r="BH43">
            <v>23951</v>
          </cell>
          <cell r="BI43">
            <v>34009</v>
          </cell>
          <cell r="BJ43">
            <v>39039</v>
          </cell>
          <cell r="BR43">
            <v>22320</v>
          </cell>
          <cell r="BS43">
            <v>31694</v>
          </cell>
          <cell r="BT43">
            <v>36382</v>
          </cell>
          <cell r="BX43">
            <v>22320</v>
          </cell>
          <cell r="BY43">
            <v>31694</v>
          </cell>
          <cell r="BZ43">
            <v>36382</v>
          </cell>
          <cell r="CH43">
            <v>23951</v>
          </cell>
          <cell r="CI43">
            <v>34009</v>
          </cell>
          <cell r="CJ43">
            <v>39039</v>
          </cell>
        </row>
        <row r="44">
          <cell r="A44" t="str">
            <v>H</v>
          </cell>
          <cell r="B44" t="str">
            <v>B</v>
          </cell>
          <cell r="BH44">
            <v>21970</v>
          </cell>
          <cell r="BI44">
            <v>31197</v>
          </cell>
          <cell r="BJ44">
            <v>35811</v>
          </cell>
          <cell r="BR44">
            <v>20474</v>
          </cell>
          <cell r="BS44">
            <v>29073</v>
          </cell>
          <cell r="BT44">
            <v>33373</v>
          </cell>
          <cell r="BX44">
            <v>20474</v>
          </cell>
          <cell r="BY44">
            <v>29073</v>
          </cell>
          <cell r="BZ44">
            <v>33373</v>
          </cell>
          <cell r="CH44">
            <v>21970</v>
          </cell>
          <cell r="CI44">
            <v>31197</v>
          </cell>
          <cell r="CJ44">
            <v>35811</v>
          </cell>
        </row>
        <row r="45">
          <cell r="A45" t="str">
            <v>H</v>
          </cell>
          <cell r="B45" t="str">
            <v>Y</v>
          </cell>
          <cell r="BH45">
            <v>18908</v>
          </cell>
          <cell r="BI45">
            <v>26850</v>
          </cell>
          <cell r="BJ45">
            <v>30821</v>
          </cell>
          <cell r="BR45">
            <v>17621</v>
          </cell>
          <cell r="BS45">
            <v>25022</v>
          </cell>
          <cell r="BT45">
            <v>28723</v>
          </cell>
          <cell r="BX45">
            <v>17621</v>
          </cell>
          <cell r="BY45">
            <v>25022</v>
          </cell>
          <cell r="BZ45">
            <v>28723</v>
          </cell>
          <cell r="CH45">
            <v>18908</v>
          </cell>
          <cell r="CI45">
            <v>26850</v>
          </cell>
          <cell r="CJ45">
            <v>30821</v>
          </cell>
        </row>
        <row r="46">
          <cell r="A46" t="str">
            <v>I</v>
          </cell>
          <cell r="B46" t="str">
            <v>D</v>
          </cell>
          <cell r="BH46">
            <v>19014</v>
          </cell>
          <cell r="BI46">
            <v>27000</v>
          </cell>
          <cell r="BJ46">
            <v>30993</v>
          </cell>
          <cell r="BR46">
            <v>17720</v>
          </cell>
          <cell r="BS46">
            <v>25162</v>
          </cell>
          <cell r="BT46">
            <v>28884</v>
          </cell>
          <cell r="BX46">
            <v>17720</v>
          </cell>
          <cell r="BY46">
            <v>25162</v>
          </cell>
          <cell r="BZ46">
            <v>28884</v>
          </cell>
          <cell r="CH46">
            <v>19014</v>
          </cell>
          <cell r="CI46">
            <v>27000</v>
          </cell>
          <cell r="CJ46">
            <v>30993</v>
          </cell>
        </row>
        <row r="47">
          <cell r="A47" t="str">
            <v>I</v>
          </cell>
          <cell r="B47" t="str">
            <v>A</v>
          </cell>
          <cell r="BH47">
            <v>25289</v>
          </cell>
          <cell r="BI47">
            <v>35910</v>
          </cell>
          <cell r="BJ47">
            <v>41221</v>
          </cell>
          <cell r="BR47">
            <v>23568</v>
          </cell>
          <cell r="BS47">
            <v>33465</v>
          </cell>
          <cell r="BT47">
            <v>38416</v>
          </cell>
          <cell r="BX47">
            <v>23568</v>
          </cell>
          <cell r="BY47">
            <v>33465</v>
          </cell>
          <cell r="BZ47">
            <v>38416</v>
          </cell>
          <cell r="CH47">
            <v>25289</v>
          </cell>
          <cell r="CI47">
            <v>35910</v>
          </cell>
          <cell r="CJ47">
            <v>41221</v>
          </cell>
        </row>
        <row r="48">
          <cell r="A48" t="str">
            <v>I</v>
          </cell>
          <cell r="B48" t="str">
            <v>B</v>
          </cell>
          <cell r="BH48">
            <v>23197</v>
          </cell>
          <cell r="BI48">
            <v>32940</v>
          </cell>
          <cell r="BJ48">
            <v>37811</v>
          </cell>
          <cell r="BR48">
            <v>21618</v>
          </cell>
          <cell r="BS48">
            <v>30698</v>
          </cell>
          <cell r="BT48">
            <v>35238</v>
          </cell>
          <cell r="BX48">
            <v>21618</v>
          </cell>
          <cell r="BY48">
            <v>30698</v>
          </cell>
          <cell r="BZ48">
            <v>35238</v>
          </cell>
          <cell r="CH48">
            <v>23197</v>
          </cell>
          <cell r="CI48">
            <v>32940</v>
          </cell>
          <cell r="CJ48">
            <v>37811</v>
          </cell>
        </row>
        <row r="49">
          <cell r="A49" t="str">
            <v>I</v>
          </cell>
          <cell r="B49" t="str">
            <v>Y</v>
          </cell>
          <cell r="BH49">
            <v>19965</v>
          </cell>
          <cell r="BI49">
            <v>28350</v>
          </cell>
          <cell r="BJ49">
            <v>32543</v>
          </cell>
          <cell r="BR49">
            <v>18606</v>
          </cell>
          <cell r="BS49">
            <v>26420</v>
          </cell>
          <cell r="BT49">
            <v>30328</v>
          </cell>
          <cell r="BX49">
            <v>18606</v>
          </cell>
          <cell r="BY49">
            <v>26420</v>
          </cell>
          <cell r="BZ49">
            <v>30328</v>
          </cell>
          <cell r="CH49">
            <v>19965</v>
          </cell>
          <cell r="CI49">
            <v>28350</v>
          </cell>
          <cell r="CJ49">
            <v>32543</v>
          </cell>
        </row>
        <row r="50">
          <cell r="A50" t="str">
            <v>J</v>
          </cell>
          <cell r="B50" t="str">
            <v>D</v>
          </cell>
          <cell r="BH50">
            <v>20442</v>
          </cell>
          <cell r="BI50">
            <v>29028</v>
          </cell>
          <cell r="BJ50">
            <v>33320</v>
          </cell>
          <cell r="BR50">
            <v>19050</v>
          </cell>
          <cell r="BS50">
            <v>27051</v>
          </cell>
          <cell r="BT50">
            <v>31052</v>
          </cell>
          <cell r="BX50">
            <v>19050</v>
          </cell>
          <cell r="BY50">
            <v>27051</v>
          </cell>
          <cell r="BZ50">
            <v>31052</v>
          </cell>
          <cell r="CH50">
            <v>20442</v>
          </cell>
          <cell r="CI50">
            <v>29028</v>
          </cell>
          <cell r="CJ50">
            <v>33320</v>
          </cell>
        </row>
        <row r="51">
          <cell r="A51" t="str">
            <v>J</v>
          </cell>
          <cell r="B51" t="str">
            <v>A</v>
          </cell>
          <cell r="BH51">
            <v>27188</v>
          </cell>
          <cell r="BI51">
            <v>38607</v>
          </cell>
          <cell r="BJ51">
            <v>44316</v>
          </cell>
          <cell r="BR51">
            <v>25337</v>
          </cell>
          <cell r="BS51">
            <v>35978</v>
          </cell>
          <cell r="BT51">
            <v>41299</v>
          </cell>
          <cell r="BX51">
            <v>25337</v>
          </cell>
          <cell r="BY51">
            <v>35978</v>
          </cell>
          <cell r="BZ51">
            <v>41299</v>
          </cell>
          <cell r="CH51">
            <v>27188</v>
          </cell>
          <cell r="CI51">
            <v>38607</v>
          </cell>
          <cell r="CJ51">
            <v>44316</v>
          </cell>
        </row>
        <row r="52">
          <cell r="A52" t="str">
            <v>J</v>
          </cell>
          <cell r="B52" t="str">
            <v>B</v>
          </cell>
          <cell r="BH52">
            <v>24939</v>
          </cell>
          <cell r="BI52">
            <v>35414</v>
          </cell>
          <cell r="BJ52">
            <v>40650</v>
          </cell>
          <cell r="BR52">
            <v>23241</v>
          </cell>
          <cell r="BS52">
            <v>33002</v>
          </cell>
          <cell r="BT52">
            <v>37883</v>
          </cell>
          <cell r="BX52">
            <v>23241</v>
          </cell>
          <cell r="BY52">
            <v>33002</v>
          </cell>
          <cell r="BZ52">
            <v>37883</v>
          </cell>
          <cell r="CH52">
            <v>24939</v>
          </cell>
          <cell r="CI52">
            <v>35414</v>
          </cell>
          <cell r="CJ52">
            <v>40650</v>
          </cell>
        </row>
        <row r="53">
          <cell r="A53" t="str">
            <v>J</v>
          </cell>
          <cell r="B53" t="str">
            <v>Y</v>
          </cell>
          <cell r="BH53">
            <v>21464</v>
          </cell>
          <cell r="BI53">
            <v>30479</v>
          </cell>
          <cell r="BJ53">
            <v>34986</v>
          </cell>
          <cell r="BR53">
            <v>20003</v>
          </cell>
          <cell r="BS53">
            <v>28404</v>
          </cell>
          <cell r="BT53">
            <v>32605</v>
          </cell>
          <cell r="BX53">
            <v>20003</v>
          </cell>
          <cell r="BY53">
            <v>28404</v>
          </cell>
          <cell r="BZ53">
            <v>32605</v>
          </cell>
          <cell r="CH53">
            <v>21464</v>
          </cell>
          <cell r="CI53">
            <v>30479</v>
          </cell>
          <cell r="CJ53">
            <v>34986</v>
          </cell>
        </row>
        <row r="54">
          <cell r="A54" t="str">
            <v>K</v>
          </cell>
          <cell r="B54" t="str">
            <v>D</v>
          </cell>
          <cell r="BH54">
            <v>21686</v>
          </cell>
          <cell r="BI54">
            <v>30794</v>
          </cell>
          <cell r="BJ54">
            <v>35348</v>
          </cell>
          <cell r="BR54">
            <v>20210</v>
          </cell>
          <cell r="BS54">
            <v>28698</v>
          </cell>
          <cell r="BT54">
            <v>32942</v>
          </cell>
          <cell r="BX54">
            <v>20210</v>
          </cell>
          <cell r="BY54">
            <v>28698</v>
          </cell>
          <cell r="BZ54">
            <v>32942</v>
          </cell>
          <cell r="CH54">
            <v>21686</v>
          </cell>
          <cell r="CI54">
            <v>30794</v>
          </cell>
          <cell r="CJ54">
            <v>35348</v>
          </cell>
        </row>
        <row r="55">
          <cell r="A55" t="str">
            <v>K</v>
          </cell>
          <cell r="B55" t="str">
            <v>A</v>
          </cell>
          <cell r="BH55">
            <v>28842</v>
          </cell>
          <cell r="BI55">
            <v>40956</v>
          </cell>
          <cell r="BJ55">
            <v>47013</v>
          </cell>
          <cell r="BR55">
            <v>26879</v>
          </cell>
          <cell r="BS55">
            <v>38168</v>
          </cell>
          <cell r="BT55">
            <v>43813</v>
          </cell>
          <cell r="BX55">
            <v>26879</v>
          </cell>
          <cell r="BY55">
            <v>38168</v>
          </cell>
          <cell r="BZ55">
            <v>43813</v>
          </cell>
          <cell r="CH55">
            <v>28842</v>
          </cell>
          <cell r="CI55">
            <v>40956</v>
          </cell>
          <cell r="CJ55">
            <v>47013</v>
          </cell>
        </row>
        <row r="56">
          <cell r="A56" t="str">
            <v>K</v>
          </cell>
          <cell r="B56" t="str">
            <v>B</v>
          </cell>
          <cell r="BH56">
            <v>26457</v>
          </cell>
          <cell r="BI56">
            <v>37569</v>
          </cell>
          <cell r="BJ56">
            <v>43125</v>
          </cell>
          <cell r="BR56">
            <v>24656</v>
          </cell>
          <cell r="BS56">
            <v>35012</v>
          </cell>
          <cell r="BT56">
            <v>40189</v>
          </cell>
          <cell r="BX56">
            <v>24656</v>
          </cell>
          <cell r="BY56">
            <v>35012</v>
          </cell>
          <cell r="BZ56">
            <v>40189</v>
          </cell>
          <cell r="CH56">
            <v>26457</v>
          </cell>
          <cell r="CI56">
            <v>37569</v>
          </cell>
          <cell r="CJ56">
            <v>43125</v>
          </cell>
        </row>
        <row r="57">
          <cell r="A57" t="str">
            <v>K</v>
          </cell>
          <cell r="B57" t="str">
            <v>Y</v>
          </cell>
          <cell r="BH57">
            <v>22770</v>
          </cell>
          <cell r="BI57">
            <v>32334</v>
          </cell>
          <cell r="BJ57">
            <v>37115</v>
          </cell>
          <cell r="BR57">
            <v>21221</v>
          </cell>
          <cell r="BS57">
            <v>30133</v>
          </cell>
          <cell r="BT57">
            <v>34589</v>
          </cell>
          <cell r="BX57">
            <v>21221</v>
          </cell>
          <cell r="BY57">
            <v>30133</v>
          </cell>
          <cell r="BZ57">
            <v>34589</v>
          </cell>
          <cell r="CH57">
            <v>22770</v>
          </cell>
          <cell r="CI57">
            <v>32334</v>
          </cell>
          <cell r="CJ57">
            <v>37115</v>
          </cell>
        </row>
        <row r="58">
          <cell r="A58" t="str">
            <v>L</v>
          </cell>
          <cell r="B58" t="str">
            <v>D</v>
          </cell>
          <cell r="BH58">
            <v>22897</v>
          </cell>
          <cell r="BI58">
            <v>32514</v>
          </cell>
          <cell r="BJ58">
            <v>37322</v>
          </cell>
          <cell r="BR58">
            <v>21338</v>
          </cell>
          <cell r="BS58">
            <v>30300</v>
          </cell>
          <cell r="BT58">
            <v>34781</v>
          </cell>
          <cell r="BX58">
            <v>21338</v>
          </cell>
          <cell r="BY58">
            <v>30300</v>
          </cell>
          <cell r="BZ58">
            <v>34781</v>
          </cell>
          <cell r="CH58">
            <v>22897</v>
          </cell>
          <cell r="CI58">
            <v>32514</v>
          </cell>
          <cell r="CJ58">
            <v>37322</v>
          </cell>
        </row>
        <row r="59">
          <cell r="A59" t="str">
            <v>L</v>
          </cell>
          <cell r="B59" t="str">
            <v>A</v>
          </cell>
          <cell r="BH59">
            <v>30453</v>
          </cell>
          <cell r="BI59">
            <v>43244</v>
          </cell>
          <cell r="BJ59">
            <v>49638</v>
          </cell>
          <cell r="BR59">
            <v>28380</v>
          </cell>
          <cell r="BS59">
            <v>40299</v>
          </cell>
          <cell r="BT59">
            <v>46259</v>
          </cell>
          <cell r="BX59">
            <v>28380</v>
          </cell>
          <cell r="BY59">
            <v>40299</v>
          </cell>
          <cell r="BZ59">
            <v>46259</v>
          </cell>
          <cell r="CH59">
            <v>30453</v>
          </cell>
          <cell r="CI59">
            <v>43244</v>
          </cell>
          <cell r="CJ59">
            <v>49638</v>
          </cell>
        </row>
        <row r="60">
          <cell r="A60" t="str">
            <v>L</v>
          </cell>
          <cell r="B60" t="str">
            <v>B</v>
          </cell>
          <cell r="BH60">
            <v>27934</v>
          </cell>
          <cell r="BI60">
            <v>39667</v>
          </cell>
          <cell r="BJ60">
            <v>45533</v>
          </cell>
          <cell r="BR60">
            <v>26032</v>
          </cell>
          <cell r="BS60">
            <v>36966</v>
          </cell>
          <cell r="BT60">
            <v>42433</v>
          </cell>
          <cell r="BX60">
            <v>26032</v>
          </cell>
          <cell r="BY60">
            <v>36966</v>
          </cell>
          <cell r="BZ60">
            <v>42433</v>
          </cell>
          <cell r="CH60">
            <v>27934</v>
          </cell>
          <cell r="CI60">
            <v>39667</v>
          </cell>
          <cell r="CJ60">
            <v>45533</v>
          </cell>
        </row>
        <row r="61">
          <cell r="A61" t="str">
            <v>L</v>
          </cell>
          <cell r="B61" t="str">
            <v>Y</v>
          </cell>
          <cell r="BH61">
            <v>24042</v>
          </cell>
          <cell r="BI61">
            <v>34140</v>
          </cell>
          <cell r="BJ61">
            <v>39188</v>
          </cell>
          <cell r="BR61">
            <v>22405</v>
          </cell>
          <cell r="BS61">
            <v>31815</v>
          </cell>
          <cell r="BT61">
            <v>36520</v>
          </cell>
          <cell r="BX61">
            <v>22405</v>
          </cell>
          <cell r="BY61">
            <v>31815</v>
          </cell>
          <cell r="BZ61">
            <v>36520</v>
          </cell>
          <cell r="CH61">
            <v>24042</v>
          </cell>
          <cell r="CI61">
            <v>34140</v>
          </cell>
          <cell r="CJ61">
            <v>39188</v>
          </cell>
        </row>
        <row r="62">
          <cell r="A62" t="str">
            <v>M</v>
          </cell>
          <cell r="B62" t="str">
            <v>D</v>
          </cell>
          <cell r="BH62">
            <v>24033</v>
          </cell>
          <cell r="BI62">
            <v>34127</v>
          </cell>
          <cell r="BJ62">
            <v>39174</v>
          </cell>
          <cell r="BR62">
            <v>22397</v>
          </cell>
          <cell r="BS62">
            <v>31804</v>
          </cell>
          <cell r="BT62">
            <v>36507</v>
          </cell>
          <cell r="BX62">
            <v>22397</v>
          </cell>
          <cell r="BY62">
            <v>31804</v>
          </cell>
          <cell r="BZ62">
            <v>36507</v>
          </cell>
          <cell r="CH62">
            <v>24033</v>
          </cell>
          <cell r="CI62">
            <v>34127</v>
          </cell>
          <cell r="CJ62">
            <v>39174</v>
          </cell>
        </row>
        <row r="63">
          <cell r="A63" t="str">
            <v>M</v>
          </cell>
          <cell r="B63" t="str">
            <v>A</v>
          </cell>
          <cell r="BH63">
            <v>31964</v>
          </cell>
          <cell r="BI63">
            <v>45389</v>
          </cell>
          <cell r="BJ63">
            <v>52101</v>
          </cell>
          <cell r="BR63">
            <v>29788</v>
          </cell>
          <cell r="BS63">
            <v>42299</v>
          </cell>
          <cell r="BT63">
            <v>48554</v>
          </cell>
          <cell r="BX63">
            <v>29788</v>
          </cell>
          <cell r="BY63">
            <v>42299</v>
          </cell>
          <cell r="BZ63">
            <v>48554</v>
          </cell>
          <cell r="CH63">
            <v>31964</v>
          </cell>
          <cell r="CI63">
            <v>45389</v>
          </cell>
          <cell r="CJ63">
            <v>52101</v>
          </cell>
        </row>
        <row r="64">
          <cell r="A64" t="str">
            <v>M</v>
          </cell>
          <cell r="B64" t="str">
            <v>B</v>
          </cell>
          <cell r="BH64">
            <v>29320</v>
          </cell>
          <cell r="BI64">
            <v>41635</v>
          </cell>
          <cell r="BJ64">
            <v>47792</v>
          </cell>
          <cell r="BR64">
            <v>27324</v>
          </cell>
          <cell r="BS64">
            <v>38801</v>
          </cell>
          <cell r="BT64">
            <v>44539</v>
          </cell>
          <cell r="BX64">
            <v>27324</v>
          </cell>
          <cell r="BY64">
            <v>38801</v>
          </cell>
          <cell r="BZ64">
            <v>44539</v>
          </cell>
          <cell r="CH64">
            <v>29320</v>
          </cell>
          <cell r="CI64">
            <v>41635</v>
          </cell>
          <cell r="CJ64">
            <v>47792</v>
          </cell>
        </row>
        <row r="65">
          <cell r="A65" t="str">
            <v>M</v>
          </cell>
          <cell r="B65" t="str">
            <v>Y</v>
          </cell>
          <cell r="BH65">
            <v>25235</v>
          </cell>
          <cell r="BI65">
            <v>35833</v>
          </cell>
          <cell r="BJ65">
            <v>41133</v>
          </cell>
          <cell r="BR65">
            <v>23517</v>
          </cell>
          <cell r="BS65">
            <v>33394</v>
          </cell>
          <cell r="BT65">
            <v>38332</v>
          </cell>
          <cell r="BX65">
            <v>23517</v>
          </cell>
          <cell r="BY65">
            <v>33394</v>
          </cell>
          <cell r="BZ65">
            <v>38332</v>
          </cell>
          <cell r="CH65">
            <v>25235</v>
          </cell>
          <cell r="CI65">
            <v>35833</v>
          </cell>
          <cell r="CJ65">
            <v>41133</v>
          </cell>
        </row>
        <row r="66">
          <cell r="A66" t="str">
            <v>N</v>
          </cell>
          <cell r="B66" t="str">
            <v>D</v>
          </cell>
        </row>
        <row r="67">
          <cell r="A67" t="str">
            <v>N</v>
          </cell>
          <cell r="B67" t="str">
            <v>A</v>
          </cell>
        </row>
        <row r="68">
          <cell r="A68" t="str">
            <v>N</v>
          </cell>
          <cell r="B68" t="str">
            <v>B</v>
          </cell>
        </row>
        <row r="69">
          <cell r="A69" t="str">
            <v>N</v>
          </cell>
          <cell r="B69" t="str">
            <v>Y</v>
          </cell>
        </row>
        <row r="70">
          <cell r="A70" t="str">
            <v>I</v>
          </cell>
          <cell r="B70" t="str">
            <v>D</v>
          </cell>
          <cell r="BH70">
            <v>12152</v>
          </cell>
          <cell r="BI70">
            <v>17256</v>
          </cell>
          <cell r="BJ70">
            <v>19808</v>
          </cell>
          <cell r="BR70">
            <v>11325</v>
          </cell>
          <cell r="BS70">
            <v>16082</v>
          </cell>
          <cell r="BT70">
            <v>18460</v>
          </cell>
          <cell r="BX70">
            <v>11325</v>
          </cell>
          <cell r="BY70">
            <v>16082</v>
          </cell>
          <cell r="BZ70">
            <v>18460</v>
          </cell>
          <cell r="CH70">
            <v>12152</v>
          </cell>
          <cell r="CI70">
            <v>17256</v>
          </cell>
          <cell r="CJ70">
            <v>19808</v>
          </cell>
        </row>
        <row r="71">
          <cell r="A71" t="str">
            <v>I</v>
          </cell>
          <cell r="B71" t="str">
            <v>B</v>
          </cell>
          <cell r="BH71">
            <v>14825</v>
          </cell>
          <cell r="BI71">
            <v>21052</v>
          </cell>
          <cell r="BJ71">
            <v>24166</v>
          </cell>
          <cell r="BR71">
            <v>13817</v>
          </cell>
          <cell r="BS71">
            <v>19620</v>
          </cell>
          <cell r="BT71">
            <v>22521</v>
          </cell>
          <cell r="BX71">
            <v>13817</v>
          </cell>
          <cell r="BY71">
            <v>19620</v>
          </cell>
          <cell r="BZ71">
            <v>22521</v>
          </cell>
          <cell r="CH71">
            <v>14825</v>
          </cell>
          <cell r="CI71">
            <v>21052</v>
          </cell>
          <cell r="CJ71">
            <v>24166</v>
          </cell>
        </row>
        <row r="72">
          <cell r="A72" t="str">
            <v>I</v>
          </cell>
          <cell r="B72" t="str">
            <v>A-S</v>
          </cell>
          <cell r="BH72">
            <v>16162</v>
          </cell>
          <cell r="BI72">
            <v>22950</v>
          </cell>
          <cell r="BJ72">
            <v>26345</v>
          </cell>
          <cell r="BR72">
            <v>15062</v>
          </cell>
          <cell r="BS72">
            <v>21389</v>
          </cell>
          <cell r="BT72">
            <v>24552</v>
          </cell>
          <cell r="BX72">
            <v>15062</v>
          </cell>
          <cell r="BY72">
            <v>21389</v>
          </cell>
          <cell r="BZ72">
            <v>24552</v>
          </cell>
          <cell r="CH72">
            <v>16162</v>
          </cell>
          <cell r="CI72">
            <v>22950</v>
          </cell>
          <cell r="CJ72">
            <v>26345</v>
          </cell>
        </row>
        <row r="73">
          <cell r="A73" t="str">
            <v>II</v>
          </cell>
          <cell r="B73" t="str">
            <v>D</v>
          </cell>
          <cell r="BH73">
            <v>12616</v>
          </cell>
          <cell r="BI73">
            <v>17915</v>
          </cell>
          <cell r="BJ73">
            <v>20564</v>
          </cell>
          <cell r="BR73">
            <v>11757</v>
          </cell>
          <cell r="BS73">
            <v>16695</v>
          </cell>
          <cell r="BT73">
            <v>19164</v>
          </cell>
          <cell r="BX73">
            <v>11757</v>
          </cell>
          <cell r="BY73">
            <v>16695</v>
          </cell>
          <cell r="BZ73">
            <v>19164</v>
          </cell>
          <cell r="CH73">
            <v>12616</v>
          </cell>
          <cell r="CI73">
            <v>17915</v>
          </cell>
          <cell r="CJ73">
            <v>20564</v>
          </cell>
        </row>
        <row r="74">
          <cell r="A74" t="str">
            <v>II</v>
          </cell>
          <cell r="B74" t="str">
            <v>B</v>
          </cell>
          <cell r="BH74">
            <v>15392</v>
          </cell>
          <cell r="BI74">
            <v>21856</v>
          </cell>
          <cell r="BJ74">
            <v>25088</v>
          </cell>
          <cell r="BR74">
            <v>14344</v>
          </cell>
          <cell r="BS74">
            <v>20368</v>
          </cell>
          <cell r="BT74">
            <v>23380</v>
          </cell>
          <cell r="BX74">
            <v>14344</v>
          </cell>
          <cell r="BY74">
            <v>20368</v>
          </cell>
          <cell r="BZ74">
            <v>23380</v>
          </cell>
          <cell r="CH74">
            <v>15392</v>
          </cell>
          <cell r="CI74">
            <v>21856</v>
          </cell>
          <cell r="CJ74">
            <v>25088</v>
          </cell>
        </row>
        <row r="75">
          <cell r="A75" t="str">
            <v>II</v>
          </cell>
          <cell r="B75" t="str">
            <v>A-S</v>
          </cell>
          <cell r="BH75">
            <v>16779</v>
          </cell>
          <cell r="BI75">
            <v>23827</v>
          </cell>
          <cell r="BJ75">
            <v>27350</v>
          </cell>
          <cell r="BR75">
            <v>15637</v>
          </cell>
          <cell r="BS75">
            <v>22204</v>
          </cell>
          <cell r="BT75">
            <v>25488</v>
          </cell>
          <cell r="BX75">
            <v>15637</v>
          </cell>
          <cell r="BY75">
            <v>22204</v>
          </cell>
          <cell r="BZ75">
            <v>25488</v>
          </cell>
          <cell r="CH75">
            <v>16779</v>
          </cell>
          <cell r="CI75">
            <v>23827</v>
          </cell>
          <cell r="CJ75">
            <v>27350</v>
          </cell>
        </row>
        <row r="76">
          <cell r="A76" t="str">
            <v>III</v>
          </cell>
          <cell r="B76" t="str">
            <v>D</v>
          </cell>
          <cell r="BH76">
            <v>13142</v>
          </cell>
          <cell r="BI76">
            <v>18662</v>
          </cell>
          <cell r="BJ76">
            <v>21421</v>
          </cell>
          <cell r="BR76">
            <v>12247</v>
          </cell>
          <cell r="BS76">
            <v>17391</v>
          </cell>
          <cell r="BT76">
            <v>19963</v>
          </cell>
          <cell r="BX76">
            <v>12247</v>
          </cell>
          <cell r="BY76">
            <v>17391</v>
          </cell>
          <cell r="BZ76">
            <v>19963</v>
          </cell>
          <cell r="CH76">
            <v>13142</v>
          </cell>
          <cell r="CI76">
            <v>18662</v>
          </cell>
          <cell r="CJ76">
            <v>21421</v>
          </cell>
        </row>
        <row r="77">
          <cell r="A77" t="str">
            <v>III</v>
          </cell>
          <cell r="B77" t="str">
            <v>B</v>
          </cell>
          <cell r="BH77">
            <v>16033</v>
          </cell>
          <cell r="BI77">
            <v>22768</v>
          </cell>
          <cell r="BJ77">
            <v>26134</v>
          </cell>
          <cell r="BR77">
            <v>14941</v>
          </cell>
          <cell r="BS77">
            <v>21217</v>
          </cell>
          <cell r="BT77">
            <v>24355</v>
          </cell>
          <cell r="BX77">
            <v>14941</v>
          </cell>
          <cell r="BY77">
            <v>21217</v>
          </cell>
          <cell r="BZ77">
            <v>24355</v>
          </cell>
          <cell r="CH77">
            <v>16033</v>
          </cell>
          <cell r="CI77">
            <v>22768</v>
          </cell>
          <cell r="CJ77">
            <v>26134</v>
          </cell>
        </row>
        <row r="78">
          <cell r="A78" t="str">
            <v>III</v>
          </cell>
          <cell r="B78" t="str">
            <v>A-S</v>
          </cell>
          <cell r="BH78">
            <v>17479</v>
          </cell>
          <cell r="BI78">
            <v>24820</v>
          </cell>
          <cell r="BJ78">
            <v>28490</v>
          </cell>
          <cell r="BR78">
            <v>16289</v>
          </cell>
          <cell r="BS78">
            <v>23130</v>
          </cell>
          <cell r="BT78">
            <v>26551</v>
          </cell>
          <cell r="BX78">
            <v>16289</v>
          </cell>
          <cell r="BY78">
            <v>23130</v>
          </cell>
          <cell r="BZ78">
            <v>26551</v>
          </cell>
          <cell r="CH78">
            <v>17479</v>
          </cell>
          <cell r="CI78">
            <v>24820</v>
          </cell>
          <cell r="CJ78">
            <v>28490</v>
          </cell>
        </row>
        <row r="79">
          <cell r="A79" t="str">
            <v>IV</v>
          </cell>
          <cell r="B79" t="str">
            <v>D</v>
          </cell>
          <cell r="BH79">
            <v>13784</v>
          </cell>
          <cell r="BI79">
            <v>19573</v>
          </cell>
          <cell r="BJ79">
            <v>22468</v>
          </cell>
          <cell r="BR79">
            <v>12846</v>
          </cell>
          <cell r="BS79">
            <v>18241</v>
          </cell>
          <cell r="BT79">
            <v>20939</v>
          </cell>
          <cell r="BX79">
            <v>12846</v>
          </cell>
          <cell r="BY79">
            <v>18241</v>
          </cell>
          <cell r="BZ79">
            <v>20939</v>
          </cell>
          <cell r="CH79">
            <v>13784</v>
          </cell>
          <cell r="CI79">
            <v>19573</v>
          </cell>
          <cell r="CJ79">
            <v>22468</v>
          </cell>
        </row>
        <row r="80">
          <cell r="A80" t="str">
            <v>IV</v>
          </cell>
          <cell r="B80" t="str">
            <v>B</v>
          </cell>
          <cell r="BH80">
            <v>16816</v>
          </cell>
          <cell r="BI80">
            <v>23879</v>
          </cell>
          <cell r="BJ80">
            <v>27411</v>
          </cell>
          <cell r="BR80">
            <v>15672</v>
          </cell>
          <cell r="BS80">
            <v>22254</v>
          </cell>
          <cell r="BT80">
            <v>25546</v>
          </cell>
          <cell r="BX80">
            <v>15672</v>
          </cell>
          <cell r="BY80">
            <v>22254</v>
          </cell>
          <cell r="BZ80">
            <v>25546</v>
          </cell>
          <cell r="CH80">
            <v>16816</v>
          </cell>
          <cell r="CI80">
            <v>23879</v>
          </cell>
          <cell r="CJ80">
            <v>27411</v>
          </cell>
        </row>
        <row r="81">
          <cell r="A81" t="str">
            <v>IV</v>
          </cell>
          <cell r="B81" t="str">
            <v>A-S</v>
          </cell>
          <cell r="BH81">
            <v>18333</v>
          </cell>
          <cell r="BI81">
            <v>26032</v>
          </cell>
          <cell r="BJ81">
            <v>29882</v>
          </cell>
          <cell r="BR81">
            <v>17085</v>
          </cell>
          <cell r="BS81">
            <v>24261</v>
          </cell>
          <cell r="BT81">
            <v>27849</v>
          </cell>
          <cell r="BX81">
            <v>17085</v>
          </cell>
          <cell r="BY81">
            <v>24261</v>
          </cell>
          <cell r="BZ81">
            <v>27849</v>
          </cell>
          <cell r="CH81">
            <v>18333</v>
          </cell>
          <cell r="CI81">
            <v>26032</v>
          </cell>
          <cell r="CJ81">
            <v>29882</v>
          </cell>
        </row>
        <row r="82">
          <cell r="A82" t="str">
            <v>V</v>
          </cell>
          <cell r="B82" t="str">
            <v>D</v>
          </cell>
          <cell r="BH82">
            <v>14533</v>
          </cell>
          <cell r="BI82">
            <v>20637</v>
          </cell>
          <cell r="BJ82">
            <v>23689</v>
          </cell>
          <cell r="BR82">
            <v>13543</v>
          </cell>
          <cell r="BS82">
            <v>19231</v>
          </cell>
          <cell r="BT82">
            <v>22075</v>
          </cell>
          <cell r="BX82">
            <v>13543</v>
          </cell>
          <cell r="BY82">
            <v>19231</v>
          </cell>
          <cell r="BZ82">
            <v>22075</v>
          </cell>
          <cell r="CH82">
            <v>14533</v>
          </cell>
          <cell r="CI82">
            <v>20637</v>
          </cell>
          <cell r="CJ82">
            <v>23689</v>
          </cell>
        </row>
        <row r="83">
          <cell r="A83" t="str">
            <v>V</v>
          </cell>
          <cell r="B83" t="str">
            <v>B</v>
          </cell>
          <cell r="BH83">
            <v>17730</v>
          </cell>
          <cell r="BI83">
            <v>25177</v>
          </cell>
          <cell r="BJ83">
            <v>28901</v>
          </cell>
          <cell r="BR83">
            <v>16522</v>
          </cell>
          <cell r="BS83">
            <v>23462</v>
          </cell>
          <cell r="BT83">
            <v>26932</v>
          </cell>
          <cell r="BX83">
            <v>16522</v>
          </cell>
          <cell r="BY83">
            <v>23462</v>
          </cell>
          <cell r="BZ83">
            <v>26932</v>
          </cell>
          <cell r="CH83">
            <v>17730</v>
          </cell>
          <cell r="CI83">
            <v>25177</v>
          </cell>
          <cell r="CJ83">
            <v>28901</v>
          </cell>
        </row>
        <row r="84">
          <cell r="A84" t="str">
            <v>V</v>
          </cell>
          <cell r="B84" t="str">
            <v>A-S</v>
          </cell>
          <cell r="BH84">
            <v>19329</v>
          </cell>
          <cell r="BI84">
            <v>27447</v>
          </cell>
          <cell r="BJ84">
            <v>31506</v>
          </cell>
          <cell r="BR84">
            <v>18012</v>
          </cell>
          <cell r="BS84">
            <v>25577</v>
          </cell>
          <cell r="BT84">
            <v>29360</v>
          </cell>
          <cell r="BX84">
            <v>18012</v>
          </cell>
          <cell r="BY84">
            <v>25577</v>
          </cell>
          <cell r="BZ84">
            <v>29360</v>
          </cell>
          <cell r="CH84">
            <v>19329</v>
          </cell>
          <cell r="CI84">
            <v>27447</v>
          </cell>
          <cell r="CJ84">
            <v>31506</v>
          </cell>
        </row>
        <row r="85">
          <cell r="A85" t="str">
            <v>VI</v>
          </cell>
          <cell r="B85" t="str">
            <v>D</v>
          </cell>
          <cell r="BH85">
            <v>15309</v>
          </cell>
          <cell r="BI85">
            <v>21739</v>
          </cell>
          <cell r="BJ85">
            <v>24954</v>
          </cell>
          <cell r="BR85">
            <v>14267</v>
          </cell>
          <cell r="BS85">
            <v>20259</v>
          </cell>
          <cell r="BT85">
            <v>23255</v>
          </cell>
          <cell r="BX85">
            <v>14267</v>
          </cell>
          <cell r="BY85">
            <v>20259</v>
          </cell>
          <cell r="BZ85">
            <v>23255</v>
          </cell>
          <cell r="CH85">
            <v>15309</v>
          </cell>
          <cell r="CI85">
            <v>21739</v>
          </cell>
          <cell r="CJ85">
            <v>24954</v>
          </cell>
        </row>
        <row r="86">
          <cell r="A86" t="str">
            <v>VI</v>
          </cell>
          <cell r="B86" t="str">
            <v>B</v>
          </cell>
          <cell r="BH86">
            <v>18677</v>
          </cell>
          <cell r="BI86">
            <v>26522</v>
          </cell>
          <cell r="BJ86">
            <v>30444</v>
          </cell>
          <cell r="BR86">
            <v>17406</v>
          </cell>
          <cell r="BS86">
            <v>24716</v>
          </cell>
          <cell r="BT86">
            <v>28371</v>
          </cell>
          <cell r="BX86">
            <v>17406</v>
          </cell>
          <cell r="BY86">
            <v>24716</v>
          </cell>
          <cell r="BZ86">
            <v>28371</v>
          </cell>
          <cell r="CH86">
            <v>18677</v>
          </cell>
          <cell r="CI86">
            <v>26522</v>
          </cell>
          <cell r="CJ86">
            <v>30444</v>
          </cell>
        </row>
        <row r="87">
          <cell r="A87" t="str">
            <v>VI</v>
          </cell>
          <cell r="B87" t="str">
            <v>A-S</v>
          </cell>
          <cell r="BH87">
            <v>20361</v>
          </cell>
          <cell r="BI87">
            <v>28913</v>
          </cell>
          <cell r="BJ87">
            <v>33189</v>
          </cell>
          <cell r="BR87">
            <v>18975</v>
          </cell>
          <cell r="BS87">
            <v>26944</v>
          </cell>
          <cell r="BT87">
            <v>30929</v>
          </cell>
          <cell r="BX87">
            <v>18975</v>
          </cell>
          <cell r="BY87">
            <v>26944</v>
          </cell>
          <cell r="BZ87">
            <v>30929</v>
          </cell>
          <cell r="CH87">
            <v>20361</v>
          </cell>
          <cell r="CI87">
            <v>28913</v>
          </cell>
          <cell r="CJ87">
            <v>33189</v>
          </cell>
        </row>
        <row r="88">
          <cell r="A88" t="str">
            <v>VII</v>
          </cell>
          <cell r="B88" t="str">
            <v>D</v>
          </cell>
          <cell r="BH88">
            <v>16710</v>
          </cell>
          <cell r="BI88">
            <v>23728</v>
          </cell>
          <cell r="BJ88">
            <v>27237</v>
          </cell>
          <cell r="BR88">
            <v>15572</v>
          </cell>
          <cell r="BS88">
            <v>22112</v>
          </cell>
          <cell r="BT88">
            <v>25382</v>
          </cell>
          <cell r="BX88">
            <v>15572</v>
          </cell>
          <cell r="BY88">
            <v>22112</v>
          </cell>
          <cell r="BZ88">
            <v>25382</v>
          </cell>
          <cell r="CH88">
            <v>16710</v>
          </cell>
          <cell r="CI88">
            <v>23728</v>
          </cell>
          <cell r="CJ88">
            <v>27237</v>
          </cell>
        </row>
        <row r="89">
          <cell r="A89" t="str">
            <v>VII</v>
          </cell>
          <cell r="B89" t="str">
            <v>B</v>
          </cell>
          <cell r="BH89">
            <v>20386</v>
          </cell>
          <cell r="BI89">
            <v>28948</v>
          </cell>
          <cell r="BJ89">
            <v>33229</v>
          </cell>
          <cell r="BR89">
            <v>18998</v>
          </cell>
          <cell r="BS89">
            <v>26977</v>
          </cell>
          <cell r="BT89">
            <v>30966</v>
          </cell>
          <cell r="BX89">
            <v>18998</v>
          </cell>
          <cell r="BY89">
            <v>26977</v>
          </cell>
          <cell r="BZ89">
            <v>30966</v>
          </cell>
          <cell r="CH89">
            <v>20386</v>
          </cell>
          <cell r="CI89">
            <v>28948</v>
          </cell>
          <cell r="CJ89">
            <v>33229</v>
          </cell>
        </row>
        <row r="90">
          <cell r="A90" t="str">
            <v>VII</v>
          </cell>
          <cell r="B90" t="str">
            <v>A-S</v>
          </cell>
          <cell r="BH90">
            <v>22224</v>
          </cell>
          <cell r="BI90">
            <v>31558</v>
          </cell>
          <cell r="BJ90">
            <v>36225</v>
          </cell>
          <cell r="BR90">
            <v>20711</v>
          </cell>
          <cell r="BS90">
            <v>29409</v>
          </cell>
          <cell r="BT90">
            <v>33758</v>
          </cell>
          <cell r="BX90">
            <v>20711</v>
          </cell>
          <cell r="BY90">
            <v>29409</v>
          </cell>
          <cell r="BZ90">
            <v>33758</v>
          </cell>
          <cell r="CH90">
            <v>22224</v>
          </cell>
          <cell r="CI90">
            <v>31558</v>
          </cell>
          <cell r="CJ90">
            <v>36225</v>
          </cell>
        </row>
        <row r="91">
          <cell r="A91" t="str">
            <v>VIII</v>
          </cell>
          <cell r="B91" t="str">
            <v>D</v>
          </cell>
          <cell r="BH91">
            <v>18343</v>
          </cell>
          <cell r="BI91">
            <v>26047</v>
          </cell>
          <cell r="BJ91">
            <v>29899</v>
          </cell>
          <cell r="BR91">
            <v>17094</v>
          </cell>
          <cell r="BS91">
            <v>24273</v>
          </cell>
          <cell r="BT91">
            <v>27863</v>
          </cell>
          <cell r="BX91">
            <v>17094</v>
          </cell>
          <cell r="BY91">
            <v>24273</v>
          </cell>
          <cell r="BZ91">
            <v>27863</v>
          </cell>
          <cell r="CH91">
            <v>18343</v>
          </cell>
          <cell r="CI91">
            <v>26047</v>
          </cell>
          <cell r="CJ91">
            <v>29899</v>
          </cell>
        </row>
        <row r="92">
          <cell r="A92" t="str">
            <v>VIII</v>
          </cell>
          <cell r="B92" t="str">
            <v>B</v>
          </cell>
          <cell r="BH92">
            <v>22378</v>
          </cell>
          <cell r="BI92">
            <v>31777</v>
          </cell>
          <cell r="BJ92">
            <v>36477</v>
          </cell>
          <cell r="BR92">
            <v>20855</v>
          </cell>
          <cell r="BS92">
            <v>29613</v>
          </cell>
          <cell r="BT92">
            <v>33993</v>
          </cell>
          <cell r="BX92">
            <v>20855</v>
          </cell>
          <cell r="BY92">
            <v>29613</v>
          </cell>
          <cell r="BZ92">
            <v>33993</v>
          </cell>
          <cell r="CH92">
            <v>22378</v>
          </cell>
          <cell r="CI92">
            <v>31777</v>
          </cell>
          <cell r="CJ92">
            <v>36477</v>
          </cell>
        </row>
        <row r="93">
          <cell r="A93" t="str">
            <v>VIII</v>
          </cell>
          <cell r="B93" t="str">
            <v>A-S</v>
          </cell>
          <cell r="BH93">
            <v>24396</v>
          </cell>
          <cell r="BI93">
            <v>34643</v>
          </cell>
          <cell r="BJ93">
            <v>39766</v>
          </cell>
          <cell r="BR93">
            <v>22735</v>
          </cell>
          <cell r="BS93">
            <v>32283</v>
          </cell>
          <cell r="BT93">
            <v>37058</v>
          </cell>
          <cell r="BX93">
            <v>22735</v>
          </cell>
          <cell r="BY93">
            <v>32283</v>
          </cell>
          <cell r="BZ93">
            <v>37058</v>
          </cell>
          <cell r="CH93">
            <v>24396</v>
          </cell>
          <cell r="CI93">
            <v>34643</v>
          </cell>
          <cell r="CJ93">
            <v>39766</v>
          </cell>
        </row>
        <row r="94">
          <cell r="A94" t="str">
            <v>IX</v>
          </cell>
          <cell r="B94" t="str">
            <v>D</v>
          </cell>
          <cell r="BH94">
            <v>20064</v>
          </cell>
          <cell r="BI94">
            <v>28491</v>
          </cell>
          <cell r="BJ94">
            <v>32704</v>
          </cell>
          <cell r="BR94">
            <v>18698</v>
          </cell>
          <cell r="BS94">
            <v>26551</v>
          </cell>
          <cell r="BT94">
            <v>30478</v>
          </cell>
          <cell r="BX94">
            <v>18698</v>
          </cell>
          <cell r="BY94">
            <v>26551</v>
          </cell>
          <cell r="BZ94">
            <v>30478</v>
          </cell>
          <cell r="CH94">
            <v>20064</v>
          </cell>
          <cell r="CI94">
            <v>28491</v>
          </cell>
          <cell r="CJ94">
            <v>32704</v>
          </cell>
        </row>
        <row r="95">
          <cell r="A95" t="str">
            <v>IX</v>
          </cell>
          <cell r="B95" t="str">
            <v>B</v>
          </cell>
          <cell r="BH95">
            <v>24478</v>
          </cell>
          <cell r="BI95">
            <v>34759</v>
          </cell>
          <cell r="BJ95">
            <v>39899</v>
          </cell>
          <cell r="BR95">
            <v>22812</v>
          </cell>
          <cell r="BS95">
            <v>32392</v>
          </cell>
          <cell r="BT95">
            <v>37183</v>
          </cell>
          <cell r="BX95">
            <v>22812</v>
          </cell>
          <cell r="BY95">
            <v>32392</v>
          </cell>
          <cell r="BZ95">
            <v>37183</v>
          </cell>
          <cell r="CH95">
            <v>24478</v>
          </cell>
          <cell r="CI95">
            <v>34759</v>
          </cell>
          <cell r="CJ95">
            <v>39899</v>
          </cell>
        </row>
        <row r="96">
          <cell r="A96" t="str">
            <v>IX</v>
          </cell>
          <cell r="B96" t="str">
            <v>A-S</v>
          </cell>
          <cell r="BH96">
            <v>26685</v>
          </cell>
          <cell r="BI96">
            <v>37893</v>
          </cell>
          <cell r="BJ96">
            <v>43496</v>
          </cell>
          <cell r="BR96">
            <v>24868</v>
          </cell>
          <cell r="BS96">
            <v>35313</v>
          </cell>
          <cell r="BT96">
            <v>40536</v>
          </cell>
          <cell r="BX96">
            <v>24868</v>
          </cell>
          <cell r="BY96">
            <v>35313</v>
          </cell>
          <cell r="BZ96">
            <v>40536</v>
          </cell>
          <cell r="CH96">
            <v>26685</v>
          </cell>
          <cell r="CI96">
            <v>37893</v>
          </cell>
          <cell r="CJ96">
            <v>43496</v>
          </cell>
        </row>
        <row r="97">
          <cell r="A97" t="str">
            <v>X</v>
          </cell>
          <cell r="B97" t="str">
            <v>D</v>
          </cell>
          <cell r="BH97">
            <v>21805</v>
          </cell>
          <cell r="BI97">
            <v>30963</v>
          </cell>
          <cell r="BJ97">
            <v>35542</v>
          </cell>
          <cell r="BR97">
            <v>20321</v>
          </cell>
          <cell r="BS97">
            <v>28856</v>
          </cell>
          <cell r="BT97">
            <v>33123</v>
          </cell>
          <cell r="BX97">
            <v>20321</v>
          </cell>
          <cell r="BY97">
            <v>28856</v>
          </cell>
          <cell r="BZ97">
            <v>33123</v>
          </cell>
          <cell r="CH97">
            <v>21805</v>
          </cell>
          <cell r="CI97">
            <v>30963</v>
          </cell>
          <cell r="CJ97">
            <v>35542</v>
          </cell>
        </row>
        <row r="98">
          <cell r="A98" t="str">
            <v>X</v>
          </cell>
          <cell r="B98" t="str">
            <v>B</v>
          </cell>
          <cell r="BH98">
            <v>26602</v>
          </cell>
          <cell r="BI98">
            <v>37775</v>
          </cell>
          <cell r="BJ98">
            <v>43361</v>
          </cell>
          <cell r="BR98">
            <v>24792</v>
          </cell>
          <cell r="BS98">
            <v>35204</v>
          </cell>
          <cell r="BT98">
            <v>40410</v>
          </cell>
          <cell r="BX98">
            <v>24792</v>
          </cell>
          <cell r="BY98">
            <v>35204</v>
          </cell>
          <cell r="BZ98">
            <v>40410</v>
          </cell>
          <cell r="CH98">
            <v>26602</v>
          </cell>
          <cell r="CI98">
            <v>37775</v>
          </cell>
          <cell r="CJ98">
            <v>43361</v>
          </cell>
        </row>
        <row r="99">
          <cell r="A99" t="str">
            <v>X</v>
          </cell>
          <cell r="B99" t="str">
            <v>A-S</v>
          </cell>
          <cell r="BH99">
            <v>29001</v>
          </cell>
          <cell r="BI99">
            <v>41181</v>
          </cell>
          <cell r="BJ99">
            <v>47271</v>
          </cell>
          <cell r="BR99">
            <v>27027</v>
          </cell>
          <cell r="BS99">
            <v>38378</v>
          </cell>
          <cell r="BT99">
            <v>44054</v>
          </cell>
          <cell r="BX99">
            <v>27027</v>
          </cell>
          <cell r="BY99">
            <v>38378</v>
          </cell>
          <cell r="BZ99">
            <v>44054</v>
          </cell>
          <cell r="CH99">
            <v>29001</v>
          </cell>
          <cell r="CI99">
            <v>41181</v>
          </cell>
          <cell r="CJ99">
            <v>47271</v>
          </cell>
        </row>
        <row r="100">
          <cell r="A100" t="str">
            <v>XI</v>
          </cell>
          <cell r="B100" t="str">
            <v>D</v>
          </cell>
          <cell r="BH100">
            <v>23545</v>
          </cell>
          <cell r="BI100">
            <v>33434</v>
          </cell>
          <cell r="BJ100">
            <v>38378</v>
          </cell>
          <cell r="BR100">
            <v>21942</v>
          </cell>
          <cell r="BS100">
            <v>31158</v>
          </cell>
          <cell r="BT100">
            <v>35765</v>
          </cell>
          <cell r="BX100">
            <v>21942</v>
          </cell>
          <cell r="BY100">
            <v>31158</v>
          </cell>
          <cell r="BZ100">
            <v>35765</v>
          </cell>
          <cell r="CH100">
            <v>23545</v>
          </cell>
          <cell r="CI100">
            <v>33434</v>
          </cell>
          <cell r="CJ100">
            <v>38378</v>
          </cell>
        </row>
        <row r="101">
          <cell r="A101" t="str">
            <v>XI</v>
          </cell>
          <cell r="B101" t="str">
            <v>B</v>
          </cell>
          <cell r="BH101">
            <v>28725</v>
          </cell>
          <cell r="BI101">
            <v>40789</v>
          </cell>
          <cell r="BJ101">
            <v>46821</v>
          </cell>
          <cell r="BR101">
            <v>26769</v>
          </cell>
          <cell r="BS101">
            <v>38013</v>
          </cell>
          <cell r="BT101">
            <v>43633</v>
          </cell>
          <cell r="BX101">
            <v>26769</v>
          </cell>
          <cell r="BY101">
            <v>38013</v>
          </cell>
          <cell r="BZ101">
            <v>43633</v>
          </cell>
          <cell r="CH101">
            <v>28725</v>
          </cell>
          <cell r="CI101">
            <v>40789</v>
          </cell>
          <cell r="CJ101">
            <v>46821</v>
          </cell>
        </row>
        <row r="102">
          <cell r="A102" t="str">
            <v>XI</v>
          </cell>
          <cell r="B102" t="str">
            <v>A-S</v>
          </cell>
          <cell r="BH102">
            <v>31315</v>
          </cell>
          <cell r="BI102">
            <v>44467</v>
          </cell>
          <cell r="BJ102">
            <v>51043</v>
          </cell>
          <cell r="BR102">
            <v>29183</v>
          </cell>
          <cell r="BS102">
            <v>41440</v>
          </cell>
          <cell r="BT102">
            <v>47567</v>
          </cell>
          <cell r="BX102">
            <v>29183</v>
          </cell>
          <cell r="BY102">
            <v>41440</v>
          </cell>
          <cell r="BZ102">
            <v>47567</v>
          </cell>
          <cell r="CH102">
            <v>31315</v>
          </cell>
          <cell r="CI102">
            <v>44467</v>
          </cell>
          <cell r="CJ102">
            <v>51043</v>
          </cell>
        </row>
        <row r="103">
          <cell r="A103" t="str">
            <v>XII</v>
          </cell>
          <cell r="B103" t="str">
            <v>D</v>
          </cell>
          <cell r="BH103">
            <v>25430</v>
          </cell>
          <cell r="BI103">
            <v>36111</v>
          </cell>
          <cell r="BJ103">
            <v>41451</v>
          </cell>
          <cell r="BR103">
            <v>23699</v>
          </cell>
          <cell r="BS103">
            <v>33653</v>
          </cell>
          <cell r="BT103">
            <v>38629</v>
          </cell>
          <cell r="BX103">
            <v>23699</v>
          </cell>
          <cell r="BY103">
            <v>33653</v>
          </cell>
          <cell r="BZ103">
            <v>38629</v>
          </cell>
          <cell r="CH103">
            <v>25430</v>
          </cell>
          <cell r="CI103">
            <v>36111</v>
          </cell>
          <cell r="CJ103">
            <v>41451</v>
          </cell>
        </row>
        <row r="104">
          <cell r="A104" t="str">
            <v>XII</v>
          </cell>
          <cell r="B104" t="str">
            <v>B</v>
          </cell>
          <cell r="BH104">
            <v>31025</v>
          </cell>
          <cell r="BI104">
            <v>44055</v>
          </cell>
          <cell r="BJ104">
            <v>50570</v>
          </cell>
          <cell r="BR104">
            <v>28913</v>
          </cell>
          <cell r="BS104">
            <v>41057</v>
          </cell>
          <cell r="BT104">
            <v>47127</v>
          </cell>
          <cell r="BX104">
            <v>28913</v>
          </cell>
          <cell r="BY104">
            <v>41057</v>
          </cell>
          <cell r="BZ104">
            <v>47127</v>
          </cell>
          <cell r="CH104">
            <v>31025</v>
          </cell>
          <cell r="CI104">
            <v>44055</v>
          </cell>
          <cell r="CJ104">
            <v>50570</v>
          </cell>
        </row>
        <row r="105">
          <cell r="A105" t="str">
            <v>XII</v>
          </cell>
          <cell r="B105" t="str">
            <v>A-S</v>
          </cell>
          <cell r="BH105">
            <v>33822</v>
          </cell>
          <cell r="BI105">
            <v>48028</v>
          </cell>
          <cell r="BJ105">
            <v>55130</v>
          </cell>
          <cell r="BR105">
            <v>31520</v>
          </cell>
          <cell r="BS105">
            <v>44758</v>
          </cell>
          <cell r="BT105">
            <v>51377</v>
          </cell>
          <cell r="BX105">
            <v>31520</v>
          </cell>
          <cell r="BY105">
            <v>44758</v>
          </cell>
          <cell r="BZ105">
            <v>51377</v>
          </cell>
          <cell r="CH105">
            <v>33822</v>
          </cell>
          <cell r="CI105">
            <v>48028</v>
          </cell>
          <cell r="CJ105">
            <v>55130</v>
          </cell>
        </row>
      </sheetData>
      <sheetData sheetId="5">
        <row r="6">
          <cell r="BE6" t="str">
            <v>ASIG. VIANDA COMP. NO REM.</v>
          </cell>
          <cell r="BF6" t="str">
            <v>BONO PAZ SOCIAL</v>
          </cell>
          <cell r="BG6" t="str">
            <v>VIANDA AYUDA ALIMENTARIA</v>
          </cell>
          <cell r="BH6" t="str">
            <v>VIANDA DESAYUNO</v>
          </cell>
          <cell r="BI6" t="str">
            <v>VIANDA MERIENDA</v>
          </cell>
          <cell r="BJ6" t="str">
            <v>VIANDA EXPEDIENTE</v>
          </cell>
          <cell r="BK6" t="str">
            <v>VIANDA ALIMENTACIÓN DIARIA</v>
          </cell>
          <cell r="BL6" t="str">
            <v>Hora de Viaje</v>
          </cell>
          <cell r="BM6" t="str">
            <v>ADIC. ESPERA TRANSPORTE</v>
          </cell>
          <cell r="BN6" t="str">
            <v>Adic. Torre (Título II)</v>
          </cell>
          <cell r="BO6" t="str">
            <v>Adic. Torre (Título III)</v>
          </cell>
          <cell r="BP6" t="str">
            <v>Adic. Torre SPJ</v>
          </cell>
          <cell r="BQ6" t="str">
            <v>ADIC. TRABAJO EN ALTURA</v>
          </cell>
          <cell r="BR6" t="str">
            <v>Adic. Yacimiento/Prod.</v>
          </cell>
          <cell r="BS6" t="str">
            <v>ADIC. DISPONIBILIDAD</v>
          </cell>
          <cell r="BT6" t="str">
            <v>ADIC. ESPECIAL</v>
          </cell>
          <cell r="BU6" t="str">
            <v>ADIC. CHOFER TRANS. PERSONAL</v>
          </cell>
          <cell r="BV6" t="str">
            <v>Antigüedad</v>
          </cell>
          <cell r="BW6" t="str">
            <v>PP - Guardia Pasiva</v>
          </cell>
          <cell r="BX6" t="str">
            <v>PJ - Guardia Pasiva Lunes a Viernes</v>
          </cell>
          <cell r="BY6" t="str">
            <v>PJ - Guardia Pasiva Sábado, Domingo y Feriado</v>
          </cell>
          <cell r="BZ6" t="str">
            <v>Presentismo y Puntualidad</v>
          </cell>
          <cell r="CA6" t="str">
            <v>COMPLEM. PRESENTISMO    (1)</v>
          </cell>
          <cell r="CB6" t="str">
            <v>COMPLEM. PRESENTISMO    (2)</v>
          </cell>
          <cell r="CC6" t="str">
            <v>COMPLEM. PRESENTISMO    (3)</v>
          </cell>
          <cell r="CD6" t="str">
            <v>COMPLEM. PRESENTISMO    (4)</v>
          </cell>
          <cell r="CE6" t="str">
            <v>Suplemento Presentismo</v>
          </cell>
          <cell r="CF6" t="str">
            <v>SUBSIDIO FALLECIMIENTO</v>
          </cell>
          <cell r="CG6" t="str">
            <v>ASIG. VIANDA COMP. NO REM.</v>
          </cell>
          <cell r="CH6" t="str">
            <v>BONO PAZ SOCIAL</v>
          </cell>
          <cell r="CI6" t="str">
            <v>VIANDA AYUDA ALIMENTARIA</v>
          </cell>
          <cell r="CJ6" t="str">
            <v>VIANDA DESAYUNO</v>
          </cell>
          <cell r="CK6" t="str">
            <v>VIANDA MERIENDA</v>
          </cell>
          <cell r="CL6" t="str">
            <v>VIANDA EXPEDIENTE</v>
          </cell>
          <cell r="CM6" t="str">
            <v>VIANDA ALIMENTACIÓN DIARIA</v>
          </cell>
          <cell r="CN6" t="str">
            <v>Hora de Viaje</v>
          </cell>
          <cell r="CO6" t="str">
            <v>ADIC. ESPERA TRANSPORTE</v>
          </cell>
          <cell r="CP6" t="str">
            <v>Adic. Torre (Título II)</v>
          </cell>
          <cell r="CQ6" t="str">
            <v>Adic. Torre (Título III)</v>
          </cell>
          <cell r="CR6" t="str">
            <v>Adic. Torre SPJ</v>
          </cell>
          <cell r="CS6" t="str">
            <v>ADIC. TRABAJO EN ALTURA</v>
          </cell>
          <cell r="CT6" t="str">
            <v>Adic. Yacimiento/Prod.</v>
          </cell>
          <cell r="CU6" t="str">
            <v>ADIC. DISPONIBILIDAD</v>
          </cell>
          <cell r="CV6" t="str">
            <v>ADIC. ESPECIAL</v>
          </cell>
          <cell r="CW6" t="str">
            <v>ADIC. CHOFER TRANS. PERSONAL</v>
          </cell>
          <cell r="CX6" t="str">
            <v>Antigüedad</v>
          </cell>
          <cell r="CY6" t="str">
            <v>PP - Guardia Pasiva</v>
          </cell>
          <cell r="CZ6" t="str">
            <v>PJ - Guardia Pasiva Lunes a Viernes</v>
          </cell>
          <cell r="DA6" t="str">
            <v>PJ - Guardia Pasiva Sábado, Domingo y Feriado</v>
          </cell>
          <cell r="DB6" t="str">
            <v>Presentismo y Puntualidad</v>
          </cell>
          <cell r="DC6" t="str">
            <v>COMPLEM. PRESENTISMO    (1)</v>
          </cell>
          <cell r="DD6" t="str">
            <v>COMPLEM. PRESENTISMO    (2)</v>
          </cell>
          <cell r="DE6" t="str">
            <v>COMPLEM. PRESENTISMO    (3)</v>
          </cell>
          <cell r="DF6" t="str">
            <v>COMPLEM. PRESENTISMO    (4)</v>
          </cell>
          <cell r="DG6" t="str">
            <v>Suplemento Presentismo</v>
          </cell>
          <cell r="DH6" t="str">
            <v>SUBSIDIO FALLECIMIENTO</v>
          </cell>
          <cell r="DI6" t="str">
            <v>ASIG. VIANDA COMP. NO REM.</v>
          </cell>
          <cell r="DJ6" t="str">
            <v>BONO PAZ SOCIAL</v>
          </cell>
          <cell r="DK6" t="str">
            <v>VIANDA AYUDA ALIMENTARIA</v>
          </cell>
          <cell r="DL6" t="str">
            <v>VIANDA DESAYUNO</v>
          </cell>
          <cell r="DM6" t="str">
            <v>VIANDA MERIENDA</v>
          </cell>
          <cell r="DN6" t="str">
            <v>VIANDA EXPEDIENTE</v>
          </cell>
          <cell r="DO6" t="str">
            <v>VIANDA ALIMENTACIÓN DIARIA</v>
          </cell>
          <cell r="DP6" t="str">
            <v>Hora de Viaje</v>
          </cell>
          <cell r="DQ6" t="str">
            <v>ADIC. ESPERA TRANSPORTE</v>
          </cell>
          <cell r="DR6" t="str">
            <v>Adic. Torre (Título II)</v>
          </cell>
          <cell r="DS6" t="str">
            <v>Adic. Torre (Título III)</v>
          </cell>
          <cell r="DT6" t="str">
            <v>Adic. Torre SPJ</v>
          </cell>
          <cell r="DU6" t="str">
            <v>ADIC. TRABAJO EN ALTURA</v>
          </cell>
          <cell r="DV6" t="str">
            <v>Adic. Yacimiento/Prod.</v>
          </cell>
          <cell r="DW6" t="str">
            <v>ADIC. DISPONIBILIDAD</v>
          </cell>
          <cell r="DX6" t="str">
            <v>ADIC. ESPECIAL</v>
          </cell>
          <cell r="DY6" t="str">
            <v>ADIC. CHOFER TRANS. PERSONAL</v>
          </cell>
          <cell r="DZ6" t="str">
            <v>Antigüedad</v>
          </cell>
          <cell r="EA6" t="str">
            <v>PP - Guardia Pasiva</v>
          </cell>
          <cell r="EB6" t="str">
            <v>PJ - Guardia Pasiva Lunes a Viernes</v>
          </cell>
          <cell r="EC6" t="str">
            <v>PJ - Guardia Pasiva Sábado, Domingo y Feriado</v>
          </cell>
          <cell r="ED6" t="str">
            <v>Presentismo y Puntualidad</v>
          </cell>
          <cell r="EE6" t="str">
            <v>COMPLEM. PRESENTISMO    (1)</v>
          </cell>
          <cell r="EF6" t="str">
            <v>COMPLEM. PRESENTISMO    (2)</v>
          </cell>
          <cell r="EG6" t="str">
            <v>COMPLEM. PRESENTISMO    (3)</v>
          </cell>
          <cell r="EH6" t="str">
            <v>COMPLEM. PRESENTISMO    (4)</v>
          </cell>
          <cell r="EI6" t="str">
            <v>Suplemento Presentismo</v>
          </cell>
          <cell r="EJ6" t="str">
            <v>SUBSIDIO FALLECIMIENTO</v>
          </cell>
          <cell r="EK6" t="str">
            <v>ASIG. VIANDA COMP. NO REM.</v>
          </cell>
          <cell r="EL6" t="str">
            <v>BONO PAZ SOCIAL</v>
          </cell>
          <cell r="EM6" t="str">
            <v>VIANDA AYUDA ALIMENTARIA</v>
          </cell>
          <cell r="EN6" t="str">
            <v>VIANDA DESAYUNO</v>
          </cell>
          <cell r="EO6" t="str">
            <v>VIANDA MERIENDA</v>
          </cell>
          <cell r="EP6" t="str">
            <v>VIANDA EXPEDIENTE</v>
          </cell>
          <cell r="EQ6" t="str">
            <v>VIANDA ALIMENTACIÓN DIARIA</v>
          </cell>
          <cell r="ER6" t="str">
            <v>Hora de Viaje</v>
          </cell>
          <cell r="ES6" t="str">
            <v>ADIC. ESPERA TRANSPORTE</v>
          </cell>
          <cell r="ET6" t="str">
            <v>Adic. Torre (Título II)</v>
          </cell>
          <cell r="EU6" t="str">
            <v>Adic. Torre (Título III)</v>
          </cell>
          <cell r="EV6" t="str">
            <v>Adic. Torre SPJ</v>
          </cell>
          <cell r="EW6" t="str">
            <v>ADIC. TRABAJO EN ALTURA</v>
          </cell>
          <cell r="EX6" t="str">
            <v>Adic. Yacimiento/Prod.</v>
          </cell>
          <cell r="EY6" t="str">
            <v>ADIC. DISPONIBILIDAD</v>
          </cell>
          <cell r="EZ6" t="str">
            <v>ADIC. ESPECIAL</v>
          </cell>
          <cell r="FA6" t="str">
            <v>ADIC. CHOFER TRANS. PERSONAL</v>
          </cell>
          <cell r="FB6" t="str">
            <v>Antigüedad</v>
          </cell>
          <cell r="FC6" t="str">
            <v>PP - Guardia Pasiva</v>
          </cell>
          <cell r="FD6" t="str">
            <v>PJ - Guardia Pasiva Lunes a Viernes</v>
          </cell>
          <cell r="FE6" t="str">
            <v>PJ - Guardia Pasiva Sábado, Domingo y Feriado</v>
          </cell>
          <cell r="FF6" t="str">
            <v>Presentismo y Puntualidad</v>
          </cell>
          <cell r="FG6" t="str">
            <v>COMPLEM. PRESENTISMO    (1)</v>
          </cell>
          <cell r="FH6" t="str">
            <v>COMPLEM. PRESENTISMO    (2)</v>
          </cell>
          <cell r="FI6" t="str">
            <v>COMPLEM. PRESENTISMO    (3)</v>
          </cell>
          <cell r="FJ6" t="str">
            <v>COMPLEM. PRESENTISMO    (4)</v>
          </cell>
          <cell r="FK6" t="str">
            <v>Suplemento Presentismo</v>
          </cell>
          <cell r="FL6" t="str">
            <v>SUBSIDIO FALLECIMIENTO</v>
          </cell>
        </row>
        <row r="7">
          <cell r="BE7">
            <v>43525</v>
          </cell>
          <cell r="BF7">
            <v>43525</v>
          </cell>
          <cell r="BG7">
            <v>43525</v>
          </cell>
          <cell r="BH7">
            <v>43525</v>
          </cell>
          <cell r="BI7">
            <v>43525</v>
          </cell>
          <cell r="BJ7">
            <v>43525</v>
          </cell>
          <cell r="BK7">
            <v>43525</v>
          </cell>
          <cell r="BL7">
            <v>43525</v>
          </cell>
          <cell r="BM7">
            <v>43525</v>
          </cell>
          <cell r="BN7">
            <v>43525</v>
          </cell>
          <cell r="BO7">
            <v>43525</v>
          </cell>
          <cell r="BP7">
            <v>43525</v>
          </cell>
          <cell r="BQ7">
            <v>43525</v>
          </cell>
          <cell r="BR7">
            <v>43525</v>
          </cell>
          <cell r="BS7">
            <v>43525</v>
          </cell>
          <cell r="BT7">
            <v>43525</v>
          </cell>
          <cell r="BU7">
            <v>43525</v>
          </cell>
          <cell r="BV7">
            <v>43525</v>
          </cell>
          <cell r="BW7">
            <v>43525</v>
          </cell>
          <cell r="BX7">
            <v>43525</v>
          </cell>
          <cell r="BY7">
            <v>43525</v>
          </cell>
          <cell r="BZ7">
            <v>43525</v>
          </cell>
          <cell r="CA7">
            <v>43525</v>
          </cell>
          <cell r="CB7">
            <v>43525</v>
          </cell>
          <cell r="CC7">
            <v>43525</v>
          </cell>
          <cell r="CD7">
            <v>43525</v>
          </cell>
          <cell r="CE7">
            <v>43525</v>
          </cell>
          <cell r="CF7">
            <v>43525</v>
          </cell>
          <cell r="CG7">
            <v>43617</v>
          </cell>
          <cell r="CH7">
            <v>43617</v>
          </cell>
          <cell r="CI7">
            <v>43617</v>
          </cell>
          <cell r="CJ7">
            <v>43617</v>
          </cell>
          <cell r="CK7">
            <v>43617</v>
          </cell>
          <cell r="CL7">
            <v>43617</v>
          </cell>
          <cell r="CM7">
            <v>43617</v>
          </cell>
          <cell r="CN7">
            <v>43617</v>
          </cell>
          <cell r="CO7">
            <v>43617</v>
          </cell>
          <cell r="CP7">
            <v>43617</v>
          </cell>
          <cell r="CQ7">
            <v>43617</v>
          </cell>
          <cell r="CR7">
            <v>43617</v>
          </cell>
          <cell r="CS7">
            <v>43617</v>
          </cell>
          <cell r="CT7">
            <v>43617</v>
          </cell>
          <cell r="CU7">
            <v>43617</v>
          </cell>
          <cell r="CV7">
            <v>43617</v>
          </cell>
          <cell r="CW7">
            <v>43617</v>
          </cell>
          <cell r="CX7">
            <v>43617</v>
          </cell>
          <cell r="CY7">
            <v>43617</v>
          </cell>
          <cell r="CZ7">
            <v>43617</v>
          </cell>
          <cell r="DA7">
            <v>43617</v>
          </cell>
          <cell r="DB7">
            <v>43617</v>
          </cell>
          <cell r="DC7">
            <v>43617</v>
          </cell>
          <cell r="DD7">
            <v>43617</v>
          </cell>
          <cell r="DE7">
            <v>43617</v>
          </cell>
          <cell r="DF7">
            <v>43617</v>
          </cell>
          <cell r="DG7">
            <v>43617</v>
          </cell>
          <cell r="DH7">
            <v>43617</v>
          </cell>
          <cell r="DI7">
            <v>43739</v>
          </cell>
          <cell r="DJ7">
            <v>43739</v>
          </cell>
          <cell r="DK7">
            <v>43739</v>
          </cell>
          <cell r="DL7">
            <v>43739</v>
          </cell>
          <cell r="DM7">
            <v>43739</v>
          </cell>
          <cell r="DN7">
            <v>43739</v>
          </cell>
          <cell r="DO7">
            <v>43739</v>
          </cell>
          <cell r="DP7">
            <v>43739</v>
          </cell>
          <cell r="DQ7">
            <v>43739</v>
          </cell>
          <cell r="DR7">
            <v>43739</v>
          </cell>
          <cell r="DS7">
            <v>43739</v>
          </cell>
          <cell r="DT7">
            <v>43739</v>
          </cell>
          <cell r="DU7">
            <v>43739</v>
          </cell>
          <cell r="DV7">
            <v>43739</v>
          </cell>
          <cell r="DW7">
            <v>43739</v>
          </cell>
          <cell r="DX7">
            <v>43739</v>
          </cell>
          <cell r="DY7">
            <v>43739</v>
          </cell>
          <cell r="DZ7">
            <v>43739</v>
          </cell>
          <cell r="EA7">
            <v>43739</v>
          </cell>
          <cell r="EB7">
            <v>43739</v>
          </cell>
          <cell r="EC7">
            <v>43739</v>
          </cell>
          <cell r="ED7">
            <v>43739</v>
          </cell>
          <cell r="EE7">
            <v>43739</v>
          </cell>
          <cell r="EF7">
            <v>43739</v>
          </cell>
          <cell r="EG7">
            <v>43739</v>
          </cell>
          <cell r="EH7">
            <v>43739</v>
          </cell>
          <cell r="EI7">
            <v>43739</v>
          </cell>
          <cell r="EJ7">
            <v>43739</v>
          </cell>
          <cell r="EK7">
            <v>43862</v>
          </cell>
          <cell r="EL7">
            <v>43862</v>
          </cell>
          <cell r="EM7">
            <v>43862</v>
          </cell>
          <cell r="EN7">
            <v>43862</v>
          </cell>
          <cell r="EO7">
            <v>43862</v>
          </cell>
          <cell r="EP7">
            <v>43862</v>
          </cell>
          <cell r="EQ7">
            <v>43862</v>
          </cell>
          <cell r="ER7">
            <v>43862</v>
          </cell>
          <cell r="ES7">
            <v>43862</v>
          </cell>
          <cell r="ET7">
            <v>43862</v>
          </cell>
          <cell r="EU7">
            <v>43862</v>
          </cell>
          <cell r="EV7">
            <v>43862</v>
          </cell>
          <cell r="EW7">
            <v>43862</v>
          </cell>
          <cell r="EX7">
            <v>43862</v>
          </cell>
          <cell r="EY7">
            <v>43862</v>
          </cell>
          <cell r="EZ7">
            <v>43862</v>
          </cell>
          <cell r="FA7">
            <v>43862</v>
          </cell>
          <cell r="FB7">
            <v>43862</v>
          </cell>
          <cell r="FC7">
            <v>43862</v>
          </cell>
          <cell r="FD7">
            <v>43862</v>
          </cell>
          <cell r="FE7">
            <v>43862</v>
          </cell>
          <cell r="FF7">
            <v>43862</v>
          </cell>
          <cell r="FG7">
            <v>43862</v>
          </cell>
          <cell r="FH7">
            <v>43862</v>
          </cell>
          <cell r="FI7">
            <v>43862</v>
          </cell>
          <cell r="FJ7">
            <v>43862</v>
          </cell>
          <cell r="FK7">
            <v>43862</v>
          </cell>
          <cell r="FL7">
            <v>43862</v>
          </cell>
        </row>
        <row r="8">
          <cell r="A8" t="str">
            <v>PETROLERO RN, NQN Y LP (644/12)</v>
          </cell>
          <cell r="BE8">
            <v>1846</v>
          </cell>
          <cell r="BF8">
            <v>6214</v>
          </cell>
          <cell r="BG8">
            <v>462</v>
          </cell>
          <cell r="BH8">
            <v>129</v>
          </cell>
          <cell r="BI8">
            <v>129</v>
          </cell>
          <cell r="BJ8">
            <v>462</v>
          </cell>
          <cell r="BK8">
            <v>924</v>
          </cell>
          <cell r="BL8">
            <v>149</v>
          </cell>
          <cell r="BM8" t="str">
            <v>1 Hr Ext + 100%</v>
          </cell>
          <cell r="BN8">
            <v>9939</v>
          </cell>
          <cell r="BO8">
            <v>9939</v>
          </cell>
          <cell r="BR8">
            <v>3481</v>
          </cell>
          <cell r="BS8">
            <v>3481</v>
          </cell>
          <cell r="BT8">
            <v>3481</v>
          </cell>
          <cell r="BU8">
            <v>3481</v>
          </cell>
          <cell r="BV8">
            <v>149</v>
          </cell>
          <cell r="BW8">
            <v>543</v>
          </cell>
          <cell r="BZ8">
            <v>0.06</v>
          </cell>
          <cell r="CA8">
            <v>2121</v>
          </cell>
          <cell r="CB8">
            <v>3180</v>
          </cell>
          <cell r="CC8">
            <v>6357</v>
          </cell>
          <cell r="CD8">
            <v>7420</v>
          </cell>
          <cell r="CE8">
            <v>19078</v>
          </cell>
          <cell r="CF8">
            <v>25759</v>
          </cell>
          <cell r="CG8">
            <v>1846</v>
          </cell>
          <cell r="CH8">
            <v>6835</v>
          </cell>
          <cell r="CI8">
            <v>508</v>
          </cell>
          <cell r="CJ8">
            <v>142</v>
          </cell>
          <cell r="CK8">
            <v>142</v>
          </cell>
          <cell r="CL8">
            <v>508</v>
          </cell>
          <cell r="CM8">
            <v>1016</v>
          </cell>
          <cell r="CN8">
            <v>164</v>
          </cell>
          <cell r="CO8" t="str">
            <v>1 Hr Ext + 100%</v>
          </cell>
          <cell r="CP8">
            <v>10933</v>
          </cell>
          <cell r="CQ8">
            <v>10933</v>
          </cell>
          <cell r="CT8">
            <v>3829</v>
          </cell>
          <cell r="CU8">
            <v>3829</v>
          </cell>
          <cell r="CW8">
            <v>3829</v>
          </cell>
          <cell r="CX8">
            <v>164</v>
          </cell>
          <cell r="CY8">
            <v>597</v>
          </cell>
          <cell r="DB8">
            <v>0.06</v>
          </cell>
          <cell r="DC8">
            <v>2333</v>
          </cell>
          <cell r="DD8">
            <v>3498</v>
          </cell>
          <cell r="DE8">
            <v>6993</v>
          </cell>
          <cell r="DF8">
            <v>8162</v>
          </cell>
          <cell r="DG8">
            <v>20986</v>
          </cell>
          <cell r="DH8">
            <v>28335</v>
          </cell>
          <cell r="DI8">
            <v>1846</v>
          </cell>
          <cell r="DJ8">
            <v>7656</v>
          </cell>
          <cell r="DK8">
            <v>569</v>
          </cell>
          <cell r="DL8">
            <v>159</v>
          </cell>
          <cell r="DM8">
            <v>159</v>
          </cell>
          <cell r="DN8">
            <v>569</v>
          </cell>
          <cell r="DO8">
            <v>1138</v>
          </cell>
          <cell r="DP8">
            <v>184</v>
          </cell>
          <cell r="DQ8" t="str">
            <v>1 HS EXT. + 100%</v>
          </cell>
          <cell r="DR8">
            <v>12245</v>
          </cell>
          <cell r="DS8">
            <v>12245</v>
          </cell>
          <cell r="DV8">
            <v>4289</v>
          </cell>
          <cell r="DW8">
            <v>4289</v>
          </cell>
          <cell r="DY8">
            <v>4289</v>
          </cell>
          <cell r="DZ8">
            <v>184</v>
          </cell>
          <cell r="EA8">
            <v>669</v>
          </cell>
          <cell r="ED8">
            <v>0.06</v>
          </cell>
          <cell r="EE8">
            <v>2613</v>
          </cell>
          <cell r="EF8">
            <v>3918</v>
          </cell>
          <cell r="EG8">
            <v>7832</v>
          </cell>
          <cell r="EH8">
            <v>9141</v>
          </cell>
          <cell r="EI8">
            <v>23504</v>
          </cell>
          <cell r="EJ8">
            <v>31735</v>
          </cell>
          <cell r="EK8">
            <v>1946</v>
          </cell>
          <cell r="EL8">
            <v>8215</v>
          </cell>
          <cell r="EM8">
            <v>611</v>
          </cell>
          <cell r="EN8">
            <v>171</v>
          </cell>
          <cell r="EO8">
            <v>171</v>
          </cell>
          <cell r="EP8">
            <v>611</v>
          </cell>
          <cell r="EQ8">
            <v>1222</v>
          </cell>
          <cell r="ER8">
            <v>197</v>
          </cell>
          <cell r="ES8" t="str">
            <v>1 HS EXT +100%</v>
          </cell>
          <cell r="ET8">
            <v>13139</v>
          </cell>
          <cell r="EU8">
            <v>13139</v>
          </cell>
          <cell r="EX8">
            <v>4602</v>
          </cell>
          <cell r="EY8">
            <v>4602</v>
          </cell>
          <cell r="FA8">
            <v>4602</v>
          </cell>
          <cell r="FB8">
            <v>197</v>
          </cell>
          <cell r="FC8">
            <v>718</v>
          </cell>
          <cell r="FF8">
            <v>0.06</v>
          </cell>
          <cell r="FG8">
            <v>2804</v>
          </cell>
          <cell r="FH8">
            <v>4204</v>
          </cell>
          <cell r="FI8">
            <v>8404</v>
          </cell>
          <cell r="FJ8">
            <v>9809</v>
          </cell>
          <cell r="FK8">
            <v>25221</v>
          </cell>
          <cell r="FL8">
            <v>34053</v>
          </cell>
        </row>
        <row r="9">
          <cell r="A9" t="str">
            <v>PETROLERO FASP (643/12)</v>
          </cell>
          <cell r="BE9">
            <v>1846</v>
          </cell>
          <cell r="BF9">
            <v>6214</v>
          </cell>
          <cell r="BG9">
            <v>462</v>
          </cell>
          <cell r="BH9">
            <v>129</v>
          </cell>
          <cell r="BI9">
            <v>129</v>
          </cell>
          <cell r="BJ9">
            <v>462</v>
          </cell>
          <cell r="BK9">
            <v>924</v>
          </cell>
          <cell r="BL9">
            <v>149</v>
          </cell>
          <cell r="BM9" t="str">
            <v>1 Hr Ext + 100%</v>
          </cell>
          <cell r="BN9">
            <v>9939</v>
          </cell>
          <cell r="BO9">
            <v>9939</v>
          </cell>
          <cell r="BP9">
            <v>0</v>
          </cell>
          <cell r="BQ9">
            <v>3481</v>
          </cell>
          <cell r="BR9">
            <v>3481</v>
          </cell>
          <cell r="BS9">
            <v>3481</v>
          </cell>
          <cell r="BT9">
            <v>3481</v>
          </cell>
          <cell r="BU9">
            <v>3481</v>
          </cell>
          <cell r="BV9">
            <v>149</v>
          </cell>
          <cell r="BW9">
            <v>543</v>
          </cell>
          <cell r="BX9">
            <v>0</v>
          </cell>
          <cell r="BY9">
            <v>0</v>
          </cell>
          <cell r="BZ9">
            <v>0.06</v>
          </cell>
          <cell r="CA9">
            <v>2121</v>
          </cell>
          <cell r="CB9">
            <v>3180</v>
          </cell>
          <cell r="CC9">
            <v>6357</v>
          </cell>
          <cell r="CD9">
            <v>7420</v>
          </cell>
          <cell r="CE9">
            <v>19078</v>
          </cell>
          <cell r="CG9">
            <v>1846</v>
          </cell>
          <cell r="CH9">
            <v>6835</v>
          </cell>
          <cell r="CI9">
            <v>508</v>
          </cell>
          <cell r="CJ9">
            <v>142</v>
          </cell>
          <cell r="CK9">
            <v>142</v>
          </cell>
          <cell r="CL9">
            <v>508</v>
          </cell>
          <cell r="CM9">
            <v>1016</v>
          </cell>
          <cell r="CN9">
            <v>164</v>
          </cell>
          <cell r="CO9" t="str">
            <v>1 Hr Ext + 100%</v>
          </cell>
          <cell r="CP9">
            <v>10933</v>
          </cell>
          <cell r="CQ9">
            <v>10933</v>
          </cell>
          <cell r="CR9">
            <v>0</v>
          </cell>
          <cell r="CS9">
            <v>3829</v>
          </cell>
          <cell r="CT9">
            <v>3829</v>
          </cell>
          <cell r="CU9">
            <v>3829</v>
          </cell>
          <cell r="CV9">
            <v>0</v>
          </cell>
          <cell r="CW9">
            <v>3829</v>
          </cell>
          <cell r="CX9">
            <v>164</v>
          </cell>
          <cell r="CY9">
            <v>597</v>
          </cell>
          <cell r="CZ9">
            <v>0</v>
          </cell>
          <cell r="DA9">
            <v>0</v>
          </cell>
          <cell r="DB9">
            <v>0.06</v>
          </cell>
          <cell r="DC9">
            <v>2333</v>
          </cell>
          <cell r="DD9">
            <v>3498</v>
          </cell>
          <cell r="DE9">
            <v>6993</v>
          </cell>
          <cell r="DF9">
            <v>8162</v>
          </cell>
          <cell r="DG9">
            <v>20986</v>
          </cell>
        </row>
        <row r="10">
          <cell r="A10" t="str">
            <v>PETROLERO CHUBUT (605/10)</v>
          </cell>
          <cell r="BE10">
            <v>1846</v>
          </cell>
          <cell r="BF10">
            <v>6214</v>
          </cell>
          <cell r="BG10">
            <v>462</v>
          </cell>
          <cell r="BH10">
            <v>129</v>
          </cell>
          <cell r="BI10">
            <v>129</v>
          </cell>
          <cell r="BJ10">
            <v>462</v>
          </cell>
          <cell r="BK10">
            <v>924</v>
          </cell>
          <cell r="BL10">
            <v>149</v>
          </cell>
          <cell r="BM10" t="str">
            <v>1 Hr Ext + 100%</v>
          </cell>
          <cell r="BN10">
            <v>9939</v>
          </cell>
          <cell r="BO10">
            <v>9939</v>
          </cell>
          <cell r="BP10">
            <v>0</v>
          </cell>
          <cell r="BQ10">
            <v>3481</v>
          </cell>
          <cell r="BR10">
            <v>3481</v>
          </cell>
          <cell r="BS10">
            <v>3481</v>
          </cell>
          <cell r="BT10">
            <v>3481</v>
          </cell>
          <cell r="BU10">
            <v>3481</v>
          </cell>
          <cell r="BV10">
            <v>149</v>
          </cell>
          <cell r="BW10">
            <v>543</v>
          </cell>
          <cell r="BX10">
            <v>0</v>
          </cell>
          <cell r="BY10">
            <v>0</v>
          </cell>
          <cell r="BZ10">
            <v>0.06</v>
          </cell>
          <cell r="CA10">
            <v>2121</v>
          </cell>
          <cell r="CB10">
            <v>3180</v>
          </cell>
          <cell r="CC10">
            <v>6357</v>
          </cell>
          <cell r="CD10">
            <v>7420</v>
          </cell>
          <cell r="CE10">
            <v>19078</v>
          </cell>
          <cell r="CF10">
            <v>10305</v>
          </cell>
          <cell r="CG10">
            <v>1846</v>
          </cell>
          <cell r="CH10">
            <v>6835</v>
          </cell>
          <cell r="CI10">
            <v>508</v>
          </cell>
          <cell r="CJ10">
            <v>142</v>
          </cell>
          <cell r="CK10">
            <v>142</v>
          </cell>
          <cell r="CL10">
            <v>508</v>
          </cell>
          <cell r="CM10">
            <v>1016</v>
          </cell>
          <cell r="CN10">
            <v>164</v>
          </cell>
          <cell r="CO10" t="str">
            <v>1 Hr Ext + 100%</v>
          </cell>
          <cell r="CP10">
            <v>10933</v>
          </cell>
          <cell r="CQ10">
            <v>10933</v>
          </cell>
          <cell r="CR10">
            <v>0</v>
          </cell>
          <cell r="CS10">
            <v>3829</v>
          </cell>
          <cell r="CT10">
            <v>3829</v>
          </cell>
          <cell r="CU10">
            <v>3829</v>
          </cell>
          <cell r="CV10">
            <v>0</v>
          </cell>
          <cell r="CW10">
            <v>3829</v>
          </cell>
          <cell r="CX10">
            <v>164</v>
          </cell>
          <cell r="CY10">
            <v>597</v>
          </cell>
          <cell r="CZ10">
            <v>0</v>
          </cell>
          <cell r="DA10">
            <v>0</v>
          </cell>
          <cell r="DB10">
            <v>0.06</v>
          </cell>
          <cell r="DC10">
            <v>2333</v>
          </cell>
          <cell r="DD10">
            <v>3498</v>
          </cell>
          <cell r="DE10">
            <v>6993</v>
          </cell>
          <cell r="DF10">
            <v>8162</v>
          </cell>
          <cell r="DG10">
            <v>20986</v>
          </cell>
          <cell r="DH10">
            <v>11385</v>
          </cell>
        </row>
        <row r="11">
          <cell r="A11" t="str">
            <v>JERARQUICO NQN (637/11)</v>
          </cell>
          <cell r="BE11">
            <v>1846</v>
          </cell>
          <cell r="BF11">
            <v>6221</v>
          </cell>
          <cell r="BG11">
            <v>462</v>
          </cell>
          <cell r="BH11">
            <v>129</v>
          </cell>
          <cell r="BI11">
            <v>129</v>
          </cell>
          <cell r="BJ11">
            <v>462</v>
          </cell>
          <cell r="BK11">
            <v>924</v>
          </cell>
          <cell r="BL11">
            <v>149</v>
          </cell>
          <cell r="BM11">
            <v>398</v>
          </cell>
          <cell r="BP11">
            <v>9939</v>
          </cell>
          <cell r="BQ11">
            <v>0</v>
          </cell>
          <cell r="BR11">
            <v>3481</v>
          </cell>
          <cell r="BS11">
            <v>3481</v>
          </cell>
          <cell r="BT11">
            <v>3481</v>
          </cell>
          <cell r="BV11">
            <v>149</v>
          </cell>
          <cell r="BX11">
            <v>477</v>
          </cell>
          <cell r="BY11">
            <v>740</v>
          </cell>
          <cell r="BZ11">
            <v>2918</v>
          </cell>
          <cell r="CA11">
            <v>2918</v>
          </cell>
          <cell r="CB11">
            <v>2918</v>
          </cell>
          <cell r="CC11">
            <v>2918</v>
          </cell>
          <cell r="CD11">
            <v>2918</v>
          </cell>
          <cell r="CE11">
            <v>11672</v>
          </cell>
          <cell r="CG11">
            <v>1846</v>
          </cell>
          <cell r="CH11">
            <v>6843</v>
          </cell>
          <cell r="CI11">
            <v>508</v>
          </cell>
          <cell r="CJ11">
            <v>142</v>
          </cell>
          <cell r="CK11">
            <v>142</v>
          </cell>
          <cell r="CL11">
            <v>508</v>
          </cell>
          <cell r="CM11">
            <v>1016</v>
          </cell>
          <cell r="CN11">
            <v>164</v>
          </cell>
          <cell r="CO11">
            <v>438</v>
          </cell>
          <cell r="CR11">
            <v>10933</v>
          </cell>
          <cell r="CT11">
            <v>3829</v>
          </cell>
          <cell r="CU11">
            <v>3829</v>
          </cell>
          <cell r="CV11">
            <v>3829</v>
          </cell>
          <cell r="CX11">
            <v>164</v>
          </cell>
          <cell r="CZ11">
            <v>525</v>
          </cell>
          <cell r="DA11">
            <v>814</v>
          </cell>
          <cell r="DB11">
            <v>3210</v>
          </cell>
          <cell r="DC11">
            <v>3210</v>
          </cell>
          <cell r="DD11">
            <v>3210</v>
          </cell>
          <cell r="DE11">
            <v>3210</v>
          </cell>
          <cell r="DF11">
            <v>3210</v>
          </cell>
          <cell r="DG11">
            <v>12840</v>
          </cell>
          <cell r="DI11">
            <v>1846</v>
          </cell>
          <cell r="DJ11">
            <v>7664</v>
          </cell>
          <cell r="DK11">
            <v>569</v>
          </cell>
          <cell r="DL11">
            <v>159</v>
          </cell>
          <cell r="DM11">
            <v>159</v>
          </cell>
          <cell r="DN11">
            <v>569</v>
          </cell>
          <cell r="DO11">
            <v>1138</v>
          </cell>
          <cell r="DP11">
            <v>184</v>
          </cell>
          <cell r="DQ11">
            <v>490</v>
          </cell>
          <cell r="DT11">
            <v>12245</v>
          </cell>
          <cell r="DV11">
            <v>4289</v>
          </cell>
          <cell r="DW11">
            <v>4289</v>
          </cell>
          <cell r="DX11">
            <v>4289</v>
          </cell>
          <cell r="DZ11">
            <v>184</v>
          </cell>
          <cell r="EB11">
            <v>588</v>
          </cell>
          <cell r="EC11">
            <v>912</v>
          </cell>
          <cell r="ED11">
            <v>3595</v>
          </cell>
          <cell r="EK11">
            <v>1846</v>
          </cell>
          <cell r="EL11">
            <v>8224</v>
          </cell>
          <cell r="EM11">
            <v>611</v>
          </cell>
          <cell r="EN11">
            <v>171</v>
          </cell>
          <cell r="EO11">
            <v>171</v>
          </cell>
          <cell r="EP11">
            <v>611</v>
          </cell>
          <cell r="EQ11">
            <v>1222</v>
          </cell>
          <cell r="ER11">
            <v>197</v>
          </cell>
          <cell r="ES11">
            <v>526</v>
          </cell>
          <cell r="EV11">
            <v>13139</v>
          </cell>
          <cell r="EX11">
            <v>4602</v>
          </cell>
          <cell r="EY11">
            <v>4602</v>
          </cell>
          <cell r="EZ11">
            <v>4602</v>
          </cell>
          <cell r="FB11">
            <v>191</v>
          </cell>
          <cell r="FD11">
            <v>631</v>
          </cell>
          <cell r="FE11">
            <v>978</v>
          </cell>
          <cell r="FF11">
            <v>3858</v>
          </cell>
        </row>
        <row r="12">
          <cell r="A12" t="str">
            <v>JERARQUICO CUYO (641/11)</v>
          </cell>
          <cell r="BE12">
            <v>1846</v>
          </cell>
          <cell r="BF12">
            <v>6221</v>
          </cell>
          <cell r="BG12">
            <v>462</v>
          </cell>
          <cell r="BH12">
            <v>129</v>
          </cell>
          <cell r="BI12">
            <v>129</v>
          </cell>
          <cell r="BJ12">
            <v>462</v>
          </cell>
          <cell r="BK12">
            <v>924</v>
          </cell>
          <cell r="BL12">
            <v>149</v>
          </cell>
          <cell r="BP12">
            <v>9939</v>
          </cell>
          <cell r="BR12">
            <v>3481</v>
          </cell>
          <cell r="BS12">
            <v>3481</v>
          </cell>
          <cell r="BV12">
            <v>149</v>
          </cell>
          <cell r="BW12">
            <v>0</v>
          </cell>
          <cell r="BX12">
            <v>477</v>
          </cell>
          <cell r="BY12">
            <v>740</v>
          </cell>
          <cell r="BZ12">
            <v>2918</v>
          </cell>
          <cell r="CA12">
            <v>2918</v>
          </cell>
          <cell r="CB12">
            <v>2918</v>
          </cell>
          <cell r="CC12">
            <v>2918</v>
          </cell>
          <cell r="CD12">
            <v>2918</v>
          </cell>
          <cell r="CE12">
            <v>11672</v>
          </cell>
          <cell r="CG12">
            <v>1846</v>
          </cell>
          <cell r="CH12">
            <v>6843</v>
          </cell>
          <cell r="CI12">
            <v>508</v>
          </cell>
          <cell r="CJ12">
            <v>142</v>
          </cell>
          <cell r="CK12">
            <v>142</v>
          </cell>
          <cell r="CL12">
            <v>508</v>
          </cell>
          <cell r="CM12">
            <v>1016</v>
          </cell>
          <cell r="CN12">
            <v>164</v>
          </cell>
          <cell r="CR12">
            <v>10933</v>
          </cell>
          <cell r="CT12">
            <v>3829</v>
          </cell>
          <cell r="CU12">
            <v>3829</v>
          </cell>
          <cell r="CX12">
            <v>164</v>
          </cell>
          <cell r="CY12">
            <v>0</v>
          </cell>
          <cell r="CZ12">
            <v>525</v>
          </cell>
          <cell r="DA12">
            <v>814</v>
          </cell>
          <cell r="DB12">
            <v>3210</v>
          </cell>
          <cell r="DC12">
            <v>3210</v>
          </cell>
          <cell r="DD12">
            <v>3210</v>
          </cell>
          <cell r="DE12">
            <v>3210</v>
          </cell>
          <cell r="DF12">
            <v>3210</v>
          </cell>
          <cell r="DG12">
            <v>12840</v>
          </cell>
        </row>
        <row r="13">
          <cell r="A13" t="str">
            <v>JERARQUICO PAT. AUSTRAL (611/10)</v>
          </cell>
        </row>
        <row r="14">
          <cell r="A14" t="str">
            <v>JERARQUICO STA Y JUJUY</v>
          </cell>
          <cell r="BE14">
            <v>1846</v>
          </cell>
          <cell r="BF14">
            <v>6214</v>
          </cell>
          <cell r="BG14">
            <v>462</v>
          </cell>
          <cell r="BH14">
            <v>129</v>
          </cell>
          <cell r="BI14">
            <v>129</v>
          </cell>
          <cell r="BJ14">
            <v>462</v>
          </cell>
          <cell r="BK14">
            <v>924</v>
          </cell>
          <cell r="BL14">
            <v>0</v>
          </cell>
          <cell r="BM14">
            <v>0</v>
          </cell>
          <cell r="BP14">
            <v>9939</v>
          </cell>
          <cell r="BR14">
            <v>3481</v>
          </cell>
          <cell r="BV14">
            <v>149</v>
          </cell>
          <cell r="BZ14">
            <v>2918</v>
          </cell>
          <cell r="CA14">
            <v>2918</v>
          </cell>
          <cell r="CB14">
            <v>2918</v>
          </cell>
          <cell r="CC14">
            <v>2918</v>
          </cell>
          <cell r="CD14">
            <v>2918</v>
          </cell>
          <cell r="CE14">
            <v>11672</v>
          </cell>
          <cell r="CG14">
            <v>1846</v>
          </cell>
          <cell r="CH14">
            <v>6835</v>
          </cell>
          <cell r="CI14">
            <v>508</v>
          </cell>
          <cell r="CJ14">
            <v>142</v>
          </cell>
          <cell r="CK14">
            <v>142</v>
          </cell>
          <cell r="CL14">
            <v>508</v>
          </cell>
          <cell r="CM14">
            <v>1016</v>
          </cell>
          <cell r="CR14">
            <v>10933</v>
          </cell>
          <cell r="CT14">
            <v>3829</v>
          </cell>
          <cell r="CX14">
            <v>164</v>
          </cell>
          <cell r="DB14">
            <v>3210</v>
          </cell>
          <cell r="DC14">
            <v>3210</v>
          </cell>
          <cell r="DD14">
            <v>3210</v>
          </cell>
          <cell r="DE14">
            <v>3210</v>
          </cell>
          <cell r="DF14">
            <v>3210</v>
          </cell>
          <cell r="DG14">
            <v>12840</v>
          </cell>
        </row>
      </sheetData>
      <sheetData sheetId="6">
        <row r="127">
          <cell r="B127" t="str">
            <v>AYUDANTE</v>
          </cell>
          <cell r="C127">
            <v>42736</v>
          </cell>
          <cell r="D127" t="str">
            <v>Zona 1</v>
          </cell>
          <cell r="E127">
            <v>39.01</v>
          </cell>
          <cell r="F127">
            <v>0</v>
          </cell>
          <cell r="G127">
            <v>68.12</v>
          </cell>
          <cell r="H127">
            <v>179.4</v>
          </cell>
          <cell r="I127">
            <v>0</v>
          </cell>
          <cell r="J127">
            <v>226.58</v>
          </cell>
          <cell r="K127">
            <v>3206.15</v>
          </cell>
        </row>
        <row r="128">
          <cell r="B128" t="str">
            <v>MEDIO OFICIAL</v>
          </cell>
          <cell r="C128">
            <v>42736</v>
          </cell>
          <cell r="D128" t="str">
            <v>Zona 1</v>
          </cell>
          <cell r="E128">
            <v>42.39</v>
          </cell>
          <cell r="F128">
            <v>0</v>
          </cell>
          <cell r="G128">
            <v>68.12</v>
          </cell>
          <cell r="H128">
            <v>179.4</v>
          </cell>
          <cell r="I128">
            <v>0</v>
          </cell>
          <cell r="J128">
            <v>226.58</v>
          </cell>
          <cell r="K128">
            <v>3206.15</v>
          </cell>
        </row>
        <row r="129">
          <cell r="B129" t="str">
            <v>OFICIAL</v>
          </cell>
          <cell r="C129">
            <v>42736</v>
          </cell>
          <cell r="D129" t="str">
            <v>Zona 1</v>
          </cell>
          <cell r="E129">
            <v>45.99</v>
          </cell>
          <cell r="F129">
            <v>0</v>
          </cell>
          <cell r="G129">
            <v>68.12</v>
          </cell>
          <cell r="H129">
            <v>179.4</v>
          </cell>
          <cell r="I129">
            <v>0</v>
          </cell>
          <cell r="J129">
            <v>226.58</v>
          </cell>
          <cell r="K129">
            <v>3206.15</v>
          </cell>
        </row>
        <row r="130">
          <cell r="B130" t="str">
            <v>OFICIAL BOLLAND</v>
          </cell>
          <cell r="C130">
            <v>42736</v>
          </cell>
          <cell r="D130" t="str">
            <v>Zona 1</v>
          </cell>
          <cell r="E130">
            <v>54</v>
          </cell>
          <cell r="F130">
            <v>0</v>
          </cell>
          <cell r="G130">
            <v>68.12</v>
          </cell>
          <cell r="H130">
            <v>179.4</v>
          </cell>
          <cell r="I130">
            <v>0</v>
          </cell>
          <cell r="J130">
            <v>226.58</v>
          </cell>
          <cell r="K130">
            <v>3206.15</v>
          </cell>
        </row>
        <row r="131">
          <cell r="B131" t="str">
            <v>OFICIAL ESPECIALIZADO</v>
          </cell>
          <cell r="C131">
            <v>42736</v>
          </cell>
          <cell r="D131" t="str">
            <v>Zona 1</v>
          </cell>
          <cell r="E131">
            <v>54</v>
          </cell>
          <cell r="F131">
            <v>0</v>
          </cell>
          <cell r="G131">
            <v>68.12</v>
          </cell>
          <cell r="H131">
            <v>179.4</v>
          </cell>
          <cell r="I131">
            <v>0</v>
          </cell>
          <cell r="J131">
            <v>226.58</v>
          </cell>
          <cell r="K131">
            <v>3206.15</v>
          </cell>
        </row>
        <row r="132">
          <cell r="B132" t="str">
            <v>AYUDANTE</v>
          </cell>
          <cell r="C132">
            <v>42736</v>
          </cell>
          <cell r="D132" t="str">
            <v>Zona 2</v>
          </cell>
          <cell r="E132">
            <v>39.01</v>
          </cell>
          <cell r="F132">
            <v>6.63</v>
          </cell>
          <cell r="G132">
            <v>76.430000000000007</v>
          </cell>
          <cell r="H132">
            <v>179.4</v>
          </cell>
          <cell r="I132">
            <v>74.75</v>
          </cell>
          <cell r="J132">
            <v>226.58</v>
          </cell>
          <cell r="K132">
            <v>3206.15</v>
          </cell>
        </row>
        <row r="133">
          <cell r="B133" t="str">
            <v>MEDIO OFICIAL</v>
          </cell>
          <cell r="C133">
            <v>42736</v>
          </cell>
          <cell r="D133" t="str">
            <v>Zona 2</v>
          </cell>
          <cell r="E133">
            <v>42.39</v>
          </cell>
          <cell r="F133">
            <v>7.22</v>
          </cell>
          <cell r="G133">
            <v>76.430000000000007</v>
          </cell>
          <cell r="H133">
            <v>179.4</v>
          </cell>
          <cell r="I133">
            <v>74.75</v>
          </cell>
          <cell r="J133">
            <v>226.58</v>
          </cell>
          <cell r="K133">
            <v>3206.15</v>
          </cell>
        </row>
        <row r="134">
          <cell r="B134" t="str">
            <v>OFICIAL</v>
          </cell>
          <cell r="C134">
            <v>42736</v>
          </cell>
          <cell r="D134" t="str">
            <v>Zona 2</v>
          </cell>
          <cell r="E134">
            <v>45.99</v>
          </cell>
          <cell r="F134">
            <v>7.83</v>
          </cell>
          <cell r="G134">
            <v>76.430000000000007</v>
          </cell>
          <cell r="H134">
            <v>179.4</v>
          </cell>
          <cell r="I134">
            <v>74.75</v>
          </cell>
          <cell r="J134">
            <v>226.58</v>
          </cell>
          <cell r="K134">
            <v>3206.15</v>
          </cell>
        </row>
        <row r="135">
          <cell r="B135" t="str">
            <v>OFICIAL BOLLAND</v>
          </cell>
          <cell r="C135">
            <v>42736</v>
          </cell>
          <cell r="D135" t="str">
            <v>Zona 2</v>
          </cell>
          <cell r="E135">
            <v>54</v>
          </cell>
          <cell r="F135">
            <v>9.19</v>
          </cell>
          <cell r="G135">
            <v>76.430000000000007</v>
          </cell>
          <cell r="H135">
            <v>179.4</v>
          </cell>
          <cell r="I135">
            <v>74.75</v>
          </cell>
          <cell r="J135">
            <v>226.58</v>
          </cell>
          <cell r="K135">
            <v>3206.15</v>
          </cell>
        </row>
        <row r="136">
          <cell r="B136" t="str">
            <v>OFICIAL ESPECIALIZADO</v>
          </cell>
          <cell r="C136">
            <v>42736</v>
          </cell>
          <cell r="D136" t="str">
            <v>Zona 2</v>
          </cell>
          <cell r="E136">
            <v>54</v>
          </cell>
          <cell r="F136">
            <v>9.19</v>
          </cell>
          <cell r="G136">
            <v>76.430000000000007</v>
          </cell>
          <cell r="H136">
            <v>179.4</v>
          </cell>
          <cell r="I136">
            <v>74.75</v>
          </cell>
          <cell r="J136">
            <v>226.58</v>
          </cell>
          <cell r="K136">
            <v>3206.15</v>
          </cell>
        </row>
        <row r="137">
          <cell r="B137" t="str">
            <v>AYUDANTE</v>
          </cell>
          <cell r="C137">
            <v>42736</v>
          </cell>
          <cell r="D137" t="str">
            <v>Zona 3</v>
          </cell>
          <cell r="E137">
            <v>39.01</v>
          </cell>
          <cell r="F137">
            <v>31.98</v>
          </cell>
          <cell r="G137">
            <v>76.430000000000007</v>
          </cell>
          <cell r="H137">
            <v>179.4</v>
          </cell>
          <cell r="I137">
            <v>74.75</v>
          </cell>
          <cell r="J137">
            <v>320.63</v>
          </cell>
          <cell r="K137">
            <v>3206.15</v>
          </cell>
        </row>
        <row r="138">
          <cell r="B138" t="str">
            <v>MEDIO OFICIAL</v>
          </cell>
          <cell r="C138">
            <v>42736</v>
          </cell>
          <cell r="D138" t="str">
            <v>Zona 3</v>
          </cell>
          <cell r="E138">
            <v>42.39</v>
          </cell>
          <cell r="F138">
            <v>34.76</v>
          </cell>
          <cell r="G138">
            <v>76.430000000000007</v>
          </cell>
          <cell r="H138">
            <v>179.4</v>
          </cell>
          <cell r="I138">
            <v>74.75</v>
          </cell>
          <cell r="J138">
            <v>320.63</v>
          </cell>
          <cell r="K138">
            <v>3206.15</v>
          </cell>
        </row>
        <row r="139">
          <cell r="B139" t="str">
            <v>OFICIAL</v>
          </cell>
          <cell r="C139">
            <v>42736</v>
          </cell>
          <cell r="D139" t="str">
            <v>Zona 3</v>
          </cell>
          <cell r="E139">
            <v>45.99</v>
          </cell>
          <cell r="F139">
            <v>37.71</v>
          </cell>
          <cell r="G139">
            <v>76.430000000000007</v>
          </cell>
          <cell r="H139">
            <v>179.4</v>
          </cell>
          <cell r="I139">
            <v>74.75</v>
          </cell>
          <cell r="J139">
            <v>320.63</v>
          </cell>
          <cell r="K139">
            <v>3206.15</v>
          </cell>
        </row>
        <row r="140">
          <cell r="B140" t="str">
            <v>OFICIAL BOLLAND</v>
          </cell>
          <cell r="C140">
            <v>42736</v>
          </cell>
          <cell r="D140" t="str">
            <v>Zona 3</v>
          </cell>
          <cell r="E140">
            <v>54</v>
          </cell>
          <cell r="F140">
            <v>44.28</v>
          </cell>
          <cell r="G140">
            <v>76.430000000000007</v>
          </cell>
          <cell r="H140">
            <v>179.4</v>
          </cell>
          <cell r="I140">
            <v>74.75</v>
          </cell>
          <cell r="J140">
            <v>320.63</v>
          </cell>
          <cell r="K140">
            <v>3206.15</v>
          </cell>
        </row>
        <row r="141">
          <cell r="B141" t="str">
            <v>OFICIAL ESPECIALIZADO</v>
          </cell>
          <cell r="C141">
            <v>42736</v>
          </cell>
          <cell r="D141" t="str">
            <v>Zona 3</v>
          </cell>
          <cell r="E141">
            <v>54</v>
          </cell>
          <cell r="F141">
            <v>44.28</v>
          </cell>
          <cell r="G141">
            <v>76.430000000000007</v>
          </cell>
          <cell r="H141">
            <v>179.4</v>
          </cell>
          <cell r="I141">
            <v>74.75</v>
          </cell>
          <cell r="J141">
            <v>320.63</v>
          </cell>
          <cell r="K141">
            <v>3206.15</v>
          </cell>
        </row>
        <row r="142">
          <cell r="B142" t="str">
            <v>AYUDANTE</v>
          </cell>
          <cell r="C142">
            <v>42736</v>
          </cell>
          <cell r="D142" t="str">
            <v>Zona 4</v>
          </cell>
          <cell r="E142">
            <v>39.01</v>
          </cell>
          <cell r="F142">
            <v>39.01</v>
          </cell>
          <cell r="G142">
            <v>76.430000000000007</v>
          </cell>
          <cell r="H142">
            <v>179.4</v>
          </cell>
          <cell r="I142">
            <v>74.75</v>
          </cell>
          <cell r="J142">
            <v>270.14</v>
          </cell>
          <cell r="K142">
            <v>3206.15</v>
          </cell>
        </row>
        <row r="143">
          <cell r="B143" t="str">
            <v>MEDIO OFICIAL</v>
          </cell>
          <cell r="C143">
            <v>42736</v>
          </cell>
          <cell r="D143" t="str">
            <v>Zona 4</v>
          </cell>
          <cell r="E143">
            <v>42.39</v>
          </cell>
          <cell r="F143">
            <v>42.39</v>
          </cell>
          <cell r="G143">
            <v>76.430000000000007</v>
          </cell>
          <cell r="H143">
            <v>179.4</v>
          </cell>
          <cell r="I143">
            <v>74.75</v>
          </cell>
          <cell r="J143">
            <v>270.14</v>
          </cell>
          <cell r="K143">
            <v>3206.15</v>
          </cell>
        </row>
        <row r="144">
          <cell r="B144" t="str">
            <v>OFICIAL</v>
          </cell>
          <cell r="C144">
            <v>42736</v>
          </cell>
          <cell r="D144" t="str">
            <v>Zona 4</v>
          </cell>
          <cell r="E144">
            <v>45.99</v>
          </cell>
          <cell r="F144">
            <v>45.99</v>
          </cell>
          <cell r="G144">
            <v>76.430000000000007</v>
          </cell>
          <cell r="H144">
            <v>179.4</v>
          </cell>
          <cell r="I144">
            <v>74.75</v>
          </cell>
          <cell r="J144">
            <v>270.14</v>
          </cell>
          <cell r="K144">
            <v>3206.15</v>
          </cell>
        </row>
        <row r="145">
          <cell r="B145" t="str">
            <v>OFICIAL BOLLAND</v>
          </cell>
          <cell r="C145">
            <v>42736</v>
          </cell>
          <cell r="D145" t="str">
            <v>Zona 4</v>
          </cell>
          <cell r="E145">
            <v>54</v>
          </cell>
          <cell r="F145">
            <v>54</v>
          </cell>
          <cell r="G145">
            <v>76.430000000000007</v>
          </cell>
          <cell r="H145">
            <v>179.4</v>
          </cell>
          <cell r="I145">
            <v>74.75</v>
          </cell>
          <cell r="J145">
            <v>270.14</v>
          </cell>
          <cell r="K145">
            <v>3206.15</v>
          </cell>
        </row>
        <row r="146">
          <cell r="B146" t="str">
            <v>OFICIAL ESPECIALIZADO</v>
          </cell>
          <cell r="C146">
            <v>42736</v>
          </cell>
          <cell r="D146" t="str">
            <v>Zona 4</v>
          </cell>
          <cell r="E146">
            <v>54</v>
          </cell>
          <cell r="F146">
            <v>54</v>
          </cell>
          <cell r="G146">
            <v>76.430000000000007</v>
          </cell>
          <cell r="H146">
            <v>179.4</v>
          </cell>
          <cell r="I146">
            <v>74.75</v>
          </cell>
          <cell r="J146">
            <v>270.14</v>
          </cell>
          <cell r="K146">
            <v>3206.15</v>
          </cell>
        </row>
        <row r="147">
          <cell r="B147" t="str">
            <v>AYUDANTE</v>
          </cell>
          <cell r="C147">
            <v>42917</v>
          </cell>
          <cell r="D147" t="str">
            <v>Zona 1</v>
          </cell>
          <cell r="E147">
            <v>42.91</v>
          </cell>
          <cell r="F147">
            <v>0</v>
          </cell>
          <cell r="G147">
            <v>74.930000000000007</v>
          </cell>
          <cell r="H147">
            <v>197.34</v>
          </cell>
          <cell r="I147">
            <v>0</v>
          </cell>
          <cell r="J147">
            <v>249.24</v>
          </cell>
          <cell r="K147">
            <v>3526.77</v>
          </cell>
        </row>
        <row r="148">
          <cell r="B148" t="str">
            <v>MEDIO OFICIAL</v>
          </cell>
          <cell r="C148">
            <v>42917</v>
          </cell>
          <cell r="D148" t="str">
            <v>Zona 1</v>
          </cell>
          <cell r="E148">
            <v>46.63</v>
          </cell>
          <cell r="F148">
            <v>0</v>
          </cell>
          <cell r="G148">
            <v>74.930000000000007</v>
          </cell>
          <cell r="H148">
            <v>197.34</v>
          </cell>
          <cell r="I148">
            <v>0</v>
          </cell>
          <cell r="J148">
            <v>249.24</v>
          </cell>
          <cell r="K148">
            <v>3526.77</v>
          </cell>
        </row>
        <row r="149">
          <cell r="B149" t="str">
            <v>OFICIAL</v>
          </cell>
          <cell r="C149">
            <v>42917</v>
          </cell>
          <cell r="D149" t="str">
            <v>Zona 1</v>
          </cell>
          <cell r="E149">
            <v>50.59</v>
          </cell>
          <cell r="F149">
            <v>0</v>
          </cell>
          <cell r="G149">
            <v>74.930000000000007</v>
          </cell>
          <cell r="H149">
            <v>197.34</v>
          </cell>
          <cell r="I149">
            <v>0</v>
          </cell>
          <cell r="J149">
            <v>249.24</v>
          </cell>
          <cell r="K149">
            <v>3526.77</v>
          </cell>
        </row>
        <row r="150">
          <cell r="B150" t="str">
            <v>OFICIAL BOLLAND</v>
          </cell>
          <cell r="C150">
            <v>42917</v>
          </cell>
          <cell r="D150" t="str">
            <v>Zona 1</v>
          </cell>
          <cell r="E150">
            <v>59.4</v>
          </cell>
          <cell r="F150">
            <v>0</v>
          </cell>
          <cell r="G150">
            <v>74.930000000000007</v>
          </cell>
          <cell r="H150">
            <v>197.34</v>
          </cell>
          <cell r="I150">
            <v>0</v>
          </cell>
          <cell r="J150">
            <v>249.24</v>
          </cell>
          <cell r="K150">
            <v>3526.77</v>
          </cell>
        </row>
        <row r="151">
          <cell r="B151" t="str">
            <v>OFICIAL ESPECIALIZADO</v>
          </cell>
          <cell r="C151">
            <v>42917</v>
          </cell>
          <cell r="D151" t="str">
            <v>Zona 1</v>
          </cell>
          <cell r="E151">
            <v>59.4</v>
          </cell>
          <cell r="F151">
            <v>0</v>
          </cell>
          <cell r="G151">
            <v>74.930000000000007</v>
          </cell>
          <cell r="H151">
            <v>197.34</v>
          </cell>
          <cell r="I151">
            <v>0</v>
          </cell>
          <cell r="J151">
            <v>249.24</v>
          </cell>
          <cell r="K151">
            <v>3526.77</v>
          </cell>
        </row>
        <row r="152">
          <cell r="B152" t="str">
            <v>AYUDANTE</v>
          </cell>
          <cell r="C152">
            <v>42917</v>
          </cell>
          <cell r="D152" t="str">
            <v>Zona 2</v>
          </cell>
          <cell r="E152">
            <v>42.91</v>
          </cell>
          <cell r="F152">
            <v>7.29</v>
          </cell>
          <cell r="G152">
            <v>84.07</v>
          </cell>
          <cell r="H152">
            <v>197.34</v>
          </cell>
          <cell r="I152">
            <v>82.23</v>
          </cell>
          <cell r="J152">
            <v>249.24</v>
          </cell>
          <cell r="K152">
            <v>3526.77</v>
          </cell>
        </row>
        <row r="153">
          <cell r="B153" t="str">
            <v>MEDIO OFICIAL</v>
          </cell>
          <cell r="C153">
            <v>42917</v>
          </cell>
          <cell r="D153" t="str">
            <v>Zona 2</v>
          </cell>
          <cell r="E153">
            <v>46.63</v>
          </cell>
          <cell r="F153">
            <v>7.94</v>
          </cell>
          <cell r="G153">
            <v>84.07</v>
          </cell>
          <cell r="H153">
            <v>197.34</v>
          </cell>
          <cell r="I153">
            <v>82.23</v>
          </cell>
          <cell r="J153">
            <v>249.24</v>
          </cell>
          <cell r="K153">
            <v>3526.77</v>
          </cell>
        </row>
        <row r="154">
          <cell r="B154" t="str">
            <v>OFICIAL</v>
          </cell>
          <cell r="C154">
            <v>42917</v>
          </cell>
          <cell r="D154" t="str">
            <v>Zona 2</v>
          </cell>
          <cell r="E154">
            <v>50.59</v>
          </cell>
          <cell r="F154">
            <v>8.61</v>
          </cell>
          <cell r="G154">
            <v>84.07</v>
          </cell>
          <cell r="H154">
            <v>197.34</v>
          </cell>
          <cell r="I154">
            <v>82.23</v>
          </cell>
          <cell r="J154">
            <v>249.24</v>
          </cell>
          <cell r="K154">
            <v>3526.77</v>
          </cell>
        </row>
        <row r="155">
          <cell r="B155" t="str">
            <v>OFICIAL BOLLAND</v>
          </cell>
          <cell r="C155">
            <v>42917</v>
          </cell>
          <cell r="D155" t="str">
            <v>Zona 2</v>
          </cell>
          <cell r="E155">
            <v>59.4</v>
          </cell>
          <cell r="F155">
            <v>10.11</v>
          </cell>
          <cell r="G155">
            <v>84.07</v>
          </cell>
          <cell r="H155">
            <v>197.34</v>
          </cell>
          <cell r="I155">
            <v>82.23</v>
          </cell>
          <cell r="J155">
            <v>249.24</v>
          </cell>
          <cell r="K155">
            <v>3526.77</v>
          </cell>
        </row>
        <row r="156">
          <cell r="B156" t="str">
            <v>OFICIAL ESPECIALIZADO</v>
          </cell>
          <cell r="C156">
            <v>42917</v>
          </cell>
          <cell r="D156" t="str">
            <v>Zona 2</v>
          </cell>
          <cell r="E156">
            <v>59.4</v>
          </cell>
          <cell r="F156">
            <v>10.11</v>
          </cell>
          <cell r="G156">
            <v>84.07</v>
          </cell>
          <cell r="H156">
            <v>197.34</v>
          </cell>
          <cell r="I156">
            <v>82.23</v>
          </cell>
          <cell r="J156">
            <v>249.24</v>
          </cell>
          <cell r="K156">
            <v>3526.77</v>
          </cell>
        </row>
        <row r="157">
          <cell r="B157" t="str">
            <v>AYUDANTE</v>
          </cell>
          <cell r="C157">
            <v>42917</v>
          </cell>
          <cell r="D157" t="str">
            <v>Zona 3</v>
          </cell>
          <cell r="E157">
            <v>42.91</v>
          </cell>
          <cell r="F157">
            <v>35.18</v>
          </cell>
          <cell r="G157">
            <v>84.07</v>
          </cell>
          <cell r="H157">
            <v>197.34</v>
          </cell>
          <cell r="I157">
            <v>82.23</v>
          </cell>
          <cell r="J157">
            <v>352.69</v>
          </cell>
          <cell r="K157">
            <v>3526.77</v>
          </cell>
        </row>
        <row r="158">
          <cell r="B158" t="str">
            <v>MEDIO OFICIAL</v>
          </cell>
          <cell r="C158">
            <v>42917</v>
          </cell>
          <cell r="D158" t="str">
            <v>Zona 3</v>
          </cell>
          <cell r="E158">
            <v>46.63</v>
          </cell>
          <cell r="F158">
            <v>38.24</v>
          </cell>
          <cell r="G158">
            <v>84.07</v>
          </cell>
          <cell r="H158">
            <v>197.34</v>
          </cell>
          <cell r="I158">
            <v>82.23</v>
          </cell>
          <cell r="J158">
            <v>352.69</v>
          </cell>
          <cell r="K158">
            <v>3526.77</v>
          </cell>
        </row>
        <row r="159">
          <cell r="B159" t="str">
            <v>OFICIAL</v>
          </cell>
          <cell r="C159">
            <v>42917</v>
          </cell>
          <cell r="D159" t="str">
            <v>Zona 3</v>
          </cell>
          <cell r="E159">
            <v>50.59</v>
          </cell>
          <cell r="F159">
            <v>41.48</v>
          </cell>
          <cell r="G159">
            <v>84.07</v>
          </cell>
          <cell r="H159">
            <v>197.34</v>
          </cell>
          <cell r="I159">
            <v>82.23</v>
          </cell>
          <cell r="J159">
            <v>352.69</v>
          </cell>
          <cell r="K159">
            <v>3526.77</v>
          </cell>
        </row>
        <row r="160">
          <cell r="B160" t="str">
            <v>OFICIAL BOLLAND</v>
          </cell>
          <cell r="C160">
            <v>42917</v>
          </cell>
          <cell r="D160" t="str">
            <v>Zona 3</v>
          </cell>
          <cell r="E160">
            <v>59.4</v>
          </cell>
          <cell r="F160">
            <v>48.71</v>
          </cell>
          <cell r="G160">
            <v>84.07</v>
          </cell>
          <cell r="H160">
            <v>197.34</v>
          </cell>
          <cell r="I160">
            <v>82.23</v>
          </cell>
          <cell r="J160">
            <v>352.69</v>
          </cell>
          <cell r="K160">
            <v>3526.77</v>
          </cell>
        </row>
        <row r="161">
          <cell r="B161" t="str">
            <v>OFICIAL ESPECIALIZADO</v>
          </cell>
          <cell r="C161">
            <v>42917</v>
          </cell>
          <cell r="D161" t="str">
            <v>Zona 3</v>
          </cell>
          <cell r="E161">
            <v>59.4</v>
          </cell>
          <cell r="F161">
            <v>48.71</v>
          </cell>
          <cell r="G161">
            <v>84.07</v>
          </cell>
          <cell r="H161">
            <v>197.34</v>
          </cell>
          <cell r="I161">
            <v>82.23</v>
          </cell>
          <cell r="J161">
            <v>352.69</v>
          </cell>
          <cell r="K161">
            <v>3526.77</v>
          </cell>
        </row>
        <row r="162">
          <cell r="B162" t="str">
            <v>AYUDANTE</v>
          </cell>
          <cell r="C162">
            <v>42917</v>
          </cell>
          <cell r="D162" t="str">
            <v>Zona 4</v>
          </cell>
          <cell r="E162">
            <v>42.91</v>
          </cell>
          <cell r="F162">
            <v>42.91</v>
          </cell>
          <cell r="G162">
            <v>84.07</v>
          </cell>
          <cell r="H162">
            <v>197.34</v>
          </cell>
          <cell r="I162">
            <v>82.23</v>
          </cell>
          <cell r="J162">
            <v>297.14999999999998</v>
          </cell>
          <cell r="K162">
            <v>3526.77</v>
          </cell>
        </row>
        <row r="163">
          <cell r="B163" t="str">
            <v>MEDIO OFICIAL</v>
          </cell>
          <cell r="C163">
            <v>42917</v>
          </cell>
          <cell r="D163" t="str">
            <v>Zona 4</v>
          </cell>
          <cell r="E163">
            <v>46.63</v>
          </cell>
          <cell r="F163">
            <v>46.63</v>
          </cell>
          <cell r="G163">
            <v>84.07</v>
          </cell>
          <cell r="H163">
            <v>197.34</v>
          </cell>
          <cell r="I163">
            <v>82.23</v>
          </cell>
          <cell r="J163">
            <v>297.14999999999998</v>
          </cell>
          <cell r="K163">
            <v>3526.77</v>
          </cell>
        </row>
        <row r="164">
          <cell r="B164" t="str">
            <v>OFICIAL</v>
          </cell>
          <cell r="C164">
            <v>42917</v>
          </cell>
          <cell r="D164" t="str">
            <v>Zona 4</v>
          </cell>
          <cell r="E164">
            <v>50.59</v>
          </cell>
          <cell r="F164">
            <v>50.59</v>
          </cell>
          <cell r="G164">
            <v>84.07</v>
          </cell>
          <cell r="H164">
            <v>197.34</v>
          </cell>
          <cell r="I164">
            <v>82.23</v>
          </cell>
          <cell r="J164">
            <v>297.14999999999998</v>
          </cell>
          <cell r="K164">
            <v>3526.77</v>
          </cell>
        </row>
        <row r="165">
          <cell r="B165" t="str">
            <v>OFICIAL BOLLAND</v>
          </cell>
          <cell r="C165">
            <v>42917</v>
          </cell>
          <cell r="D165" t="str">
            <v>Zona 4</v>
          </cell>
          <cell r="E165">
            <v>59.4</v>
          </cell>
          <cell r="F165">
            <v>59.4</v>
          </cell>
          <cell r="G165">
            <v>84.07</v>
          </cell>
          <cell r="H165">
            <v>197.34</v>
          </cell>
          <cell r="I165">
            <v>82.23</v>
          </cell>
          <cell r="J165">
            <v>297.14999999999998</v>
          </cell>
          <cell r="K165">
            <v>3526.77</v>
          </cell>
        </row>
        <row r="166">
          <cell r="B166" t="str">
            <v>OFICIAL ESPECIALIZADO</v>
          </cell>
          <cell r="C166">
            <v>42917</v>
          </cell>
          <cell r="D166" t="str">
            <v>Zona 4</v>
          </cell>
          <cell r="E166">
            <v>59.4</v>
          </cell>
          <cell r="F166">
            <v>59.4</v>
          </cell>
          <cell r="G166">
            <v>84.07</v>
          </cell>
          <cell r="H166">
            <v>197.34</v>
          </cell>
          <cell r="I166">
            <v>82.23</v>
          </cell>
          <cell r="J166">
            <v>297.14999999999998</v>
          </cell>
          <cell r="K166">
            <v>3526.77</v>
          </cell>
        </row>
        <row r="167">
          <cell r="B167" t="str">
            <v>AYUDANTE</v>
          </cell>
          <cell r="C167">
            <v>43009</v>
          </cell>
          <cell r="D167" t="str">
            <v>Zona 1</v>
          </cell>
          <cell r="E167">
            <v>46.81</v>
          </cell>
          <cell r="F167">
            <v>0</v>
          </cell>
          <cell r="G167">
            <v>81.739999999999995</v>
          </cell>
          <cell r="H167">
            <v>215.28</v>
          </cell>
          <cell r="I167">
            <v>0</v>
          </cell>
          <cell r="J167">
            <v>271.89999999999998</v>
          </cell>
          <cell r="K167">
            <v>3847.38</v>
          </cell>
        </row>
        <row r="168">
          <cell r="B168" t="str">
            <v>MEDIO OFICIAL</v>
          </cell>
          <cell r="C168">
            <v>43009</v>
          </cell>
          <cell r="D168" t="str">
            <v>Zona 1</v>
          </cell>
          <cell r="E168">
            <v>50.87</v>
          </cell>
          <cell r="F168">
            <v>0</v>
          </cell>
          <cell r="G168">
            <v>81.739999999999995</v>
          </cell>
          <cell r="H168">
            <v>215.28</v>
          </cell>
          <cell r="I168">
            <v>0</v>
          </cell>
          <cell r="J168">
            <v>271.89999999999998</v>
          </cell>
          <cell r="K168">
            <v>3847.38</v>
          </cell>
        </row>
        <row r="169">
          <cell r="B169" t="str">
            <v>OFICIAL</v>
          </cell>
          <cell r="C169">
            <v>43009</v>
          </cell>
          <cell r="D169" t="str">
            <v>Zona 1</v>
          </cell>
          <cell r="E169">
            <v>55.19</v>
          </cell>
          <cell r="F169">
            <v>0</v>
          </cell>
          <cell r="G169">
            <v>81.739999999999995</v>
          </cell>
          <cell r="H169">
            <v>215.28</v>
          </cell>
          <cell r="I169">
            <v>0</v>
          </cell>
          <cell r="J169">
            <v>271.89999999999998</v>
          </cell>
          <cell r="K169">
            <v>3847.38</v>
          </cell>
        </row>
        <row r="170">
          <cell r="B170" t="str">
            <v>OFICIAL BOLLAND</v>
          </cell>
          <cell r="C170">
            <v>43009</v>
          </cell>
          <cell r="D170" t="str">
            <v>Zona 1</v>
          </cell>
          <cell r="E170">
            <v>64.8</v>
          </cell>
          <cell r="F170">
            <v>0</v>
          </cell>
          <cell r="G170">
            <v>81.739999999999995</v>
          </cell>
          <cell r="H170">
            <v>215.28</v>
          </cell>
          <cell r="I170">
            <v>0</v>
          </cell>
          <cell r="J170">
            <v>271.89999999999998</v>
          </cell>
          <cell r="K170">
            <v>3847.38</v>
          </cell>
        </row>
        <row r="171">
          <cell r="B171" t="str">
            <v>OFICIAL ESPECIALIZADO</v>
          </cell>
          <cell r="C171">
            <v>43009</v>
          </cell>
          <cell r="D171" t="str">
            <v>Zona 1</v>
          </cell>
          <cell r="E171">
            <v>64.8</v>
          </cell>
          <cell r="F171">
            <v>0</v>
          </cell>
          <cell r="G171">
            <v>81.739999999999995</v>
          </cell>
          <cell r="H171">
            <v>215.28</v>
          </cell>
          <cell r="I171">
            <v>0</v>
          </cell>
          <cell r="J171">
            <v>271.89999999999998</v>
          </cell>
          <cell r="K171">
            <v>3847.38</v>
          </cell>
        </row>
        <row r="172">
          <cell r="B172" t="str">
            <v>SERENO</v>
          </cell>
          <cell r="C172">
            <v>43009</v>
          </cell>
          <cell r="D172" t="str">
            <v>Zona 1</v>
          </cell>
          <cell r="E172">
            <v>8521.5499999999993</v>
          </cell>
          <cell r="G172">
            <v>81.739999999999995</v>
          </cell>
          <cell r="H172">
            <v>215.28</v>
          </cell>
          <cell r="I172">
            <v>0</v>
          </cell>
          <cell r="J172">
            <v>271.89999999999998</v>
          </cell>
          <cell r="K172">
            <v>3847.38</v>
          </cell>
        </row>
        <row r="173">
          <cell r="B173" t="str">
            <v>AYUDANTE</v>
          </cell>
          <cell r="C173">
            <v>43009</v>
          </cell>
          <cell r="D173" t="str">
            <v>Zona 2</v>
          </cell>
          <cell r="E173">
            <v>46.81</v>
          </cell>
          <cell r="F173">
            <v>7.96</v>
          </cell>
          <cell r="G173">
            <v>91.72</v>
          </cell>
          <cell r="H173">
            <v>215.28</v>
          </cell>
          <cell r="I173">
            <v>89.7</v>
          </cell>
          <cell r="J173">
            <v>271.89999999999998</v>
          </cell>
          <cell r="K173">
            <v>3847.38</v>
          </cell>
        </row>
        <row r="174">
          <cell r="B174" t="str">
            <v>MEDIO OFICIAL</v>
          </cell>
          <cell r="C174">
            <v>43009</v>
          </cell>
          <cell r="D174" t="str">
            <v>Zona 2</v>
          </cell>
          <cell r="E174">
            <v>50.87</v>
          </cell>
          <cell r="F174">
            <v>8.66</v>
          </cell>
          <cell r="G174">
            <v>91.72</v>
          </cell>
          <cell r="H174">
            <v>215.28</v>
          </cell>
          <cell r="I174">
            <v>89.7</v>
          </cell>
          <cell r="J174">
            <v>271.89999999999998</v>
          </cell>
          <cell r="K174">
            <v>3847.38</v>
          </cell>
        </row>
        <row r="175">
          <cell r="B175" t="str">
            <v>OFICIAL</v>
          </cell>
          <cell r="C175">
            <v>43009</v>
          </cell>
          <cell r="D175" t="str">
            <v>Zona 2</v>
          </cell>
          <cell r="E175">
            <v>55.19</v>
          </cell>
          <cell r="F175">
            <v>9.4</v>
          </cell>
          <cell r="G175">
            <v>91.72</v>
          </cell>
          <cell r="H175">
            <v>215.28</v>
          </cell>
          <cell r="I175">
            <v>89.7</v>
          </cell>
          <cell r="J175">
            <v>271.89999999999998</v>
          </cell>
          <cell r="K175">
            <v>3847.38</v>
          </cell>
        </row>
        <row r="176">
          <cell r="B176" t="str">
            <v>OFICIAL BOLLAND</v>
          </cell>
          <cell r="C176">
            <v>43009</v>
          </cell>
          <cell r="D176" t="str">
            <v>Zona 2</v>
          </cell>
          <cell r="E176">
            <v>64.8</v>
          </cell>
          <cell r="F176">
            <v>11.03</v>
          </cell>
          <cell r="G176">
            <v>91.72</v>
          </cell>
          <cell r="H176">
            <v>215.28</v>
          </cell>
          <cell r="I176">
            <v>89.7</v>
          </cell>
          <cell r="J176">
            <v>271.89999999999998</v>
          </cell>
          <cell r="K176">
            <v>3847.38</v>
          </cell>
        </row>
        <row r="177">
          <cell r="B177" t="str">
            <v>OFICIAL ESPECIALIZADO</v>
          </cell>
          <cell r="C177">
            <v>43009</v>
          </cell>
          <cell r="D177" t="str">
            <v>Zona 2</v>
          </cell>
          <cell r="E177">
            <v>64.8</v>
          </cell>
          <cell r="F177">
            <v>11.03</v>
          </cell>
          <cell r="G177">
            <v>91.72</v>
          </cell>
          <cell r="H177">
            <v>215.28</v>
          </cell>
          <cell r="I177">
            <v>89.7</v>
          </cell>
          <cell r="J177">
            <v>271.89999999999998</v>
          </cell>
          <cell r="K177">
            <v>3847.38</v>
          </cell>
        </row>
        <row r="178">
          <cell r="B178" t="str">
            <v>SERENO</v>
          </cell>
          <cell r="C178">
            <v>43009</v>
          </cell>
          <cell r="D178" t="str">
            <v>Zona 2</v>
          </cell>
          <cell r="E178">
            <v>8521.5499999999993</v>
          </cell>
          <cell r="F178">
            <v>1448.7</v>
          </cell>
          <cell r="G178">
            <v>91.72</v>
          </cell>
          <cell r="H178">
            <v>215.28</v>
          </cell>
          <cell r="I178">
            <v>89.7</v>
          </cell>
          <cell r="J178">
            <v>271.89999999999998</v>
          </cell>
          <cell r="K178">
            <v>3847.38</v>
          </cell>
        </row>
        <row r="179">
          <cell r="B179" t="str">
            <v>AYUDANTE</v>
          </cell>
          <cell r="C179">
            <v>43009</v>
          </cell>
          <cell r="D179" t="str">
            <v>Zona 3</v>
          </cell>
          <cell r="E179">
            <v>46.81</v>
          </cell>
          <cell r="F179">
            <v>38.380000000000003</v>
          </cell>
          <cell r="G179">
            <v>91.72</v>
          </cell>
          <cell r="H179">
            <v>215.28</v>
          </cell>
          <cell r="I179">
            <v>89.7</v>
          </cell>
          <cell r="J179">
            <v>384.76</v>
          </cell>
          <cell r="K179">
            <v>3847.38</v>
          </cell>
        </row>
        <row r="180">
          <cell r="B180" t="str">
            <v>MEDIO OFICIAL</v>
          </cell>
          <cell r="C180">
            <v>43009</v>
          </cell>
          <cell r="D180" t="str">
            <v>Zona 3</v>
          </cell>
          <cell r="E180">
            <v>50.87</v>
          </cell>
          <cell r="F180">
            <v>41.71</v>
          </cell>
          <cell r="G180">
            <v>91.72</v>
          </cell>
          <cell r="H180">
            <v>215.28</v>
          </cell>
          <cell r="I180">
            <v>89.7</v>
          </cell>
          <cell r="J180">
            <v>384.76</v>
          </cell>
          <cell r="K180">
            <v>3847.38</v>
          </cell>
        </row>
        <row r="181">
          <cell r="B181" t="str">
            <v>OFICIAL</v>
          </cell>
          <cell r="C181">
            <v>43009</v>
          </cell>
          <cell r="D181" t="str">
            <v>Zona 3</v>
          </cell>
          <cell r="E181">
            <v>55.19</v>
          </cell>
          <cell r="F181">
            <v>45.25</v>
          </cell>
          <cell r="G181">
            <v>91.72</v>
          </cell>
          <cell r="H181">
            <v>215.28</v>
          </cell>
          <cell r="I181">
            <v>89.7</v>
          </cell>
          <cell r="J181">
            <v>384.76</v>
          </cell>
          <cell r="K181">
            <v>3847.38</v>
          </cell>
        </row>
        <row r="182">
          <cell r="B182" t="str">
            <v>OFICIAL BOLLAND</v>
          </cell>
          <cell r="C182">
            <v>43009</v>
          </cell>
          <cell r="D182" t="str">
            <v>Zona 3</v>
          </cell>
          <cell r="E182">
            <v>64.8</v>
          </cell>
          <cell r="F182">
            <v>53.14</v>
          </cell>
          <cell r="G182">
            <v>91.72</v>
          </cell>
          <cell r="H182">
            <v>215.28</v>
          </cell>
          <cell r="I182">
            <v>89.7</v>
          </cell>
          <cell r="J182">
            <v>384.76</v>
          </cell>
          <cell r="K182">
            <v>3847.38</v>
          </cell>
        </row>
        <row r="183">
          <cell r="B183" t="str">
            <v>OFICIAL ESPECIALIZADO</v>
          </cell>
          <cell r="C183">
            <v>43009</v>
          </cell>
          <cell r="D183" t="str">
            <v>Zona 3</v>
          </cell>
          <cell r="E183">
            <v>64.8</v>
          </cell>
          <cell r="F183">
            <v>53.14</v>
          </cell>
          <cell r="G183">
            <v>91.72</v>
          </cell>
          <cell r="H183">
            <v>215.28</v>
          </cell>
          <cell r="I183">
            <v>89.7</v>
          </cell>
          <cell r="J183">
            <v>384.76</v>
          </cell>
          <cell r="K183">
            <v>3847.38</v>
          </cell>
        </row>
        <row r="184">
          <cell r="B184" t="str">
            <v>SERENO</v>
          </cell>
          <cell r="C184">
            <v>43009</v>
          </cell>
          <cell r="D184" t="str">
            <v>Zona 3</v>
          </cell>
          <cell r="E184">
            <v>8521.5499999999993</v>
          </cell>
          <cell r="F184">
            <v>6987.7</v>
          </cell>
          <cell r="G184">
            <v>91.72</v>
          </cell>
          <cell r="H184">
            <v>215.28</v>
          </cell>
          <cell r="I184">
            <v>89.7</v>
          </cell>
          <cell r="J184">
            <v>384.76</v>
          </cell>
          <cell r="K184">
            <v>3847.38</v>
          </cell>
        </row>
        <row r="185">
          <cell r="B185" t="str">
            <v>AYUDANTE</v>
          </cell>
          <cell r="C185">
            <v>43009</v>
          </cell>
          <cell r="D185" t="str">
            <v>Zona 4</v>
          </cell>
          <cell r="E185">
            <v>46.81</v>
          </cell>
          <cell r="F185">
            <v>46.81</v>
          </cell>
          <cell r="G185">
            <v>91.72</v>
          </cell>
          <cell r="H185">
            <v>215.28</v>
          </cell>
          <cell r="I185">
            <v>89.7</v>
          </cell>
          <cell r="J185">
            <v>324.17</v>
          </cell>
          <cell r="K185">
            <v>3847.38</v>
          </cell>
        </row>
        <row r="186">
          <cell r="B186" t="str">
            <v>MEDIO OFICIAL</v>
          </cell>
          <cell r="C186">
            <v>43009</v>
          </cell>
          <cell r="D186" t="str">
            <v>Zona 4</v>
          </cell>
          <cell r="E186">
            <v>50.87</v>
          </cell>
          <cell r="F186">
            <v>50.87</v>
          </cell>
          <cell r="G186">
            <v>91.72</v>
          </cell>
          <cell r="H186">
            <v>215.28</v>
          </cell>
          <cell r="I186">
            <v>89.7</v>
          </cell>
          <cell r="J186">
            <v>324.17</v>
          </cell>
          <cell r="K186">
            <v>3847.38</v>
          </cell>
        </row>
        <row r="187">
          <cell r="B187" t="str">
            <v>OFICIAL</v>
          </cell>
          <cell r="C187">
            <v>43009</v>
          </cell>
          <cell r="D187" t="str">
            <v>Zona 4</v>
          </cell>
          <cell r="E187">
            <v>55.19</v>
          </cell>
          <cell r="F187">
            <v>55.19</v>
          </cell>
          <cell r="G187">
            <v>91.72</v>
          </cell>
          <cell r="H187">
            <v>215.28</v>
          </cell>
          <cell r="I187">
            <v>89.7</v>
          </cell>
          <cell r="J187">
            <v>324.17</v>
          </cell>
          <cell r="K187">
            <v>3847.38</v>
          </cell>
        </row>
        <row r="188">
          <cell r="B188" t="str">
            <v>OFICIAL BOLLAND</v>
          </cell>
          <cell r="C188">
            <v>43009</v>
          </cell>
          <cell r="D188" t="str">
            <v>Zona 4</v>
          </cell>
          <cell r="E188">
            <v>64.8</v>
          </cell>
          <cell r="F188">
            <v>64.8</v>
          </cell>
          <cell r="G188">
            <v>91.72</v>
          </cell>
          <cell r="H188">
            <v>215.28</v>
          </cell>
          <cell r="I188">
            <v>89.7</v>
          </cell>
          <cell r="J188">
            <v>324.17</v>
          </cell>
          <cell r="K188">
            <v>3847.38</v>
          </cell>
        </row>
        <row r="189">
          <cell r="B189" t="str">
            <v>OFICIAL ESPECIALIZADO</v>
          </cell>
          <cell r="C189">
            <v>43009</v>
          </cell>
          <cell r="D189" t="str">
            <v>Zona 4</v>
          </cell>
          <cell r="E189">
            <v>64.8</v>
          </cell>
          <cell r="F189">
            <v>64.8</v>
          </cell>
          <cell r="G189">
            <v>91.72</v>
          </cell>
          <cell r="H189">
            <v>215.28</v>
          </cell>
          <cell r="I189">
            <v>89.7</v>
          </cell>
          <cell r="J189">
            <v>324.17</v>
          </cell>
          <cell r="K189">
            <v>3847.38</v>
          </cell>
        </row>
        <row r="190">
          <cell r="B190" t="str">
            <v>SERENO</v>
          </cell>
          <cell r="C190">
            <v>43009</v>
          </cell>
          <cell r="D190" t="str">
            <v>Zona 4</v>
          </cell>
          <cell r="E190">
            <v>8521.5499999999993</v>
          </cell>
          <cell r="F190">
            <v>8521.5499999999993</v>
          </cell>
          <cell r="G190">
            <v>91.72</v>
          </cell>
          <cell r="H190">
            <v>215.28</v>
          </cell>
          <cell r="I190">
            <v>89.7</v>
          </cell>
          <cell r="J190">
            <v>324.17</v>
          </cell>
          <cell r="K190">
            <v>3847.38</v>
          </cell>
        </row>
        <row r="191">
          <cell r="B191" t="str">
            <v>AYUDANTE</v>
          </cell>
          <cell r="C191">
            <v>43160</v>
          </cell>
          <cell r="D191" t="str">
            <v>Zona 1</v>
          </cell>
          <cell r="E191">
            <v>48.92</v>
          </cell>
          <cell r="F191">
            <v>0</v>
          </cell>
          <cell r="G191">
            <v>85.42</v>
          </cell>
          <cell r="H191">
            <v>224.97</v>
          </cell>
          <cell r="I191">
            <v>0</v>
          </cell>
          <cell r="J191">
            <v>284.14</v>
          </cell>
          <cell r="K191">
            <v>4020.5</v>
          </cell>
        </row>
        <row r="192">
          <cell r="B192" t="str">
            <v>MEDIO OFICIAL</v>
          </cell>
          <cell r="C192">
            <v>43160</v>
          </cell>
          <cell r="D192" t="str">
            <v>Zona 1</v>
          </cell>
          <cell r="E192">
            <v>53.17</v>
          </cell>
          <cell r="F192">
            <v>0</v>
          </cell>
          <cell r="G192">
            <v>85.42</v>
          </cell>
          <cell r="H192">
            <v>224.97</v>
          </cell>
          <cell r="I192">
            <v>0</v>
          </cell>
          <cell r="J192">
            <v>284.14</v>
          </cell>
          <cell r="K192">
            <v>4020.5</v>
          </cell>
        </row>
        <row r="193">
          <cell r="B193" t="str">
            <v>OFICIAL</v>
          </cell>
          <cell r="C193">
            <v>43160</v>
          </cell>
          <cell r="D193" t="str">
            <v>Zona 1</v>
          </cell>
          <cell r="E193">
            <v>57.66</v>
          </cell>
          <cell r="F193">
            <v>0</v>
          </cell>
          <cell r="G193">
            <v>85.42</v>
          </cell>
          <cell r="H193">
            <v>224.97</v>
          </cell>
          <cell r="I193">
            <v>0</v>
          </cell>
          <cell r="J193">
            <v>284.14</v>
          </cell>
          <cell r="K193">
            <v>4020.5</v>
          </cell>
        </row>
        <row r="194">
          <cell r="B194" t="str">
            <v>OFICIAL BOLLAND</v>
          </cell>
          <cell r="C194">
            <v>43160</v>
          </cell>
          <cell r="D194" t="str">
            <v>Zona 1</v>
          </cell>
          <cell r="E194">
            <v>67.72</v>
          </cell>
          <cell r="F194">
            <v>0</v>
          </cell>
          <cell r="G194">
            <v>85.42</v>
          </cell>
          <cell r="H194">
            <v>224.97</v>
          </cell>
          <cell r="I194">
            <v>0</v>
          </cell>
          <cell r="J194">
            <v>284.14</v>
          </cell>
          <cell r="K194">
            <v>4020.5</v>
          </cell>
        </row>
        <row r="195">
          <cell r="B195" t="str">
            <v>OFICIAL ESPECIALIZADO</v>
          </cell>
          <cell r="C195">
            <v>43160</v>
          </cell>
          <cell r="D195" t="str">
            <v>Zona 1</v>
          </cell>
          <cell r="E195">
            <v>67.72</v>
          </cell>
          <cell r="F195">
            <v>0</v>
          </cell>
          <cell r="G195">
            <v>85.42</v>
          </cell>
          <cell r="H195">
            <v>224.97</v>
          </cell>
          <cell r="I195">
            <v>0</v>
          </cell>
          <cell r="J195">
            <v>284.14</v>
          </cell>
          <cell r="K195">
            <v>4020.5</v>
          </cell>
        </row>
        <row r="196">
          <cell r="B196" t="str">
            <v>SERENO</v>
          </cell>
          <cell r="C196">
            <v>43160</v>
          </cell>
          <cell r="D196" t="str">
            <v>Zona 1</v>
          </cell>
          <cell r="E196">
            <v>8905.02</v>
          </cell>
          <cell r="F196">
            <v>0</v>
          </cell>
          <cell r="G196">
            <v>85.42</v>
          </cell>
          <cell r="H196">
            <v>224.97</v>
          </cell>
          <cell r="I196">
            <v>0</v>
          </cell>
          <cell r="J196">
            <v>284.14</v>
          </cell>
          <cell r="K196">
            <v>4020.5</v>
          </cell>
        </row>
        <row r="197">
          <cell r="B197" t="str">
            <v>AYUDANTE</v>
          </cell>
          <cell r="C197">
            <v>43160</v>
          </cell>
          <cell r="D197" t="str">
            <v>Zona 2</v>
          </cell>
          <cell r="E197">
            <v>48.92</v>
          </cell>
          <cell r="F197">
            <v>8.31</v>
          </cell>
          <cell r="G197">
            <v>95.83</v>
          </cell>
          <cell r="H197">
            <v>224.97</v>
          </cell>
          <cell r="I197">
            <v>93.74</v>
          </cell>
          <cell r="J197">
            <v>284.14</v>
          </cell>
          <cell r="K197">
            <v>4020.5</v>
          </cell>
        </row>
        <row r="198">
          <cell r="B198" t="str">
            <v>MEDIO OFICIAL</v>
          </cell>
          <cell r="C198">
            <v>43160</v>
          </cell>
          <cell r="D198" t="str">
            <v>Zona 2</v>
          </cell>
          <cell r="E198">
            <v>53.17</v>
          </cell>
          <cell r="F198">
            <v>9.0399999999999991</v>
          </cell>
          <cell r="G198">
            <v>95.83</v>
          </cell>
          <cell r="H198">
            <v>224.97</v>
          </cell>
          <cell r="I198">
            <v>93.74</v>
          </cell>
          <cell r="J198">
            <v>284.14</v>
          </cell>
          <cell r="K198">
            <v>4020.5</v>
          </cell>
        </row>
        <row r="199">
          <cell r="B199" t="str">
            <v>OFICIAL</v>
          </cell>
          <cell r="C199">
            <v>43160</v>
          </cell>
          <cell r="D199" t="str">
            <v>Zona 2</v>
          </cell>
          <cell r="E199">
            <v>57.66</v>
          </cell>
          <cell r="F199">
            <v>9.81</v>
          </cell>
          <cell r="G199">
            <v>95.83</v>
          </cell>
          <cell r="H199">
            <v>224.97</v>
          </cell>
          <cell r="I199">
            <v>93.74</v>
          </cell>
          <cell r="J199">
            <v>284.14</v>
          </cell>
          <cell r="K199">
            <v>4020.5</v>
          </cell>
        </row>
        <row r="200">
          <cell r="B200" t="str">
            <v>OFICIAL BOLLAND</v>
          </cell>
          <cell r="C200">
            <v>43160</v>
          </cell>
          <cell r="D200" t="str">
            <v>Zona 2</v>
          </cell>
          <cell r="E200">
            <v>67.72</v>
          </cell>
          <cell r="F200">
            <v>11.51</v>
          </cell>
          <cell r="G200">
            <v>95.83</v>
          </cell>
          <cell r="H200">
            <v>224.97</v>
          </cell>
          <cell r="I200">
            <v>93.74</v>
          </cell>
          <cell r="J200">
            <v>284.14</v>
          </cell>
          <cell r="K200">
            <v>4020.5</v>
          </cell>
        </row>
        <row r="201">
          <cell r="B201" t="str">
            <v>OFICIAL ESPECIALIZADO</v>
          </cell>
          <cell r="C201">
            <v>43160</v>
          </cell>
          <cell r="D201" t="str">
            <v>Zona 2</v>
          </cell>
          <cell r="E201">
            <v>67.72</v>
          </cell>
          <cell r="F201">
            <v>11.51</v>
          </cell>
          <cell r="G201">
            <v>95.83</v>
          </cell>
          <cell r="H201">
            <v>224.97</v>
          </cell>
          <cell r="I201">
            <v>93.74</v>
          </cell>
          <cell r="J201">
            <v>284.14</v>
          </cell>
          <cell r="K201">
            <v>4020.5</v>
          </cell>
        </row>
        <row r="202">
          <cell r="B202" t="str">
            <v>SERENO</v>
          </cell>
          <cell r="C202">
            <v>43160</v>
          </cell>
          <cell r="D202" t="str">
            <v>Zona 2</v>
          </cell>
          <cell r="E202">
            <v>8905.02</v>
          </cell>
          <cell r="F202">
            <v>1513.87</v>
          </cell>
          <cell r="G202">
            <v>95.83</v>
          </cell>
          <cell r="H202">
            <v>224.97</v>
          </cell>
          <cell r="I202">
            <v>93.74</v>
          </cell>
          <cell r="J202">
            <v>284.14</v>
          </cell>
          <cell r="K202">
            <v>4020.5</v>
          </cell>
        </row>
        <row r="203">
          <cell r="B203" t="str">
            <v>AYUDANTE</v>
          </cell>
          <cell r="C203">
            <v>43160</v>
          </cell>
          <cell r="D203" t="str">
            <v>Zona 3</v>
          </cell>
          <cell r="E203">
            <v>48.92</v>
          </cell>
          <cell r="F203">
            <v>40.119999999999997</v>
          </cell>
          <cell r="G203">
            <v>95.83</v>
          </cell>
          <cell r="H203">
            <v>224.97</v>
          </cell>
          <cell r="I203">
            <v>93.74</v>
          </cell>
          <cell r="J203">
            <v>402.07</v>
          </cell>
          <cell r="K203">
            <v>4020.5</v>
          </cell>
        </row>
        <row r="204">
          <cell r="B204" t="str">
            <v>MEDIO OFICIAL</v>
          </cell>
          <cell r="C204">
            <v>43160</v>
          </cell>
          <cell r="D204" t="str">
            <v>Zona 3</v>
          </cell>
          <cell r="E204">
            <v>53.17</v>
          </cell>
          <cell r="F204">
            <v>43.58</v>
          </cell>
          <cell r="G204">
            <v>95.83</v>
          </cell>
          <cell r="H204">
            <v>224.97</v>
          </cell>
          <cell r="I204">
            <v>93.74</v>
          </cell>
          <cell r="J204">
            <v>402.07</v>
          </cell>
          <cell r="K204">
            <v>4020.5</v>
          </cell>
        </row>
        <row r="205">
          <cell r="B205" t="str">
            <v>OFICIAL</v>
          </cell>
          <cell r="C205">
            <v>43160</v>
          </cell>
          <cell r="D205" t="str">
            <v>Zona 3</v>
          </cell>
          <cell r="E205">
            <v>57.66</v>
          </cell>
          <cell r="F205">
            <v>47.29</v>
          </cell>
          <cell r="G205">
            <v>95.83</v>
          </cell>
          <cell r="H205">
            <v>224.97</v>
          </cell>
          <cell r="I205">
            <v>93.74</v>
          </cell>
          <cell r="J205">
            <v>402.07</v>
          </cell>
          <cell r="K205">
            <v>4020.5</v>
          </cell>
        </row>
        <row r="206">
          <cell r="B206" t="str">
            <v>OFICIAL BOLLAND</v>
          </cell>
          <cell r="C206">
            <v>43160</v>
          </cell>
          <cell r="D206" t="str">
            <v>Zona 3</v>
          </cell>
          <cell r="E206">
            <v>67.72</v>
          </cell>
          <cell r="F206">
            <v>55.53</v>
          </cell>
          <cell r="G206">
            <v>95.83</v>
          </cell>
          <cell r="H206">
            <v>224.97</v>
          </cell>
          <cell r="I206">
            <v>93.74</v>
          </cell>
          <cell r="J206">
            <v>402.07</v>
          </cell>
          <cell r="K206">
            <v>4020.5</v>
          </cell>
        </row>
        <row r="207">
          <cell r="B207" t="str">
            <v>OFICIAL ESPECIALIZADO</v>
          </cell>
          <cell r="C207">
            <v>43160</v>
          </cell>
          <cell r="D207" t="str">
            <v>Zona 3</v>
          </cell>
          <cell r="E207">
            <v>67.72</v>
          </cell>
          <cell r="F207">
            <v>55.53</v>
          </cell>
          <cell r="G207">
            <v>95.83</v>
          </cell>
          <cell r="H207">
            <v>224.97</v>
          </cell>
          <cell r="I207">
            <v>93.74</v>
          </cell>
          <cell r="J207">
            <v>402.07</v>
          </cell>
          <cell r="K207">
            <v>4020.5</v>
          </cell>
        </row>
        <row r="208">
          <cell r="B208" t="str">
            <v>SERENO</v>
          </cell>
          <cell r="C208">
            <v>43160</v>
          </cell>
          <cell r="D208" t="str">
            <v>Zona 3</v>
          </cell>
          <cell r="E208">
            <v>8905.02</v>
          </cell>
          <cell r="F208">
            <v>7302.13</v>
          </cell>
          <cell r="G208">
            <v>95.83</v>
          </cell>
          <cell r="H208">
            <v>224.97</v>
          </cell>
          <cell r="I208">
            <v>93.74</v>
          </cell>
          <cell r="J208">
            <v>402.07</v>
          </cell>
          <cell r="K208">
            <v>4020.5</v>
          </cell>
        </row>
        <row r="209">
          <cell r="B209" t="str">
            <v>AYUDANTE</v>
          </cell>
          <cell r="C209">
            <v>43160</v>
          </cell>
          <cell r="D209" t="str">
            <v>Zona 4</v>
          </cell>
          <cell r="E209">
            <v>48.92</v>
          </cell>
          <cell r="F209">
            <v>48.92</v>
          </cell>
          <cell r="G209">
            <v>95.83</v>
          </cell>
          <cell r="H209">
            <v>224.97</v>
          </cell>
          <cell r="I209">
            <v>93.74</v>
          </cell>
          <cell r="J209">
            <v>338.77</v>
          </cell>
          <cell r="K209">
            <v>4020.5</v>
          </cell>
        </row>
        <row r="210">
          <cell r="B210" t="str">
            <v>MEDIO OFICIAL</v>
          </cell>
          <cell r="C210">
            <v>43160</v>
          </cell>
          <cell r="D210" t="str">
            <v>Zona 4</v>
          </cell>
          <cell r="E210">
            <v>53.17</v>
          </cell>
          <cell r="F210">
            <v>53.17</v>
          </cell>
          <cell r="G210">
            <v>95.83</v>
          </cell>
          <cell r="H210">
            <v>224.97</v>
          </cell>
          <cell r="I210">
            <v>93.74</v>
          </cell>
          <cell r="J210">
            <v>338.77</v>
          </cell>
          <cell r="K210">
            <v>4020.5</v>
          </cell>
        </row>
        <row r="211">
          <cell r="B211" t="str">
            <v>OFICIAL</v>
          </cell>
          <cell r="C211">
            <v>43160</v>
          </cell>
          <cell r="D211" t="str">
            <v>Zona 4</v>
          </cell>
          <cell r="E211">
            <v>57.66</v>
          </cell>
          <cell r="F211">
            <v>57.66</v>
          </cell>
          <cell r="G211">
            <v>95.83</v>
          </cell>
          <cell r="H211">
            <v>224.97</v>
          </cell>
          <cell r="I211">
            <v>93.74</v>
          </cell>
          <cell r="J211">
            <v>338.77</v>
          </cell>
          <cell r="K211">
            <v>4020.5</v>
          </cell>
        </row>
        <row r="212">
          <cell r="B212" t="str">
            <v>OFICIAL BOLLAND</v>
          </cell>
          <cell r="C212">
            <v>43160</v>
          </cell>
          <cell r="D212" t="str">
            <v>Zona 4</v>
          </cell>
          <cell r="E212">
            <v>67.72</v>
          </cell>
          <cell r="F212">
            <v>67.72</v>
          </cell>
          <cell r="G212">
            <v>95.83</v>
          </cell>
          <cell r="H212">
            <v>224.97</v>
          </cell>
          <cell r="I212">
            <v>93.74</v>
          </cell>
          <cell r="J212">
            <v>338.77</v>
          </cell>
          <cell r="K212">
            <v>4020.5</v>
          </cell>
        </row>
        <row r="213">
          <cell r="B213" t="str">
            <v>OFICIAL ESPECIALIZADO</v>
          </cell>
          <cell r="C213">
            <v>43160</v>
          </cell>
          <cell r="D213" t="str">
            <v>Zona 4</v>
          </cell>
          <cell r="E213">
            <v>67.72</v>
          </cell>
          <cell r="F213">
            <v>67.72</v>
          </cell>
          <cell r="G213">
            <v>95.83</v>
          </cell>
          <cell r="H213">
            <v>224.97</v>
          </cell>
          <cell r="I213">
            <v>93.74</v>
          </cell>
          <cell r="J213">
            <v>338.77</v>
          </cell>
          <cell r="K213">
            <v>4020.5</v>
          </cell>
        </row>
        <row r="214">
          <cell r="B214" t="str">
            <v>SERENO</v>
          </cell>
          <cell r="C214">
            <v>43160</v>
          </cell>
          <cell r="D214" t="str">
            <v>Zona 4</v>
          </cell>
          <cell r="E214">
            <v>8905.02</v>
          </cell>
          <cell r="F214">
            <v>8905.02</v>
          </cell>
          <cell r="G214">
            <v>95.83</v>
          </cell>
          <cell r="H214">
            <v>224.97</v>
          </cell>
          <cell r="I214">
            <v>93.74</v>
          </cell>
          <cell r="J214">
            <v>338.77</v>
          </cell>
          <cell r="K214">
            <v>4020.5</v>
          </cell>
        </row>
        <row r="215">
          <cell r="B215" t="str">
            <v>AYUDANTE</v>
          </cell>
          <cell r="C215">
            <v>43374</v>
          </cell>
          <cell r="D215" t="str">
            <v>Zona 1</v>
          </cell>
          <cell r="E215">
            <v>58.7</v>
          </cell>
          <cell r="F215">
            <v>0</v>
          </cell>
          <cell r="G215">
            <v>102.5</v>
          </cell>
          <cell r="H215">
            <v>269.95999999999998</v>
          </cell>
          <cell r="I215">
            <v>0</v>
          </cell>
          <cell r="J215">
            <v>340.97</v>
          </cell>
          <cell r="K215">
            <v>4824.6000000000004</v>
          </cell>
        </row>
        <row r="216">
          <cell r="B216" t="str">
            <v>MEDIO OFICIAL</v>
          </cell>
          <cell r="C216">
            <v>43374</v>
          </cell>
          <cell r="D216" t="str">
            <v>Zona 1</v>
          </cell>
          <cell r="E216">
            <v>63.8</v>
          </cell>
          <cell r="F216">
            <v>0</v>
          </cell>
          <cell r="G216">
            <v>102.5</v>
          </cell>
          <cell r="H216">
            <v>269.95999999999998</v>
          </cell>
          <cell r="I216">
            <v>0</v>
          </cell>
          <cell r="J216">
            <v>340.97</v>
          </cell>
          <cell r="K216">
            <v>4824.6000000000004</v>
          </cell>
        </row>
        <row r="217">
          <cell r="B217" t="str">
            <v>OFICIAL</v>
          </cell>
          <cell r="C217">
            <v>43374</v>
          </cell>
          <cell r="D217" t="str">
            <v>Zona 1</v>
          </cell>
          <cell r="E217">
            <v>69.19</v>
          </cell>
          <cell r="F217">
            <v>0</v>
          </cell>
          <cell r="G217">
            <v>102.5</v>
          </cell>
          <cell r="H217">
            <v>269.95999999999998</v>
          </cell>
          <cell r="I217">
            <v>0</v>
          </cell>
          <cell r="J217">
            <v>340.97</v>
          </cell>
          <cell r="K217">
            <v>4824.6000000000004</v>
          </cell>
        </row>
        <row r="218">
          <cell r="B218" t="str">
            <v>OFICIAL BOLLAND</v>
          </cell>
          <cell r="C218">
            <v>43374</v>
          </cell>
          <cell r="D218" t="str">
            <v>Zona 1</v>
          </cell>
          <cell r="E218">
            <v>69.19</v>
          </cell>
          <cell r="F218">
            <v>0</v>
          </cell>
          <cell r="G218">
            <v>102.5</v>
          </cell>
          <cell r="H218">
            <v>269.95999999999998</v>
          </cell>
          <cell r="I218">
            <v>0</v>
          </cell>
          <cell r="J218">
            <v>340.97</v>
          </cell>
          <cell r="K218">
            <v>4824.6000000000004</v>
          </cell>
        </row>
        <row r="219">
          <cell r="B219" t="str">
            <v>OFICIAL ESPECIALIZADO</v>
          </cell>
          <cell r="C219">
            <v>43374</v>
          </cell>
          <cell r="D219" t="str">
            <v>Zona 1</v>
          </cell>
          <cell r="E219">
            <v>81.260000000000005</v>
          </cell>
          <cell r="F219">
            <v>0</v>
          </cell>
          <cell r="G219">
            <v>102.5</v>
          </cell>
          <cell r="H219">
            <v>269.95999999999998</v>
          </cell>
          <cell r="I219">
            <v>0</v>
          </cell>
          <cell r="J219">
            <v>340.97</v>
          </cell>
          <cell r="K219">
            <v>4824.6000000000004</v>
          </cell>
        </row>
        <row r="220">
          <cell r="B220" t="str">
            <v>SERENO</v>
          </cell>
          <cell r="C220">
            <v>43374</v>
          </cell>
          <cell r="D220" t="str">
            <v>Zona 1</v>
          </cell>
          <cell r="E220">
            <v>10686.02</v>
          </cell>
          <cell r="F220">
            <v>0</v>
          </cell>
          <cell r="G220">
            <v>102.5</v>
          </cell>
          <cell r="H220">
            <v>269.95999999999998</v>
          </cell>
          <cell r="I220">
            <v>0</v>
          </cell>
          <cell r="J220">
            <v>340.97</v>
          </cell>
          <cell r="K220">
            <v>4824.6000000000004</v>
          </cell>
        </row>
        <row r="221">
          <cell r="B221" t="str">
            <v>AYUDANTE</v>
          </cell>
          <cell r="C221">
            <v>43374</v>
          </cell>
          <cell r="D221" t="str">
            <v>Zona 2</v>
          </cell>
          <cell r="E221">
            <v>58.7</v>
          </cell>
          <cell r="F221">
            <v>9.9700000000000006</v>
          </cell>
          <cell r="G221">
            <v>115</v>
          </cell>
          <cell r="H221">
            <v>269.95999999999998</v>
          </cell>
          <cell r="I221">
            <v>112.49</v>
          </cell>
          <cell r="J221">
            <v>340.97</v>
          </cell>
          <cell r="K221">
            <v>4824.6000000000004</v>
          </cell>
        </row>
        <row r="222">
          <cell r="B222" t="str">
            <v>MEDIO OFICIAL</v>
          </cell>
          <cell r="C222">
            <v>43374</v>
          </cell>
          <cell r="D222" t="str">
            <v>Zona 2</v>
          </cell>
          <cell r="E222">
            <v>63.8</v>
          </cell>
          <cell r="F222">
            <v>10.85</v>
          </cell>
          <cell r="G222">
            <v>115</v>
          </cell>
          <cell r="H222">
            <v>269.95999999999998</v>
          </cell>
          <cell r="I222">
            <v>112.49</v>
          </cell>
          <cell r="J222">
            <v>340.97</v>
          </cell>
          <cell r="K222">
            <v>4824.6000000000004</v>
          </cell>
        </row>
        <row r="223">
          <cell r="B223" t="str">
            <v>OFICIAL</v>
          </cell>
          <cell r="C223">
            <v>43374</v>
          </cell>
          <cell r="D223" t="str">
            <v>Zona 2</v>
          </cell>
          <cell r="E223">
            <v>69.19</v>
          </cell>
          <cell r="F223">
            <v>11.77</v>
          </cell>
          <cell r="G223">
            <v>115</v>
          </cell>
          <cell r="H223">
            <v>269.95999999999998</v>
          </cell>
          <cell r="I223">
            <v>112.49</v>
          </cell>
          <cell r="J223">
            <v>340.97</v>
          </cell>
          <cell r="K223">
            <v>4824.6000000000004</v>
          </cell>
        </row>
        <row r="224">
          <cell r="B224" t="str">
            <v>OFICIAL BOLLAND</v>
          </cell>
          <cell r="C224">
            <v>43374</v>
          </cell>
          <cell r="D224" t="str">
            <v>Zona 2</v>
          </cell>
          <cell r="E224">
            <v>69.19</v>
          </cell>
          <cell r="F224">
            <v>11.77</v>
          </cell>
          <cell r="G224">
            <v>115</v>
          </cell>
          <cell r="H224">
            <v>269.95999999999998</v>
          </cell>
          <cell r="I224">
            <v>112.49</v>
          </cell>
          <cell r="J224">
            <v>340.97</v>
          </cell>
          <cell r="K224">
            <v>4824.6000000000004</v>
          </cell>
        </row>
        <row r="225">
          <cell r="B225" t="str">
            <v>OFICIAL ESPECIALIZADO</v>
          </cell>
          <cell r="C225">
            <v>43374</v>
          </cell>
          <cell r="D225" t="str">
            <v>Zona 2</v>
          </cell>
          <cell r="E225">
            <v>81.260000000000005</v>
          </cell>
          <cell r="F225">
            <v>13.81</v>
          </cell>
          <cell r="G225">
            <v>115</v>
          </cell>
          <cell r="H225">
            <v>269.95999999999998</v>
          </cell>
          <cell r="I225">
            <v>112.49</v>
          </cell>
          <cell r="J225">
            <v>340.97</v>
          </cell>
          <cell r="K225">
            <v>4824.6000000000004</v>
          </cell>
        </row>
        <row r="226">
          <cell r="B226" t="str">
            <v>SERENO</v>
          </cell>
          <cell r="C226">
            <v>43374</v>
          </cell>
          <cell r="D226" t="str">
            <v>Zona 2</v>
          </cell>
          <cell r="E226">
            <v>10686.02</v>
          </cell>
          <cell r="F226">
            <v>1816.64</v>
          </cell>
          <cell r="G226">
            <v>115</v>
          </cell>
          <cell r="H226">
            <v>269.95999999999998</v>
          </cell>
          <cell r="I226">
            <v>112.49</v>
          </cell>
          <cell r="J226">
            <v>340.97</v>
          </cell>
          <cell r="K226">
            <v>4824.6000000000004</v>
          </cell>
        </row>
        <row r="227">
          <cell r="B227" t="str">
            <v>AYUDANTE</v>
          </cell>
          <cell r="C227">
            <v>43374</v>
          </cell>
          <cell r="D227" t="str">
            <v>Zona 3</v>
          </cell>
          <cell r="E227">
            <v>58.7</v>
          </cell>
          <cell r="F227">
            <v>48.14</v>
          </cell>
          <cell r="G227">
            <v>115</v>
          </cell>
          <cell r="H227">
            <v>269.95999999999998</v>
          </cell>
          <cell r="I227">
            <v>112.49</v>
          </cell>
          <cell r="J227">
            <v>482.48</v>
          </cell>
          <cell r="K227">
            <v>4824.6000000000004</v>
          </cell>
        </row>
        <row r="228">
          <cell r="B228" t="str">
            <v>MEDIO OFICIAL</v>
          </cell>
          <cell r="C228">
            <v>43374</v>
          </cell>
          <cell r="D228" t="str">
            <v>Zona 3</v>
          </cell>
          <cell r="E228">
            <v>63.8</v>
          </cell>
          <cell r="F228">
            <v>52.3</v>
          </cell>
          <cell r="G228">
            <v>115</v>
          </cell>
          <cell r="H228">
            <v>269.95999999999998</v>
          </cell>
          <cell r="I228">
            <v>112.49</v>
          </cell>
          <cell r="J228">
            <v>482.48</v>
          </cell>
          <cell r="K228">
            <v>4824.6000000000004</v>
          </cell>
        </row>
        <row r="229">
          <cell r="B229" t="str">
            <v>OFICIAL</v>
          </cell>
          <cell r="C229">
            <v>43374</v>
          </cell>
          <cell r="D229" t="str">
            <v>Zona 3</v>
          </cell>
          <cell r="E229">
            <v>69.19</v>
          </cell>
          <cell r="F229">
            <v>56.75</v>
          </cell>
          <cell r="G229">
            <v>115</v>
          </cell>
          <cell r="H229">
            <v>269.95999999999998</v>
          </cell>
          <cell r="I229">
            <v>112.49</v>
          </cell>
          <cell r="J229">
            <v>482.48</v>
          </cell>
          <cell r="K229">
            <v>4824.6000000000004</v>
          </cell>
        </row>
        <row r="230">
          <cell r="B230" t="str">
            <v>OFICIAL BOLLAND</v>
          </cell>
          <cell r="C230">
            <v>43374</v>
          </cell>
          <cell r="D230" t="str">
            <v>Zona 3</v>
          </cell>
          <cell r="E230">
            <v>69.19</v>
          </cell>
          <cell r="F230">
            <v>56.75</v>
          </cell>
          <cell r="G230">
            <v>115</v>
          </cell>
          <cell r="H230">
            <v>269.95999999999998</v>
          </cell>
          <cell r="I230">
            <v>112.49</v>
          </cell>
          <cell r="J230">
            <v>482.48</v>
          </cell>
          <cell r="K230">
            <v>4824.6000000000004</v>
          </cell>
        </row>
        <row r="231">
          <cell r="B231" t="str">
            <v>OFICIAL ESPECIALIZADO</v>
          </cell>
          <cell r="C231">
            <v>43374</v>
          </cell>
          <cell r="D231" t="str">
            <v>Zona 3</v>
          </cell>
          <cell r="E231">
            <v>81.260000000000005</v>
          </cell>
          <cell r="F231">
            <v>66.64</v>
          </cell>
          <cell r="G231">
            <v>115</v>
          </cell>
          <cell r="H231">
            <v>269.95999999999998</v>
          </cell>
          <cell r="I231">
            <v>112.49</v>
          </cell>
          <cell r="J231">
            <v>482.48</v>
          </cell>
          <cell r="K231">
            <v>4824.6000000000004</v>
          </cell>
        </row>
        <row r="232">
          <cell r="B232" t="str">
            <v>SERENO</v>
          </cell>
          <cell r="C232">
            <v>43374</v>
          </cell>
          <cell r="D232" t="str">
            <v>Zona 3</v>
          </cell>
          <cell r="E232">
            <v>10686.02</v>
          </cell>
          <cell r="F232">
            <v>8762.56</v>
          </cell>
          <cell r="G232">
            <v>115</v>
          </cell>
          <cell r="H232">
            <v>269.95999999999998</v>
          </cell>
          <cell r="I232">
            <v>112.49</v>
          </cell>
          <cell r="J232">
            <v>482.48</v>
          </cell>
          <cell r="K232">
            <v>4824.6000000000004</v>
          </cell>
        </row>
        <row r="233">
          <cell r="B233" t="str">
            <v>AYUDANTE</v>
          </cell>
          <cell r="C233">
            <v>43374</v>
          </cell>
          <cell r="D233" t="str">
            <v>Zona 4</v>
          </cell>
          <cell r="E233">
            <v>58.7</v>
          </cell>
          <cell r="F233">
            <v>58.7</v>
          </cell>
          <cell r="G233">
            <v>115</v>
          </cell>
          <cell r="H233">
            <v>269.95999999999998</v>
          </cell>
          <cell r="I233">
            <v>112.49</v>
          </cell>
          <cell r="J233">
            <v>406.52</v>
          </cell>
          <cell r="K233">
            <v>4824.6000000000004</v>
          </cell>
        </row>
        <row r="234">
          <cell r="B234" t="str">
            <v>MEDIO OFICIAL</v>
          </cell>
          <cell r="C234">
            <v>43374</v>
          </cell>
          <cell r="D234" t="str">
            <v>Zona 4</v>
          </cell>
          <cell r="E234">
            <v>63.8</v>
          </cell>
          <cell r="F234">
            <v>52.3</v>
          </cell>
          <cell r="G234">
            <v>115</v>
          </cell>
          <cell r="H234">
            <v>269.95999999999998</v>
          </cell>
          <cell r="I234">
            <v>112.49</v>
          </cell>
          <cell r="J234">
            <v>406.52</v>
          </cell>
          <cell r="K234">
            <v>4824.6000000000004</v>
          </cell>
        </row>
        <row r="235">
          <cell r="B235" t="str">
            <v>OFICIAL</v>
          </cell>
          <cell r="C235">
            <v>43374</v>
          </cell>
          <cell r="D235" t="str">
            <v>Zona 4</v>
          </cell>
          <cell r="E235">
            <v>69.19</v>
          </cell>
          <cell r="F235">
            <v>69.19</v>
          </cell>
          <cell r="G235">
            <v>115</v>
          </cell>
          <cell r="H235">
            <v>269.95999999999998</v>
          </cell>
          <cell r="I235">
            <v>112.49</v>
          </cell>
          <cell r="J235">
            <v>406.52</v>
          </cell>
          <cell r="K235">
            <v>4824.6000000000004</v>
          </cell>
        </row>
        <row r="236">
          <cell r="B236" t="str">
            <v>OFICIAL BOLLAND</v>
          </cell>
          <cell r="C236">
            <v>43374</v>
          </cell>
          <cell r="D236" t="str">
            <v>Zona 4</v>
          </cell>
          <cell r="E236">
            <v>69.19</v>
          </cell>
          <cell r="F236">
            <v>69.19</v>
          </cell>
          <cell r="G236">
            <v>115</v>
          </cell>
          <cell r="H236">
            <v>269.95999999999998</v>
          </cell>
          <cell r="I236">
            <v>112.49</v>
          </cell>
          <cell r="J236">
            <v>406.52</v>
          </cell>
          <cell r="K236">
            <v>4824.6000000000004</v>
          </cell>
        </row>
        <row r="237">
          <cell r="B237" t="str">
            <v>OFICIAL ESPECIALIZADO</v>
          </cell>
          <cell r="C237">
            <v>43374</v>
          </cell>
          <cell r="D237" t="str">
            <v>Zona 4</v>
          </cell>
          <cell r="E237">
            <v>81.260000000000005</v>
          </cell>
          <cell r="F237">
            <v>81.260000000000005</v>
          </cell>
          <cell r="G237">
            <v>115</v>
          </cell>
          <cell r="H237">
            <v>269.95999999999998</v>
          </cell>
          <cell r="I237">
            <v>112.49</v>
          </cell>
          <cell r="J237">
            <v>406.52</v>
          </cell>
          <cell r="K237">
            <v>4824.6000000000004</v>
          </cell>
        </row>
        <row r="238">
          <cell r="B238" t="str">
            <v>SERENO</v>
          </cell>
          <cell r="C238">
            <v>43374</v>
          </cell>
          <cell r="D238" t="str">
            <v>Zona 4</v>
          </cell>
          <cell r="E238">
            <v>10686.02</v>
          </cell>
          <cell r="F238">
            <v>10686.02</v>
          </cell>
          <cell r="G238">
            <v>115</v>
          </cell>
          <cell r="H238">
            <v>269.95999999999998</v>
          </cell>
          <cell r="I238">
            <v>112.49</v>
          </cell>
          <cell r="J238">
            <v>406.52</v>
          </cell>
          <cell r="K238">
            <v>4824.6000000000004</v>
          </cell>
        </row>
        <row r="239">
          <cell r="B239" t="str">
            <v>AYUDANTE</v>
          </cell>
          <cell r="C239">
            <v>43405</v>
          </cell>
          <cell r="D239" t="str">
            <v>Zona 1</v>
          </cell>
          <cell r="E239">
            <v>63.59</v>
          </cell>
          <cell r="G239">
            <v>111.05</v>
          </cell>
          <cell r="H239">
            <v>292.45999999999998</v>
          </cell>
          <cell r="J239">
            <v>369.39</v>
          </cell>
          <cell r="K239">
            <v>5226.6499999999996</v>
          </cell>
        </row>
        <row r="240">
          <cell r="B240" t="str">
            <v>MEDIO OFICIAL</v>
          </cell>
          <cell r="C240">
            <v>43405</v>
          </cell>
          <cell r="D240" t="str">
            <v>Zona 1</v>
          </cell>
          <cell r="E240">
            <v>74.959999999999994</v>
          </cell>
          <cell r="G240">
            <v>111.05</v>
          </cell>
          <cell r="H240">
            <v>292.45999999999998</v>
          </cell>
          <cell r="J240">
            <v>369.39</v>
          </cell>
          <cell r="K240">
            <v>5226.6499999999996</v>
          </cell>
        </row>
        <row r="241">
          <cell r="B241" t="str">
            <v>OFICIAL</v>
          </cell>
          <cell r="C241">
            <v>43405</v>
          </cell>
          <cell r="D241" t="str">
            <v>Zona 1</v>
          </cell>
          <cell r="E241">
            <v>74.959999999999994</v>
          </cell>
          <cell r="G241">
            <v>111.05</v>
          </cell>
          <cell r="H241">
            <v>292.45999999999998</v>
          </cell>
          <cell r="J241">
            <v>369.39</v>
          </cell>
          <cell r="K241">
            <v>5226.6499999999996</v>
          </cell>
        </row>
        <row r="242">
          <cell r="B242" t="str">
            <v>OFICIAL BOLLAND</v>
          </cell>
          <cell r="C242">
            <v>43405</v>
          </cell>
          <cell r="D242" t="str">
            <v>Zona 1</v>
          </cell>
          <cell r="E242">
            <v>88.03</v>
          </cell>
          <cell r="G242">
            <v>111.05</v>
          </cell>
          <cell r="H242">
            <v>292.45999999999998</v>
          </cell>
          <cell r="J242">
            <v>369.39</v>
          </cell>
          <cell r="K242">
            <v>5226.6499999999996</v>
          </cell>
        </row>
        <row r="243">
          <cell r="B243" t="str">
            <v>OFICIAL ESPECIALIZADO</v>
          </cell>
          <cell r="C243">
            <v>43405</v>
          </cell>
          <cell r="D243" t="str">
            <v>Zona 1</v>
          </cell>
          <cell r="E243">
            <v>88.03</v>
          </cell>
          <cell r="G243">
            <v>111.05</v>
          </cell>
          <cell r="H243">
            <v>292.45999999999998</v>
          </cell>
          <cell r="J243">
            <v>369.39</v>
          </cell>
          <cell r="K243">
            <v>5226.6499999999996</v>
          </cell>
        </row>
        <row r="244">
          <cell r="B244" t="str">
            <v>SERENO</v>
          </cell>
          <cell r="C244">
            <v>43405</v>
          </cell>
          <cell r="D244" t="str">
            <v>Zona 1</v>
          </cell>
          <cell r="E244">
            <v>11576.52</v>
          </cell>
          <cell r="G244">
            <v>111.05</v>
          </cell>
          <cell r="H244">
            <v>292.45999999999998</v>
          </cell>
          <cell r="J244">
            <v>369.39</v>
          </cell>
          <cell r="K244">
            <v>5226.6499999999996</v>
          </cell>
        </row>
        <row r="245">
          <cell r="B245" t="str">
            <v>AYUDANTE</v>
          </cell>
          <cell r="C245">
            <v>43405</v>
          </cell>
          <cell r="D245" t="str">
            <v>Zona 2</v>
          </cell>
          <cell r="E245">
            <v>63.59</v>
          </cell>
          <cell r="F245">
            <v>10.81</v>
          </cell>
          <cell r="G245">
            <v>124.58</v>
          </cell>
          <cell r="H245">
            <v>292.45999999999998</v>
          </cell>
          <cell r="I245">
            <v>121.86</v>
          </cell>
          <cell r="J245">
            <v>369.39</v>
          </cell>
          <cell r="K245">
            <v>5226.6499999999996</v>
          </cell>
        </row>
        <row r="246">
          <cell r="B246" t="str">
            <v>MEDIO OFICIAL</v>
          </cell>
          <cell r="C246">
            <v>43405</v>
          </cell>
          <cell r="D246" t="str">
            <v>Zona 2</v>
          </cell>
          <cell r="E246">
            <v>69.12</v>
          </cell>
          <cell r="F246">
            <v>11.75</v>
          </cell>
          <cell r="G246">
            <v>124.58</v>
          </cell>
          <cell r="H246">
            <v>292.45999999999998</v>
          </cell>
          <cell r="I246">
            <v>121.86</v>
          </cell>
          <cell r="J246">
            <v>369.39</v>
          </cell>
          <cell r="K246">
            <v>5226.6499999999996</v>
          </cell>
        </row>
        <row r="247">
          <cell r="B247" t="str">
            <v>OFICIAL</v>
          </cell>
          <cell r="C247">
            <v>43405</v>
          </cell>
          <cell r="D247" t="str">
            <v>Zona 2</v>
          </cell>
          <cell r="E247">
            <v>74.959999999999994</v>
          </cell>
          <cell r="F247">
            <v>12.75</v>
          </cell>
          <cell r="G247">
            <v>124.58</v>
          </cell>
          <cell r="H247">
            <v>292.45999999999998</v>
          </cell>
          <cell r="I247">
            <v>121.86</v>
          </cell>
          <cell r="J247">
            <v>369.39</v>
          </cell>
          <cell r="K247">
            <v>5226.6499999999996</v>
          </cell>
        </row>
        <row r="248">
          <cell r="B248" t="str">
            <v>OFICIAL BOLLAND</v>
          </cell>
          <cell r="C248">
            <v>43405</v>
          </cell>
          <cell r="D248" t="str">
            <v>Zona 2</v>
          </cell>
          <cell r="E248">
            <v>88.03</v>
          </cell>
          <cell r="F248">
            <v>14.97</v>
          </cell>
          <cell r="G248">
            <v>124.58</v>
          </cell>
          <cell r="H248">
            <v>292.45999999999998</v>
          </cell>
          <cell r="I248">
            <v>121.86</v>
          </cell>
          <cell r="J248">
            <v>369.39</v>
          </cell>
          <cell r="K248">
            <v>5226.6499999999996</v>
          </cell>
        </row>
        <row r="249">
          <cell r="B249" t="str">
            <v>OFICIAL ESPECIALIZADO</v>
          </cell>
          <cell r="C249">
            <v>43405</v>
          </cell>
          <cell r="D249" t="str">
            <v>Zona 2</v>
          </cell>
          <cell r="E249">
            <v>88.03</v>
          </cell>
          <cell r="F249">
            <v>14.97</v>
          </cell>
          <cell r="G249">
            <v>124.58</v>
          </cell>
          <cell r="H249">
            <v>292.45999999999998</v>
          </cell>
          <cell r="I249">
            <v>121.86</v>
          </cell>
          <cell r="J249">
            <v>369.39</v>
          </cell>
          <cell r="K249">
            <v>5226.6499999999996</v>
          </cell>
        </row>
        <row r="250">
          <cell r="B250" t="str">
            <v>SERENO</v>
          </cell>
          <cell r="C250">
            <v>43405</v>
          </cell>
          <cell r="D250" t="str">
            <v>Zona 2</v>
          </cell>
          <cell r="E250">
            <v>11576.52</v>
          </cell>
          <cell r="F250">
            <v>1968.03</v>
          </cell>
          <cell r="G250">
            <v>124.58</v>
          </cell>
          <cell r="H250">
            <v>292.45999999999998</v>
          </cell>
          <cell r="I250">
            <v>121.86</v>
          </cell>
          <cell r="J250">
            <v>369.39</v>
          </cell>
          <cell r="K250">
            <v>5226.6499999999996</v>
          </cell>
        </row>
        <row r="251">
          <cell r="B251" t="str">
            <v>AYUDANTE</v>
          </cell>
          <cell r="C251">
            <v>43405</v>
          </cell>
          <cell r="D251" t="str">
            <v>Zona 3</v>
          </cell>
          <cell r="E251">
            <v>63.59</v>
          </cell>
          <cell r="F251">
            <v>52.15</v>
          </cell>
          <cell r="G251">
            <v>124.58</v>
          </cell>
          <cell r="H251">
            <v>292.45999999999998</v>
          </cell>
          <cell r="I251">
            <v>121.86</v>
          </cell>
          <cell r="J251">
            <v>522.69000000000005</v>
          </cell>
          <cell r="K251">
            <v>5226.6499999999996</v>
          </cell>
        </row>
        <row r="252">
          <cell r="B252" t="str">
            <v>MEDIO OFICIAL</v>
          </cell>
          <cell r="C252">
            <v>43405</v>
          </cell>
          <cell r="D252" t="str">
            <v>Zona 3</v>
          </cell>
          <cell r="E252">
            <v>69.12</v>
          </cell>
          <cell r="F252">
            <v>56.65</v>
          </cell>
          <cell r="G252">
            <v>124.58</v>
          </cell>
          <cell r="H252">
            <v>292.45999999999998</v>
          </cell>
          <cell r="I252">
            <v>121.86</v>
          </cell>
          <cell r="J252">
            <v>522.69000000000005</v>
          </cell>
          <cell r="K252">
            <v>5226.6499999999996</v>
          </cell>
        </row>
        <row r="253">
          <cell r="B253" t="str">
            <v>OFICIAL</v>
          </cell>
          <cell r="C253">
            <v>43405</v>
          </cell>
          <cell r="D253" t="str">
            <v>Zona 3</v>
          </cell>
          <cell r="E253">
            <v>74.959999999999994</v>
          </cell>
          <cell r="F253">
            <v>61.47</v>
          </cell>
          <cell r="G253">
            <v>124.58</v>
          </cell>
          <cell r="H253">
            <v>292.45999999999998</v>
          </cell>
          <cell r="I253">
            <v>121.86</v>
          </cell>
          <cell r="J253">
            <v>522.69000000000005</v>
          </cell>
          <cell r="K253">
            <v>5226.6499999999996</v>
          </cell>
        </row>
        <row r="254">
          <cell r="B254" t="str">
            <v>OFICIAL BOLLAND</v>
          </cell>
          <cell r="C254">
            <v>43405</v>
          </cell>
          <cell r="D254" t="str">
            <v>Zona 3</v>
          </cell>
          <cell r="E254">
            <v>88.03</v>
          </cell>
          <cell r="F254">
            <v>72.19</v>
          </cell>
          <cell r="G254">
            <v>124.58</v>
          </cell>
          <cell r="H254">
            <v>292.45999999999998</v>
          </cell>
          <cell r="I254">
            <v>121.86</v>
          </cell>
          <cell r="J254">
            <v>522.69000000000005</v>
          </cell>
          <cell r="K254">
            <v>5226.6499999999996</v>
          </cell>
        </row>
        <row r="255">
          <cell r="B255" t="str">
            <v>OFICIAL ESPECIALIZADO</v>
          </cell>
          <cell r="C255">
            <v>43405</v>
          </cell>
          <cell r="D255" t="str">
            <v>Zona 3</v>
          </cell>
          <cell r="E255">
            <v>88.03</v>
          </cell>
          <cell r="F255">
            <v>72.19</v>
          </cell>
          <cell r="G255">
            <v>124.58</v>
          </cell>
          <cell r="H255">
            <v>292.45999999999998</v>
          </cell>
          <cell r="I255">
            <v>121.86</v>
          </cell>
          <cell r="J255">
            <v>522.69000000000005</v>
          </cell>
          <cell r="K255">
            <v>5226.6499999999996</v>
          </cell>
        </row>
        <row r="256">
          <cell r="B256" t="str">
            <v>SERENO</v>
          </cell>
          <cell r="C256">
            <v>43405</v>
          </cell>
          <cell r="D256" t="str">
            <v>Zona 3</v>
          </cell>
          <cell r="E256">
            <v>11576.52</v>
          </cell>
          <cell r="F256">
            <v>9492.77</v>
          </cell>
          <cell r="G256">
            <v>124.58</v>
          </cell>
          <cell r="H256">
            <v>292.45999999999998</v>
          </cell>
          <cell r="I256">
            <v>121.86</v>
          </cell>
          <cell r="J256">
            <v>522.69000000000005</v>
          </cell>
          <cell r="K256">
            <v>5226.6499999999996</v>
          </cell>
        </row>
        <row r="257">
          <cell r="B257" t="str">
            <v>AYUDANTE</v>
          </cell>
          <cell r="C257">
            <v>43405</v>
          </cell>
          <cell r="D257" t="str">
            <v>Zona 4</v>
          </cell>
          <cell r="E257">
            <v>63.59</v>
          </cell>
          <cell r="F257">
            <v>63.59</v>
          </cell>
          <cell r="G257">
            <v>124.58</v>
          </cell>
          <cell r="H257">
            <v>292.45999999999998</v>
          </cell>
          <cell r="I257">
            <v>121.86</v>
          </cell>
          <cell r="J257">
            <v>440.4</v>
          </cell>
          <cell r="K257">
            <v>5226.6499999999996</v>
          </cell>
        </row>
        <row r="258">
          <cell r="B258" t="str">
            <v>MEDIO OFICIAL</v>
          </cell>
          <cell r="C258">
            <v>43405</v>
          </cell>
          <cell r="D258" t="str">
            <v>Zona 4</v>
          </cell>
          <cell r="E258">
            <v>69.12</v>
          </cell>
          <cell r="F258">
            <v>69.12</v>
          </cell>
          <cell r="G258">
            <v>124.58</v>
          </cell>
          <cell r="H258">
            <v>292.45999999999998</v>
          </cell>
          <cell r="I258">
            <v>121.86</v>
          </cell>
          <cell r="J258">
            <v>440.4</v>
          </cell>
          <cell r="K258">
            <v>5226.6499999999996</v>
          </cell>
        </row>
        <row r="259">
          <cell r="B259" t="str">
            <v>OFICIAL</v>
          </cell>
          <cell r="C259">
            <v>43405</v>
          </cell>
          <cell r="D259" t="str">
            <v>Zona 4</v>
          </cell>
          <cell r="E259">
            <v>74.959999999999994</v>
          </cell>
          <cell r="F259">
            <v>74.959999999999994</v>
          </cell>
          <cell r="G259">
            <v>124.58</v>
          </cell>
          <cell r="H259">
            <v>292.45999999999998</v>
          </cell>
          <cell r="I259">
            <v>121.86</v>
          </cell>
          <cell r="J259">
            <v>440.4</v>
          </cell>
          <cell r="K259">
            <v>5226.6499999999996</v>
          </cell>
        </row>
        <row r="260">
          <cell r="B260" t="str">
            <v>OFICIAL BOLLAND</v>
          </cell>
          <cell r="C260">
            <v>43405</v>
          </cell>
          <cell r="D260" t="str">
            <v>Zona 4</v>
          </cell>
          <cell r="E260">
            <v>88.03</v>
          </cell>
          <cell r="F260">
            <v>88.03</v>
          </cell>
          <cell r="G260">
            <v>124.58</v>
          </cell>
          <cell r="H260">
            <v>292.45999999999998</v>
          </cell>
          <cell r="I260">
            <v>121.86</v>
          </cell>
          <cell r="J260">
            <v>440.4</v>
          </cell>
          <cell r="K260">
            <v>5226.6499999999996</v>
          </cell>
        </row>
        <row r="261">
          <cell r="B261" t="str">
            <v>OFICIAL ESPECIALIZADO</v>
          </cell>
          <cell r="C261">
            <v>43405</v>
          </cell>
          <cell r="D261" t="str">
            <v>Zona 4</v>
          </cell>
          <cell r="E261">
            <v>88.03</v>
          </cell>
          <cell r="F261">
            <v>88.03</v>
          </cell>
          <cell r="G261">
            <v>124.58</v>
          </cell>
          <cell r="H261">
            <v>292.45999999999998</v>
          </cell>
          <cell r="I261">
            <v>121.86</v>
          </cell>
          <cell r="J261">
            <v>440.4</v>
          </cell>
          <cell r="K261">
            <v>5226.6499999999996</v>
          </cell>
        </row>
        <row r="262">
          <cell r="B262" t="str">
            <v>SERENO</v>
          </cell>
          <cell r="C262">
            <v>43405</v>
          </cell>
          <cell r="D262" t="str">
            <v>Zona 4</v>
          </cell>
          <cell r="E262">
            <v>11576.52</v>
          </cell>
          <cell r="F262">
            <v>11576.52</v>
          </cell>
          <cell r="G262">
            <v>124.58</v>
          </cell>
          <cell r="H262">
            <v>292.45999999999998</v>
          </cell>
          <cell r="I262">
            <v>121.86</v>
          </cell>
          <cell r="J262">
            <v>440.4</v>
          </cell>
          <cell r="K262">
            <v>5226.6499999999996</v>
          </cell>
        </row>
      </sheetData>
      <sheetData sheetId="7">
        <row r="6">
          <cell r="B6">
            <v>42917</v>
          </cell>
          <cell r="C6">
            <v>43009</v>
          </cell>
          <cell r="D6">
            <v>43191</v>
          </cell>
          <cell r="E6">
            <v>43282</v>
          </cell>
          <cell r="F6">
            <v>43374</v>
          </cell>
          <cell r="G6">
            <v>43405</v>
          </cell>
        </row>
        <row r="7">
          <cell r="A7" t="str">
            <v>Vianda Ayuda Alimentaria</v>
          </cell>
          <cell r="B7">
            <v>262</v>
          </cell>
          <cell r="C7">
            <v>286</v>
          </cell>
          <cell r="D7">
            <v>321</v>
          </cell>
          <cell r="E7">
            <v>336</v>
          </cell>
          <cell r="F7">
            <v>359</v>
          </cell>
          <cell r="G7">
            <v>389</v>
          </cell>
        </row>
        <row r="8">
          <cell r="A8" t="str">
            <v>Asig. Vianda Comp. No Rem.</v>
          </cell>
          <cell r="B8">
            <v>1846</v>
          </cell>
          <cell r="C8">
            <v>1846</v>
          </cell>
          <cell r="D8">
            <v>1846</v>
          </cell>
          <cell r="E8">
            <v>1846</v>
          </cell>
          <cell r="F8">
            <v>1846</v>
          </cell>
          <cell r="G8">
            <v>1846</v>
          </cell>
        </row>
      </sheetData>
      <sheetData sheetId="8" refreshError="1"/>
      <sheetData sheetId="9">
        <row r="5">
          <cell r="B5" t="str">
            <v>Seleccionar Jurisdicción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ano de Obra"/>
      <sheetName val="BD_ESCALAS"/>
      <sheetName val="BD_ADICIONALES"/>
      <sheetName val="IVA"/>
    </sheetNames>
    <sheetDataSet>
      <sheetData sheetId="0" refreshError="1"/>
      <sheetData sheetId="1" refreshError="1"/>
      <sheetData sheetId="2">
        <row r="7">
          <cell r="C7" t="str">
            <v>PETROLERO CHUBUT (605/10)</v>
          </cell>
          <cell r="D7" t="str">
            <v>PETROLERO CHUBUT (605/10)</v>
          </cell>
          <cell r="E7" t="str">
            <v>PETROLERO FASP (643/12)</v>
          </cell>
          <cell r="F7" t="str">
            <v>PETROLERO FASP (643/12)</v>
          </cell>
          <cell r="G7" t="str">
            <v>PETROLERO FASP (643/12)</v>
          </cell>
          <cell r="H7" t="str">
            <v>PETROLERO FASP (643/12)</v>
          </cell>
          <cell r="I7" t="str">
            <v>PETROLERO FASP (643/12)</v>
          </cell>
          <cell r="J7" t="str">
            <v>PETROLERO RN, NQN Y LP (644/12)</v>
          </cell>
          <cell r="K7" t="str">
            <v>PETROLERO RN, NQN Y LP (644/12)</v>
          </cell>
          <cell r="L7" t="str">
            <v>PETROLERO RN, NQN Y LP (644/12)</v>
          </cell>
          <cell r="M7" t="str">
            <v>PETROLERO CHUBUT (605/10)</v>
          </cell>
          <cell r="N7" t="str">
            <v>PETROLERO CHUBUT (605/10)</v>
          </cell>
          <cell r="O7" t="str">
            <v>PETROLERO FASP (643/12)</v>
          </cell>
          <cell r="P7" t="str">
            <v>PETROLERO FASP (643/12)</v>
          </cell>
          <cell r="Q7" t="str">
            <v>PETROLERO FASP (643/12)</v>
          </cell>
          <cell r="R7" t="str">
            <v>PETROLERO FASP (643/12)</v>
          </cell>
          <cell r="S7" t="str">
            <v>PETROLERO FASP (643/12)</v>
          </cell>
          <cell r="T7" t="str">
            <v>PETROLERO RN, NQN Y LP (644/12)</v>
          </cell>
          <cell r="U7" t="str">
            <v>PETROLERO RN, NQN Y LP (644/12)</v>
          </cell>
          <cell r="V7" t="str">
            <v>PETROLERO RN, NQN Y LP (644/12)</v>
          </cell>
          <cell r="W7" t="str">
            <v>PETROLERO CHUBUT (605/10)</v>
          </cell>
          <cell r="X7" t="str">
            <v>PETROLERO CHUBUT (605/10)</v>
          </cell>
          <cell r="Y7" t="str">
            <v>PETROLERO FASP (643/12)</v>
          </cell>
          <cell r="Z7" t="str">
            <v>PETROLERO FASP (643/12)</v>
          </cell>
          <cell r="AA7" t="str">
            <v>PETROLERO FASP (643/12)</v>
          </cell>
          <cell r="AB7" t="str">
            <v>PETROLERO FASP (643/12)</v>
          </cell>
          <cell r="AC7" t="str">
            <v>PETROLERO FASP (643/12)</v>
          </cell>
          <cell r="AD7" t="str">
            <v>PETROLERO RN, NQN Y LP (644/12)</v>
          </cell>
          <cell r="AE7" t="str">
            <v>PETROLERO RN, NQN Y LP (644/12)</v>
          </cell>
          <cell r="AF7" t="str">
            <v>PETROLERO RN, NQN Y LP (644/12)</v>
          </cell>
          <cell r="AG7" t="str">
            <v>PETROLERO CHUBUT (605/10)</v>
          </cell>
          <cell r="AH7" t="str">
            <v>PETROLERO CHUBUT (605/10)</v>
          </cell>
          <cell r="AI7" t="str">
            <v>PETROLERO FASP (643/12)</v>
          </cell>
          <cell r="AJ7" t="str">
            <v>PETROLERO FASP (643/12)</v>
          </cell>
          <cell r="AK7" t="str">
            <v>PETROLERO FASP (643/12)</v>
          </cell>
          <cell r="AL7" t="str">
            <v>PETROLERO FASP (643/12)</v>
          </cell>
          <cell r="AM7" t="str">
            <v>PETROLERO FASP (643/12)</v>
          </cell>
          <cell r="AN7" t="str">
            <v>PETROLERO RN, NQN Y LP (644/12)</v>
          </cell>
          <cell r="AO7" t="str">
            <v>PETROLERO RN, NQN Y LP (644/12)</v>
          </cell>
          <cell r="AP7" t="str">
            <v>PETROLERO RN, NQN Y LP (644/12)</v>
          </cell>
          <cell r="AQ7" t="str">
            <v>PETROLERO CHUBUT (605/10)</v>
          </cell>
          <cell r="AR7" t="str">
            <v>PETROLERO CHUBUT (605/10)</v>
          </cell>
          <cell r="AS7" t="str">
            <v>PETROLERO FASP (643/12)</v>
          </cell>
          <cell r="AT7" t="str">
            <v>PETROLERO FASP (643/12)</v>
          </cell>
          <cell r="AU7" t="str">
            <v>PETROLERO FASP (643/12)</v>
          </cell>
          <cell r="AV7" t="str">
            <v>PETROLERO FASP (643/12)</v>
          </cell>
          <cell r="AW7" t="str">
            <v>PETROLERO FASP (643/12)</v>
          </cell>
          <cell r="AX7" t="str">
            <v>PETROLERO RN, NQN Y LP (644/12)</v>
          </cell>
          <cell r="AY7" t="str">
            <v>PETROLERO RN, NQN Y LP (644/12)</v>
          </cell>
          <cell r="AZ7" t="str">
            <v>PETROLERO RN, NQN Y LP (644/12)</v>
          </cell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</row>
        <row r="8">
          <cell r="C8" t="str">
            <v>BASICA</v>
          </cell>
          <cell r="D8">
            <v>1</v>
          </cell>
          <cell r="E8" t="str">
            <v>BASICA</v>
          </cell>
          <cell r="F8">
            <v>3</v>
          </cell>
          <cell r="G8">
            <v>2</v>
          </cell>
          <cell r="H8">
            <v>1</v>
          </cell>
          <cell r="I8" t="str">
            <v>CUENCA AUSTRAL</v>
          </cell>
          <cell r="J8" t="str">
            <v>BASICA</v>
          </cell>
          <cell r="K8">
            <v>3</v>
          </cell>
          <cell r="L8">
            <v>2</v>
          </cell>
          <cell r="M8" t="str">
            <v>BASICA</v>
          </cell>
          <cell r="N8">
            <v>1</v>
          </cell>
          <cell r="O8" t="str">
            <v>BASICA</v>
          </cell>
          <cell r="P8">
            <v>3</v>
          </cell>
          <cell r="Q8">
            <v>2</v>
          </cell>
          <cell r="R8">
            <v>1</v>
          </cell>
          <cell r="S8" t="str">
            <v>CUENCA AUSTRAL</v>
          </cell>
          <cell r="T8" t="str">
            <v>BASICA</v>
          </cell>
          <cell r="U8">
            <v>3</v>
          </cell>
          <cell r="V8">
            <v>2</v>
          </cell>
          <cell r="W8" t="str">
            <v>BASICA</v>
          </cell>
          <cell r="X8">
            <v>1</v>
          </cell>
          <cell r="Y8" t="str">
            <v>BASICA</v>
          </cell>
          <cell r="Z8">
            <v>3</v>
          </cell>
          <cell r="AA8">
            <v>2</v>
          </cell>
          <cell r="AB8">
            <v>1</v>
          </cell>
          <cell r="AC8" t="str">
            <v>CUENCA AUSTRAL</v>
          </cell>
          <cell r="AD8" t="str">
            <v>BASICA</v>
          </cell>
          <cell r="AE8">
            <v>3</v>
          </cell>
          <cell r="AF8">
            <v>2</v>
          </cell>
          <cell r="AG8" t="str">
            <v>BASICA</v>
          </cell>
          <cell r="AH8">
            <v>1</v>
          </cell>
          <cell r="AI8" t="str">
            <v>BASICA</v>
          </cell>
          <cell r="AJ8">
            <v>3</v>
          </cell>
          <cell r="AK8">
            <v>2</v>
          </cell>
          <cell r="AL8">
            <v>1</v>
          </cell>
          <cell r="AM8" t="str">
            <v>CUENCA AUSTRAL</v>
          </cell>
          <cell r="AN8" t="str">
            <v>BASICA</v>
          </cell>
          <cell r="AO8">
            <v>3</v>
          </cell>
          <cell r="AP8">
            <v>2</v>
          </cell>
          <cell r="AQ8" t="str">
            <v>BASICA</v>
          </cell>
          <cell r="AR8">
            <v>1</v>
          </cell>
          <cell r="AS8" t="str">
            <v>BASICA</v>
          </cell>
          <cell r="AT8">
            <v>3</v>
          </cell>
          <cell r="AU8">
            <v>2</v>
          </cell>
          <cell r="AV8">
            <v>1</v>
          </cell>
          <cell r="AW8" t="str">
            <v>CUENCA AUSTRAL</v>
          </cell>
          <cell r="AX8" t="str">
            <v>BASICA</v>
          </cell>
          <cell r="AY8">
            <v>3</v>
          </cell>
          <cell r="AZ8">
            <v>2</v>
          </cell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</row>
        <row r="9">
          <cell r="C9">
            <v>42917</v>
          </cell>
          <cell r="D9">
            <v>42917</v>
          </cell>
          <cell r="E9">
            <v>42917</v>
          </cell>
          <cell r="F9">
            <v>42917</v>
          </cell>
          <cell r="G9">
            <v>42917</v>
          </cell>
          <cell r="H9">
            <v>42917</v>
          </cell>
          <cell r="I9">
            <v>42917</v>
          </cell>
          <cell r="J9">
            <v>42917</v>
          </cell>
          <cell r="K9">
            <v>42917</v>
          </cell>
          <cell r="L9">
            <v>42917</v>
          </cell>
          <cell r="M9">
            <v>43009</v>
          </cell>
          <cell r="N9">
            <v>43009</v>
          </cell>
          <cell r="O9">
            <v>43009</v>
          </cell>
          <cell r="P9">
            <v>43009</v>
          </cell>
          <cell r="Q9">
            <v>43009</v>
          </cell>
          <cell r="R9">
            <v>43009</v>
          </cell>
          <cell r="S9">
            <v>43009</v>
          </cell>
          <cell r="T9">
            <v>43009</v>
          </cell>
          <cell r="U9">
            <v>43009</v>
          </cell>
          <cell r="V9">
            <v>43009</v>
          </cell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  <cell r="CD9"/>
        </row>
        <row r="10">
          <cell r="A10" t="str">
            <v>INGRESANTE</v>
          </cell>
          <cell r="B10" t="str">
            <v>D</v>
          </cell>
          <cell r="C10">
            <v>6192</v>
          </cell>
          <cell r="D10">
            <v>11455</v>
          </cell>
          <cell r="E10">
            <v>6192</v>
          </cell>
          <cell r="F10">
            <v>8793</v>
          </cell>
          <cell r="G10">
            <v>10093</v>
          </cell>
          <cell r="H10">
            <v>11455</v>
          </cell>
          <cell r="I10">
            <v>12756</v>
          </cell>
          <cell r="J10">
            <v>6192</v>
          </cell>
          <cell r="K10">
            <v>8793</v>
          </cell>
          <cell r="L10">
            <v>10093</v>
          </cell>
          <cell r="M10">
            <v>6756</v>
          </cell>
          <cell r="N10">
            <v>12499</v>
          </cell>
          <cell r="O10">
            <v>6756</v>
          </cell>
          <cell r="P10">
            <v>9594</v>
          </cell>
          <cell r="Q10">
            <v>11012</v>
          </cell>
          <cell r="R10">
            <v>12499</v>
          </cell>
          <cell r="S10">
            <v>13917</v>
          </cell>
          <cell r="T10">
            <v>6756</v>
          </cell>
          <cell r="U10">
            <v>9594</v>
          </cell>
          <cell r="V10">
            <v>11012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  <cell r="CD10"/>
        </row>
        <row r="11">
          <cell r="A11" t="str">
            <v>INGRESANTE</v>
          </cell>
          <cell r="B11" t="str">
            <v>A</v>
          </cell>
          <cell r="C11">
            <v>8235</v>
          </cell>
          <cell r="D11">
            <v>15235</v>
          </cell>
          <cell r="E11">
            <v>8235</v>
          </cell>
          <cell r="F11">
            <v>11695</v>
          </cell>
          <cell r="G11">
            <v>13424</v>
          </cell>
          <cell r="H11">
            <v>15235</v>
          </cell>
          <cell r="I11">
            <v>16965</v>
          </cell>
          <cell r="J11">
            <v>8235</v>
          </cell>
          <cell r="K11">
            <v>11695</v>
          </cell>
          <cell r="L11">
            <v>13424</v>
          </cell>
          <cell r="M11">
            <v>8985</v>
          </cell>
          <cell r="N11">
            <v>16624</v>
          </cell>
          <cell r="O11">
            <v>8985</v>
          </cell>
          <cell r="P11">
            <v>12760</v>
          </cell>
          <cell r="Q11">
            <v>14646</v>
          </cell>
          <cell r="R11">
            <v>16624</v>
          </cell>
          <cell r="S11">
            <v>18510</v>
          </cell>
          <cell r="T11">
            <v>8985</v>
          </cell>
          <cell r="U11">
            <v>12760</v>
          </cell>
          <cell r="V11">
            <v>14646</v>
          </cell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  <cell r="BN11"/>
          <cell r="BO11"/>
          <cell r="BP11"/>
          <cell r="BQ11"/>
          <cell r="BR11"/>
          <cell r="BS11"/>
          <cell r="BT11"/>
          <cell r="BU11"/>
          <cell r="BV11"/>
          <cell r="BW11"/>
          <cell r="BX11"/>
          <cell r="BY11"/>
          <cell r="BZ11"/>
          <cell r="CA11"/>
          <cell r="CB11"/>
          <cell r="CC11"/>
          <cell r="CD11"/>
        </row>
        <row r="12">
          <cell r="A12" t="str">
            <v>INGRESANTE</v>
          </cell>
          <cell r="B12" t="str">
            <v>B</v>
          </cell>
          <cell r="C12">
            <v>7554</v>
          </cell>
          <cell r="D12">
            <v>13975</v>
          </cell>
          <cell r="E12">
            <v>7554</v>
          </cell>
          <cell r="F12">
            <v>10727</v>
          </cell>
          <cell r="G12">
            <v>12313</v>
          </cell>
          <cell r="H12">
            <v>13975</v>
          </cell>
          <cell r="I12">
            <v>15562</v>
          </cell>
          <cell r="J12">
            <v>7554</v>
          </cell>
          <cell r="K12">
            <v>10727</v>
          </cell>
          <cell r="L12">
            <v>12313</v>
          </cell>
          <cell r="M12">
            <v>8242</v>
          </cell>
          <cell r="N12">
            <v>15249</v>
          </cell>
          <cell r="O12">
            <v>8242</v>
          </cell>
          <cell r="P12">
            <v>11705</v>
          </cell>
          <cell r="Q12">
            <v>13435</v>
          </cell>
          <cell r="R12">
            <v>15249</v>
          </cell>
          <cell r="S12">
            <v>16979</v>
          </cell>
          <cell r="T12">
            <v>8242</v>
          </cell>
          <cell r="U12">
            <v>11705</v>
          </cell>
          <cell r="V12">
            <v>13435</v>
          </cell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  <cell r="BZ12"/>
          <cell r="CA12"/>
          <cell r="CB12"/>
          <cell r="CC12"/>
          <cell r="CD12"/>
        </row>
        <row r="13">
          <cell r="A13" t="str">
            <v>INGRESANTE</v>
          </cell>
          <cell r="B13" t="str">
            <v>Y</v>
          </cell>
          <cell r="C13">
            <v>6502</v>
          </cell>
          <cell r="D13">
            <v>12028</v>
          </cell>
          <cell r="E13">
            <v>6502</v>
          </cell>
          <cell r="F13">
            <v>9233</v>
          </cell>
          <cell r="G13">
            <v>10598</v>
          </cell>
          <cell r="H13">
            <v>12028</v>
          </cell>
          <cell r="I13">
            <v>13394</v>
          </cell>
          <cell r="J13">
            <v>6502</v>
          </cell>
          <cell r="K13">
            <v>9233</v>
          </cell>
          <cell r="L13">
            <v>10598</v>
          </cell>
          <cell r="M13">
            <v>7094</v>
          </cell>
          <cell r="N13">
            <v>13124</v>
          </cell>
          <cell r="O13">
            <v>7094</v>
          </cell>
          <cell r="P13">
            <v>10074</v>
          </cell>
          <cell r="Q13">
            <v>11563</v>
          </cell>
          <cell r="R13">
            <v>13124</v>
          </cell>
          <cell r="S13">
            <v>14613</v>
          </cell>
          <cell r="T13">
            <v>7094</v>
          </cell>
          <cell r="U13">
            <v>10074</v>
          </cell>
          <cell r="V13">
            <v>11563</v>
          </cell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  <cell r="CD13"/>
        </row>
        <row r="14">
          <cell r="A14" t="str">
            <v>A</v>
          </cell>
          <cell r="B14" t="str">
            <v>D</v>
          </cell>
          <cell r="C14">
            <v>6322</v>
          </cell>
          <cell r="D14">
            <v>11696</v>
          </cell>
          <cell r="E14">
            <v>6322</v>
          </cell>
          <cell r="F14">
            <v>8977</v>
          </cell>
          <cell r="G14">
            <v>10305</v>
          </cell>
          <cell r="H14">
            <v>11696</v>
          </cell>
          <cell r="I14">
            <v>13023</v>
          </cell>
          <cell r="J14">
            <v>6322</v>
          </cell>
          <cell r="K14">
            <v>8977</v>
          </cell>
          <cell r="L14">
            <v>10305</v>
          </cell>
          <cell r="M14">
            <v>6893</v>
          </cell>
          <cell r="N14">
            <v>12752</v>
          </cell>
          <cell r="O14">
            <v>6893</v>
          </cell>
          <cell r="P14">
            <v>9788</v>
          </cell>
          <cell r="Q14">
            <v>11236</v>
          </cell>
          <cell r="R14">
            <v>12752</v>
          </cell>
          <cell r="S14">
            <v>14200</v>
          </cell>
          <cell r="T14">
            <v>6893</v>
          </cell>
          <cell r="U14">
            <v>9788</v>
          </cell>
          <cell r="V14">
            <v>11236</v>
          </cell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  <cell r="CD14"/>
        </row>
        <row r="15">
          <cell r="A15" t="str">
            <v>A</v>
          </cell>
          <cell r="B15" t="str">
            <v>A</v>
          </cell>
          <cell r="C15">
            <v>8408</v>
          </cell>
          <cell r="D15">
            <v>15556</v>
          </cell>
          <cell r="E15">
            <v>8408</v>
          </cell>
          <cell r="F15">
            <v>11939</v>
          </cell>
          <cell r="G15">
            <v>13706</v>
          </cell>
          <cell r="H15">
            <v>15556</v>
          </cell>
          <cell r="I15">
            <v>17321</v>
          </cell>
          <cell r="J15">
            <v>8408</v>
          </cell>
          <cell r="K15">
            <v>11939</v>
          </cell>
          <cell r="L15">
            <v>13706</v>
          </cell>
          <cell r="M15">
            <v>9168</v>
          </cell>
          <cell r="N15">
            <v>16960</v>
          </cell>
          <cell r="O15">
            <v>9168</v>
          </cell>
          <cell r="P15">
            <v>13018</v>
          </cell>
          <cell r="Q15">
            <v>14944</v>
          </cell>
          <cell r="R15">
            <v>16960</v>
          </cell>
          <cell r="S15">
            <v>18886</v>
          </cell>
          <cell r="T15">
            <v>9168</v>
          </cell>
          <cell r="U15">
            <v>13018</v>
          </cell>
          <cell r="V15">
            <v>14944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  <cell r="CD15"/>
        </row>
        <row r="16">
          <cell r="A16" t="str">
            <v>A</v>
          </cell>
          <cell r="B16" t="str">
            <v>B</v>
          </cell>
          <cell r="C16">
            <v>7713</v>
          </cell>
          <cell r="D16">
            <v>14269</v>
          </cell>
          <cell r="E16">
            <v>7713</v>
          </cell>
          <cell r="F16">
            <v>10952</v>
          </cell>
          <cell r="G16">
            <v>12572</v>
          </cell>
          <cell r="H16">
            <v>14269</v>
          </cell>
          <cell r="I16">
            <v>15888</v>
          </cell>
          <cell r="J16">
            <v>7713</v>
          </cell>
          <cell r="K16">
            <v>10952</v>
          </cell>
          <cell r="L16">
            <v>12572</v>
          </cell>
          <cell r="M16">
            <v>8409</v>
          </cell>
          <cell r="N16">
            <v>15557</v>
          </cell>
          <cell r="O16">
            <v>8409</v>
          </cell>
          <cell r="P16">
            <v>11941</v>
          </cell>
          <cell r="Q16">
            <v>13708</v>
          </cell>
          <cell r="R16">
            <v>15557</v>
          </cell>
          <cell r="S16">
            <v>17324</v>
          </cell>
          <cell r="T16">
            <v>8409</v>
          </cell>
          <cell r="U16">
            <v>11941</v>
          </cell>
          <cell r="V16">
            <v>13708</v>
          </cell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  <cell r="CD16"/>
        </row>
        <row r="17">
          <cell r="A17" t="str">
            <v>A</v>
          </cell>
          <cell r="B17" t="str">
            <v>Y</v>
          </cell>
          <cell r="C17">
            <v>6638</v>
          </cell>
          <cell r="D17">
            <v>12281</v>
          </cell>
          <cell r="E17">
            <v>6638</v>
          </cell>
          <cell r="F17">
            <v>9426</v>
          </cell>
          <cell r="G17">
            <v>10820</v>
          </cell>
          <cell r="H17">
            <v>12281</v>
          </cell>
          <cell r="I17">
            <v>13674</v>
          </cell>
          <cell r="J17">
            <v>6638</v>
          </cell>
          <cell r="K17">
            <v>9426</v>
          </cell>
          <cell r="L17">
            <v>10820</v>
          </cell>
          <cell r="M17">
            <v>7238</v>
          </cell>
          <cell r="N17">
            <v>13390</v>
          </cell>
          <cell r="O17">
            <v>7238</v>
          </cell>
          <cell r="P17">
            <v>10277</v>
          </cell>
          <cell r="Q17">
            <v>11798</v>
          </cell>
          <cell r="R17">
            <v>13390</v>
          </cell>
          <cell r="S17">
            <v>14910</v>
          </cell>
          <cell r="T17">
            <v>7238</v>
          </cell>
          <cell r="U17">
            <v>10277</v>
          </cell>
          <cell r="V17">
            <v>11798</v>
          </cell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BZ17"/>
          <cell r="CA17"/>
          <cell r="CB17"/>
          <cell r="CC17"/>
          <cell r="CD17"/>
        </row>
        <row r="18">
          <cell r="A18" t="str">
            <v>B</v>
          </cell>
          <cell r="B18" t="str">
            <v>D</v>
          </cell>
          <cell r="C18">
            <v>6450</v>
          </cell>
          <cell r="D18">
            <v>11933</v>
          </cell>
          <cell r="E18">
            <v>6450</v>
          </cell>
          <cell r="F18">
            <v>9159</v>
          </cell>
          <cell r="G18">
            <v>10514</v>
          </cell>
          <cell r="H18">
            <v>11933</v>
          </cell>
          <cell r="I18">
            <v>13287</v>
          </cell>
          <cell r="J18">
            <v>6450</v>
          </cell>
          <cell r="K18">
            <v>9159</v>
          </cell>
          <cell r="L18">
            <v>10514</v>
          </cell>
          <cell r="M18">
            <v>7037</v>
          </cell>
          <cell r="N18">
            <v>13018</v>
          </cell>
          <cell r="O18">
            <v>7037</v>
          </cell>
          <cell r="P18">
            <v>9993</v>
          </cell>
          <cell r="Q18">
            <v>11470</v>
          </cell>
          <cell r="R18">
            <v>13018</v>
          </cell>
          <cell r="S18">
            <v>14496</v>
          </cell>
          <cell r="T18">
            <v>7037</v>
          </cell>
          <cell r="U18">
            <v>9993</v>
          </cell>
          <cell r="V18">
            <v>11470</v>
          </cell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  <cell r="CD18"/>
        </row>
        <row r="19">
          <cell r="A19" t="str">
            <v>B</v>
          </cell>
          <cell r="B19" t="str">
            <v>A</v>
          </cell>
          <cell r="C19">
            <v>8579</v>
          </cell>
          <cell r="D19">
            <v>15871</v>
          </cell>
          <cell r="E19">
            <v>8579</v>
          </cell>
          <cell r="F19">
            <v>12181</v>
          </cell>
          <cell r="G19">
            <v>13984</v>
          </cell>
          <cell r="H19">
            <v>15871</v>
          </cell>
          <cell r="I19">
            <v>17672</v>
          </cell>
          <cell r="J19">
            <v>8579</v>
          </cell>
          <cell r="K19">
            <v>12181</v>
          </cell>
          <cell r="L19">
            <v>13984</v>
          </cell>
          <cell r="M19">
            <v>9359</v>
          </cell>
          <cell r="N19">
            <v>17314</v>
          </cell>
          <cell r="O19">
            <v>9359</v>
          </cell>
          <cell r="P19">
            <v>13291</v>
          </cell>
          <cell r="Q19">
            <v>15255</v>
          </cell>
          <cell r="R19">
            <v>17314</v>
          </cell>
          <cell r="S19">
            <v>19280</v>
          </cell>
          <cell r="T19">
            <v>9359</v>
          </cell>
          <cell r="U19">
            <v>13291</v>
          </cell>
          <cell r="V19">
            <v>15255</v>
          </cell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BZ19"/>
          <cell r="CA19"/>
          <cell r="CB19"/>
          <cell r="CC19"/>
          <cell r="CD19"/>
        </row>
        <row r="20">
          <cell r="A20" t="str">
            <v>B</v>
          </cell>
          <cell r="B20" t="str">
            <v>B</v>
          </cell>
          <cell r="C20">
            <v>7869</v>
          </cell>
          <cell r="D20">
            <v>14558</v>
          </cell>
          <cell r="E20">
            <v>7869</v>
          </cell>
          <cell r="F20">
            <v>11174</v>
          </cell>
          <cell r="G20">
            <v>12827</v>
          </cell>
          <cell r="H20">
            <v>14558</v>
          </cell>
          <cell r="I20">
            <v>16210</v>
          </cell>
          <cell r="J20">
            <v>7869</v>
          </cell>
          <cell r="K20">
            <v>11174</v>
          </cell>
          <cell r="L20">
            <v>12827</v>
          </cell>
          <cell r="M20">
            <v>8585</v>
          </cell>
          <cell r="N20">
            <v>15882</v>
          </cell>
          <cell r="O20">
            <v>8585</v>
          </cell>
          <cell r="P20">
            <v>12191</v>
          </cell>
          <cell r="Q20">
            <v>13993</v>
          </cell>
          <cell r="R20">
            <v>15882</v>
          </cell>
          <cell r="S20">
            <v>17685</v>
          </cell>
          <cell r="T20">
            <v>8585</v>
          </cell>
          <cell r="U20">
            <v>12191</v>
          </cell>
          <cell r="V20">
            <v>13993</v>
          </cell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BZ20"/>
          <cell r="CA20"/>
          <cell r="CB20"/>
          <cell r="CC20"/>
          <cell r="CD20"/>
        </row>
        <row r="21">
          <cell r="A21" t="str">
            <v>B</v>
          </cell>
          <cell r="B21" t="str">
            <v>Y</v>
          </cell>
          <cell r="C21">
            <v>6773</v>
          </cell>
          <cell r="D21">
            <v>12530</v>
          </cell>
          <cell r="E21">
            <v>6773</v>
          </cell>
          <cell r="F21">
            <v>9617</v>
          </cell>
          <cell r="G21">
            <v>11040</v>
          </cell>
          <cell r="H21">
            <v>12530</v>
          </cell>
          <cell r="I21">
            <v>13951</v>
          </cell>
          <cell r="J21">
            <v>6773</v>
          </cell>
          <cell r="K21">
            <v>9617</v>
          </cell>
          <cell r="L21">
            <v>11040</v>
          </cell>
          <cell r="M21">
            <v>7389</v>
          </cell>
          <cell r="N21">
            <v>13669</v>
          </cell>
          <cell r="O21">
            <v>7389</v>
          </cell>
          <cell r="P21">
            <v>10493</v>
          </cell>
          <cell r="Q21">
            <v>12044</v>
          </cell>
          <cell r="R21">
            <v>13669</v>
          </cell>
          <cell r="S21">
            <v>15221</v>
          </cell>
          <cell r="T21">
            <v>7389</v>
          </cell>
          <cell r="U21">
            <v>10493</v>
          </cell>
          <cell r="V21">
            <v>12044</v>
          </cell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BZ21"/>
          <cell r="CA21"/>
          <cell r="CB21"/>
          <cell r="CC21"/>
          <cell r="CD21"/>
        </row>
        <row r="22">
          <cell r="A22" t="str">
            <v>C</v>
          </cell>
          <cell r="B22" t="str">
            <v>D</v>
          </cell>
          <cell r="C22">
            <v>6589</v>
          </cell>
          <cell r="D22">
            <v>12190</v>
          </cell>
          <cell r="E22">
            <v>6589</v>
          </cell>
          <cell r="F22">
            <v>9356</v>
          </cell>
          <cell r="G22">
            <v>10740</v>
          </cell>
          <cell r="H22">
            <v>12190</v>
          </cell>
          <cell r="I22">
            <v>13573</v>
          </cell>
          <cell r="J22">
            <v>6589</v>
          </cell>
          <cell r="K22">
            <v>9356</v>
          </cell>
          <cell r="L22">
            <v>10740</v>
          </cell>
          <cell r="M22">
            <v>7189</v>
          </cell>
          <cell r="N22">
            <v>13300</v>
          </cell>
          <cell r="O22">
            <v>7189</v>
          </cell>
          <cell r="P22">
            <v>10208</v>
          </cell>
          <cell r="Q22">
            <v>11718</v>
          </cell>
          <cell r="R22">
            <v>13300</v>
          </cell>
          <cell r="S22">
            <v>14809</v>
          </cell>
          <cell r="T22">
            <v>7189</v>
          </cell>
          <cell r="U22">
            <v>10208</v>
          </cell>
          <cell r="V22">
            <v>11718</v>
          </cell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  <cell r="CD22"/>
        </row>
        <row r="23">
          <cell r="A23" t="str">
            <v>C</v>
          </cell>
          <cell r="B23" t="str">
            <v>A</v>
          </cell>
          <cell r="C23">
            <v>8763</v>
          </cell>
          <cell r="D23">
            <v>16213</v>
          </cell>
          <cell r="E23">
            <v>8763</v>
          </cell>
          <cell r="F23">
            <v>12443</v>
          </cell>
          <cell r="G23">
            <v>14284</v>
          </cell>
          <cell r="H23">
            <v>16213</v>
          </cell>
          <cell r="I23">
            <v>18052</v>
          </cell>
          <cell r="J23">
            <v>8763</v>
          </cell>
          <cell r="K23">
            <v>12443</v>
          </cell>
          <cell r="L23">
            <v>14284</v>
          </cell>
          <cell r="M23">
            <v>9561</v>
          </cell>
          <cell r="N23">
            <v>17689</v>
          </cell>
          <cell r="O23">
            <v>9561</v>
          </cell>
          <cell r="P23">
            <v>13577</v>
          </cell>
          <cell r="Q23">
            <v>15585</v>
          </cell>
          <cell r="R23">
            <v>17689</v>
          </cell>
          <cell r="S23">
            <v>19696</v>
          </cell>
          <cell r="T23">
            <v>9561</v>
          </cell>
          <cell r="U23">
            <v>13577</v>
          </cell>
          <cell r="V23">
            <v>15585</v>
          </cell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  <cell r="CD23"/>
        </row>
        <row r="24">
          <cell r="A24" t="str">
            <v>C</v>
          </cell>
          <cell r="B24" t="str">
            <v>B</v>
          </cell>
          <cell r="C24">
            <v>8039</v>
          </cell>
          <cell r="D24">
            <v>14872</v>
          </cell>
          <cell r="E24">
            <v>8039</v>
          </cell>
          <cell r="F24">
            <v>11414</v>
          </cell>
          <cell r="G24">
            <v>13103</v>
          </cell>
          <cell r="H24">
            <v>14872</v>
          </cell>
          <cell r="I24">
            <v>16559</v>
          </cell>
          <cell r="J24">
            <v>8039</v>
          </cell>
          <cell r="K24">
            <v>11414</v>
          </cell>
          <cell r="L24">
            <v>13103</v>
          </cell>
          <cell r="M24">
            <v>8771</v>
          </cell>
          <cell r="N24">
            <v>16226</v>
          </cell>
          <cell r="O24">
            <v>8771</v>
          </cell>
          <cell r="P24">
            <v>12454</v>
          </cell>
          <cell r="Q24">
            <v>14296</v>
          </cell>
          <cell r="R24">
            <v>16226</v>
          </cell>
          <cell r="S24">
            <v>18067</v>
          </cell>
          <cell r="T24">
            <v>8771</v>
          </cell>
          <cell r="U24">
            <v>12454</v>
          </cell>
          <cell r="V24">
            <v>14296</v>
          </cell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  <cell r="CD24"/>
        </row>
        <row r="25">
          <cell r="A25" t="str">
            <v>C</v>
          </cell>
          <cell r="B25" t="str">
            <v>Y</v>
          </cell>
          <cell r="C25">
            <v>6918</v>
          </cell>
          <cell r="D25">
            <v>12800</v>
          </cell>
          <cell r="E25">
            <v>6918</v>
          </cell>
          <cell r="F25">
            <v>9824</v>
          </cell>
          <cell r="G25">
            <v>11277</v>
          </cell>
          <cell r="H25">
            <v>12800</v>
          </cell>
          <cell r="I25">
            <v>14252</v>
          </cell>
          <cell r="J25">
            <v>6918</v>
          </cell>
          <cell r="K25">
            <v>9824</v>
          </cell>
          <cell r="L25">
            <v>11277</v>
          </cell>
          <cell r="M25">
            <v>7548</v>
          </cell>
          <cell r="N25">
            <v>13965</v>
          </cell>
          <cell r="O25">
            <v>7548</v>
          </cell>
          <cell r="P25">
            <v>10718</v>
          </cell>
          <cell r="Q25">
            <v>12304</v>
          </cell>
          <cell r="R25">
            <v>13965</v>
          </cell>
          <cell r="S25">
            <v>15549</v>
          </cell>
          <cell r="T25">
            <v>7548</v>
          </cell>
          <cell r="U25">
            <v>10718</v>
          </cell>
          <cell r="V25">
            <v>12304</v>
          </cell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  <cell r="CD25"/>
        </row>
        <row r="26">
          <cell r="A26" t="str">
            <v>D</v>
          </cell>
          <cell r="B26" t="str">
            <v>D</v>
          </cell>
          <cell r="C26">
            <v>6772</v>
          </cell>
          <cell r="D26">
            <v>12528</v>
          </cell>
          <cell r="E26">
            <v>6772</v>
          </cell>
          <cell r="F26">
            <v>9616</v>
          </cell>
          <cell r="G26">
            <v>11038</v>
          </cell>
          <cell r="H26">
            <v>12528</v>
          </cell>
          <cell r="I26">
            <v>13950</v>
          </cell>
          <cell r="J26">
            <v>6772</v>
          </cell>
          <cell r="K26">
            <v>9616</v>
          </cell>
          <cell r="L26">
            <v>11038</v>
          </cell>
          <cell r="M26">
            <v>7386</v>
          </cell>
          <cell r="N26">
            <v>13664</v>
          </cell>
          <cell r="O26">
            <v>7386</v>
          </cell>
          <cell r="P26">
            <v>10488</v>
          </cell>
          <cell r="Q26">
            <v>12039</v>
          </cell>
          <cell r="R26">
            <v>13664</v>
          </cell>
          <cell r="S26">
            <v>15215</v>
          </cell>
          <cell r="T26">
            <v>7386</v>
          </cell>
          <cell r="U26">
            <v>10488</v>
          </cell>
          <cell r="V26">
            <v>12039</v>
          </cell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  <cell r="BZ26"/>
          <cell r="CA26"/>
          <cell r="CB26"/>
          <cell r="CC26"/>
          <cell r="CD26"/>
        </row>
        <row r="27">
          <cell r="A27" t="str">
            <v>D</v>
          </cell>
          <cell r="B27" t="str">
            <v>A</v>
          </cell>
          <cell r="C27">
            <v>9007</v>
          </cell>
          <cell r="D27">
            <v>16662</v>
          </cell>
          <cell r="E27">
            <v>9007</v>
          </cell>
          <cell r="F27">
            <v>12789</v>
          </cell>
          <cell r="G27">
            <v>14681</v>
          </cell>
          <cell r="H27">
            <v>16662</v>
          </cell>
          <cell r="I27">
            <v>18554</v>
          </cell>
          <cell r="J27">
            <v>9007</v>
          </cell>
          <cell r="K27">
            <v>12789</v>
          </cell>
          <cell r="L27">
            <v>14681</v>
          </cell>
          <cell r="M27">
            <v>9823</v>
          </cell>
          <cell r="N27">
            <v>18173</v>
          </cell>
          <cell r="O27">
            <v>9823</v>
          </cell>
          <cell r="P27">
            <v>13949</v>
          </cell>
          <cell r="Q27">
            <v>16012</v>
          </cell>
          <cell r="R27">
            <v>18173</v>
          </cell>
          <cell r="S27">
            <v>20236</v>
          </cell>
          <cell r="T27">
            <v>9823</v>
          </cell>
          <cell r="U27">
            <v>13949</v>
          </cell>
          <cell r="V27">
            <v>16012</v>
          </cell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  <cell r="CD27"/>
        </row>
        <row r="28">
          <cell r="A28" t="str">
            <v>D</v>
          </cell>
          <cell r="B28" t="str">
            <v>B</v>
          </cell>
          <cell r="C28">
            <v>8262</v>
          </cell>
          <cell r="D28">
            <v>15284</v>
          </cell>
          <cell r="E28">
            <v>8262</v>
          </cell>
          <cell r="F28">
            <v>11732</v>
          </cell>
          <cell r="G28">
            <v>13466</v>
          </cell>
          <cell r="H28">
            <v>15284</v>
          </cell>
          <cell r="I28">
            <v>17019</v>
          </cell>
          <cell r="J28">
            <v>8262</v>
          </cell>
          <cell r="K28">
            <v>11732</v>
          </cell>
          <cell r="L28">
            <v>13466</v>
          </cell>
          <cell r="M28">
            <v>9011</v>
          </cell>
          <cell r="N28">
            <v>16670</v>
          </cell>
          <cell r="O28">
            <v>9011</v>
          </cell>
          <cell r="P28">
            <v>12795</v>
          </cell>
          <cell r="Q28">
            <v>14688</v>
          </cell>
          <cell r="R28">
            <v>16670</v>
          </cell>
          <cell r="S28">
            <v>18562</v>
          </cell>
          <cell r="T28">
            <v>9011</v>
          </cell>
          <cell r="U28">
            <v>12795</v>
          </cell>
          <cell r="V28">
            <v>14688</v>
          </cell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  <cell r="CD28"/>
        </row>
        <row r="29">
          <cell r="A29" t="str">
            <v>D</v>
          </cell>
          <cell r="B29" t="str">
            <v>Y</v>
          </cell>
          <cell r="C29">
            <v>7111</v>
          </cell>
          <cell r="D29">
            <v>13154</v>
          </cell>
          <cell r="E29">
            <v>7111</v>
          </cell>
          <cell r="F29">
            <v>10097</v>
          </cell>
          <cell r="G29">
            <v>11590</v>
          </cell>
          <cell r="H29">
            <v>13154</v>
          </cell>
          <cell r="I29">
            <v>14648</v>
          </cell>
          <cell r="J29">
            <v>7111</v>
          </cell>
          <cell r="K29">
            <v>10097</v>
          </cell>
          <cell r="L29">
            <v>11590</v>
          </cell>
          <cell r="M29">
            <v>7755</v>
          </cell>
          <cell r="N29">
            <v>14347</v>
          </cell>
          <cell r="O29">
            <v>7755</v>
          </cell>
          <cell r="P29">
            <v>11012</v>
          </cell>
          <cell r="Q29">
            <v>12641</v>
          </cell>
          <cell r="R29">
            <v>14347</v>
          </cell>
          <cell r="S29">
            <v>15976</v>
          </cell>
          <cell r="T29">
            <v>7755</v>
          </cell>
          <cell r="U29">
            <v>11012</v>
          </cell>
          <cell r="V29">
            <v>12641</v>
          </cell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  <cell r="CD29"/>
        </row>
        <row r="30">
          <cell r="A30" t="str">
            <v>E</v>
          </cell>
          <cell r="B30" t="str">
            <v>D</v>
          </cell>
          <cell r="C30">
            <v>6936</v>
          </cell>
          <cell r="D30">
            <v>12832</v>
          </cell>
          <cell r="E30">
            <v>6936</v>
          </cell>
          <cell r="F30">
            <v>9849</v>
          </cell>
          <cell r="G30">
            <v>11306</v>
          </cell>
          <cell r="H30">
            <v>12832</v>
          </cell>
          <cell r="I30">
            <v>14288</v>
          </cell>
          <cell r="J30">
            <v>6936</v>
          </cell>
          <cell r="K30">
            <v>9849</v>
          </cell>
          <cell r="L30">
            <v>11306</v>
          </cell>
          <cell r="M30">
            <v>7571</v>
          </cell>
          <cell r="N30">
            <v>14006</v>
          </cell>
          <cell r="O30">
            <v>7571</v>
          </cell>
          <cell r="P30">
            <v>10751</v>
          </cell>
          <cell r="Q30">
            <v>12341</v>
          </cell>
          <cell r="R30">
            <v>14006</v>
          </cell>
          <cell r="S30">
            <v>15596</v>
          </cell>
          <cell r="T30">
            <v>7571</v>
          </cell>
          <cell r="U30">
            <v>10751</v>
          </cell>
          <cell r="V30">
            <v>12341</v>
          </cell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  <cell r="CD30"/>
        </row>
        <row r="31">
          <cell r="A31" t="str">
            <v>E</v>
          </cell>
          <cell r="B31" t="str">
            <v>A</v>
          </cell>
          <cell r="C31">
            <v>9225</v>
          </cell>
          <cell r="D31">
            <v>17067</v>
          </cell>
          <cell r="E31">
            <v>9225</v>
          </cell>
          <cell r="F31">
            <v>13099</v>
          </cell>
          <cell r="G31">
            <v>15037</v>
          </cell>
          <cell r="H31">
            <v>17067</v>
          </cell>
          <cell r="I31">
            <v>19003</v>
          </cell>
          <cell r="J31">
            <v>9225</v>
          </cell>
          <cell r="K31">
            <v>13099</v>
          </cell>
          <cell r="L31">
            <v>15037</v>
          </cell>
          <cell r="M31">
            <v>10069</v>
          </cell>
          <cell r="N31">
            <v>18628</v>
          </cell>
          <cell r="O31">
            <v>10069</v>
          </cell>
          <cell r="P31">
            <v>14299</v>
          </cell>
          <cell r="Q31">
            <v>16414</v>
          </cell>
          <cell r="R31">
            <v>18628</v>
          </cell>
          <cell r="S31">
            <v>20743</v>
          </cell>
          <cell r="T31">
            <v>10069</v>
          </cell>
          <cell r="U31">
            <v>14299</v>
          </cell>
          <cell r="V31">
            <v>16414</v>
          </cell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  <cell r="CD31"/>
        </row>
        <row r="32">
          <cell r="A32" t="str">
            <v>E</v>
          </cell>
          <cell r="B32" t="str">
            <v>B</v>
          </cell>
          <cell r="C32">
            <v>8462</v>
          </cell>
          <cell r="D32">
            <v>15655</v>
          </cell>
          <cell r="E32">
            <v>8462</v>
          </cell>
          <cell r="F32">
            <v>12016</v>
          </cell>
          <cell r="G32">
            <v>13793</v>
          </cell>
          <cell r="H32">
            <v>15655</v>
          </cell>
          <cell r="I32">
            <v>17431</v>
          </cell>
          <cell r="J32">
            <v>8462</v>
          </cell>
          <cell r="K32">
            <v>12016</v>
          </cell>
          <cell r="L32">
            <v>13793</v>
          </cell>
          <cell r="M32">
            <v>9237</v>
          </cell>
          <cell r="N32">
            <v>17087</v>
          </cell>
          <cell r="O32">
            <v>9237</v>
          </cell>
          <cell r="P32">
            <v>13116</v>
          </cell>
          <cell r="Q32">
            <v>15056</v>
          </cell>
          <cell r="R32">
            <v>17087</v>
          </cell>
          <cell r="S32">
            <v>19027</v>
          </cell>
          <cell r="T32">
            <v>9237</v>
          </cell>
          <cell r="U32">
            <v>13116</v>
          </cell>
          <cell r="V32">
            <v>15056</v>
          </cell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  <cell r="BZ32"/>
          <cell r="CA32"/>
          <cell r="CB32"/>
          <cell r="CC32"/>
          <cell r="CD32"/>
        </row>
        <row r="33">
          <cell r="A33" t="str">
            <v>E</v>
          </cell>
          <cell r="B33" t="str">
            <v>Y</v>
          </cell>
          <cell r="C33">
            <v>7283</v>
          </cell>
          <cell r="D33">
            <v>13474</v>
          </cell>
          <cell r="E33">
            <v>7283</v>
          </cell>
          <cell r="F33">
            <v>10341</v>
          </cell>
          <cell r="G33">
            <v>11871</v>
          </cell>
          <cell r="H33">
            <v>13474</v>
          </cell>
          <cell r="I33">
            <v>15002</v>
          </cell>
          <cell r="J33">
            <v>7283</v>
          </cell>
          <cell r="K33">
            <v>10341</v>
          </cell>
          <cell r="L33">
            <v>11871</v>
          </cell>
          <cell r="M33">
            <v>7950</v>
          </cell>
          <cell r="N33">
            <v>14706</v>
          </cell>
          <cell r="O33">
            <v>7950</v>
          </cell>
          <cell r="P33">
            <v>11289</v>
          </cell>
          <cell r="Q33">
            <v>12958</v>
          </cell>
          <cell r="R33">
            <v>14706</v>
          </cell>
          <cell r="S33">
            <v>16376</v>
          </cell>
          <cell r="T33">
            <v>7950</v>
          </cell>
          <cell r="U33">
            <v>11289</v>
          </cell>
          <cell r="V33">
            <v>12958</v>
          </cell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  <cell r="BZ33"/>
          <cell r="CA33"/>
          <cell r="CB33"/>
          <cell r="CC33"/>
          <cell r="CD33"/>
        </row>
        <row r="34">
          <cell r="A34" t="str">
            <v>F</v>
          </cell>
          <cell r="B34" t="str">
            <v>D</v>
          </cell>
          <cell r="C34">
            <v>7135</v>
          </cell>
          <cell r="D34">
            <v>13200</v>
          </cell>
          <cell r="E34">
            <v>7135</v>
          </cell>
          <cell r="F34">
            <v>10132</v>
          </cell>
          <cell r="G34">
            <v>11630</v>
          </cell>
          <cell r="H34">
            <v>13200</v>
          </cell>
          <cell r="I34">
            <v>14698</v>
          </cell>
          <cell r="J34">
            <v>7135</v>
          </cell>
          <cell r="K34">
            <v>10132</v>
          </cell>
          <cell r="L34">
            <v>11630</v>
          </cell>
          <cell r="M34">
            <v>7789</v>
          </cell>
          <cell r="N34">
            <v>14410</v>
          </cell>
          <cell r="O34">
            <v>7789</v>
          </cell>
          <cell r="P34">
            <v>11060</v>
          </cell>
          <cell r="Q34">
            <v>12696</v>
          </cell>
          <cell r="R34">
            <v>14410</v>
          </cell>
          <cell r="S34">
            <v>16045</v>
          </cell>
          <cell r="T34">
            <v>7789</v>
          </cell>
          <cell r="U34">
            <v>11060</v>
          </cell>
          <cell r="V34">
            <v>12696</v>
          </cell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  <cell r="CD34"/>
        </row>
        <row r="35">
          <cell r="A35" t="str">
            <v>F</v>
          </cell>
          <cell r="B35" t="str">
            <v>A</v>
          </cell>
          <cell r="C35">
            <v>9490</v>
          </cell>
          <cell r="D35">
            <v>17556</v>
          </cell>
          <cell r="E35">
            <v>9490</v>
          </cell>
          <cell r="F35">
            <v>13476</v>
          </cell>
          <cell r="G35">
            <v>15468</v>
          </cell>
          <cell r="H35">
            <v>17556</v>
          </cell>
          <cell r="I35">
            <v>19548</v>
          </cell>
          <cell r="J35">
            <v>9490</v>
          </cell>
          <cell r="K35">
            <v>13476</v>
          </cell>
          <cell r="L35">
            <v>15468</v>
          </cell>
          <cell r="M35">
            <v>10359</v>
          </cell>
          <cell r="N35">
            <v>19165</v>
          </cell>
          <cell r="O35">
            <v>10359</v>
          </cell>
          <cell r="P35">
            <v>14710</v>
          </cell>
          <cell r="Q35">
            <v>16886</v>
          </cell>
          <cell r="R35">
            <v>19165</v>
          </cell>
          <cell r="S35">
            <v>21340</v>
          </cell>
          <cell r="T35">
            <v>10359</v>
          </cell>
          <cell r="U35">
            <v>14710</v>
          </cell>
          <cell r="V35">
            <v>16886</v>
          </cell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/>
          <cell r="CA35"/>
          <cell r="CB35"/>
          <cell r="CC35"/>
          <cell r="CD35"/>
        </row>
        <row r="36">
          <cell r="A36" t="str">
            <v>F</v>
          </cell>
          <cell r="B36" t="str">
            <v>B</v>
          </cell>
          <cell r="C36">
            <v>8705</v>
          </cell>
          <cell r="D36">
            <v>16104</v>
          </cell>
          <cell r="E36">
            <v>8705</v>
          </cell>
          <cell r="F36">
            <v>12361</v>
          </cell>
          <cell r="G36">
            <v>14189</v>
          </cell>
          <cell r="H36">
            <v>16104</v>
          </cell>
          <cell r="I36">
            <v>17932</v>
          </cell>
          <cell r="J36">
            <v>8705</v>
          </cell>
          <cell r="K36">
            <v>12361</v>
          </cell>
          <cell r="L36">
            <v>14189</v>
          </cell>
          <cell r="M36">
            <v>9503</v>
          </cell>
          <cell r="N36">
            <v>17580</v>
          </cell>
          <cell r="O36">
            <v>9503</v>
          </cell>
          <cell r="P36">
            <v>13493</v>
          </cell>
          <cell r="Q36">
            <v>15489</v>
          </cell>
          <cell r="R36">
            <v>17580</v>
          </cell>
          <cell r="S36">
            <v>19575</v>
          </cell>
          <cell r="T36">
            <v>9503</v>
          </cell>
          <cell r="U36">
            <v>13493</v>
          </cell>
          <cell r="V36">
            <v>15489</v>
          </cell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  <cell r="CD36"/>
        </row>
        <row r="37">
          <cell r="A37" t="str">
            <v>F</v>
          </cell>
          <cell r="B37" t="str">
            <v>Y</v>
          </cell>
          <cell r="C37">
            <v>7492</v>
          </cell>
          <cell r="D37">
            <v>13860</v>
          </cell>
          <cell r="E37">
            <v>7492</v>
          </cell>
          <cell r="F37">
            <v>10639</v>
          </cell>
          <cell r="G37">
            <v>12212</v>
          </cell>
          <cell r="H37">
            <v>13860</v>
          </cell>
          <cell r="I37">
            <v>15433</v>
          </cell>
          <cell r="J37">
            <v>7492</v>
          </cell>
          <cell r="K37">
            <v>10639</v>
          </cell>
          <cell r="L37">
            <v>12212</v>
          </cell>
          <cell r="M37">
            <v>8178</v>
          </cell>
          <cell r="N37">
            <v>15131</v>
          </cell>
          <cell r="O37">
            <v>8178</v>
          </cell>
          <cell r="P37">
            <v>11613</v>
          </cell>
          <cell r="Q37">
            <v>13331</v>
          </cell>
          <cell r="R37">
            <v>15131</v>
          </cell>
          <cell r="S37">
            <v>16847</v>
          </cell>
          <cell r="T37">
            <v>8178</v>
          </cell>
          <cell r="U37">
            <v>11613</v>
          </cell>
          <cell r="V37">
            <v>13331</v>
          </cell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  <cell r="BZ37"/>
          <cell r="CA37"/>
          <cell r="CB37"/>
          <cell r="CC37"/>
          <cell r="CD37"/>
        </row>
        <row r="38">
          <cell r="A38" t="str">
            <v>G</v>
          </cell>
          <cell r="B38" t="str">
            <v>D</v>
          </cell>
          <cell r="C38">
            <v>7421</v>
          </cell>
          <cell r="D38">
            <v>13729</v>
          </cell>
          <cell r="E38">
            <v>7421</v>
          </cell>
          <cell r="F38">
            <v>10538</v>
          </cell>
          <cell r="G38">
            <v>12096</v>
          </cell>
          <cell r="H38">
            <v>13729</v>
          </cell>
          <cell r="I38">
            <v>15287</v>
          </cell>
          <cell r="J38">
            <v>7421</v>
          </cell>
          <cell r="K38">
            <v>10538</v>
          </cell>
          <cell r="L38">
            <v>12096</v>
          </cell>
          <cell r="M38">
            <v>8092</v>
          </cell>
          <cell r="N38">
            <v>14970</v>
          </cell>
          <cell r="O38">
            <v>8092</v>
          </cell>
          <cell r="P38">
            <v>11491</v>
          </cell>
          <cell r="Q38">
            <v>13190</v>
          </cell>
          <cell r="R38">
            <v>14970</v>
          </cell>
          <cell r="S38">
            <v>16670</v>
          </cell>
          <cell r="T38">
            <v>8092</v>
          </cell>
          <cell r="U38">
            <v>11491</v>
          </cell>
          <cell r="V38">
            <v>13190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  <cell r="BZ38"/>
          <cell r="CA38"/>
          <cell r="CB38"/>
          <cell r="CC38"/>
          <cell r="CD38"/>
        </row>
        <row r="39">
          <cell r="A39" t="str">
            <v>G</v>
          </cell>
          <cell r="B39" t="str">
            <v>A</v>
          </cell>
          <cell r="C39">
            <v>9870</v>
          </cell>
          <cell r="D39">
            <v>18260</v>
          </cell>
          <cell r="E39">
            <v>9870</v>
          </cell>
          <cell r="F39">
            <v>14016</v>
          </cell>
          <cell r="G39">
            <v>16088</v>
          </cell>
          <cell r="H39">
            <v>18260</v>
          </cell>
          <cell r="I39">
            <v>20332</v>
          </cell>
          <cell r="J39">
            <v>9870</v>
          </cell>
          <cell r="K39">
            <v>14016</v>
          </cell>
          <cell r="L39">
            <v>16088</v>
          </cell>
          <cell r="M39">
            <v>10762</v>
          </cell>
          <cell r="N39">
            <v>19910</v>
          </cell>
          <cell r="O39">
            <v>10762</v>
          </cell>
          <cell r="P39">
            <v>15283</v>
          </cell>
          <cell r="Q39">
            <v>17543</v>
          </cell>
          <cell r="R39">
            <v>19910</v>
          </cell>
          <cell r="S39">
            <v>22171</v>
          </cell>
          <cell r="T39">
            <v>10762</v>
          </cell>
          <cell r="U39">
            <v>15283</v>
          </cell>
          <cell r="V39">
            <v>17543</v>
          </cell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  <cell r="BZ39"/>
          <cell r="CA39"/>
          <cell r="CB39"/>
          <cell r="CC39"/>
          <cell r="CD39"/>
        </row>
        <row r="40">
          <cell r="A40" t="str">
            <v>G</v>
          </cell>
          <cell r="B40" t="str">
            <v>B</v>
          </cell>
          <cell r="C40">
            <v>9054</v>
          </cell>
          <cell r="D40">
            <v>16749</v>
          </cell>
          <cell r="E40">
            <v>9054</v>
          </cell>
          <cell r="F40">
            <v>12856</v>
          </cell>
          <cell r="G40">
            <v>14757</v>
          </cell>
          <cell r="H40">
            <v>16749</v>
          </cell>
          <cell r="I40">
            <v>18650</v>
          </cell>
          <cell r="J40">
            <v>9054</v>
          </cell>
          <cell r="K40">
            <v>12856</v>
          </cell>
          <cell r="L40">
            <v>14757</v>
          </cell>
          <cell r="M40">
            <v>9872</v>
          </cell>
          <cell r="N40">
            <v>18263</v>
          </cell>
          <cell r="O40">
            <v>9872</v>
          </cell>
          <cell r="P40">
            <v>14019</v>
          </cell>
          <cell r="Q40">
            <v>16092</v>
          </cell>
          <cell r="R40">
            <v>18263</v>
          </cell>
          <cell r="S40">
            <v>20337</v>
          </cell>
          <cell r="T40">
            <v>9872</v>
          </cell>
          <cell r="U40">
            <v>14019</v>
          </cell>
          <cell r="V40">
            <v>16092</v>
          </cell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  <cell r="CD40"/>
        </row>
        <row r="41">
          <cell r="A41" t="str">
            <v>G</v>
          </cell>
          <cell r="B41" t="str">
            <v>Y</v>
          </cell>
          <cell r="C41">
            <v>7792</v>
          </cell>
          <cell r="D41">
            <v>14415</v>
          </cell>
          <cell r="E41">
            <v>7792</v>
          </cell>
          <cell r="F41">
            <v>11065</v>
          </cell>
          <cell r="G41">
            <v>12701</v>
          </cell>
          <cell r="H41">
            <v>14415</v>
          </cell>
          <cell r="I41">
            <v>16051</v>
          </cell>
          <cell r="J41">
            <v>7792</v>
          </cell>
          <cell r="K41">
            <v>11065</v>
          </cell>
          <cell r="L41">
            <v>12701</v>
          </cell>
          <cell r="M41">
            <v>8497</v>
          </cell>
          <cell r="N41">
            <v>15719</v>
          </cell>
          <cell r="O41">
            <v>8497</v>
          </cell>
          <cell r="P41">
            <v>12066</v>
          </cell>
          <cell r="Q41">
            <v>13850</v>
          </cell>
          <cell r="R41">
            <v>15719</v>
          </cell>
          <cell r="S41">
            <v>17504</v>
          </cell>
          <cell r="T41">
            <v>8497</v>
          </cell>
          <cell r="U41">
            <v>12066</v>
          </cell>
          <cell r="V41">
            <v>13850</v>
          </cell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  <cell r="CD41"/>
        </row>
        <row r="42">
          <cell r="A42" t="str">
            <v>H</v>
          </cell>
          <cell r="B42" t="str">
            <v>D</v>
          </cell>
          <cell r="C42">
            <v>7723</v>
          </cell>
          <cell r="D42">
            <v>14288</v>
          </cell>
          <cell r="E42">
            <v>7723</v>
          </cell>
          <cell r="F42">
            <v>10967</v>
          </cell>
          <cell r="G42">
            <v>12588</v>
          </cell>
          <cell r="H42">
            <v>14288</v>
          </cell>
          <cell r="I42">
            <v>15909</v>
          </cell>
          <cell r="J42">
            <v>7723</v>
          </cell>
          <cell r="K42">
            <v>10967</v>
          </cell>
          <cell r="L42">
            <v>12588</v>
          </cell>
          <cell r="M42">
            <v>8426</v>
          </cell>
          <cell r="N42">
            <v>15588</v>
          </cell>
          <cell r="O42">
            <v>8426</v>
          </cell>
          <cell r="P42">
            <v>11965</v>
          </cell>
          <cell r="Q42">
            <v>13734</v>
          </cell>
          <cell r="R42">
            <v>15588</v>
          </cell>
          <cell r="S42">
            <v>17358</v>
          </cell>
          <cell r="T42">
            <v>8426</v>
          </cell>
          <cell r="U42">
            <v>11965</v>
          </cell>
          <cell r="V42">
            <v>13734</v>
          </cell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  <cell r="BZ42"/>
          <cell r="CA42"/>
          <cell r="CB42"/>
          <cell r="CC42"/>
          <cell r="CD42"/>
        </row>
        <row r="43">
          <cell r="A43" t="str">
            <v>H</v>
          </cell>
          <cell r="B43" t="str">
            <v>A</v>
          </cell>
          <cell r="C43">
            <v>10272</v>
          </cell>
          <cell r="D43">
            <v>19003</v>
          </cell>
          <cell r="E43">
            <v>10272</v>
          </cell>
          <cell r="F43">
            <v>14586</v>
          </cell>
          <cell r="G43">
            <v>16742</v>
          </cell>
          <cell r="H43">
            <v>19003</v>
          </cell>
          <cell r="I43">
            <v>21159</v>
          </cell>
          <cell r="J43">
            <v>10272</v>
          </cell>
          <cell r="K43">
            <v>14586</v>
          </cell>
          <cell r="L43">
            <v>16742</v>
          </cell>
          <cell r="M43">
            <v>11207</v>
          </cell>
          <cell r="N43">
            <v>20732</v>
          </cell>
          <cell r="O43">
            <v>11207</v>
          </cell>
          <cell r="P43">
            <v>15913</v>
          </cell>
          <cell r="Q43">
            <v>18266</v>
          </cell>
          <cell r="R43">
            <v>20732</v>
          </cell>
          <cell r="S43">
            <v>23086</v>
          </cell>
          <cell r="T43">
            <v>11207</v>
          </cell>
          <cell r="U43">
            <v>15913</v>
          </cell>
          <cell r="V43">
            <v>18266</v>
          </cell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  <cell r="CD43"/>
        </row>
        <row r="44">
          <cell r="A44" t="str">
            <v>H</v>
          </cell>
          <cell r="B44" t="str">
            <v>B</v>
          </cell>
          <cell r="C44">
            <v>9422</v>
          </cell>
          <cell r="D44">
            <v>17431</v>
          </cell>
          <cell r="E44">
            <v>9422</v>
          </cell>
          <cell r="F44">
            <v>13380</v>
          </cell>
          <cell r="G44">
            <v>15357</v>
          </cell>
          <cell r="H44">
            <v>17431</v>
          </cell>
          <cell r="I44">
            <v>19409</v>
          </cell>
          <cell r="J44">
            <v>9422</v>
          </cell>
          <cell r="K44">
            <v>13380</v>
          </cell>
          <cell r="L44">
            <v>15357</v>
          </cell>
          <cell r="M44">
            <v>10280</v>
          </cell>
          <cell r="N44">
            <v>19017</v>
          </cell>
          <cell r="O44">
            <v>10280</v>
          </cell>
          <cell r="P44">
            <v>14597</v>
          </cell>
          <cell r="Q44">
            <v>16755</v>
          </cell>
          <cell r="R44">
            <v>19017</v>
          </cell>
          <cell r="S44">
            <v>21177</v>
          </cell>
          <cell r="T44">
            <v>10280</v>
          </cell>
          <cell r="U44">
            <v>14597</v>
          </cell>
          <cell r="V44">
            <v>16755</v>
          </cell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  <cell r="BZ44"/>
          <cell r="CA44"/>
          <cell r="CB44"/>
          <cell r="CC44"/>
          <cell r="CD44"/>
        </row>
        <row r="45">
          <cell r="A45" t="str">
            <v>H</v>
          </cell>
          <cell r="B45" t="str">
            <v>Y</v>
          </cell>
          <cell r="C45">
            <v>8109</v>
          </cell>
          <cell r="D45">
            <v>15002</v>
          </cell>
          <cell r="E45">
            <v>8109</v>
          </cell>
          <cell r="F45">
            <v>11515</v>
          </cell>
          <cell r="G45">
            <v>13217</v>
          </cell>
          <cell r="H45">
            <v>15002</v>
          </cell>
          <cell r="I45">
            <v>16704</v>
          </cell>
          <cell r="J45">
            <v>8109</v>
          </cell>
          <cell r="K45">
            <v>11515</v>
          </cell>
          <cell r="L45">
            <v>13217</v>
          </cell>
          <cell r="M45">
            <v>8847</v>
          </cell>
          <cell r="N45">
            <v>16367</v>
          </cell>
          <cell r="O45">
            <v>8847</v>
          </cell>
          <cell r="P45">
            <v>12563</v>
          </cell>
          <cell r="Q45">
            <v>14421</v>
          </cell>
          <cell r="R45">
            <v>16367</v>
          </cell>
          <cell r="S45">
            <v>18226</v>
          </cell>
          <cell r="T45">
            <v>8847</v>
          </cell>
          <cell r="U45">
            <v>12563</v>
          </cell>
          <cell r="V45">
            <v>14421</v>
          </cell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  <cell r="CD45"/>
        </row>
        <row r="46">
          <cell r="A46" t="str">
            <v>I</v>
          </cell>
          <cell r="B46" t="str">
            <v>D</v>
          </cell>
          <cell r="C46">
            <v>8154</v>
          </cell>
          <cell r="D46">
            <v>15085</v>
          </cell>
          <cell r="E46">
            <v>8154</v>
          </cell>
          <cell r="F46">
            <v>11579</v>
          </cell>
          <cell r="G46">
            <v>13291</v>
          </cell>
          <cell r="H46">
            <v>15085</v>
          </cell>
          <cell r="I46">
            <v>16797</v>
          </cell>
          <cell r="J46">
            <v>8154</v>
          </cell>
          <cell r="K46">
            <v>11579</v>
          </cell>
          <cell r="L46">
            <v>13291</v>
          </cell>
          <cell r="M46">
            <v>8897</v>
          </cell>
          <cell r="N46">
            <v>16459</v>
          </cell>
          <cell r="O46">
            <v>8897</v>
          </cell>
          <cell r="P46">
            <v>12634</v>
          </cell>
          <cell r="Q46">
            <v>14502</v>
          </cell>
          <cell r="R46">
            <v>16459</v>
          </cell>
          <cell r="S46">
            <v>18328</v>
          </cell>
          <cell r="T46">
            <v>8897</v>
          </cell>
          <cell r="U46">
            <v>12634</v>
          </cell>
          <cell r="V46">
            <v>14502</v>
          </cell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  <cell r="CD46"/>
        </row>
        <row r="47">
          <cell r="A47" t="str">
            <v>I</v>
          </cell>
          <cell r="B47" t="str">
            <v>A</v>
          </cell>
          <cell r="C47">
            <v>10845</v>
          </cell>
          <cell r="D47">
            <v>20063</v>
          </cell>
          <cell r="E47">
            <v>10845</v>
          </cell>
          <cell r="F47">
            <v>15400</v>
          </cell>
          <cell r="G47">
            <v>17677</v>
          </cell>
          <cell r="H47">
            <v>20063</v>
          </cell>
          <cell r="I47">
            <v>22340</v>
          </cell>
          <cell r="J47">
            <v>10845</v>
          </cell>
          <cell r="K47">
            <v>15400</v>
          </cell>
          <cell r="L47">
            <v>17677</v>
          </cell>
          <cell r="M47">
            <v>11833</v>
          </cell>
          <cell r="N47">
            <v>21890</v>
          </cell>
          <cell r="O47">
            <v>11833</v>
          </cell>
          <cell r="P47">
            <v>16803</v>
          </cell>
          <cell r="Q47">
            <v>19288</v>
          </cell>
          <cell r="R47">
            <v>21890</v>
          </cell>
          <cell r="S47">
            <v>24376</v>
          </cell>
          <cell r="T47">
            <v>11833</v>
          </cell>
          <cell r="U47">
            <v>16803</v>
          </cell>
          <cell r="V47">
            <v>19288</v>
          </cell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  <cell r="CD47"/>
        </row>
        <row r="48">
          <cell r="A48" t="str">
            <v>I</v>
          </cell>
          <cell r="B48" t="str">
            <v>B</v>
          </cell>
          <cell r="C48">
            <v>9948</v>
          </cell>
          <cell r="D48">
            <v>18404</v>
          </cell>
          <cell r="E48">
            <v>9948</v>
          </cell>
          <cell r="F48">
            <v>14126</v>
          </cell>
          <cell r="G48">
            <v>16215</v>
          </cell>
          <cell r="H48">
            <v>18404</v>
          </cell>
          <cell r="I48">
            <v>20492</v>
          </cell>
          <cell r="J48">
            <v>9948</v>
          </cell>
          <cell r="K48">
            <v>14126</v>
          </cell>
          <cell r="L48">
            <v>16215</v>
          </cell>
          <cell r="M48">
            <v>10854</v>
          </cell>
          <cell r="N48">
            <v>20080</v>
          </cell>
          <cell r="O48">
            <v>10854</v>
          </cell>
          <cell r="P48">
            <v>15413</v>
          </cell>
          <cell r="Q48">
            <v>17692</v>
          </cell>
          <cell r="R48">
            <v>20080</v>
          </cell>
          <cell r="S48">
            <v>22360</v>
          </cell>
          <cell r="T48">
            <v>10854</v>
          </cell>
          <cell r="U48">
            <v>15413</v>
          </cell>
          <cell r="V48">
            <v>17692</v>
          </cell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  <cell r="BZ48"/>
          <cell r="CA48"/>
          <cell r="CB48"/>
          <cell r="CC48"/>
          <cell r="CD48"/>
        </row>
        <row r="49">
          <cell r="A49" t="str">
            <v>I</v>
          </cell>
          <cell r="B49" t="str">
            <v>Y</v>
          </cell>
          <cell r="C49">
            <v>8562</v>
          </cell>
          <cell r="D49">
            <v>15839</v>
          </cell>
          <cell r="E49">
            <v>8562</v>
          </cell>
          <cell r="F49">
            <v>12158</v>
          </cell>
          <cell r="G49">
            <v>13956</v>
          </cell>
          <cell r="H49">
            <v>15839</v>
          </cell>
          <cell r="I49">
            <v>17637</v>
          </cell>
          <cell r="J49">
            <v>8562</v>
          </cell>
          <cell r="K49">
            <v>12158</v>
          </cell>
          <cell r="L49">
            <v>13956</v>
          </cell>
          <cell r="M49">
            <v>9342</v>
          </cell>
          <cell r="N49">
            <v>17282</v>
          </cell>
          <cell r="O49">
            <v>9342</v>
          </cell>
          <cell r="P49">
            <v>13266</v>
          </cell>
          <cell r="Q49">
            <v>15227</v>
          </cell>
          <cell r="R49">
            <v>17282</v>
          </cell>
          <cell r="S49">
            <v>19244</v>
          </cell>
          <cell r="T49">
            <v>9342</v>
          </cell>
          <cell r="U49">
            <v>13266</v>
          </cell>
          <cell r="V49">
            <v>15227</v>
          </cell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  <cell r="CD49"/>
        </row>
        <row r="50">
          <cell r="A50" t="str">
            <v>J</v>
          </cell>
          <cell r="B50" t="str">
            <v>D</v>
          </cell>
          <cell r="C50">
            <v>8769</v>
          </cell>
          <cell r="D50">
            <v>16223</v>
          </cell>
          <cell r="E50">
            <v>8769</v>
          </cell>
          <cell r="F50">
            <v>12452</v>
          </cell>
          <cell r="G50">
            <v>14293</v>
          </cell>
          <cell r="H50">
            <v>16223</v>
          </cell>
          <cell r="I50">
            <v>18064</v>
          </cell>
          <cell r="J50">
            <v>8769</v>
          </cell>
          <cell r="K50">
            <v>12452</v>
          </cell>
          <cell r="L50">
            <v>14293</v>
          </cell>
          <cell r="M50">
            <v>9565</v>
          </cell>
          <cell r="N50">
            <v>17695</v>
          </cell>
          <cell r="O50">
            <v>9565</v>
          </cell>
          <cell r="P50">
            <v>13582</v>
          </cell>
          <cell r="Q50">
            <v>15591</v>
          </cell>
          <cell r="R50">
            <v>17695</v>
          </cell>
          <cell r="S50">
            <v>19704</v>
          </cell>
          <cell r="T50">
            <v>9565</v>
          </cell>
          <cell r="U50">
            <v>13582</v>
          </cell>
          <cell r="V50">
            <v>15591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  <cell r="CD50"/>
        </row>
        <row r="51">
          <cell r="A51" t="str">
            <v>J</v>
          </cell>
          <cell r="B51" t="str">
            <v>A</v>
          </cell>
          <cell r="C51">
            <v>11663</v>
          </cell>
          <cell r="D51">
            <v>21577</v>
          </cell>
          <cell r="E51">
            <v>11663</v>
          </cell>
          <cell r="F51">
            <v>16561</v>
          </cell>
          <cell r="G51">
            <v>19010</v>
          </cell>
          <cell r="H51">
            <v>21577</v>
          </cell>
          <cell r="I51">
            <v>24025</v>
          </cell>
          <cell r="J51">
            <v>11663</v>
          </cell>
          <cell r="K51">
            <v>16561</v>
          </cell>
          <cell r="L51">
            <v>19010</v>
          </cell>
          <cell r="M51">
            <v>12721</v>
          </cell>
          <cell r="N51">
            <v>23534</v>
          </cell>
          <cell r="O51">
            <v>12721</v>
          </cell>
          <cell r="P51">
            <v>18064</v>
          </cell>
          <cell r="Q51">
            <v>20736</v>
          </cell>
          <cell r="R51">
            <v>23534</v>
          </cell>
          <cell r="S51">
            <v>26206</v>
          </cell>
          <cell r="T51">
            <v>12721</v>
          </cell>
          <cell r="U51">
            <v>18064</v>
          </cell>
          <cell r="V51">
            <v>20736</v>
          </cell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  <cell r="BZ51"/>
          <cell r="CA51"/>
          <cell r="CB51"/>
          <cell r="CC51"/>
          <cell r="CD51"/>
        </row>
        <row r="52">
          <cell r="A52" t="str">
            <v>J</v>
          </cell>
          <cell r="B52" t="str">
            <v>B</v>
          </cell>
          <cell r="C52">
            <v>10698</v>
          </cell>
          <cell r="D52">
            <v>19792</v>
          </cell>
          <cell r="E52">
            <v>10698</v>
          </cell>
          <cell r="F52">
            <v>15191</v>
          </cell>
          <cell r="G52">
            <v>17437</v>
          </cell>
          <cell r="H52">
            <v>19792</v>
          </cell>
          <cell r="I52">
            <v>22038</v>
          </cell>
          <cell r="J52">
            <v>10698</v>
          </cell>
          <cell r="K52">
            <v>15191</v>
          </cell>
          <cell r="L52">
            <v>17437</v>
          </cell>
          <cell r="M52">
            <v>11669</v>
          </cell>
          <cell r="N52">
            <v>21588</v>
          </cell>
          <cell r="O52">
            <v>11669</v>
          </cell>
          <cell r="P52">
            <v>16570</v>
          </cell>
          <cell r="Q52">
            <v>19021</v>
          </cell>
          <cell r="R52">
            <v>21588</v>
          </cell>
          <cell r="S52">
            <v>24039</v>
          </cell>
          <cell r="T52">
            <v>11669</v>
          </cell>
          <cell r="U52">
            <v>16570</v>
          </cell>
          <cell r="V52">
            <v>19021</v>
          </cell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  <cell r="CD52"/>
        </row>
        <row r="53">
          <cell r="A53" t="str">
            <v>J</v>
          </cell>
          <cell r="B53" t="str">
            <v>Y</v>
          </cell>
          <cell r="C53">
            <v>9207</v>
          </cell>
          <cell r="D53">
            <v>17034</v>
          </cell>
          <cell r="E53">
            <v>9207</v>
          </cell>
          <cell r="F53">
            <v>13075</v>
          </cell>
          <cell r="G53">
            <v>15008</v>
          </cell>
          <cell r="H53">
            <v>17034</v>
          </cell>
          <cell r="I53">
            <v>18967</v>
          </cell>
          <cell r="J53">
            <v>9207</v>
          </cell>
          <cell r="K53">
            <v>13075</v>
          </cell>
          <cell r="L53">
            <v>15008</v>
          </cell>
          <cell r="M53">
            <v>10043</v>
          </cell>
          <cell r="N53">
            <v>18580</v>
          </cell>
          <cell r="O53">
            <v>10043</v>
          </cell>
          <cell r="P53">
            <v>14261</v>
          </cell>
          <cell r="Q53">
            <v>16371</v>
          </cell>
          <cell r="R53">
            <v>18580</v>
          </cell>
          <cell r="S53">
            <v>20689</v>
          </cell>
          <cell r="T53">
            <v>10043</v>
          </cell>
          <cell r="U53">
            <v>14261</v>
          </cell>
          <cell r="V53">
            <v>16371</v>
          </cell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  <cell r="BZ53"/>
          <cell r="CA53"/>
          <cell r="CB53"/>
          <cell r="CC53"/>
          <cell r="CD53"/>
        </row>
        <row r="54">
          <cell r="A54" t="str">
            <v>K</v>
          </cell>
          <cell r="B54" t="str">
            <v>D</v>
          </cell>
          <cell r="C54">
            <v>9296</v>
          </cell>
          <cell r="D54">
            <v>17198</v>
          </cell>
          <cell r="E54">
            <v>9296</v>
          </cell>
          <cell r="F54">
            <v>13200</v>
          </cell>
          <cell r="G54">
            <v>15152</v>
          </cell>
          <cell r="H54">
            <v>17198</v>
          </cell>
          <cell r="I54">
            <v>19150</v>
          </cell>
          <cell r="J54">
            <v>9296</v>
          </cell>
          <cell r="K54">
            <v>13200</v>
          </cell>
          <cell r="L54">
            <v>15152</v>
          </cell>
          <cell r="M54">
            <v>10147</v>
          </cell>
          <cell r="N54">
            <v>18772</v>
          </cell>
          <cell r="O54">
            <v>10147</v>
          </cell>
          <cell r="P54">
            <v>14409</v>
          </cell>
          <cell r="Q54">
            <v>16540</v>
          </cell>
          <cell r="R54">
            <v>18772</v>
          </cell>
          <cell r="S54">
            <v>20903</v>
          </cell>
          <cell r="T54">
            <v>10147</v>
          </cell>
          <cell r="U54">
            <v>14409</v>
          </cell>
          <cell r="V54">
            <v>16540</v>
          </cell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  <cell r="CD54"/>
        </row>
        <row r="55">
          <cell r="A55" t="str">
            <v>K</v>
          </cell>
          <cell r="B55" t="str">
            <v>A</v>
          </cell>
          <cell r="C55">
            <v>12364</v>
          </cell>
          <cell r="D55">
            <v>22873</v>
          </cell>
          <cell r="E55">
            <v>12364</v>
          </cell>
          <cell r="F55">
            <v>17556</v>
          </cell>
          <cell r="G55">
            <v>20152</v>
          </cell>
          <cell r="H55">
            <v>22873</v>
          </cell>
          <cell r="I55">
            <v>25470</v>
          </cell>
          <cell r="J55">
            <v>12364</v>
          </cell>
          <cell r="K55">
            <v>17556</v>
          </cell>
          <cell r="L55">
            <v>20152</v>
          </cell>
          <cell r="M55">
            <v>13496</v>
          </cell>
          <cell r="N55">
            <v>24967</v>
          </cell>
          <cell r="O55">
            <v>13496</v>
          </cell>
          <cell r="P55">
            <v>19164</v>
          </cell>
          <cell r="Q55">
            <v>21998</v>
          </cell>
          <cell r="R55">
            <v>24967</v>
          </cell>
          <cell r="S55">
            <v>27801</v>
          </cell>
          <cell r="T55">
            <v>13496</v>
          </cell>
          <cell r="U55">
            <v>19164</v>
          </cell>
          <cell r="V55">
            <v>21998</v>
          </cell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  <cell r="CD55"/>
        </row>
        <row r="56">
          <cell r="A56" t="str">
            <v>K</v>
          </cell>
          <cell r="B56" t="str">
            <v>B</v>
          </cell>
          <cell r="C56">
            <v>11341</v>
          </cell>
          <cell r="D56">
            <v>20982</v>
          </cell>
          <cell r="E56">
            <v>11341</v>
          </cell>
          <cell r="F56">
            <v>16104</v>
          </cell>
          <cell r="G56">
            <v>18485</v>
          </cell>
          <cell r="H56">
            <v>20982</v>
          </cell>
          <cell r="I56">
            <v>23363</v>
          </cell>
          <cell r="J56">
            <v>11341</v>
          </cell>
          <cell r="K56">
            <v>16104</v>
          </cell>
          <cell r="L56">
            <v>18485</v>
          </cell>
          <cell r="M56">
            <v>12379</v>
          </cell>
          <cell r="N56">
            <v>22902</v>
          </cell>
          <cell r="O56">
            <v>12379</v>
          </cell>
          <cell r="P56">
            <v>17579</v>
          </cell>
          <cell r="Q56">
            <v>20179</v>
          </cell>
          <cell r="R56">
            <v>22902</v>
          </cell>
          <cell r="S56">
            <v>25502</v>
          </cell>
          <cell r="T56">
            <v>12379</v>
          </cell>
          <cell r="U56">
            <v>17579</v>
          </cell>
          <cell r="V56">
            <v>20179</v>
          </cell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  <cell r="CD56"/>
        </row>
        <row r="57">
          <cell r="A57" t="str">
            <v>K</v>
          </cell>
          <cell r="B57" t="str">
            <v>Y</v>
          </cell>
          <cell r="C57">
            <v>9761</v>
          </cell>
          <cell r="D57">
            <v>18058</v>
          </cell>
          <cell r="E57">
            <v>9761</v>
          </cell>
          <cell r="F57">
            <v>13860</v>
          </cell>
          <cell r="G57">
            <v>15910</v>
          </cell>
          <cell r="H57">
            <v>18058</v>
          </cell>
          <cell r="I57">
            <v>20108</v>
          </cell>
          <cell r="J57">
            <v>9761</v>
          </cell>
          <cell r="K57">
            <v>13860</v>
          </cell>
          <cell r="L57">
            <v>15910</v>
          </cell>
          <cell r="M57">
            <v>10654</v>
          </cell>
          <cell r="N57">
            <v>19711</v>
          </cell>
          <cell r="O57">
            <v>10654</v>
          </cell>
          <cell r="P57">
            <v>15129</v>
          </cell>
          <cell r="Q57">
            <v>17367</v>
          </cell>
          <cell r="R57">
            <v>19711</v>
          </cell>
          <cell r="S57">
            <v>21948</v>
          </cell>
          <cell r="T57">
            <v>10654</v>
          </cell>
          <cell r="U57">
            <v>15129</v>
          </cell>
          <cell r="V57">
            <v>17367</v>
          </cell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  <cell r="CD57"/>
        </row>
        <row r="58">
          <cell r="A58" t="str">
            <v>L</v>
          </cell>
          <cell r="B58" t="str">
            <v>D</v>
          </cell>
          <cell r="C58">
            <v>9815</v>
          </cell>
          <cell r="D58">
            <v>18158</v>
          </cell>
          <cell r="E58">
            <v>9815</v>
          </cell>
          <cell r="F58">
            <v>13937</v>
          </cell>
          <cell r="G58">
            <v>15998</v>
          </cell>
          <cell r="H58">
            <v>18158</v>
          </cell>
          <cell r="I58">
            <v>20219</v>
          </cell>
          <cell r="J58">
            <v>9815</v>
          </cell>
          <cell r="K58">
            <v>13937</v>
          </cell>
          <cell r="L58">
            <v>15998</v>
          </cell>
          <cell r="M58">
            <v>10714</v>
          </cell>
          <cell r="N58">
            <v>19821</v>
          </cell>
          <cell r="O58">
            <v>10714</v>
          </cell>
          <cell r="P58">
            <v>15214</v>
          </cell>
          <cell r="Q58">
            <v>17464</v>
          </cell>
          <cell r="R58">
            <v>19821</v>
          </cell>
          <cell r="S58">
            <v>22071</v>
          </cell>
          <cell r="T58">
            <v>10714</v>
          </cell>
          <cell r="U58">
            <v>15214</v>
          </cell>
          <cell r="V58">
            <v>17464</v>
          </cell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  <cell r="CD58"/>
        </row>
        <row r="59">
          <cell r="A59" t="str">
            <v>L</v>
          </cell>
          <cell r="B59" t="str">
            <v>A</v>
          </cell>
          <cell r="C59">
            <v>13054</v>
          </cell>
          <cell r="D59">
            <v>24150</v>
          </cell>
          <cell r="E59">
            <v>13054</v>
          </cell>
          <cell r="F59">
            <v>18536</v>
          </cell>
          <cell r="G59">
            <v>21277</v>
          </cell>
          <cell r="H59">
            <v>24150</v>
          </cell>
          <cell r="I59">
            <v>26891</v>
          </cell>
          <cell r="J59">
            <v>13054</v>
          </cell>
          <cell r="K59">
            <v>18536</v>
          </cell>
          <cell r="L59">
            <v>21277</v>
          </cell>
          <cell r="M59">
            <v>14250</v>
          </cell>
          <cell r="N59">
            <v>26362</v>
          </cell>
          <cell r="O59">
            <v>14250</v>
          </cell>
          <cell r="P59">
            <v>20235</v>
          </cell>
          <cell r="Q59">
            <v>23227</v>
          </cell>
          <cell r="R59">
            <v>26362</v>
          </cell>
          <cell r="S59">
            <v>29354</v>
          </cell>
          <cell r="T59">
            <v>14250</v>
          </cell>
          <cell r="U59">
            <v>20235</v>
          </cell>
          <cell r="V59">
            <v>23227</v>
          </cell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  <cell r="BZ59"/>
          <cell r="CA59"/>
          <cell r="CB59"/>
          <cell r="CC59"/>
          <cell r="CD59"/>
        </row>
        <row r="60">
          <cell r="A60" t="str">
            <v>L</v>
          </cell>
          <cell r="B60" t="str">
            <v>B</v>
          </cell>
          <cell r="C60">
            <v>11974</v>
          </cell>
          <cell r="D60">
            <v>22153</v>
          </cell>
          <cell r="E60">
            <v>11974</v>
          </cell>
          <cell r="F60">
            <v>17003</v>
          </cell>
          <cell r="G60">
            <v>19518</v>
          </cell>
          <cell r="H60">
            <v>22153</v>
          </cell>
          <cell r="I60">
            <v>24667</v>
          </cell>
          <cell r="J60">
            <v>11974</v>
          </cell>
          <cell r="K60">
            <v>17003</v>
          </cell>
          <cell r="L60">
            <v>19518</v>
          </cell>
          <cell r="M60">
            <v>13071</v>
          </cell>
          <cell r="N60">
            <v>24182</v>
          </cell>
          <cell r="O60">
            <v>13071</v>
          </cell>
          <cell r="P60">
            <v>18561</v>
          </cell>
          <cell r="Q60">
            <v>21306</v>
          </cell>
          <cell r="R60">
            <v>24182</v>
          </cell>
          <cell r="S60">
            <v>26927</v>
          </cell>
          <cell r="T60">
            <v>13071</v>
          </cell>
          <cell r="U60">
            <v>18561</v>
          </cell>
          <cell r="V60">
            <v>21306</v>
          </cell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  <cell r="BZ60"/>
          <cell r="CA60"/>
          <cell r="CB60"/>
          <cell r="CC60"/>
          <cell r="CD60"/>
        </row>
        <row r="61">
          <cell r="A61" t="str">
            <v>L</v>
          </cell>
          <cell r="B61" t="str">
            <v>Y</v>
          </cell>
          <cell r="C61">
            <v>10306</v>
          </cell>
          <cell r="D61">
            <v>19066</v>
          </cell>
          <cell r="E61">
            <v>10306</v>
          </cell>
          <cell r="F61">
            <v>14634</v>
          </cell>
          <cell r="G61">
            <v>16798</v>
          </cell>
          <cell r="H61">
            <v>19066</v>
          </cell>
          <cell r="I61">
            <v>21230</v>
          </cell>
          <cell r="J61">
            <v>10306</v>
          </cell>
          <cell r="K61">
            <v>14634</v>
          </cell>
          <cell r="L61">
            <v>16798</v>
          </cell>
          <cell r="M61">
            <v>11250</v>
          </cell>
          <cell r="N61">
            <v>20812</v>
          </cell>
          <cell r="O61">
            <v>11250</v>
          </cell>
          <cell r="P61">
            <v>15975</v>
          </cell>
          <cell r="Q61">
            <v>18337</v>
          </cell>
          <cell r="R61">
            <v>20812</v>
          </cell>
          <cell r="S61">
            <v>23175</v>
          </cell>
          <cell r="T61">
            <v>11250</v>
          </cell>
          <cell r="U61">
            <v>15975</v>
          </cell>
          <cell r="V61">
            <v>18337</v>
          </cell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  <cell r="CD61"/>
        </row>
        <row r="62">
          <cell r="A62" t="str">
            <v>M</v>
          </cell>
          <cell r="B62" t="str">
            <v>D</v>
          </cell>
          <cell r="C62">
            <v>10306</v>
          </cell>
          <cell r="D62">
            <v>19066</v>
          </cell>
          <cell r="E62">
            <v>10306</v>
          </cell>
          <cell r="F62">
            <v>14635</v>
          </cell>
          <cell r="G62">
            <v>16799</v>
          </cell>
          <cell r="H62">
            <v>19066</v>
          </cell>
          <cell r="I62">
            <v>21230</v>
          </cell>
          <cell r="J62">
            <v>10306</v>
          </cell>
          <cell r="K62">
            <v>14635</v>
          </cell>
          <cell r="L62">
            <v>16799</v>
          </cell>
          <cell r="M62">
            <v>11245</v>
          </cell>
          <cell r="N62">
            <v>20803</v>
          </cell>
          <cell r="O62">
            <v>11245</v>
          </cell>
          <cell r="P62">
            <v>15968</v>
          </cell>
          <cell r="Q62">
            <v>18329</v>
          </cell>
          <cell r="R62">
            <v>20803</v>
          </cell>
          <cell r="S62">
            <v>23165</v>
          </cell>
          <cell r="T62">
            <v>11245</v>
          </cell>
          <cell r="U62">
            <v>15968</v>
          </cell>
          <cell r="V62">
            <v>18329</v>
          </cell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  <cell r="CD62"/>
        </row>
        <row r="63">
          <cell r="A63" t="str">
            <v>M</v>
          </cell>
          <cell r="B63" t="str">
            <v>A</v>
          </cell>
          <cell r="C63">
            <v>13707</v>
          </cell>
          <cell r="D63">
            <v>25358</v>
          </cell>
          <cell r="E63">
            <v>13707</v>
          </cell>
          <cell r="F63">
            <v>19465</v>
          </cell>
          <cell r="G63">
            <v>22343</v>
          </cell>
          <cell r="H63">
            <v>25358</v>
          </cell>
          <cell r="I63">
            <v>28236</v>
          </cell>
          <cell r="J63">
            <v>13707</v>
          </cell>
          <cell r="K63">
            <v>19465</v>
          </cell>
          <cell r="L63">
            <v>22343</v>
          </cell>
          <cell r="M63">
            <v>14956</v>
          </cell>
          <cell r="N63">
            <v>27668</v>
          </cell>
          <cell r="O63">
            <v>14956</v>
          </cell>
          <cell r="P63">
            <v>21237</v>
          </cell>
          <cell r="Q63">
            <v>24378</v>
          </cell>
          <cell r="R63">
            <v>27668</v>
          </cell>
          <cell r="S63">
            <v>30809</v>
          </cell>
          <cell r="T63">
            <v>14956</v>
          </cell>
          <cell r="U63">
            <v>21237</v>
          </cell>
          <cell r="V63">
            <v>24378</v>
          </cell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  <cell r="CD63"/>
        </row>
        <row r="64">
          <cell r="A64" t="str">
            <v>M</v>
          </cell>
          <cell r="B64" t="str">
            <v>B</v>
          </cell>
          <cell r="C64">
            <v>12573</v>
          </cell>
          <cell r="D64">
            <v>23261</v>
          </cell>
          <cell r="E64">
            <v>12573</v>
          </cell>
          <cell r="F64">
            <v>17855</v>
          </cell>
          <cell r="G64">
            <v>20495</v>
          </cell>
          <cell r="H64">
            <v>23261</v>
          </cell>
          <cell r="I64">
            <v>25901</v>
          </cell>
          <cell r="J64">
            <v>12573</v>
          </cell>
          <cell r="K64">
            <v>17855</v>
          </cell>
          <cell r="L64">
            <v>20495</v>
          </cell>
          <cell r="M64">
            <v>13719</v>
          </cell>
          <cell r="N64">
            <v>25380</v>
          </cell>
          <cell r="O64">
            <v>13719</v>
          </cell>
          <cell r="P64">
            <v>19481</v>
          </cell>
          <cell r="Q64">
            <v>22361</v>
          </cell>
          <cell r="R64">
            <v>25380</v>
          </cell>
          <cell r="S64">
            <v>28261</v>
          </cell>
          <cell r="T64">
            <v>13719</v>
          </cell>
          <cell r="U64">
            <v>19481</v>
          </cell>
          <cell r="V64">
            <v>22361</v>
          </cell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  <cell r="BZ64"/>
          <cell r="CA64"/>
          <cell r="CB64"/>
          <cell r="CC64"/>
          <cell r="CD64"/>
        </row>
        <row r="65">
          <cell r="A65" t="str">
            <v>M</v>
          </cell>
          <cell r="B65" t="str">
            <v>Y</v>
          </cell>
          <cell r="C65">
            <v>10821</v>
          </cell>
          <cell r="D65">
            <v>20019</v>
          </cell>
          <cell r="E65">
            <v>10821</v>
          </cell>
          <cell r="F65">
            <v>15367</v>
          </cell>
          <cell r="G65">
            <v>17639</v>
          </cell>
          <cell r="H65">
            <v>20019</v>
          </cell>
          <cell r="I65">
            <v>22292</v>
          </cell>
          <cell r="J65">
            <v>10821</v>
          </cell>
          <cell r="K65">
            <v>15367</v>
          </cell>
          <cell r="L65">
            <v>17639</v>
          </cell>
          <cell r="M65">
            <v>11807</v>
          </cell>
          <cell r="N65">
            <v>21843</v>
          </cell>
          <cell r="O65">
            <v>11807</v>
          </cell>
          <cell r="P65">
            <v>16766</v>
          </cell>
          <cell r="Q65">
            <v>19245</v>
          </cell>
          <cell r="R65">
            <v>21843</v>
          </cell>
          <cell r="S65">
            <v>24323</v>
          </cell>
          <cell r="T65">
            <v>11807</v>
          </cell>
          <cell r="U65">
            <v>16766</v>
          </cell>
          <cell r="V65">
            <v>19245</v>
          </cell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/>
          <cell r="CD65"/>
        </row>
        <row r="66">
          <cell r="A66" t="str">
            <v>N</v>
          </cell>
          <cell r="B66" t="str">
            <v>D</v>
          </cell>
          <cell r="C66">
            <v>11290</v>
          </cell>
          <cell r="D66">
            <v>20887</v>
          </cell>
          <cell r="E66">
            <v>11290</v>
          </cell>
          <cell r="F66">
            <v>16032</v>
          </cell>
          <cell r="G66">
            <v>18403</v>
          </cell>
          <cell r="H66">
            <v>20887</v>
          </cell>
          <cell r="I66">
            <v>23257</v>
          </cell>
          <cell r="J66">
            <v>0</v>
          </cell>
          <cell r="K66">
            <v>0</v>
          </cell>
          <cell r="L66">
            <v>0</v>
          </cell>
          <cell r="M66">
            <v>12318</v>
          </cell>
          <cell r="N66">
            <v>22788</v>
          </cell>
          <cell r="O66">
            <v>12318</v>
          </cell>
          <cell r="P66">
            <v>17492</v>
          </cell>
          <cell r="Q66">
            <v>20078</v>
          </cell>
          <cell r="R66">
            <v>22788</v>
          </cell>
          <cell r="S66">
            <v>25375</v>
          </cell>
          <cell r="T66">
            <v>0</v>
          </cell>
          <cell r="U66">
            <v>0</v>
          </cell>
          <cell r="V66">
            <v>0</v>
          </cell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  <cell r="BZ66"/>
          <cell r="CA66"/>
          <cell r="CB66"/>
          <cell r="CC66"/>
          <cell r="CD66"/>
        </row>
        <row r="67">
          <cell r="A67" t="str">
            <v>N</v>
          </cell>
          <cell r="B67" t="str">
            <v>A</v>
          </cell>
          <cell r="C67">
            <v>15016</v>
          </cell>
          <cell r="D67">
            <v>27780</v>
          </cell>
          <cell r="E67">
            <v>15016</v>
          </cell>
          <cell r="F67">
            <v>21323</v>
          </cell>
          <cell r="G67">
            <v>24476</v>
          </cell>
          <cell r="H67">
            <v>27780</v>
          </cell>
          <cell r="I67">
            <v>30932</v>
          </cell>
          <cell r="J67">
            <v>0</v>
          </cell>
          <cell r="K67">
            <v>0</v>
          </cell>
          <cell r="L67">
            <v>0</v>
          </cell>
          <cell r="M67">
            <v>16383</v>
          </cell>
          <cell r="N67">
            <v>30308</v>
          </cell>
          <cell r="O67">
            <v>16383</v>
          </cell>
          <cell r="P67">
            <v>23264</v>
          </cell>
          <cell r="Q67">
            <v>26704</v>
          </cell>
          <cell r="R67">
            <v>30308</v>
          </cell>
          <cell r="S67">
            <v>33749</v>
          </cell>
          <cell r="T67">
            <v>0</v>
          </cell>
          <cell r="U67">
            <v>0</v>
          </cell>
          <cell r="V67">
            <v>0</v>
          </cell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  <cell r="CD67"/>
        </row>
        <row r="68">
          <cell r="A68" t="str">
            <v>N</v>
          </cell>
          <cell r="B68" t="str">
            <v>B</v>
          </cell>
          <cell r="C68">
            <v>13774</v>
          </cell>
          <cell r="D68">
            <v>25482</v>
          </cell>
          <cell r="E68">
            <v>13774</v>
          </cell>
          <cell r="F68">
            <v>19559</v>
          </cell>
          <cell r="G68">
            <v>22452</v>
          </cell>
          <cell r="H68">
            <v>25482</v>
          </cell>
          <cell r="I68">
            <v>28374</v>
          </cell>
          <cell r="J68">
            <v>0</v>
          </cell>
          <cell r="K68">
            <v>0</v>
          </cell>
          <cell r="L68">
            <v>0</v>
          </cell>
          <cell r="M68">
            <v>15028</v>
          </cell>
          <cell r="N68">
            <v>27801</v>
          </cell>
          <cell r="O68">
            <v>15028</v>
          </cell>
          <cell r="P68">
            <v>21340</v>
          </cell>
          <cell r="Q68">
            <v>24495</v>
          </cell>
          <cell r="R68">
            <v>27801</v>
          </cell>
          <cell r="S68">
            <v>30958</v>
          </cell>
          <cell r="T68">
            <v>0</v>
          </cell>
          <cell r="U68">
            <v>0</v>
          </cell>
          <cell r="V68">
            <v>0</v>
          </cell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/>
          <cell r="CD68"/>
        </row>
        <row r="69">
          <cell r="A69" t="str">
            <v>N</v>
          </cell>
          <cell r="B69" t="str">
            <v>Y</v>
          </cell>
          <cell r="C69">
            <v>11855</v>
          </cell>
          <cell r="D69">
            <v>21931</v>
          </cell>
          <cell r="E69">
            <v>11855</v>
          </cell>
          <cell r="F69">
            <v>16834</v>
          </cell>
          <cell r="G69">
            <v>19323</v>
          </cell>
          <cell r="H69">
            <v>21931</v>
          </cell>
          <cell r="I69">
            <v>24420</v>
          </cell>
          <cell r="J69">
            <v>0</v>
          </cell>
          <cell r="K69">
            <v>0</v>
          </cell>
          <cell r="L69">
            <v>0</v>
          </cell>
          <cell r="M69">
            <v>12934</v>
          </cell>
          <cell r="N69">
            <v>23927</v>
          </cell>
          <cell r="O69">
            <v>12934</v>
          </cell>
          <cell r="P69">
            <v>18367</v>
          </cell>
          <cell r="Q69">
            <v>21082</v>
          </cell>
          <cell r="R69">
            <v>23927</v>
          </cell>
          <cell r="S69">
            <v>26644</v>
          </cell>
          <cell r="T69">
            <v>0</v>
          </cell>
          <cell r="U69">
            <v>0</v>
          </cell>
          <cell r="V69">
            <v>0</v>
          </cell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  <cell r="BZ69"/>
          <cell r="CA69"/>
          <cell r="CB69"/>
          <cell r="CC69"/>
          <cell r="CD69"/>
        </row>
        <row r="70">
          <cell r="A70" t="str">
            <v>I</v>
          </cell>
          <cell r="B70" t="str">
            <v>D</v>
          </cell>
          <cell r="C70">
            <v>5188</v>
          </cell>
          <cell r="D70">
            <v>9598</v>
          </cell>
          <cell r="E70">
            <v>5188</v>
          </cell>
          <cell r="F70">
            <v>7367</v>
          </cell>
          <cell r="G70">
            <v>8456</v>
          </cell>
          <cell r="H70">
            <v>9598</v>
          </cell>
          <cell r="I70">
            <v>10687</v>
          </cell>
          <cell r="J70">
            <v>5188</v>
          </cell>
          <cell r="K70">
            <v>7367</v>
          </cell>
          <cell r="L70">
            <v>8456</v>
          </cell>
          <cell r="M70">
            <v>5686</v>
          </cell>
          <cell r="N70">
            <v>10519</v>
          </cell>
          <cell r="O70">
            <v>5686</v>
          </cell>
          <cell r="P70">
            <v>8074</v>
          </cell>
          <cell r="Q70">
            <v>9268</v>
          </cell>
          <cell r="R70">
            <v>10519</v>
          </cell>
          <cell r="S70">
            <v>11713</v>
          </cell>
          <cell r="T70">
            <v>5686</v>
          </cell>
          <cell r="U70">
            <v>8074</v>
          </cell>
          <cell r="V70">
            <v>9268</v>
          </cell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  <cell r="BZ70"/>
          <cell r="CA70"/>
          <cell r="CB70"/>
          <cell r="CC70"/>
          <cell r="CD70"/>
        </row>
        <row r="71">
          <cell r="A71" t="str">
            <v>I</v>
          </cell>
          <cell r="B71" t="str">
            <v>B</v>
          </cell>
          <cell r="C71">
            <v>6329</v>
          </cell>
          <cell r="D71">
            <v>11710</v>
          </cell>
          <cell r="E71">
            <v>6329</v>
          </cell>
          <cell r="F71">
            <v>8988</v>
          </cell>
          <cell r="G71">
            <v>10316</v>
          </cell>
          <cell r="H71">
            <v>11710</v>
          </cell>
          <cell r="I71">
            <v>13038</v>
          </cell>
          <cell r="J71">
            <v>6329</v>
          </cell>
          <cell r="K71">
            <v>8988</v>
          </cell>
          <cell r="L71">
            <v>10316</v>
          </cell>
          <cell r="M71">
            <v>6937</v>
          </cell>
          <cell r="N71">
            <v>12833</v>
          </cell>
          <cell r="O71">
            <v>6937</v>
          </cell>
          <cell r="P71">
            <v>9850</v>
          </cell>
          <cell r="Q71">
            <v>11307</v>
          </cell>
          <cell r="R71">
            <v>12833</v>
          </cell>
          <cell r="S71">
            <v>14290</v>
          </cell>
          <cell r="T71">
            <v>6937</v>
          </cell>
          <cell r="U71">
            <v>9850</v>
          </cell>
          <cell r="V71">
            <v>11307</v>
          </cell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  <cell r="CD71"/>
        </row>
        <row r="72">
          <cell r="A72" t="str">
            <v>I</v>
          </cell>
          <cell r="B72" t="str">
            <v>A-S</v>
          </cell>
          <cell r="C72">
            <v>6900</v>
          </cell>
          <cell r="D72">
            <v>12765</v>
          </cell>
          <cell r="E72">
            <v>6900</v>
          </cell>
          <cell r="F72">
            <v>9798</v>
          </cell>
          <cell r="G72">
            <v>11246</v>
          </cell>
          <cell r="H72">
            <v>12765</v>
          </cell>
          <cell r="I72">
            <v>14214</v>
          </cell>
          <cell r="J72">
            <v>6900</v>
          </cell>
          <cell r="K72">
            <v>9798</v>
          </cell>
          <cell r="L72">
            <v>11246</v>
          </cell>
          <cell r="M72">
            <v>7562</v>
          </cell>
          <cell r="N72">
            <v>13990</v>
          </cell>
          <cell r="O72">
            <v>7562</v>
          </cell>
          <cell r="P72">
            <v>10738</v>
          </cell>
          <cell r="Q72">
            <v>12326</v>
          </cell>
          <cell r="R72">
            <v>13990</v>
          </cell>
          <cell r="S72">
            <v>15578</v>
          </cell>
          <cell r="T72">
            <v>7562</v>
          </cell>
          <cell r="U72">
            <v>10738</v>
          </cell>
          <cell r="V72">
            <v>12326</v>
          </cell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  <cell r="BZ72"/>
          <cell r="CA72"/>
          <cell r="CB72"/>
          <cell r="CC72"/>
          <cell r="CD72"/>
        </row>
        <row r="73">
          <cell r="A73" t="str">
            <v>II</v>
          </cell>
          <cell r="B73" t="str">
            <v>D</v>
          </cell>
          <cell r="C73">
            <v>5390</v>
          </cell>
          <cell r="D73">
            <v>9972</v>
          </cell>
          <cell r="E73">
            <v>5390</v>
          </cell>
          <cell r="F73">
            <v>7654</v>
          </cell>
          <cell r="G73">
            <v>8786</v>
          </cell>
          <cell r="H73">
            <v>9972</v>
          </cell>
          <cell r="I73">
            <v>11103</v>
          </cell>
          <cell r="J73">
            <v>5390</v>
          </cell>
          <cell r="K73">
            <v>7654</v>
          </cell>
          <cell r="L73">
            <v>8786</v>
          </cell>
          <cell r="M73">
            <v>5903</v>
          </cell>
          <cell r="N73">
            <v>10921</v>
          </cell>
          <cell r="O73">
            <v>5903</v>
          </cell>
          <cell r="P73">
            <v>8382</v>
          </cell>
          <cell r="Q73">
            <v>9622</v>
          </cell>
          <cell r="R73">
            <v>10921</v>
          </cell>
          <cell r="S73">
            <v>12160</v>
          </cell>
          <cell r="T73">
            <v>5903</v>
          </cell>
          <cell r="U73">
            <v>8382</v>
          </cell>
          <cell r="V73">
            <v>9622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  <cell r="CD73"/>
        </row>
        <row r="74">
          <cell r="A74" t="str">
            <v>II</v>
          </cell>
          <cell r="B74" t="str">
            <v>B</v>
          </cell>
          <cell r="C74">
            <v>6576</v>
          </cell>
          <cell r="D74">
            <v>12166</v>
          </cell>
          <cell r="E74">
            <v>6576</v>
          </cell>
          <cell r="F74">
            <v>9338</v>
          </cell>
          <cell r="G74">
            <v>10719</v>
          </cell>
          <cell r="H74">
            <v>12166</v>
          </cell>
          <cell r="I74">
            <v>13546</v>
          </cell>
          <cell r="J74">
            <v>6576</v>
          </cell>
          <cell r="K74">
            <v>9338</v>
          </cell>
          <cell r="L74">
            <v>10719</v>
          </cell>
          <cell r="M74">
            <v>7202</v>
          </cell>
          <cell r="N74">
            <v>13324</v>
          </cell>
          <cell r="O74">
            <v>7202</v>
          </cell>
          <cell r="P74">
            <v>10226</v>
          </cell>
          <cell r="Q74">
            <v>11739</v>
          </cell>
          <cell r="R74">
            <v>13324</v>
          </cell>
          <cell r="S74">
            <v>14835</v>
          </cell>
          <cell r="T74">
            <v>7202</v>
          </cell>
          <cell r="U74">
            <v>10226</v>
          </cell>
          <cell r="V74">
            <v>11739</v>
          </cell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  <cell r="BZ74"/>
          <cell r="CA74"/>
          <cell r="CB74"/>
          <cell r="CC74"/>
          <cell r="CD74"/>
        </row>
        <row r="75">
          <cell r="A75" t="str">
            <v>II</v>
          </cell>
          <cell r="B75" t="str">
            <v>A-S</v>
          </cell>
          <cell r="C75">
            <v>7169</v>
          </cell>
          <cell r="D75">
            <v>13263</v>
          </cell>
          <cell r="E75">
            <v>7169</v>
          </cell>
          <cell r="F75">
            <v>10180</v>
          </cell>
          <cell r="G75">
            <v>11685</v>
          </cell>
          <cell r="H75">
            <v>13263</v>
          </cell>
          <cell r="I75">
            <v>14767</v>
          </cell>
          <cell r="J75">
            <v>7169</v>
          </cell>
          <cell r="K75">
            <v>10180</v>
          </cell>
          <cell r="L75">
            <v>11685</v>
          </cell>
          <cell r="M75">
            <v>7851</v>
          </cell>
          <cell r="N75">
            <v>14525</v>
          </cell>
          <cell r="O75">
            <v>7851</v>
          </cell>
          <cell r="P75">
            <v>11148</v>
          </cell>
          <cell r="Q75">
            <v>12797</v>
          </cell>
          <cell r="R75">
            <v>14525</v>
          </cell>
          <cell r="S75">
            <v>16173</v>
          </cell>
          <cell r="T75">
            <v>7851</v>
          </cell>
          <cell r="U75">
            <v>11148</v>
          </cell>
          <cell r="V75">
            <v>12797</v>
          </cell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  <cell r="CD75"/>
        </row>
        <row r="76">
          <cell r="A76" t="str">
            <v>III</v>
          </cell>
          <cell r="B76" t="str">
            <v>D</v>
          </cell>
          <cell r="C76">
            <v>5619</v>
          </cell>
          <cell r="D76">
            <v>10395</v>
          </cell>
          <cell r="E76">
            <v>5619</v>
          </cell>
          <cell r="F76">
            <v>7979</v>
          </cell>
          <cell r="G76">
            <v>9159</v>
          </cell>
          <cell r="H76">
            <v>10395</v>
          </cell>
          <cell r="I76">
            <v>11575</v>
          </cell>
          <cell r="J76">
            <v>5619</v>
          </cell>
          <cell r="K76">
            <v>7979</v>
          </cell>
          <cell r="L76">
            <v>9159</v>
          </cell>
          <cell r="M76">
            <v>6149</v>
          </cell>
          <cell r="N76">
            <v>11376</v>
          </cell>
          <cell r="O76">
            <v>6149</v>
          </cell>
          <cell r="P76">
            <v>8732</v>
          </cell>
          <cell r="Q76">
            <v>10023</v>
          </cell>
          <cell r="R76">
            <v>11376</v>
          </cell>
          <cell r="S76">
            <v>12667</v>
          </cell>
          <cell r="T76">
            <v>6149</v>
          </cell>
          <cell r="U76">
            <v>8732</v>
          </cell>
          <cell r="V76">
            <v>10023</v>
          </cell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  <cell r="CD76"/>
        </row>
        <row r="77">
          <cell r="A77" t="str">
            <v>III</v>
          </cell>
          <cell r="B77" t="str">
            <v>B</v>
          </cell>
          <cell r="C77">
            <v>6855</v>
          </cell>
          <cell r="D77">
            <v>12682</v>
          </cell>
          <cell r="E77">
            <v>6855</v>
          </cell>
          <cell r="F77">
            <v>9734</v>
          </cell>
          <cell r="G77">
            <v>11174</v>
          </cell>
          <cell r="H77">
            <v>12682</v>
          </cell>
          <cell r="I77">
            <v>14122</v>
          </cell>
          <cell r="J77">
            <v>6855</v>
          </cell>
          <cell r="K77">
            <v>9734</v>
          </cell>
          <cell r="L77">
            <v>11174</v>
          </cell>
          <cell r="M77">
            <v>7502</v>
          </cell>
          <cell r="N77">
            <v>13879</v>
          </cell>
          <cell r="O77">
            <v>7502</v>
          </cell>
          <cell r="P77">
            <v>10653</v>
          </cell>
          <cell r="Q77">
            <v>12228</v>
          </cell>
          <cell r="R77">
            <v>13879</v>
          </cell>
          <cell r="S77">
            <v>15454</v>
          </cell>
          <cell r="T77">
            <v>7502</v>
          </cell>
          <cell r="U77">
            <v>10653</v>
          </cell>
          <cell r="V77">
            <v>12228</v>
          </cell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  <cell r="CD77"/>
        </row>
        <row r="78">
          <cell r="A78" t="str">
            <v>III</v>
          </cell>
          <cell r="B78" t="str">
            <v>A-S</v>
          </cell>
          <cell r="C78">
            <v>7473</v>
          </cell>
          <cell r="D78">
            <v>13825</v>
          </cell>
          <cell r="E78">
            <v>7473</v>
          </cell>
          <cell r="F78">
            <v>10612</v>
          </cell>
          <cell r="G78">
            <v>12181</v>
          </cell>
          <cell r="H78">
            <v>13825</v>
          </cell>
          <cell r="I78">
            <v>15395</v>
          </cell>
          <cell r="J78">
            <v>7473</v>
          </cell>
          <cell r="K78">
            <v>10612</v>
          </cell>
          <cell r="L78">
            <v>12181</v>
          </cell>
          <cell r="M78">
            <v>8178</v>
          </cell>
          <cell r="N78">
            <v>15130</v>
          </cell>
          <cell r="O78">
            <v>8178</v>
          </cell>
          <cell r="P78">
            <v>11614</v>
          </cell>
          <cell r="Q78">
            <v>13331</v>
          </cell>
          <cell r="R78">
            <v>15130</v>
          </cell>
          <cell r="S78">
            <v>16847</v>
          </cell>
          <cell r="T78">
            <v>8178</v>
          </cell>
          <cell r="U78">
            <v>11614</v>
          </cell>
          <cell r="V78">
            <v>13331</v>
          </cell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  <cell r="CD78"/>
        </row>
        <row r="79">
          <cell r="A79" t="str">
            <v>IV</v>
          </cell>
          <cell r="B79" t="str">
            <v>D</v>
          </cell>
          <cell r="C79">
            <v>5878</v>
          </cell>
          <cell r="D79">
            <v>10874</v>
          </cell>
          <cell r="E79">
            <v>5878</v>
          </cell>
          <cell r="F79">
            <v>8347</v>
          </cell>
          <cell r="G79">
            <v>9581</v>
          </cell>
          <cell r="H79">
            <v>10874</v>
          </cell>
          <cell r="I79">
            <v>12109</v>
          </cell>
          <cell r="J79">
            <v>5878</v>
          </cell>
          <cell r="K79">
            <v>8347</v>
          </cell>
          <cell r="L79">
            <v>9581</v>
          </cell>
          <cell r="M79">
            <v>6450</v>
          </cell>
          <cell r="N79">
            <v>11933</v>
          </cell>
          <cell r="O79">
            <v>6450</v>
          </cell>
          <cell r="P79">
            <v>9159</v>
          </cell>
          <cell r="Q79">
            <v>10514</v>
          </cell>
          <cell r="R79">
            <v>11933</v>
          </cell>
          <cell r="S79">
            <v>13287</v>
          </cell>
          <cell r="T79">
            <v>6450</v>
          </cell>
          <cell r="U79">
            <v>9159</v>
          </cell>
          <cell r="V79">
            <v>10514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  <cell r="CD79"/>
        </row>
        <row r="80">
          <cell r="A80" t="str">
            <v>IV</v>
          </cell>
          <cell r="B80" t="str">
            <v>B</v>
          </cell>
          <cell r="C80">
            <v>7171</v>
          </cell>
          <cell r="D80">
            <v>13266</v>
          </cell>
          <cell r="E80">
            <v>7171</v>
          </cell>
          <cell r="F80">
            <v>10183</v>
          </cell>
          <cell r="G80">
            <v>11689</v>
          </cell>
          <cell r="H80">
            <v>13266</v>
          </cell>
          <cell r="I80">
            <v>14773</v>
          </cell>
          <cell r="J80">
            <v>7171</v>
          </cell>
          <cell r="K80">
            <v>10183</v>
          </cell>
          <cell r="L80">
            <v>11689</v>
          </cell>
          <cell r="M80">
            <v>7869</v>
          </cell>
          <cell r="N80">
            <v>14558</v>
          </cell>
          <cell r="O80">
            <v>7869</v>
          </cell>
          <cell r="P80">
            <v>11174</v>
          </cell>
          <cell r="Q80">
            <v>12827</v>
          </cell>
          <cell r="R80">
            <v>14558</v>
          </cell>
          <cell r="S80">
            <v>16210</v>
          </cell>
          <cell r="T80">
            <v>7869</v>
          </cell>
          <cell r="U80">
            <v>11174</v>
          </cell>
          <cell r="V80">
            <v>12827</v>
          </cell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  <cell r="CD80"/>
        </row>
        <row r="81">
          <cell r="A81" t="str">
            <v>IV</v>
          </cell>
          <cell r="B81" t="str">
            <v>A-S</v>
          </cell>
          <cell r="C81">
            <v>7818</v>
          </cell>
          <cell r="D81">
            <v>14462</v>
          </cell>
          <cell r="E81">
            <v>7818</v>
          </cell>
          <cell r="F81">
            <v>11102</v>
          </cell>
          <cell r="G81">
            <v>12743</v>
          </cell>
          <cell r="H81">
            <v>14462</v>
          </cell>
          <cell r="I81">
            <v>16105</v>
          </cell>
          <cell r="J81">
            <v>7818</v>
          </cell>
          <cell r="K81">
            <v>11102</v>
          </cell>
          <cell r="L81">
            <v>12743</v>
          </cell>
          <cell r="M81">
            <v>8579</v>
          </cell>
          <cell r="N81">
            <v>15871</v>
          </cell>
          <cell r="O81">
            <v>8579</v>
          </cell>
          <cell r="P81">
            <v>12181</v>
          </cell>
          <cell r="Q81">
            <v>13984</v>
          </cell>
          <cell r="R81">
            <v>15871</v>
          </cell>
          <cell r="S81">
            <v>17672</v>
          </cell>
          <cell r="T81">
            <v>8579</v>
          </cell>
          <cell r="U81">
            <v>12181</v>
          </cell>
          <cell r="V81">
            <v>13984</v>
          </cell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  <cell r="CD81"/>
        </row>
        <row r="82">
          <cell r="A82" t="str">
            <v>V</v>
          </cell>
          <cell r="B82" t="str">
            <v>D</v>
          </cell>
          <cell r="C82">
            <v>6211</v>
          </cell>
          <cell r="D82">
            <v>11490</v>
          </cell>
          <cell r="E82">
            <v>6211</v>
          </cell>
          <cell r="F82">
            <v>8820</v>
          </cell>
          <cell r="G82">
            <v>10124</v>
          </cell>
          <cell r="H82">
            <v>11490</v>
          </cell>
          <cell r="I82">
            <v>12795</v>
          </cell>
          <cell r="J82">
            <v>6211</v>
          </cell>
          <cell r="K82">
            <v>8820</v>
          </cell>
          <cell r="L82">
            <v>10124</v>
          </cell>
          <cell r="M82">
            <v>6800</v>
          </cell>
          <cell r="N82">
            <v>12580</v>
          </cell>
          <cell r="O82">
            <v>6800</v>
          </cell>
          <cell r="P82">
            <v>9656</v>
          </cell>
          <cell r="Q82">
            <v>11084</v>
          </cell>
          <cell r="R82">
            <v>12580</v>
          </cell>
          <cell r="S82">
            <v>14008</v>
          </cell>
          <cell r="T82">
            <v>6800</v>
          </cell>
          <cell r="U82">
            <v>9656</v>
          </cell>
          <cell r="V82">
            <v>11084</v>
          </cell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  <cell r="CD82"/>
        </row>
        <row r="83">
          <cell r="A83" t="str">
            <v>V</v>
          </cell>
          <cell r="B83" t="str">
            <v>B</v>
          </cell>
          <cell r="C83">
            <v>7577</v>
          </cell>
          <cell r="D83">
            <v>14018</v>
          </cell>
          <cell r="E83">
            <v>7577</v>
          </cell>
          <cell r="F83">
            <v>10760</v>
          </cell>
          <cell r="G83">
            <v>12351</v>
          </cell>
          <cell r="H83">
            <v>14018</v>
          </cell>
          <cell r="I83">
            <v>15610</v>
          </cell>
          <cell r="J83">
            <v>7577</v>
          </cell>
          <cell r="K83">
            <v>10760</v>
          </cell>
          <cell r="L83">
            <v>12351</v>
          </cell>
          <cell r="M83">
            <v>8296</v>
          </cell>
          <cell r="N83">
            <v>15348</v>
          </cell>
          <cell r="O83">
            <v>8296</v>
          </cell>
          <cell r="P83">
            <v>11780</v>
          </cell>
          <cell r="Q83">
            <v>13522</v>
          </cell>
          <cell r="R83">
            <v>15348</v>
          </cell>
          <cell r="S83">
            <v>17090</v>
          </cell>
          <cell r="T83">
            <v>8296</v>
          </cell>
          <cell r="U83">
            <v>11780</v>
          </cell>
          <cell r="V83">
            <v>13522</v>
          </cell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  <cell r="BZ83"/>
          <cell r="CA83"/>
          <cell r="CB83"/>
          <cell r="CC83"/>
          <cell r="CD83"/>
        </row>
        <row r="84">
          <cell r="A84" t="str">
            <v>V</v>
          </cell>
          <cell r="B84" t="str">
            <v>A-S</v>
          </cell>
          <cell r="C84">
            <v>8261</v>
          </cell>
          <cell r="D84">
            <v>15282</v>
          </cell>
          <cell r="E84">
            <v>8261</v>
          </cell>
          <cell r="F84">
            <v>11731</v>
          </cell>
          <cell r="G84">
            <v>13465</v>
          </cell>
          <cell r="H84">
            <v>15282</v>
          </cell>
          <cell r="I84">
            <v>17017</v>
          </cell>
          <cell r="J84">
            <v>8261</v>
          </cell>
          <cell r="K84">
            <v>11731</v>
          </cell>
          <cell r="L84">
            <v>13465</v>
          </cell>
          <cell r="M84">
            <v>9044</v>
          </cell>
          <cell r="N84">
            <v>16731</v>
          </cell>
          <cell r="O84">
            <v>9044</v>
          </cell>
          <cell r="P84">
            <v>12842</v>
          </cell>
          <cell r="Q84">
            <v>14742</v>
          </cell>
          <cell r="R84">
            <v>16731</v>
          </cell>
          <cell r="S84">
            <v>18631</v>
          </cell>
          <cell r="T84">
            <v>9044</v>
          </cell>
          <cell r="U84">
            <v>12842</v>
          </cell>
          <cell r="V84">
            <v>14742</v>
          </cell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  <cell r="CD84"/>
        </row>
        <row r="85">
          <cell r="A85" t="str">
            <v>VI</v>
          </cell>
          <cell r="B85" t="str">
            <v>D</v>
          </cell>
          <cell r="C85">
            <v>6536</v>
          </cell>
          <cell r="D85">
            <v>12092</v>
          </cell>
          <cell r="E85">
            <v>6536</v>
          </cell>
          <cell r="F85">
            <v>9281</v>
          </cell>
          <cell r="G85">
            <v>10654</v>
          </cell>
          <cell r="H85">
            <v>12092</v>
          </cell>
          <cell r="I85">
            <v>13464</v>
          </cell>
          <cell r="J85">
            <v>6536</v>
          </cell>
          <cell r="K85">
            <v>9281</v>
          </cell>
          <cell r="L85">
            <v>10654</v>
          </cell>
          <cell r="M85">
            <v>7163</v>
          </cell>
          <cell r="N85">
            <v>13252</v>
          </cell>
          <cell r="O85">
            <v>7163</v>
          </cell>
          <cell r="P85">
            <v>10171</v>
          </cell>
          <cell r="Q85">
            <v>11676</v>
          </cell>
          <cell r="R85">
            <v>13252</v>
          </cell>
          <cell r="S85">
            <v>14756</v>
          </cell>
          <cell r="T85">
            <v>7163</v>
          </cell>
          <cell r="U85">
            <v>10171</v>
          </cell>
          <cell r="V85">
            <v>11676</v>
          </cell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  <cell r="CD85"/>
        </row>
        <row r="86">
          <cell r="A86" t="str">
            <v>VI</v>
          </cell>
          <cell r="B86" t="str">
            <v>B</v>
          </cell>
          <cell r="C86">
            <v>7974</v>
          </cell>
          <cell r="D86">
            <v>14752</v>
          </cell>
          <cell r="E86">
            <v>7974</v>
          </cell>
          <cell r="F86">
            <v>11323</v>
          </cell>
          <cell r="G86">
            <v>12998</v>
          </cell>
          <cell r="H86">
            <v>14752</v>
          </cell>
          <cell r="I86">
            <v>16426</v>
          </cell>
          <cell r="J86">
            <v>7974</v>
          </cell>
          <cell r="K86">
            <v>11323</v>
          </cell>
          <cell r="L86">
            <v>12998</v>
          </cell>
          <cell r="M86">
            <v>8739</v>
          </cell>
          <cell r="N86">
            <v>16167</v>
          </cell>
          <cell r="O86">
            <v>8739</v>
          </cell>
          <cell r="P86">
            <v>12409</v>
          </cell>
          <cell r="Q86">
            <v>14245</v>
          </cell>
          <cell r="R86">
            <v>16167</v>
          </cell>
          <cell r="S86">
            <v>18002</v>
          </cell>
          <cell r="T86">
            <v>8739</v>
          </cell>
          <cell r="U86">
            <v>12409</v>
          </cell>
          <cell r="V86">
            <v>14245</v>
          </cell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  <cell r="CD86"/>
        </row>
        <row r="87">
          <cell r="A87" t="str">
            <v>VI</v>
          </cell>
          <cell r="B87" t="str">
            <v>A-S</v>
          </cell>
          <cell r="C87">
            <v>8693</v>
          </cell>
          <cell r="D87">
            <v>16082</v>
          </cell>
          <cell r="E87">
            <v>8693</v>
          </cell>
          <cell r="F87">
            <v>12344</v>
          </cell>
          <cell r="G87">
            <v>14170</v>
          </cell>
          <cell r="H87">
            <v>16082</v>
          </cell>
          <cell r="I87">
            <v>17907</v>
          </cell>
          <cell r="J87">
            <v>8693</v>
          </cell>
          <cell r="K87">
            <v>12344</v>
          </cell>
          <cell r="L87">
            <v>14170</v>
          </cell>
          <cell r="M87">
            <v>9527</v>
          </cell>
          <cell r="N87">
            <v>17625</v>
          </cell>
          <cell r="O87">
            <v>9527</v>
          </cell>
          <cell r="P87">
            <v>13527</v>
          </cell>
          <cell r="Q87">
            <v>15529</v>
          </cell>
          <cell r="R87">
            <v>17625</v>
          </cell>
          <cell r="S87">
            <v>19625</v>
          </cell>
          <cell r="T87">
            <v>9527</v>
          </cell>
          <cell r="U87">
            <v>13527</v>
          </cell>
          <cell r="V87">
            <v>15529</v>
          </cell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  <cell r="BZ87"/>
          <cell r="CA87"/>
          <cell r="CB87"/>
          <cell r="CC87"/>
          <cell r="CD87"/>
        </row>
        <row r="88">
          <cell r="A88" t="str">
            <v>VII</v>
          </cell>
          <cell r="B88" t="str">
            <v>D</v>
          </cell>
          <cell r="C88">
            <v>7135</v>
          </cell>
          <cell r="D88">
            <v>13200</v>
          </cell>
          <cell r="E88">
            <v>7135</v>
          </cell>
          <cell r="F88">
            <v>10132</v>
          </cell>
          <cell r="G88">
            <v>11630</v>
          </cell>
          <cell r="H88">
            <v>13200</v>
          </cell>
          <cell r="I88">
            <v>14698</v>
          </cell>
          <cell r="J88">
            <v>7135</v>
          </cell>
          <cell r="K88">
            <v>10132</v>
          </cell>
          <cell r="L88">
            <v>11630</v>
          </cell>
          <cell r="M88">
            <v>7819</v>
          </cell>
          <cell r="N88">
            <v>14465</v>
          </cell>
          <cell r="O88">
            <v>7819</v>
          </cell>
          <cell r="P88">
            <v>11103</v>
          </cell>
          <cell r="Q88">
            <v>12745</v>
          </cell>
          <cell r="R88">
            <v>14465</v>
          </cell>
          <cell r="S88">
            <v>16107</v>
          </cell>
          <cell r="T88">
            <v>7819</v>
          </cell>
          <cell r="U88">
            <v>11103</v>
          </cell>
          <cell r="V88">
            <v>12745</v>
          </cell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  <cell r="BZ88"/>
          <cell r="CA88"/>
          <cell r="CB88"/>
          <cell r="CC88"/>
          <cell r="CD88"/>
        </row>
        <row r="89">
          <cell r="A89" t="str">
            <v>VII</v>
          </cell>
          <cell r="B89" t="str">
            <v>B</v>
          </cell>
          <cell r="C89">
            <v>8705</v>
          </cell>
          <cell r="D89">
            <v>16104</v>
          </cell>
          <cell r="E89">
            <v>8705</v>
          </cell>
          <cell r="F89">
            <v>12361</v>
          </cell>
          <cell r="G89">
            <v>14189</v>
          </cell>
          <cell r="H89">
            <v>16104</v>
          </cell>
          <cell r="I89">
            <v>17932</v>
          </cell>
          <cell r="J89">
            <v>8705</v>
          </cell>
          <cell r="K89">
            <v>12361</v>
          </cell>
          <cell r="L89">
            <v>14189</v>
          </cell>
          <cell r="M89">
            <v>9539</v>
          </cell>
          <cell r="N89">
            <v>17647</v>
          </cell>
          <cell r="O89">
            <v>9539</v>
          </cell>
          <cell r="P89">
            <v>13546</v>
          </cell>
          <cell r="Q89">
            <v>15549</v>
          </cell>
          <cell r="R89">
            <v>17647</v>
          </cell>
          <cell r="S89">
            <v>19651</v>
          </cell>
          <cell r="T89">
            <v>9539</v>
          </cell>
          <cell r="U89">
            <v>13546</v>
          </cell>
          <cell r="V89">
            <v>15549</v>
          </cell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  <cell r="CD89"/>
        </row>
        <row r="90">
          <cell r="A90" t="str">
            <v>VII</v>
          </cell>
          <cell r="B90" t="str">
            <v>A-S</v>
          </cell>
          <cell r="C90">
            <v>9490</v>
          </cell>
          <cell r="D90">
            <v>17556</v>
          </cell>
          <cell r="E90">
            <v>9490</v>
          </cell>
          <cell r="F90">
            <v>13476</v>
          </cell>
          <cell r="G90">
            <v>15468</v>
          </cell>
          <cell r="H90">
            <v>17556</v>
          </cell>
          <cell r="I90">
            <v>19548</v>
          </cell>
          <cell r="J90">
            <v>9490</v>
          </cell>
          <cell r="K90">
            <v>13476</v>
          </cell>
          <cell r="L90">
            <v>15468</v>
          </cell>
          <cell r="M90">
            <v>10399</v>
          </cell>
          <cell r="N90">
            <v>19238</v>
          </cell>
          <cell r="O90">
            <v>10399</v>
          </cell>
          <cell r="P90">
            <v>14767</v>
          </cell>
          <cell r="Q90">
            <v>16951</v>
          </cell>
          <cell r="R90">
            <v>19238</v>
          </cell>
          <cell r="S90">
            <v>21422</v>
          </cell>
          <cell r="T90">
            <v>10399</v>
          </cell>
          <cell r="U90">
            <v>14767</v>
          </cell>
          <cell r="V90">
            <v>16951</v>
          </cell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  <cell r="CD90"/>
        </row>
        <row r="91">
          <cell r="A91" t="str">
            <v>VIII</v>
          </cell>
          <cell r="B91" t="str">
            <v>D</v>
          </cell>
          <cell r="C91">
            <v>7835</v>
          </cell>
          <cell r="D91">
            <v>14495</v>
          </cell>
          <cell r="E91">
            <v>7835</v>
          </cell>
          <cell r="F91">
            <v>11126</v>
          </cell>
          <cell r="G91">
            <v>12771</v>
          </cell>
          <cell r="H91">
            <v>14495</v>
          </cell>
          <cell r="I91">
            <v>16140</v>
          </cell>
          <cell r="J91">
            <v>7835</v>
          </cell>
          <cell r="K91">
            <v>11126</v>
          </cell>
          <cell r="L91">
            <v>12771</v>
          </cell>
          <cell r="M91">
            <v>8583</v>
          </cell>
          <cell r="N91">
            <v>15879</v>
          </cell>
          <cell r="O91">
            <v>8583</v>
          </cell>
          <cell r="P91">
            <v>12188</v>
          </cell>
          <cell r="Q91">
            <v>13990</v>
          </cell>
          <cell r="R91">
            <v>15879</v>
          </cell>
          <cell r="S91">
            <v>17681</v>
          </cell>
          <cell r="T91">
            <v>8583</v>
          </cell>
          <cell r="U91">
            <v>12188</v>
          </cell>
          <cell r="V91">
            <v>13990</v>
          </cell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  <cell r="CD91"/>
        </row>
        <row r="92">
          <cell r="A92" t="str">
            <v>VIII</v>
          </cell>
          <cell r="B92" t="str">
            <v>B</v>
          </cell>
          <cell r="C92">
            <v>9559</v>
          </cell>
          <cell r="D92">
            <v>17684</v>
          </cell>
          <cell r="E92">
            <v>9559</v>
          </cell>
          <cell r="F92">
            <v>13574</v>
          </cell>
          <cell r="G92">
            <v>15581</v>
          </cell>
          <cell r="H92">
            <v>17684</v>
          </cell>
          <cell r="I92">
            <v>19691</v>
          </cell>
          <cell r="J92">
            <v>9559</v>
          </cell>
          <cell r="K92">
            <v>13574</v>
          </cell>
          <cell r="L92">
            <v>15581</v>
          </cell>
          <cell r="M92">
            <v>10471</v>
          </cell>
          <cell r="N92">
            <v>19372</v>
          </cell>
          <cell r="O92">
            <v>10471</v>
          </cell>
          <cell r="P92">
            <v>14869</v>
          </cell>
          <cell r="Q92">
            <v>17068</v>
          </cell>
          <cell r="R92">
            <v>19372</v>
          </cell>
          <cell r="S92">
            <v>21571</v>
          </cell>
          <cell r="T92">
            <v>10471</v>
          </cell>
          <cell r="U92">
            <v>14869</v>
          </cell>
          <cell r="V92">
            <v>17068</v>
          </cell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  <cell r="CD92"/>
        </row>
        <row r="93">
          <cell r="A93" t="str">
            <v>VIII</v>
          </cell>
          <cell r="B93" t="str">
            <v>A-S</v>
          </cell>
          <cell r="C93">
            <v>10421</v>
          </cell>
          <cell r="D93">
            <v>19278</v>
          </cell>
          <cell r="E93">
            <v>10421</v>
          </cell>
          <cell r="F93">
            <v>14798</v>
          </cell>
          <cell r="G93">
            <v>16985</v>
          </cell>
          <cell r="H93">
            <v>19278</v>
          </cell>
          <cell r="I93">
            <v>21466</v>
          </cell>
          <cell r="J93">
            <v>10421</v>
          </cell>
          <cell r="K93">
            <v>14798</v>
          </cell>
          <cell r="L93">
            <v>16985</v>
          </cell>
          <cell r="M93">
            <v>11415</v>
          </cell>
          <cell r="N93">
            <v>21119</v>
          </cell>
          <cell r="O93">
            <v>11415</v>
          </cell>
          <cell r="P93">
            <v>16210</v>
          </cell>
          <cell r="Q93">
            <v>18607</v>
          </cell>
          <cell r="R93">
            <v>21119</v>
          </cell>
          <cell r="S93">
            <v>23516</v>
          </cell>
          <cell r="T93">
            <v>11415</v>
          </cell>
          <cell r="U93">
            <v>16210</v>
          </cell>
          <cell r="V93">
            <v>18607</v>
          </cell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  <cell r="BZ93"/>
          <cell r="CA93"/>
          <cell r="CB93"/>
          <cell r="CC93"/>
          <cell r="CD93"/>
        </row>
        <row r="94">
          <cell r="A94" t="str">
            <v>IX</v>
          </cell>
          <cell r="B94" t="str">
            <v>D</v>
          </cell>
          <cell r="C94">
            <v>8553</v>
          </cell>
          <cell r="D94">
            <v>15823</v>
          </cell>
          <cell r="E94">
            <v>8553</v>
          </cell>
          <cell r="F94">
            <v>12145</v>
          </cell>
          <cell r="G94">
            <v>13941</v>
          </cell>
          <cell r="H94">
            <v>15823</v>
          </cell>
          <cell r="I94">
            <v>17619</v>
          </cell>
          <cell r="J94">
            <v>8553</v>
          </cell>
          <cell r="K94">
            <v>12145</v>
          </cell>
          <cell r="L94">
            <v>13941</v>
          </cell>
          <cell r="M94">
            <v>9388</v>
          </cell>
          <cell r="N94">
            <v>17368</v>
          </cell>
          <cell r="O94">
            <v>9388</v>
          </cell>
          <cell r="P94">
            <v>13331</v>
          </cell>
          <cell r="Q94">
            <v>15302</v>
          </cell>
          <cell r="R94">
            <v>17368</v>
          </cell>
          <cell r="S94">
            <v>19339</v>
          </cell>
          <cell r="T94">
            <v>9388</v>
          </cell>
          <cell r="U94">
            <v>13331</v>
          </cell>
          <cell r="V94">
            <v>15302</v>
          </cell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  <cell r="BZ94"/>
          <cell r="CA94"/>
          <cell r="CB94"/>
          <cell r="CC94"/>
          <cell r="CD94"/>
        </row>
        <row r="95">
          <cell r="A95" t="str">
            <v>IX</v>
          </cell>
          <cell r="B95" t="str">
            <v>B</v>
          </cell>
          <cell r="C95">
            <v>10435</v>
          </cell>
          <cell r="D95">
            <v>19304</v>
          </cell>
          <cell r="E95">
            <v>10435</v>
          </cell>
          <cell r="F95">
            <v>14817</v>
          </cell>
          <cell r="G95">
            <v>17008</v>
          </cell>
          <cell r="H95">
            <v>19304</v>
          </cell>
          <cell r="I95">
            <v>21495</v>
          </cell>
          <cell r="J95">
            <v>10435</v>
          </cell>
          <cell r="K95">
            <v>14817</v>
          </cell>
          <cell r="L95">
            <v>17008</v>
          </cell>
          <cell r="M95">
            <v>11453</v>
          </cell>
          <cell r="N95">
            <v>21189</v>
          </cell>
          <cell r="O95">
            <v>11453</v>
          </cell>
          <cell r="P95">
            <v>16264</v>
          </cell>
          <cell r="Q95">
            <v>18668</v>
          </cell>
          <cell r="R95">
            <v>21189</v>
          </cell>
          <cell r="S95">
            <v>23594</v>
          </cell>
          <cell r="T95">
            <v>11453</v>
          </cell>
          <cell r="U95">
            <v>16264</v>
          </cell>
          <cell r="V95">
            <v>18668</v>
          </cell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  <cell r="BZ95"/>
          <cell r="CA95"/>
          <cell r="CB95"/>
          <cell r="CC95"/>
          <cell r="CD95"/>
        </row>
        <row r="96">
          <cell r="A96" t="str">
            <v>IX</v>
          </cell>
          <cell r="B96" t="str">
            <v>A-S</v>
          </cell>
          <cell r="C96">
            <v>11375</v>
          </cell>
          <cell r="D96">
            <v>21045</v>
          </cell>
          <cell r="E96">
            <v>11375</v>
          </cell>
          <cell r="F96">
            <v>16153</v>
          </cell>
          <cell r="G96">
            <v>18542</v>
          </cell>
          <cell r="H96">
            <v>21045</v>
          </cell>
          <cell r="I96">
            <v>23433</v>
          </cell>
          <cell r="J96">
            <v>11375</v>
          </cell>
          <cell r="K96">
            <v>16153</v>
          </cell>
          <cell r="L96">
            <v>18542</v>
          </cell>
          <cell r="M96">
            <v>12486</v>
          </cell>
          <cell r="N96">
            <v>23099</v>
          </cell>
          <cell r="O96">
            <v>12486</v>
          </cell>
          <cell r="P96">
            <v>17730</v>
          </cell>
          <cell r="Q96">
            <v>20352</v>
          </cell>
          <cell r="R96">
            <v>23099</v>
          </cell>
          <cell r="S96">
            <v>25721</v>
          </cell>
          <cell r="T96">
            <v>12486</v>
          </cell>
          <cell r="U96">
            <v>17730</v>
          </cell>
          <cell r="V96">
            <v>20352</v>
          </cell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  <cell r="BZ96"/>
          <cell r="CA96"/>
          <cell r="CB96"/>
          <cell r="CC96"/>
          <cell r="CD96"/>
        </row>
        <row r="97">
          <cell r="A97" t="str">
            <v>X</v>
          </cell>
          <cell r="B97" t="str">
            <v>D</v>
          </cell>
          <cell r="C97">
            <v>9314</v>
          </cell>
          <cell r="D97">
            <v>17231</v>
          </cell>
          <cell r="E97">
            <v>9314</v>
          </cell>
          <cell r="F97">
            <v>13226</v>
          </cell>
          <cell r="G97">
            <v>15182</v>
          </cell>
          <cell r="H97">
            <v>17231</v>
          </cell>
          <cell r="I97">
            <v>19187</v>
          </cell>
          <cell r="J97">
            <v>9314</v>
          </cell>
          <cell r="K97">
            <v>13226</v>
          </cell>
          <cell r="L97">
            <v>15182</v>
          </cell>
          <cell r="M97">
            <v>10203</v>
          </cell>
          <cell r="N97">
            <v>18876</v>
          </cell>
          <cell r="O97">
            <v>10203</v>
          </cell>
          <cell r="P97">
            <v>14488</v>
          </cell>
          <cell r="Q97">
            <v>16631</v>
          </cell>
          <cell r="R97">
            <v>18876</v>
          </cell>
          <cell r="S97">
            <v>21018</v>
          </cell>
          <cell r="T97">
            <v>10203</v>
          </cell>
          <cell r="U97">
            <v>14488</v>
          </cell>
          <cell r="V97">
            <v>16631</v>
          </cell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  <cell r="BZ97"/>
          <cell r="CA97"/>
          <cell r="CB97"/>
          <cell r="CC97"/>
          <cell r="CD97"/>
        </row>
        <row r="98">
          <cell r="A98" t="str">
            <v>X</v>
          </cell>
          <cell r="B98" t="str">
            <v>B</v>
          </cell>
          <cell r="C98">
            <v>11363</v>
          </cell>
          <cell r="D98">
            <v>21022</v>
          </cell>
          <cell r="E98">
            <v>11363</v>
          </cell>
          <cell r="F98">
            <v>16136</v>
          </cell>
          <cell r="G98">
            <v>18522</v>
          </cell>
          <cell r="H98">
            <v>21022</v>
          </cell>
          <cell r="I98">
            <v>23408</v>
          </cell>
          <cell r="J98">
            <v>11363</v>
          </cell>
          <cell r="K98">
            <v>16136</v>
          </cell>
          <cell r="L98">
            <v>18522</v>
          </cell>
          <cell r="M98">
            <v>12448</v>
          </cell>
          <cell r="N98">
            <v>23029</v>
          </cell>
          <cell r="O98">
            <v>12448</v>
          </cell>
          <cell r="P98">
            <v>17675</v>
          </cell>
          <cell r="Q98">
            <v>20290</v>
          </cell>
          <cell r="R98">
            <v>23029</v>
          </cell>
          <cell r="S98">
            <v>25642</v>
          </cell>
          <cell r="T98">
            <v>12448</v>
          </cell>
          <cell r="U98">
            <v>17675</v>
          </cell>
          <cell r="V98">
            <v>20290</v>
          </cell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  <cell r="CD98"/>
        </row>
        <row r="99">
          <cell r="A99" t="str">
            <v>X</v>
          </cell>
          <cell r="B99" t="str">
            <v>A-S</v>
          </cell>
          <cell r="C99">
            <v>12388</v>
          </cell>
          <cell r="D99">
            <v>22917</v>
          </cell>
          <cell r="E99">
            <v>12388</v>
          </cell>
          <cell r="F99">
            <v>17591</v>
          </cell>
          <cell r="G99">
            <v>20192</v>
          </cell>
          <cell r="H99">
            <v>22917</v>
          </cell>
          <cell r="I99">
            <v>25519</v>
          </cell>
          <cell r="J99">
            <v>12388</v>
          </cell>
          <cell r="K99">
            <v>17591</v>
          </cell>
          <cell r="L99">
            <v>20192</v>
          </cell>
          <cell r="M99">
            <v>13570</v>
          </cell>
          <cell r="N99">
            <v>25105</v>
          </cell>
          <cell r="O99">
            <v>13570</v>
          </cell>
          <cell r="P99">
            <v>19269</v>
          </cell>
          <cell r="Q99">
            <v>22119</v>
          </cell>
          <cell r="R99">
            <v>25105</v>
          </cell>
          <cell r="S99">
            <v>27954</v>
          </cell>
          <cell r="T99">
            <v>13570</v>
          </cell>
          <cell r="U99">
            <v>19269</v>
          </cell>
          <cell r="V99">
            <v>22119</v>
          </cell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  <cell r="CD99"/>
        </row>
        <row r="100">
          <cell r="A100" t="str">
            <v>XI</v>
          </cell>
          <cell r="B100" t="str">
            <v>D</v>
          </cell>
          <cell r="C100">
            <v>10101</v>
          </cell>
          <cell r="D100">
            <v>18687</v>
          </cell>
          <cell r="E100">
            <v>10101</v>
          </cell>
          <cell r="F100">
            <v>14343</v>
          </cell>
          <cell r="G100">
            <v>16465</v>
          </cell>
          <cell r="H100">
            <v>18687</v>
          </cell>
          <cell r="I100">
            <v>20808</v>
          </cell>
          <cell r="J100">
            <v>10101</v>
          </cell>
          <cell r="K100">
            <v>14343</v>
          </cell>
          <cell r="L100">
            <v>16465</v>
          </cell>
          <cell r="M100">
            <v>11017</v>
          </cell>
          <cell r="N100">
            <v>20381</v>
          </cell>
          <cell r="O100">
            <v>11017</v>
          </cell>
          <cell r="P100">
            <v>15644</v>
          </cell>
          <cell r="Q100">
            <v>17958</v>
          </cell>
          <cell r="R100">
            <v>20381</v>
          </cell>
          <cell r="S100">
            <v>22695</v>
          </cell>
          <cell r="T100">
            <v>11017</v>
          </cell>
          <cell r="U100">
            <v>15644</v>
          </cell>
          <cell r="V100">
            <v>17958</v>
          </cell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  <cell r="CD100"/>
        </row>
        <row r="101">
          <cell r="A101" t="str">
            <v>XI</v>
          </cell>
          <cell r="B101" t="str">
            <v>B</v>
          </cell>
          <cell r="C101">
            <v>12323</v>
          </cell>
          <cell r="D101">
            <v>22798</v>
          </cell>
          <cell r="E101">
            <v>12323</v>
          </cell>
          <cell r="F101">
            <v>17498</v>
          </cell>
          <cell r="G101">
            <v>20087</v>
          </cell>
          <cell r="H101">
            <v>22798</v>
          </cell>
          <cell r="I101">
            <v>25386</v>
          </cell>
          <cell r="J101">
            <v>12323</v>
          </cell>
          <cell r="K101">
            <v>17498</v>
          </cell>
          <cell r="L101">
            <v>20087</v>
          </cell>
          <cell r="M101">
            <v>13441</v>
          </cell>
          <cell r="N101">
            <v>24865</v>
          </cell>
          <cell r="O101">
            <v>13441</v>
          </cell>
          <cell r="P101">
            <v>19086</v>
          </cell>
          <cell r="Q101">
            <v>21909</v>
          </cell>
          <cell r="R101">
            <v>24865</v>
          </cell>
          <cell r="S101">
            <v>27688</v>
          </cell>
          <cell r="T101">
            <v>13441</v>
          </cell>
          <cell r="U101">
            <v>19086</v>
          </cell>
          <cell r="V101">
            <v>21909</v>
          </cell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  <cell r="CD101"/>
        </row>
        <row r="102">
          <cell r="A102" t="str">
            <v>XI</v>
          </cell>
          <cell r="B102" t="str">
            <v>A-S</v>
          </cell>
          <cell r="C102">
            <v>13434</v>
          </cell>
          <cell r="D102">
            <v>24854</v>
          </cell>
          <cell r="E102">
            <v>13434</v>
          </cell>
          <cell r="F102">
            <v>19076</v>
          </cell>
          <cell r="G102">
            <v>21898</v>
          </cell>
          <cell r="H102">
            <v>24854</v>
          </cell>
          <cell r="I102">
            <v>27675</v>
          </cell>
          <cell r="J102">
            <v>13434</v>
          </cell>
          <cell r="K102">
            <v>19076</v>
          </cell>
          <cell r="L102">
            <v>21898</v>
          </cell>
          <cell r="M102">
            <v>14653</v>
          </cell>
          <cell r="N102">
            <v>27107</v>
          </cell>
          <cell r="O102">
            <v>14653</v>
          </cell>
          <cell r="P102">
            <v>20807</v>
          </cell>
          <cell r="Q102">
            <v>23884</v>
          </cell>
          <cell r="R102">
            <v>27107</v>
          </cell>
          <cell r="S102">
            <v>30184</v>
          </cell>
          <cell r="T102">
            <v>14653</v>
          </cell>
          <cell r="U102">
            <v>20807</v>
          </cell>
          <cell r="V102">
            <v>23884</v>
          </cell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  <cell r="CD102"/>
        </row>
        <row r="103">
          <cell r="A103" t="str">
            <v>XII</v>
          </cell>
          <cell r="B103" t="str">
            <v>D</v>
          </cell>
          <cell r="C103">
            <v>11119</v>
          </cell>
          <cell r="D103">
            <v>20570</v>
          </cell>
          <cell r="E103">
            <v>11119</v>
          </cell>
          <cell r="F103">
            <v>15789</v>
          </cell>
          <cell r="G103">
            <v>18124</v>
          </cell>
          <cell r="H103">
            <v>20570</v>
          </cell>
          <cell r="I103">
            <v>22905</v>
          </cell>
          <cell r="J103">
            <v>11119</v>
          </cell>
          <cell r="K103">
            <v>15789</v>
          </cell>
          <cell r="L103">
            <v>18124</v>
          </cell>
          <cell r="M103">
            <v>11899</v>
          </cell>
          <cell r="N103">
            <v>22013</v>
          </cell>
          <cell r="O103">
            <v>11899</v>
          </cell>
          <cell r="P103">
            <v>16897</v>
          </cell>
          <cell r="Q103">
            <v>19395</v>
          </cell>
          <cell r="R103">
            <v>22013</v>
          </cell>
          <cell r="S103">
            <v>24512</v>
          </cell>
          <cell r="T103">
            <v>11899</v>
          </cell>
          <cell r="U103">
            <v>16897</v>
          </cell>
          <cell r="V103">
            <v>19395</v>
          </cell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  <cell r="CD103"/>
        </row>
        <row r="104">
          <cell r="A104" t="str">
            <v>XII</v>
          </cell>
          <cell r="B104" t="str">
            <v>B</v>
          </cell>
          <cell r="C104">
            <v>13565</v>
          </cell>
          <cell r="D104">
            <v>25095</v>
          </cell>
          <cell r="E104">
            <v>13565</v>
          </cell>
          <cell r="F104">
            <v>19263</v>
          </cell>
          <cell r="G104">
            <v>22111</v>
          </cell>
          <cell r="H104">
            <v>25095</v>
          </cell>
          <cell r="I104">
            <v>27944</v>
          </cell>
          <cell r="J104">
            <v>13565</v>
          </cell>
          <cell r="K104">
            <v>19263</v>
          </cell>
          <cell r="L104">
            <v>22111</v>
          </cell>
          <cell r="M104">
            <v>14517</v>
          </cell>
          <cell r="N104">
            <v>26856</v>
          </cell>
          <cell r="O104">
            <v>14517</v>
          </cell>
          <cell r="P104">
            <v>20614</v>
          </cell>
          <cell r="Q104">
            <v>23662</v>
          </cell>
          <cell r="R104">
            <v>26856</v>
          </cell>
          <cell r="S104">
            <v>29905</v>
          </cell>
          <cell r="T104">
            <v>14517</v>
          </cell>
          <cell r="U104">
            <v>20614</v>
          </cell>
          <cell r="V104">
            <v>23662</v>
          </cell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  <cell r="CD104"/>
        </row>
        <row r="105">
          <cell r="A105" t="str">
            <v>XII</v>
          </cell>
          <cell r="B105" t="str">
            <v>A-S</v>
          </cell>
          <cell r="C105">
            <v>14788</v>
          </cell>
          <cell r="D105">
            <v>27358</v>
          </cell>
          <cell r="E105">
            <v>14788</v>
          </cell>
          <cell r="F105">
            <v>20999</v>
          </cell>
          <cell r="G105">
            <v>24105</v>
          </cell>
          <cell r="H105">
            <v>27358</v>
          </cell>
          <cell r="I105">
            <v>30464</v>
          </cell>
          <cell r="J105">
            <v>14788</v>
          </cell>
          <cell r="K105">
            <v>20999</v>
          </cell>
          <cell r="L105">
            <v>24105</v>
          </cell>
          <cell r="M105">
            <v>15826</v>
          </cell>
          <cell r="N105">
            <v>29277</v>
          </cell>
          <cell r="O105">
            <v>15826</v>
          </cell>
          <cell r="P105">
            <v>22473</v>
          </cell>
          <cell r="Q105">
            <v>25795</v>
          </cell>
          <cell r="R105">
            <v>29277</v>
          </cell>
          <cell r="S105">
            <v>32601</v>
          </cell>
          <cell r="T105">
            <v>15826</v>
          </cell>
          <cell r="U105">
            <v>22473</v>
          </cell>
          <cell r="V105">
            <v>25795</v>
          </cell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  <cell r="CD105"/>
        </row>
      </sheetData>
      <sheetData sheetId="3">
        <row r="6">
          <cell r="B6" t="str">
            <v>ASIG. VIANDA COMP. NO REM.</v>
          </cell>
          <cell r="C6" t="str">
            <v>BONO PAZ SOCIAL</v>
          </cell>
          <cell r="D6" t="str">
            <v>VIANDA AYUDA ALIMENTARIA</v>
          </cell>
          <cell r="E6" t="str">
            <v>VIANDA DESAYUNO</v>
          </cell>
          <cell r="F6" t="str">
            <v>VIANDA MERIENDA</v>
          </cell>
          <cell r="G6" t="str">
            <v>VIANDA EXPEDIENTE</v>
          </cell>
          <cell r="H6" t="str">
            <v>VIANDA ALIMENTACIÓN DIARIA</v>
          </cell>
          <cell r="I6" t="str">
            <v>Hora de Viaje</v>
          </cell>
          <cell r="J6" t="str">
            <v>ADIC. ESPERA TRANSPORTE</v>
          </cell>
          <cell r="K6" t="str">
            <v>Adic. Torre (Título II)</v>
          </cell>
          <cell r="L6" t="str">
            <v>Adic. Torre (Título III)</v>
          </cell>
          <cell r="M6" t="str">
            <v>ADIC. TRABAJO EN ALTURA</v>
          </cell>
          <cell r="N6" t="str">
            <v>Adic. Yacimiento/Prod.</v>
          </cell>
          <cell r="O6" t="str">
            <v>ADIC. DISPONIBILIDAD</v>
          </cell>
          <cell r="P6" t="str">
            <v>ADIC. ESPECIAL</v>
          </cell>
          <cell r="Q6" t="str">
            <v>ADIC. CHOFER TRANS. PERSONAL</v>
          </cell>
          <cell r="R6" t="str">
            <v>Antigüedad</v>
          </cell>
          <cell r="S6" t="str">
            <v>PP - Guardia Pasiva</v>
          </cell>
          <cell r="T6" t="str">
            <v>PJ - Guardia Pasiva Lunes a Viernes</v>
          </cell>
          <cell r="U6" t="str">
            <v>PJ - Guardia Pasiva Sábado, Domingo y Feriado</v>
          </cell>
          <cell r="V6" t="str">
            <v>Presentismo y Puntualidad</v>
          </cell>
          <cell r="W6" t="str">
            <v>COMPLEM. PRESENTISMO    (1)</v>
          </cell>
          <cell r="X6" t="str">
            <v>COMPLEM. PRESENTISMO    (2)</v>
          </cell>
          <cell r="Y6" t="str">
            <v>COMPLEM. PRESENTISMO    (3)</v>
          </cell>
          <cell r="Z6" t="str">
            <v>COMPLEM. PRESENTISMO    (4)</v>
          </cell>
          <cell r="AA6" t="str">
            <v>Suplemento Presentismo</v>
          </cell>
          <cell r="AB6" t="str">
            <v>SUBSIDIO FALLECIMIENTO</v>
          </cell>
          <cell r="AC6" t="str">
            <v>ASIG. VIANDA COMP. NO REM.</v>
          </cell>
          <cell r="AD6" t="str">
            <v>BONO PAZ SOCIAL</v>
          </cell>
          <cell r="AE6" t="str">
            <v>VIANDA AYUDA ALIMENTARIA</v>
          </cell>
          <cell r="AF6" t="str">
            <v>VIANDA DESAYUNO</v>
          </cell>
          <cell r="AG6" t="str">
            <v>VIANDA MERIENDA</v>
          </cell>
          <cell r="AH6" t="str">
            <v>VIANDA EXPEDIENTE</v>
          </cell>
          <cell r="AI6" t="str">
            <v>VIANDA ALIMENTACIÓN DIARIA</v>
          </cell>
          <cell r="AJ6" t="str">
            <v>Hora de Viaje</v>
          </cell>
          <cell r="AK6" t="str">
            <v>ADIC. ESPERA TRANSPORTE</v>
          </cell>
          <cell r="AL6" t="str">
            <v>Adic. Torre (Título II)</v>
          </cell>
          <cell r="AM6" t="str">
            <v>Adic. Torre (Título III)</v>
          </cell>
          <cell r="AN6" t="str">
            <v>Adic. Torre SPJ</v>
          </cell>
          <cell r="AO6" t="str">
            <v>ADIC. TRABAJO EN ALTURA</v>
          </cell>
          <cell r="AP6" t="str">
            <v>Adic. Yacimiento/Prod.</v>
          </cell>
          <cell r="AQ6" t="str">
            <v>ADIC. DISPONIBILIDAD</v>
          </cell>
          <cell r="AR6" t="str">
            <v>ADIC. ESPECIAL</v>
          </cell>
          <cell r="AS6" t="str">
            <v>ADIC. CHOFER TRANS. PERSONAL</v>
          </cell>
          <cell r="AT6" t="str">
            <v>Antigüedad</v>
          </cell>
          <cell r="AU6" t="str">
            <v>PP - Guardia Pasiva</v>
          </cell>
          <cell r="AV6" t="str">
            <v>PJ - Guardia Pasiva Lunes a Viernes</v>
          </cell>
          <cell r="AW6" t="str">
            <v>PJ - Guardia Pasiva Sábado, Domingo y Feriado</v>
          </cell>
          <cell r="AX6" t="str">
            <v>Presentismo y Puntualidad</v>
          </cell>
          <cell r="AY6" t="str">
            <v>COMPLEM. PRESENTISMO    (1)</v>
          </cell>
          <cell r="AZ6" t="str">
            <v>COMPLEM. PRESENTISMO    (2)</v>
          </cell>
          <cell r="BA6" t="str">
            <v>COMPLEM. PRESENTISMO    (3)</v>
          </cell>
          <cell r="BB6" t="str">
            <v>COMPLEM. PRESENTISMO    (4)</v>
          </cell>
          <cell r="BC6" t="str">
            <v>Suplemento Presentismo</v>
          </cell>
          <cell r="BD6" t="str">
            <v>SUBSIDIO FALLECIMIENTO</v>
          </cell>
        </row>
        <row r="7">
          <cell r="B7">
            <v>42917</v>
          </cell>
          <cell r="C7">
            <v>42917</v>
          </cell>
          <cell r="D7">
            <v>42917</v>
          </cell>
          <cell r="E7">
            <v>42917</v>
          </cell>
          <cell r="F7">
            <v>42917</v>
          </cell>
          <cell r="G7">
            <v>42917</v>
          </cell>
          <cell r="H7">
            <v>42917</v>
          </cell>
          <cell r="I7">
            <v>42917</v>
          </cell>
          <cell r="J7">
            <v>42917</v>
          </cell>
          <cell r="K7">
            <v>42917</v>
          </cell>
          <cell r="L7">
            <v>42917</v>
          </cell>
          <cell r="M7">
            <v>42917</v>
          </cell>
          <cell r="N7">
            <v>42917</v>
          </cell>
          <cell r="O7">
            <v>42917</v>
          </cell>
          <cell r="P7">
            <v>42917</v>
          </cell>
          <cell r="Q7">
            <v>42917</v>
          </cell>
          <cell r="R7">
            <v>42917</v>
          </cell>
          <cell r="S7">
            <v>42917</v>
          </cell>
          <cell r="T7">
            <v>42917</v>
          </cell>
          <cell r="U7">
            <v>42917</v>
          </cell>
          <cell r="V7">
            <v>42917</v>
          </cell>
          <cell r="W7">
            <v>42917</v>
          </cell>
          <cell r="X7">
            <v>42917</v>
          </cell>
          <cell r="Y7">
            <v>42917</v>
          </cell>
          <cell r="Z7">
            <v>42917</v>
          </cell>
          <cell r="AA7">
            <v>42917</v>
          </cell>
          <cell r="AB7">
            <v>42917</v>
          </cell>
          <cell r="AC7">
            <v>43009</v>
          </cell>
          <cell r="AD7">
            <v>43009</v>
          </cell>
          <cell r="AE7">
            <v>43009</v>
          </cell>
          <cell r="AF7">
            <v>43009</v>
          </cell>
          <cell r="AG7">
            <v>43009</v>
          </cell>
          <cell r="AH7">
            <v>43009</v>
          </cell>
          <cell r="AI7">
            <v>43009</v>
          </cell>
          <cell r="AJ7">
            <v>43009</v>
          </cell>
          <cell r="AK7">
            <v>43009</v>
          </cell>
          <cell r="AL7">
            <v>43009</v>
          </cell>
          <cell r="AM7">
            <v>43009</v>
          </cell>
          <cell r="AN7">
            <v>43009</v>
          </cell>
          <cell r="AO7">
            <v>43009</v>
          </cell>
          <cell r="AP7">
            <v>43009</v>
          </cell>
          <cell r="AQ7">
            <v>43009</v>
          </cell>
          <cell r="AR7">
            <v>43009</v>
          </cell>
          <cell r="AS7">
            <v>43009</v>
          </cell>
          <cell r="AT7">
            <v>43009</v>
          </cell>
          <cell r="AU7">
            <v>43009</v>
          </cell>
          <cell r="AV7">
            <v>43009</v>
          </cell>
          <cell r="AW7">
            <v>43009</v>
          </cell>
          <cell r="AX7">
            <v>43009</v>
          </cell>
          <cell r="AY7">
            <v>43009</v>
          </cell>
          <cell r="AZ7">
            <v>43009</v>
          </cell>
          <cell r="BA7">
            <v>43009</v>
          </cell>
          <cell r="BB7">
            <v>43009</v>
          </cell>
          <cell r="BC7">
            <v>43009</v>
          </cell>
          <cell r="BD7">
            <v>43009</v>
          </cell>
        </row>
        <row r="8">
          <cell r="A8" t="str">
            <v>PETROLERO RN, NQN Y LP (644/12)</v>
          </cell>
          <cell r="B8">
            <v>1846</v>
          </cell>
          <cell r="C8">
            <v>3523</v>
          </cell>
          <cell r="D8">
            <v>262</v>
          </cell>
          <cell r="E8">
            <v>74</v>
          </cell>
          <cell r="F8">
            <v>74</v>
          </cell>
          <cell r="G8">
            <v>262</v>
          </cell>
          <cell r="H8">
            <v>524</v>
          </cell>
          <cell r="I8">
            <v>85</v>
          </cell>
          <cell r="J8" t="str">
            <v>1 hr. Extra + 100%</v>
          </cell>
          <cell r="K8">
            <v>5635</v>
          </cell>
          <cell r="L8">
            <v>5635</v>
          </cell>
          <cell r="M8">
            <v>0</v>
          </cell>
          <cell r="N8">
            <v>1973</v>
          </cell>
          <cell r="O8">
            <v>1973</v>
          </cell>
          <cell r="P8">
            <v>0</v>
          </cell>
          <cell r="Q8">
            <v>1973</v>
          </cell>
          <cell r="R8">
            <v>85</v>
          </cell>
          <cell r="S8">
            <v>308</v>
          </cell>
          <cell r="T8">
            <v>0</v>
          </cell>
          <cell r="U8"/>
          <cell r="V8">
            <v>0.06</v>
          </cell>
          <cell r="W8">
            <v>1202</v>
          </cell>
          <cell r="X8">
            <v>1803</v>
          </cell>
          <cell r="Y8">
            <v>3605</v>
          </cell>
          <cell r="Z8">
            <v>4208</v>
          </cell>
          <cell r="AA8">
            <v>10818</v>
          </cell>
          <cell r="AB8">
            <v>14606</v>
          </cell>
          <cell r="AC8">
            <v>1846</v>
          </cell>
          <cell r="AD8">
            <v>3844</v>
          </cell>
          <cell r="AE8">
            <v>286</v>
          </cell>
          <cell r="AF8">
            <v>80</v>
          </cell>
          <cell r="AG8">
            <v>80</v>
          </cell>
          <cell r="AH8">
            <v>286</v>
          </cell>
          <cell r="AI8">
            <v>572</v>
          </cell>
          <cell r="AJ8">
            <v>92</v>
          </cell>
          <cell r="AK8" t="str">
            <v>1 hr. Extra + 100%</v>
          </cell>
          <cell r="AL8">
            <v>6148</v>
          </cell>
          <cell r="AM8">
            <v>6148</v>
          </cell>
          <cell r="AN8">
            <v>0</v>
          </cell>
          <cell r="AO8">
            <v>0</v>
          </cell>
          <cell r="AP8">
            <v>2153</v>
          </cell>
          <cell r="AQ8">
            <v>2153</v>
          </cell>
          <cell r="AR8">
            <v>0</v>
          </cell>
          <cell r="AS8">
            <v>2153</v>
          </cell>
          <cell r="AT8">
            <v>92</v>
          </cell>
          <cell r="AU8">
            <v>336</v>
          </cell>
          <cell r="AV8">
            <v>0</v>
          </cell>
          <cell r="AW8">
            <v>0</v>
          </cell>
          <cell r="AX8">
            <v>0.06</v>
          </cell>
          <cell r="AY8">
            <v>1312</v>
          </cell>
          <cell r="AZ8">
            <v>1967</v>
          </cell>
          <cell r="BA8">
            <v>3932</v>
          </cell>
          <cell r="BB8">
            <v>4590</v>
          </cell>
          <cell r="BC8">
            <v>11801</v>
          </cell>
          <cell r="BD8">
            <v>15934</v>
          </cell>
        </row>
        <row r="9">
          <cell r="A9" t="str">
            <v>PETROLERO FASP (643/12)</v>
          </cell>
          <cell r="B9">
            <v>1846</v>
          </cell>
          <cell r="C9">
            <v>3523</v>
          </cell>
          <cell r="D9">
            <v>262</v>
          </cell>
          <cell r="E9">
            <v>74</v>
          </cell>
          <cell r="F9">
            <v>74</v>
          </cell>
          <cell r="G9">
            <v>262</v>
          </cell>
          <cell r="H9">
            <v>524</v>
          </cell>
          <cell r="I9">
            <v>85</v>
          </cell>
          <cell r="J9" t="str">
            <v>1 hr. Extra + 100%</v>
          </cell>
          <cell r="K9">
            <v>5635</v>
          </cell>
          <cell r="L9">
            <v>5635</v>
          </cell>
          <cell r="M9">
            <v>1973</v>
          </cell>
          <cell r="N9">
            <v>1973</v>
          </cell>
          <cell r="O9">
            <v>1973</v>
          </cell>
          <cell r="P9">
            <v>0</v>
          </cell>
          <cell r="Q9">
            <v>1973</v>
          </cell>
          <cell r="R9">
            <v>85</v>
          </cell>
          <cell r="S9">
            <v>308</v>
          </cell>
          <cell r="T9"/>
          <cell r="U9"/>
          <cell r="V9">
            <v>0.06</v>
          </cell>
          <cell r="W9">
            <v>1202</v>
          </cell>
          <cell r="X9">
            <v>1803</v>
          </cell>
          <cell r="Y9">
            <v>3605</v>
          </cell>
          <cell r="Z9">
            <v>4208</v>
          </cell>
          <cell r="AA9">
            <v>10818</v>
          </cell>
          <cell r="AB9">
            <v>0</v>
          </cell>
          <cell r="AC9">
            <v>1846</v>
          </cell>
          <cell r="AD9">
            <v>3844</v>
          </cell>
          <cell r="AE9">
            <v>286</v>
          </cell>
          <cell r="AF9">
            <v>80</v>
          </cell>
          <cell r="AG9">
            <v>80</v>
          </cell>
          <cell r="AH9">
            <v>286</v>
          </cell>
          <cell r="AI9">
            <v>572</v>
          </cell>
          <cell r="AJ9">
            <v>92</v>
          </cell>
          <cell r="AK9" t="str">
            <v>1 hr. Extra + 100%</v>
          </cell>
          <cell r="AL9">
            <v>6148</v>
          </cell>
          <cell r="AM9">
            <v>6148</v>
          </cell>
          <cell r="AN9">
            <v>0</v>
          </cell>
          <cell r="AO9">
            <v>2153</v>
          </cell>
          <cell r="AP9">
            <v>2153</v>
          </cell>
          <cell r="AQ9">
            <v>2153</v>
          </cell>
          <cell r="AR9">
            <v>0</v>
          </cell>
          <cell r="AS9">
            <v>2153</v>
          </cell>
          <cell r="AT9">
            <v>92</v>
          </cell>
          <cell r="AU9">
            <v>336</v>
          </cell>
          <cell r="AV9">
            <v>0</v>
          </cell>
          <cell r="AW9">
            <v>0</v>
          </cell>
          <cell r="AX9">
            <v>0.06</v>
          </cell>
          <cell r="AY9">
            <v>1312</v>
          </cell>
          <cell r="AZ9">
            <v>1967</v>
          </cell>
          <cell r="BA9">
            <v>3932</v>
          </cell>
          <cell r="BB9">
            <v>4590</v>
          </cell>
          <cell r="BC9">
            <v>11801</v>
          </cell>
          <cell r="BD9">
            <v>0</v>
          </cell>
        </row>
        <row r="10">
          <cell r="A10" t="str">
            <v>PETROLERO CHUBUT (605/10)</v>
          </cell>
          <cell r="B10">
            <v>1846</v>
          </cell>
          <cell r="C10">
            <v>3523</v>
          </cell>
          <cell r="D10">
            <v>262</v>
          </cell>
          <cell r="E10">
            <v>74</v>
          </cell>
          <cell r="F10">
            <v>74</v>
          </cell>
          <cell r="G10">
            <v>262</v>
          </cell>
          <cell r="H10">
            <v>524</v>
          </cell>
          <cell r="I10">
            <v>85</v>
          </cell>
          <cell r="J10" t="str">
            <v>1 hr. Extra + 100%</v>
          </cell>
          <cell r="K10">
            <v>5635</v>
          </cell>
          <cell r="L10">
            <v>5635</v>
          </cell>
          <cell r="M10">
            <v>1973</v>
          </cell>
          <cell r="N10">
            <v>1973</v>
          </cell>
          <cell r="O10">
            <v>1973</v>
          </cell>
          <cell r="P10">
            <v>0</v>
          </cell>
          <cell r="Q10">
            <v>1973</v>
          </cell>
          <cell r="R10">
            <v>85</v>
          </cell>
          <cell r="S10">
            <v>3280</v>
          </cell>
          <cell r="T10">
            <v>0</v>
          </cell>
          <cell r="U10"/>
          <cell r="V10">
            <v>0.06</v>
          </cell>
          <cell r="W10">
            <v>1202</v>
          </cell>
          <cell r="X10">
            <v>1803</v>
          </cell>
          <cell r="Y10">
            <v>3605</v>
          </cell>
          <cell r="Z10">
            <v>4208</v>
          </cell>
          <cell r="AA10">
            <v>10818</v>
          </cell>
          <cell r="AB10">
            <v>5869</v>
          </cell>
          <cell r="AC10">
            <v>1846</v>
          </cell>
          <cell r="AD10">
            <v>3848</v>
          </cell>
          <cell r="AE10">
            <v>286</v>
          </cell>
          <cell r="AF10">
            <v>80</v>
          </cell>
          <cell r="AG10">
            <v>80</v>
          </cell>
          <cell r="AH10">
            <v>286</v>
          </cell>
          <cell r="AI10">
            <v>572</v>
          </cell>
          <cell r="AJ10">
            <v>92</v>
          </cell>
          <cell r="AK10" t="str">
            <v>1 hr. Extra + 100%</v>
          </cell>
          <cell r="AL10">
            <v>6148</v>
          </cell>
          <cell r="AM10">
            <v>6148</v>
          </cell>
          <cell r="AN10">
            <v>0</v>
          </cell>
          <cell r="AO10">
            <v>2153</v>
          </cell>
          <cell r="AP10">
            <v>2153</v>
          </cell>
          <cell r="AQ10">
            <v>2153</v>
          </cell>
          <cell r="AR10">
            <v>0</v>
          </cell>
          <cell r="AS10">
            <v>2153</v>
          </cell>
          <cell r="AT10">
            <v>92</v>
          </cell>
          <cell r="AU10">
            <v>3578</v>
          </cell>
          <cell r="AV10">
            <v>0</v>
          </cell>
          <cell r="AW10">
            <v>0</v>
          </cell>
          <cell r="AX10">
            <v>0.06</v>
          </cell>
          <cell r="AY10">
            <v>1312</v>
          </cell>
          <cell r="AZ10">
            <v>1967</v>
          </cell>
          <cell r="BA10">
            <v>3932</v>
          </cell>
          <cell r="BB10">
            <v>4590</v>
          </cell>
          <cell r="BC10">
            <v>11801</v>
          </cell>
          <cell r="BD10">
            <v>6402</v>
          </cell>
        </row>
        <row r="11">
          <cell r="A11" t="str">
            <v>JERARQUICO NQN (637/11)</v>
          </cell>
          <cell r="B11">
            <v>1846</v>
          </cell>
          <cell r="C11">
            <v>3528</v>
          </cell>
          <cell r="D11">
            <v>262</v>
          </cell>
          <cell r="E11">
            <v>74</v>
          </cell>
          <cell r="F11">
            <v>74</v>
          </cell>
          <cell r="G11">
            <v>262</v>
          </cell>
          <cell r="H11">
            <v>524</v>
          </cell>
          <cell r="I11">
            <v>85</v>
          </cell>
          <cell r="J11">
            <v>226</v>
          </cell>
          <cell r="K11">
            <v>5635</v>
          </cell>
          <cell r="L11">
            <v>5635</v>
          </cell>
          <cell r="M11">
            <v>0</v>
          </cell>
          <cell r="N11">
            <v>1973</v>
          </cell>
          <cell r="O11">
            <v>1973</v>
          </cell>
          <cell r="P11">
            <v>1973</v>
          </cell>
          <cell r="Q11">
            <v>0</v>
          </cell>
          <cell r="R11">
            <v>85</v>
          </cell>
          <cell r="S11">
            <v>0</v>
          </cell>
          <cell r="T11">
            <v>271</v>
          </cell>
          <cell r="U11">
            <v>420</v>
          </cell>
          <cell r="V11">
            <v>1654</v>
          </cell>
          <cell r="W11">
            <v>1654</v>
          </cell>
          <cell r="X11">
            <v>1654</v>
          </cell>
          <cell r="Y11">
            <v>1654</v>
          </cell>
          <cell r="Z11">
            <v>1654</v>
          </cell>
          <cell r="AA11">
            <v>6616</v>
          </cell>
          <cell r="AB11">
            <v>0</v>
          </cell>
          <cell r="AC11">
            <v>1846</v>
          </cell>
          <cell r="AD11">
            <v>3848</v>
          </cell>
          <cell r="AE11">
            <v>286</v>
          </cell>
          <cell r="AF11">
            <v>80</v>
          </cell>
          <cell r="AG11">
            <v>80</v>
          </cell>
          <cell r="AH11">
            <v>286</v>
          </cell>
          <cell r="AI11">
            <v>572</v>
          </cell>
          <cell r="AJ11">
            <v>92</v>
          </cell>
          <cell r="AK11">
            <v>246</v>
          </cell>
          <cell r="AL11">
            <v>0</v>
          </cell>
          <cell r="AM11">
            <v>0</v>
          </cell>
          <cell r="AN11">
            <v>6148</v>
          </cell>
          <cell r="AO11">
            <v>0</v>
          </cell>
          <cell r="AP11">
            <v>2153</v>
          </cell>
          <cell r="AQ11">
            <v>2153</v>
          </cell>
          <cell r="AR11">
            <v>2153</v>
          </cell>
          <cell r="AS11">
            <v>0</v>
          </cell>
          <cell r="AT11">
            <v>92</v>
          </cell>
          <cell r="AU11">
            <v>0</v>
          </cell>
          <cell r="AV11">
            <v>295</v>
          </cell>
          <cell r="AW11">
            <v>458</v>
          </cell>
          <cell r="AX11">
            <v>1805</v>
          </cell>
          <cell r="AY11">
            <v>1805</v>
          </cell>
          <cell r="AZ11">
            <v>1805</v>
          </cell>
          <cell r="BA11">
            <v>1805</v>
          </cell>
          <cell r="BB11">
            <v>1805</v>
          </cell>
          <cell r="BC11">
            <v>7220</v>
          </cell>
          <cell r="BD11">
            <v>0</v>
          </cell>
        </row>
        <row r="12">
          <cell r="A12" t="str">
            <v>JERARQUICO CUYO (641/11)</v>
          </cell>
          <cell r="B12">
            <v>1846</v>
          </cell>
          <cell r="C12">
            <v>3528</v>
          </cell>
          <cell r="D12">
            <v>262</v>
          </cell>
          <cell r="E12">
            <v>74</v>
          </cell>
          <cell r="F12">
            <v>74</v>
          </cell>
          <cell r="G12">
            <v>262</v>
          </cell>
          <cell r="H12">
            <v>524</v>
          </cell>
          <cell r="I12">
            <v>85</v>
          </cell>
          <cell r="J12">
            <v>0</v>
          </cell>
          <cell r="K12">
            <v>5635</v>
          </cell>
          <cell r="L12">
            <v>5635</v>
          </cell>
          <cell r="M12">
            <v>0</v>
          </cell>
          <cell r="N12">
            <v>1973</v>
          </cell>
          <cell r="O12">
            <v>1973</v>
          </cell>
          <cell r="P12">
            <v>0</v>
          </cell>
          <cell r="Q12">
            <v>0</v>
          </cell>
          <cell r="R12">
            <v>85</v>
          </cell>
          <cell r="S12">
            <v>0</v>
          </cell>
          <cell r="T12">
            <v>271</v>
          </cell>
          <cell r="U12">
            <v>420</v>
          </cell>
          <cell r="V12">
            <v>1202</v>
          </cell>
          <cell r="W12">
            <v>1505</v>
          </cell>
          <cell r="X12">
            <v>1505</v>
          </cell>
          <cell r="Y12">
            <v>1505</v>
          </cell>
          <cell r="Z12">
            <v>1505</v>
          </cell>
          <cell r="AA12">
            <v>6020</v>
          </cell>
          <cell r="AB12">
            <v>0</v>
          </cell>
          <cell r="AC12">
            <v>1846</v>
          </cell>
          <cell r="AD12">
            <v>3848</v>
          </cell>
          <cell r="AE12">
            <v>286</v>
          </cell>
          <cell r="AF12">
            <v>80</v>
          </cell>
          <cell r="AG12">
            <v>80</v>
          </cell>
          <cell r="AH12">
            <v>286</v>
          </cell>
          <cell r="AI12">
            <v>572</v>
          </cell>
          <cell r="AJ12">
            <v>92</v>
          </cell>
          <cell r="AK12">
            <v>0</v>
          </cell>
          <cell r="AL12">
            <v>0</v>
          </cell>
          <cell r="AM12">
            <v>0</v>
          </cell>
          <cell r="AN12">
            <v>6148</v>
          </cell>
          <cell r="AO12">
            <v>0</v>
          </cell>
          <cell r="AP12">
            <v>2153</v>
          </cell>
          <cell r="AQ12">
            <v>2153</v>
          </cell>
          <cell r="AR12">
            <v>0</v>
          </cell>
          <cell r="AS12">
            <v>0</v>
          </cell>
          <cell r="AT12">
            <v>92</v>
          </cell>
          <cell r="AU12">
            <v>0</v>
          </cell>
          <cell r="AV12">
            <v>295</v>
          </cell>
          <cell r="AW12">
            <v>458</v>
          </cell>
          <cell r="AX12">
            <v>1312</v>
          </cell>
          <cell r="AY12">
            <v>1642</v>
          </cell>
          <cell r="AZ12">
            <v>1642</v>
          </cell>
          <cell r="BA12">
            <v>1642</v>
          </cell>
          <cell r="BB12">
            <v>1642</v>
          </cell>
          <cell r="BC12">
            <v>6568</v>
          </cell>
          <cell r="BD12">
            <v>0</v>
          </cell>
        </row>
        <row r="13">
          <cell r="A13" t="str">
            <v>JERARQUICO PAT. AUSTRAL (611/10)</v>
          </cell>
          <cell r="B13">
            <v>1846</v>
          </cell>
          <cell r="C13">
            <v>0.05</v>
          </cell>
          <cell r="D13">
            <v>262</v>
          </cell>
          <cell r="E13">
            <v>131</v>
          </cell>
          <cell r="F13">
            <v>131</v>
          </cell>
          <cell r="G13">
            <v>262</v>
          </cell>
          <cell r="H13">
            <v>524</v>
          </cell>
          <cell r="I13">
            <v>85</v>
          </cell>
          <cell r="J13">
            <v>0</v>
          </cell>
          <cell r="K13">
            <v>5635</v>
          </cell>
          <cell r="L13">
            <v>5635</v>
          </cell>
          <cell r="M13">
            <v>0</v>
          </cell>
          <cell r="N13">
            <v>1973</v>
          </cell>
          <cell r="O13">
            <v>1973</v>
          </cell>
          <cell r="P13">
            <v>0</v>
          </cell>
          <cell r="Q13">
            <v>0</v>
          </cell>
          <cell r="R13">
            <v>85</v>
          </cell>
          <cell r="S13">
            <v>0</v>
          </cell>
          <cell r="T13">
            <v>271</v>
          </cell>
          <cell r="U13">
            <v>420</v>
          </cell>
          <cell r="V13">
            <v>1202</v>
          </cell>
          <cell r="W13">
            <v>1202</v>
          </cell>
          <cell r="X13">
            <v>2406</v>
          </cell>
          <cell r="Y13">
            <v>4208</v>
          </cell>
          <cell r="Z13">
            <v>5110</v>
          </cell>
          <cell r="AA13">
            <v>12926</v>
          </cell>
          <cell r="AB13">
            <v>0</v>
          </cell>
          <cell r="AC13">
            <v>1846</v>
          </cell>
          <cell r="AD13">
            <v>0.05</v>
          </cell>
          <cell r="AE13">
            <v>286</v>
          </cell>
          <cell r="AF13">
            <v>143</v>
          </cell>
          <cell r="AG13">
            <v>71.5</v>
          </cell>
          <cell r="AH13">
            <v>286</v>
          </cell>
          <cell r="AI13">
            <v>572</v>
          </cell>
          <cell r="AJ13">
            <v>92</v>
          </cell>
          <cell r="AK13">
            <v>0</v>
          </cell>
          <cell r="AL13">
            <v>0</v>
          </cell>
          <cell r="AM13">
            <v>0</v>
          </cell>
          <cell r="AN13">
            <v>6148</v>
          </cell>
          <cell r="AO13">
            <v>0</v>
          </cell>
          <cell r="AP13">
            <v>2153</v>
          </cell>
          <cell r="AQ13">
            <v>2153</v>
          </cell>
          <cell r="AR13">
            <v>0</v>
          </cell>
          <cell r="AS13">
            <v>0</v>
          </cell>
          <cell r="AT13">
            <v>92</v>
          </cell>
          <cell r="AU13">
            <v>0</v>
          </cell>
          <cell r="AV13">
            <v>295</v>
          </cell>
          <cell r="AW13">
            <v>458</v>
          </cell>
          <cell r="AX13">
            <v>1312</v>
          </cell>
          <cell r="AY13">
            <v>1312</v>
          </cell>
          <cell r="AZ13">
            <v>2624</v>
          </cell>
          <cell r="BA13">
            <v>4590</v>
          </cell>
          <cell r="BB13">
            <v>5574</v>
          </cell>
          <cell r="BC13">
            <v>14100</v>
          </cell>
          <cell r="BD13">
            <v>0</v>
          </cell>
        </row>
        <row r="14">
          <cell r="A14" t="str">
            <v>JERARQUICO STA Y JUJUY</v>
          </cell>
          <cell r="B14">
            <v>1846</v>
          </cell>
          <cell r="C14">
            <v>3523</v>
          </cell>
          <cell r="D14">
            <v>262</v>
          </cell>
          <cell r="E14">
            <v>74</v>
          </cell>
          <cell r="F14">
            <v>74</v>
          </cell>
          <cell r="G14">
            <v>262</v>
          </cell>
          <cell r="H14">
            <v>524</v>
          </cell>
          <cell r="I14"/>
          <cell r="J14">
            <v>0</v>
          </cell>
          <cell r="K14">
            <v>5635</v>
          </cell>
          <cell r="L14"/>
          <cell r="M14">
            <v>0</v>
          </cell>
          <cell r="N14">
            <v>1973</v>
          </cell>
          <cell r="O14"/>
          <cell r="P14">
            <v>0</v>
          </cell>
          <cell r="Q14">
            <v>0</v>
          </cell>
          <cell r="R14">
            <v>85</v>
          </cell>
          <cell r="S14">
            <v>0</v>
          </cell>
          <cell r="T14">
            <v>0</v>
          </cell>
          <cell r="U14">
            <v>0</v>
          </cell>
          <cell r="V14">
            <v>1654</v>
          </cell>
          <cell r="W14">
            <v>1654</v>
          </cell>
          <cell r="X14">
            <v>1654</v>
          </cell>
          <cell r="Y14">
            <v>1654</v>
          </cell>
          <cell r="Z14">
            <v>1654</v>
          </cell>
          <cell r="AA14">
            <v>6616</v>
          </cell>
          <cell r="AB14">
            <v>0</v>
          </cell>
          <cell r="AC14">
            <v>1846</v>
          </cell>
          <cell r="AD14">
            <v>3844</v>
          </cell>
          <cell r="AE14">
            <v>286</v>
          </cell>
          <cell r="AF14">
            <v>80</v>
          </cell>
          <cell r="AG14">
            <v>80</v>
          </cell>
          <cell r="AH14">
            <v>286</v>
          </cell>
          <cell r="AI14">
            <v>572</v>
          </cell>
          <cell r="AJ14">
            <v>92</v>
          </cell>
          <cell r="AK14">
            <v>0</v>
          </cell>
          <cell r="AL14">
            <v>0</v>
          </cell>
          <cell r="AM14">
            <v>0</v>
          </cell>
          <cell r="AN14">
            <v>6148</v>
          </cell>
          <cell r="AO14">
            <v>0</v>
          </cell>
          <cell r="AP14">
            <v>2153</v>
          </cell>
          <cell r="AQ14"/>
          <cell r="AR14">
            <v>0</v>
          </cell>
          <cell r="AS14">
            <v>0</v>
          </cell>
          <cell r="AT14">
            <v>92</v>
          </cell>
          <cell r="AU14">
            <v>0</v>
          </cell>
          <cell r="AV14">
            <v>0</v>
          </cell>
          <cell r="AW14">
            <v>0</v>
          </cell>
          <cell r="AX14">
            <v>1805</v>
          </cell>
          <cell r="AY14">
            <v>1805</v>
          </cell>
          <cell r="AZ14">
            <v>1805</v>
          </cell>
          <cell r="BA14">
            <v>1805</v>
          </cell>
          <cell r="BB14">
            <v>1805</v>
          </cell>
          <cell r="BC14">
            <v>7220</v>
          </cell>
          <cell r="BD14">
            <v>0</v>
          </cell>
        </row>
      </sheetData>
      <sheetData sheetId="4">
        <row r="5">
          <cell r="B5" t="str">
            <v>Seleccionar Jurisdicción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O - Petrolero Privado"/>
      <sheetName val="MO - Personal Jerárquico"/>
      <sheetName val="BD-FCONVENIO"/>
      <sheetName val="Hoja2"/>
      <sheetName val="IVA"/>
      <sheetName val="Costo MO 2017 - RESUMEN"/>
      <sheetName val="Q POZOS"/>
      <sheetName val="BD_ESCALAS"/>
      <sheetName val="BD_ADICIONALES"/>
      <sheetName val="CCT"/>
    </sheetNames>
    <sheetDataSet>
      <sheetData sheetId="0" refreshError="1"/>
      <sheetData sheetId="1">
        <row r="8">
          <cell r="E8" t="str">
            <v>SANTA CRUZ</v>
          </cell>
        </row>
        <row r="10">
          <cell r="E10" t="str">
            <v>643/12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7">
          <cell r="C7" t="str">
            <v>CHUBUT</v>
          </cell>
        </row>
      </sheetData>
      <sheetData sheetId="9">
        <row r="6">
          <cell r="D6" t="str">
            <v>ASIG. VIANDA COMP. NO REM.</v>
          </cell>
        </row>
        <row r="8">
          <cell r="B8" t="str">
            <v>NEUQUEN</v>
          </cell>
        </row>
        <row r="9">
          <cell r="B9" t="str">
            <v>MENDOZA</v>
          </cell>
        </row>
        <row r="10">
          <cell r="B10" t="str">
            <v>SALTA</v>
          </cell>
        </row>
        <row r="11">
          <cell r="B11" t="str">
            <v>SANTA CRUZ</v>
          </cell>
        </row>
        <row r="12">
          <cell r="B12" t="str">
            <v>CHUBUT</v>
          </cell>
        </row>
        <row r="13">
          <cell r="B13" t="str">
            <v>NEUQUEN</v>
          </cell>
        </row>
        <row r="14">
          <cell r="B14" t="str">
            <v>MENDOZA</v>
          </cell>
        </row>
        <row r="15">
          <cell r="B15" t="str">
            <v>PAT. AUSTRAL</v>
          </cell>
        </row>
        <row r="16">
          <cell r="B16" t="str">
            <v>SALTA Y JUJUY</v>
          </cell>
        </row>
      </sheetData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G"/>
      <sheetName val="Cotizaciones"/>
      <sheetName val="Afes"/>
      <sheetName val="Datos Generales"/>
      <sheetName val="Budget"/>
      <sheetName val="Base"/>
      <sheetName val="Resumen"/>
      <sheetName val="Drilling"/>
      <sheetName val="Completion"/>
      <sheetName val="Production Well Equipment"/>
      <sheetName val="Workover Oil-Gas"/>
      <sheetName val="Conversions &amp; Sel. Injection"/>
      <sheetName val="Plants"/>
      <sheetName val="Pipeline Oil-Gas"/>
      <sheetName val="Hardware &amp; Software"/>
      <sheetName val="Studies"/>
      <sheetName val="Testing"/>
      <sheetName val="Enviroment"/>
      <sheetName val="Water Disposal"/>
      <sheetName val="Infraestructure"/>
      <sheetName val="Oil &amp; Gas Line Repair"/>
      <sheetName val="Studies(2)"/>
      <sheetName val="ANALISIS DE CORONAS"/>
      <sheetName val="MEDIOAMBIENTE"/>
      <sheetName val="OLEOD-GASO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mensual de producción"/>
      <sheetName val="entregas de petróleo y gas"/>
      <sheetName val="recuperación secundaria"/>
      <sheetName val="planta de gas"/>
      <sheetName val="producción por yac-bloques"/>
      <sheetName val="prod. de fluidos-oil"/>
      <sheetName val="prod. de fluidos-gas"/>
      <sheetName val="estadistica de est. de pozos"/>
      <sheetName val="estados de pozos"/>
      <sheetName val="estadistica de inyección"/>
      <sheetName val="estadistica de iny. sumideros"/>
      <sheetName val="estado de pozos secundaria"/>
      <sheetName val="Resumen 1"/>
      <sheetName val="Resumen 2"/>
      <sheetName val="Resumen 3"/>
    </sheetNames>
    <sheetDataSet>
      <sheetData sheetId="0" refreshError="1">
        <row r="6">
          <cell r="C6" t="str">
            <v>PORVENIR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RO"/>
      <sheetName val="Errores"/>
      <sheetName val="PD"/>
      <sheetName val="PND"/>
      <sheetName val="Template"/>
      <sheetName val="PR"/>
      <sheetName val="PO"/>
      <sheetName val="EXP"/>
      <sheetName val="TOTAL"/>
      <sheetName val="MAXIMO"/>
      <sheetName val="Datos"/>
      <sheetName val="Opciones Multip"/>
    </sheetNames>
    <sheetDataSet>
      <sheetData sheetId="0" refreshError="1">
        <row r="6">
          <cell r="C6">
            <v>2001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eport"/>
      <sheetName val="API"/>
      <sheetName val="UIB"/>
    </sheetNames>
    <sheetDataSet>
      <sheetData sheetId="0" refreshError="1">
        <row r="3">
          <cell r="R3" t="str">
            <v>1 1/8"</v>
          </cell>
          <cell r="S3">
            <v>1.125</v>
          </cell>
          <cell r="T3">
            <v>0.99401955054989544</v>
          </cell>
          <cell r="U3">
            <v>3.72</v>
          </cell>
          <cell r="AF3">
            <v>3.2808398950100002</v>
          </cell>
        </row>
        <row r="4">
          <cell r="R4" t="str">
            <v>1"</v>
          </cell>
          <cell r="S4">
            <v>1</v>
          </cell>
          <cell r="T4">
            <v>0.78539816339744828</v>
          </cell>
          <cell r="U4">
            <v>2.89</v>
          </cell>
          <cell r="AF4">
            <v>3.6127291999999998E-2</v>
          </cell>
        </row>
        <row r="5">
          <cell r="H5" t="str">
            <v>M-912D-305-192</v>
          </cell>
          <cell r="J5" t="str">
            <v>192</v>
          </cell>
          <cell r="K5" t="str">
            <v>8 1/2</v>
          </cell>
          <cell r="L5">
            <v>8.5</v>
          </cell>
          <cell r="R5" t="str">
            <v>7/8"</v>
          </cell>
          <cell r="S5">
            <v>0.875</v>
          </cell>
          <cell r="T5">
            <v>0.6013204688511713</v>
          </cell>
          <cell r="U5">
            <v>2.1907999999999999</v>
          </cell>
          <cell r="AF5">
            <v>2.2046226199999999</v>
          </cell>
        </row>
        <row r="6">
          <cell r="R6" t="str">
            <v>3/4"</v>
          </cell>
          <cell r="S6">
            <v>0.75</v>
          </cell>
          <cell r="T6">
            <v>0.44178646691106466</v>
          </cell>
          <cell r="U6">
            <v>1.6255999999999999</v>
          </cell>
        </row>
        <row r="7">
          <cell r="D7" t="str">
            <v>2 1/2"</v>
          </cell>
          <cell r="E7">
            <v>250</v>
          </cell>
          <cell r="H7">
            <v>50</v>
          </cell>
        </row>
        <row r="9">
          <cell r="D9">
            <v>600</v>
          </cell>
          <cell r="H9">
            <v>28.8</v>
          </cell>
          <cell r="K9">
            <v>1400</v>
          </cell>
        </row>
        <row r="11">
          <cell r="D11">
            <v>600</v>
          </cell>
        </row>
        <row r="13">
          <cell r="D13">
            <v>120</v>
          </cell>
          <cell r="I13" t="str">
            <v>86-250</v>
          </cell>
          <cell r="J13" t="str">
            <v>condición 2</v>
          </cell>
          <cell r="K13" t="str">
            <v>D</v>
          </cell>
        </row>
        <row r="14">
          <cell r="J14">
            <v>0.8</v>
          </cell>
          <cell r="K14">
            <v>115000</v>
          </cell>
        </row>
        <row r="15">
          <cell r="D15">
            <v>0.9</v>
          </cell>
        </row>
        <row r="16">
          <cell r="H16">
            <v>10</v>
          </cell>
          <cell r="K16">
            <v>25</v>
          </cell>
        </row>
        <row r="17">
          <cell r="D17">
            <v>0.85</v>
          </cell>
        </row>
        <row r="19">
          <cell r="D19">
            <v>1.1499999999999999</v>
          </cell>
        </row>
      </sheetData>
      <sheetData sheetId="1" refreshError="1"/>
      <sheetData sheetId="2" refreshError="1">
        <row r="2">
          <cell r="A2" t="str">
            <v>86-100</v>
          </cell>
          <cell r="B2">
            <v>1</v>
          </cell>
          <cell r="C2">
            <v>2.0579999999999998</v>
          </cell>
          <cell r="D2">
            <v>7.4199999999999995E-7</v>
          </cell>
          <cell r="E2">
            <v>1.151</v>
          </cell>
          <cell r="F2" t="str">
            <v>1"</v>
          </cell>
          <cell r="G2" t="str">
            <v>7/8"</v>
          </cell>
          <cell r="H2" t="str">
            <v>3/4"</v>
          </cell>
          <cell r="J2">
            <v>0.22599999606609344</v>
          </cell>
          <cell r="K2">
            <v>0.23000000417232513</v>
          </cell>
          <cell r="L2">
            <v>0.5429999828338623</v>
          </cell>
          <cell r="M2">
            <v>0</v>
          </cell>
        </row>
        <row r="3">
          <cell r="A3" t="str">
            <v>86-125</v>
          </cell>
          <cell r="B3">
            <v>1.25</v>
          </cell>
          <cell r="C3">
            <v>2.0870000000000002</v>
          </cell>
          <cell r="D3">
            <v>7.3200000000000004E-7</v>
          </cell>
          <cell r="E3">
            <v>1.1559999999999999</v>
          </cell>
          <cell r="F3" t="str">
            <v>1"</v>
          </cell>
          <cell r="G3" t="str">
            <v>7/8"</v>
          </cell>
          <cell r="H3" t="str">
            <v>3/4"</v>
          </cell>
          <cell r="J3">
            <v>0.24300000071525574</v>
          </cell>
          <cell r="K3">
            <v>0.24500000476837158</v>
          </cell>
          <cell r="L3">
            <v>0.51200002431869507</v>
          </cell>
          <cell r="M3">
            <v>0</v>
          </cell>
        </row>
        <row r="4">
          <cell r="A4" t="str">
            <v>86-150</v>
          </cell>
          <cell r="B4">
            <v>1.5</v>
          </cell>
          <cell r="C4">
            <v>2.133</v>
          </cell>
          <cell r="D4">
            <v>7.1699999999999997E-7</v>
          </cell>
          <cell r="E4">
            <v>1.1619999999999999</v>
          </cell>
          <cell r="F4" t="str">
            <v>1"</v>
          </cell>
          <cell r="G4" t="str">
            <v>7/8"</v>
          </cell>
          <cell r="H4" t="str">
            <v>3/4"</v>
          </cell>
          <cell r="J4">
            <v>0.26800000667572021</v>
          </cell>
          <cell r="K4">
            <v>0.27000001072883606</v>
          </cell>
          <cell r="L4">
            <v>0.46299999952316284</v>
          </cell>
          <cell r="M4">
            <v>0</v>
          </cell>
        </row>
        <row r="5">
          <cell r="A5" t="str">
            <v>86-175</v>
          </cell>
          <cell r="B5">
            <v>1.75</v>
          </cell>
          <cell r="C5">
            <v>2.1850000000000001</v>
          </cell>
          <cell r="D5">
            <v>6.6899999999999997E-7</v>
          </cell>
          <cell r="E5">
            <v>1.1639999999999999</v>
          </cell>
          <cell r="F5" t="str">
            <v>1"</v>
          </cell>
          <cell r="G5" t="str">
            <v>7/8"</v>
          </cell>
          <cell r="H5" t="str">
            <v>3/4"</v>
          </cell>
          <cell r="J5">
            <v>0.29399999976158142</v>
          </cell>
          <cell r="K5">
            <v>0.30000001192092896</v>
          </cell>
          <cell r="L5">
            <v>0.40599998831748962</v>
          </cell>
          <cell r="M5">
            <v>0</v>
          </cell>
        </row>
        <row r="6">
          <cell r="A6" t="str">
            <v>86-200</v>
          </cell>
          <cell r="B6">
            <v>2</v>
          </cell>
          <cell r="C6">
            <v>2.2469999999999999</v>
          </cell>
          <cell r="D6">
            <v>6.7899999999999998E-7</v>
          </cell>
          <cell r="E6">
            <v>1.161</v>
          </cell>
          <cell r="F6" t="str">
            <v>1"</v>
          </cell>
          <cell r="G6" t="str">
            <v>7/8"</v>
          </cell>
          <cell r="H6" t="str">
            <v>3/4"</v>
          </cell>
          <cell r="J6">
            <v>0.32800000905990601</v>
          </cell>
          <cell r="K6">
            <v>0.33199998736381531</v>
          </cell>
          <cell r="L6">
            <v>0.33899998664855957</v>
          </cell>
          <cell r="M6">
            <v>0</v>
          </cell>
        </row>
        <row r="7">
          <cell r="A7" t="str">
            <v>86-225</v>
          </cell>
          <cell r="B7">
            <v>2.25</v>
          </cell>
          <cell r="C7">
            <v>2.3149999999999999</v>
          </cell>
          <cell r="D7">
            <v>6.5600000000000005E-7</v>
          </cell>
          <cell r="E7">
            <v>1.153</v>
          </cell>
          <cell r="F7" t="str">
            <v>1"</v>
          </cell>
          <cell r="G7" t="str">
            <v>7/8"</v>
          </cell>
          <cell r="H7" t="str">
            <v>3/4"</v>
          </cell>
          <cell r="J7">
            <v>0.36899998784065247</v>
          </cell>
          <cell r="K7">
            <v>0.36000001430511475</v>
          </cell>
          <cell r="L7">
            <v>0.27099999785423279</v>
          </cell>
          <cell r="M7">
            <v>0</v>
          </cell>
        </row>
        <row r="8">
          <cell r="A8" t="str">
            <v>86-250</v>
          </cell>
          <cell r="B8">
            <v>2.5</v>
          </cell>
          <cell r="C8">
            <v>2.3849999999999998</v>
          </cell>
          <cell r="D8">
            <v>6.3300000000000002E-7</v>
          </cell>
          <cell r="E8">
            <v>1.1379999999999999</v>
          </cell>
          <cell r="F8" t="str">
            <v>1"</v>
          </cell>
          <cell r="G8" t="str">
            <v>7/8"</v>
          </cell>
          <cell r="H8" t="str">
            <v>3/4"</v>
          </cell>
          <cell r="J8">
            <v>0.40599998831748962</v>
          </cell>
          <cell r="K8">
            <v>0.3970000147819519</v>
          </cell>
          <cell r="L8">
            <v>0.19699999690055847</v>
          </cell>
          <cell r="M8">
            <v>0</v>
          </cell>
        </row>
        <row r="9">
          <cell r="A9" t="str">
            <v>86-275</v>
          </cell>
          <cell r="B9">
            <v>2.75</v>
          </cell>
          <cell r="C9">
            <v>2.4550000000000001</v>
          </cell>
          <cell r="D9">
            <v>6.0999999999999998E-7</v>
          </cell>
          <cell r="E9">
            <v>1.119</v>
          </cell>
          <cell r="F9" t="str">
            <v>1"</v>
          </cell>
          <cell r="G9" t="str">
            <v>7/8"</v>
          </cell>
          <cell r="H9" t="str">
            <v>3/4"</v>
          </cell>
          <cell r="J9">
            <v>0.44499999284744263</v>
          </cell>
          <cell r="K9">
            <v>0.43299999833106995</v>
          </cell>
          <cell r="L9">
            <v>0.12200000137090683</v>
          </cell>
          <cell r="M9">
            <v>0</v>
          </cell>
        </row>
        <row r="10">
          <cell r="A10" t="str">
            <v>87-100</v>
          </cell>
          <cell r="B10">
            <v>1</v>
          </cell>
          <cell r="C10">
            <v>2.39</v>
          </cell>
          <cell r="D10">
            <v>6.1200000000000003E-7</v>
          </cell>
          <cell r="E10">
            <v>1.0549999999999999</v>
          </cell>
          <cell r="F10" t="str">
            <v>1"</v>
          </cell>
          <cell r="G10" t="str">
            <v>7/8"</v>
          </cell>
          <cell r="J10">
            <v>0.24300000071525574</v>
          </cell>
          <cell r="K10">
            <v>0.75700002908706665</v>
          </cell>
          <cell r="L10">
            <v>0</v>
          </cell>
          <cell r="M10">
            <v>0</v>
          </cell>
        </row>
        <row r="11">
          <cell r="A11" t="str">
            <v>87-125</v>
          </cell>
          <cell r="B11">
            <v>1.25</v>
          </cell>
          <cell r="C11">
            <v>2.399</v>
          </cell>
          <cell r="D11">
            <v>6.0999999999999998E-7</v>
          </cell>
          <cell r="E11">
            <v>1.0580000000000001</v>
          </cell>
          <cell r="F11" t="str">
            <v>1"</v>
          </cell>
          <cell r="G11" t="str">
            <v>7/8"</v>
          </cell>
          <cell r="J11">
            <v>0.25699999928474426</v>
          </cell>
          <cell r="K11">
            <v>0.74299997091293335</v>
          </cell>
          <cell r="L11">
            <v>0</v>
          </cell>
          <cell r="M11">
            <v>0</v>
          </cell>
        </row>
        <row r="12">
          <cell r="A12" t="str">
            <v>87-150</v>
          </cell>
          <cell r="B12">
            <v>1.5</v>
          </cell>
          <cell r="C12">
            <v>2.4129999999999998</v>
          </cell>
          <cell r="D12">
            <v>6.0699999999999997E-7</v>
          </cell>
          <cell r="E12">
            <v>1.0620000000000001</v>
          </cell>
          <cell r="F12" t="str">
            <v>1"</v>
          </cell>
          <cell r="G12" t="str">
            <v>7/8"</v>
          </cell>
          <cell r="J12">
            <v>0.27700001001358032</v>
          </cell>
          <cell r="K12">
            <v>0.72299998998641968</v>
          </cell>
          <cell r="L12">
            <v>0</v>
          </cell>
          <cell r="M12">
            <v>0</v>
          </cell>
        </row>
        <row r="13">
          <cell r="A13" t="str">
            <v>87-175</v>
          </cell>
          <cell r="B13">
            <v>1.75</v>
          </cell>
          <cell r="C13">
            <v>2.4300000000000002</v>
          </cell>
          <cell r="D13">
            <v>6.0299999999999999E-7</v>
          </cell>
          <cell r="E13">
            <v>1.0660000000000001</v>
          </cell>
          <cell r="F13" t="str">
            <v>1"</v>
          </cell>
          <cell r="G13" t="str">
            <v>7/8"</v>
          </cell>
          <cell r="J13">
            <v>0.30300000309944153</v>
          </cell>
          <cell r="K13">
            <v>0.69700002670288086</v>
          </cell>
          <cell r="L13">
            <v>0</v>
          </cell>
          <cell r="M13">
            <v>0</v>
          </cell>
        </row>
        <row r="14">
          <cell r="A14" t="str">
            <v>87-200</v>
          </cell>
          <cell r="B14">
            <v>2</v>
          </cell>
          <cell r="C14">
            <v>2.4500000000000002</v>
          </cell>
          <cell r="D14">
            <v>5.0800000000000005E-7</v>
          </cell>
          <cell r="E14">
            <v>1.071</v>
          </cell>
          <cell r="F14" t="str">
            <v>1"</v>
          </cell>
          <cell r="G14" t="str">
            <v>7/8"</v>
          </cell>
          <cell r="J14">
            <v>0.33199998736381531</v>
          </cell>
          <cell r="K14">
            <v>0.6679999828338623</v>
          </cell>
          <cell r="L14">
            <v>0</v>
          </cell>
          <cell r="M14">
            <v>0</v>
          </cell>
        </row>
        <row r="15">
          <cell r="A15" t="str">
            <v>87-225</v>
          </cell>
          <cell r="B15">
            <v>2.25</v>
          </cell>
          <cell r="C15">
            <v>2.472</v>
          </cell>
          <cell r="D15">
            <v>5.9400000000000005E-7</v>
          </cell>
          <cell r="E15">
            <v>1.075</v>
          </cell>
          <cell r="F15" t="str">
            <v>1"</v>
          </cell>
          <cell r="G15" t="str">
            <v>7/8"</v>
          </cell>
          <cell r="J15">
            <v>0.36399999260902405</v>
          </cell>
          <cell r="K15">
            <v>0.63599997758865356</v>
          </cell>
          <cell r="L15">
            <v>0</v>
          </cell>
          <cell r="M15">
            <v>0</v>
          </cell>
        </row>
        <row r="16">
          <cell r="A16" t="str">
            <v>87-250</v>
          </cell>
          <cell r="B16">
            <v>2.5</v>
          </cell>
          <cell r="C16">
            <v>2.496</v>
          </cell>
          <cell r="D16">
            <v>5.8800000000000002E-7</v>
          </cell>
          <cell r="E16">
            <v>1.079</v>
          </cell>
          <cell r="F16" t="str">
            <v>1"</v>
          </cell>
          <cell r="G16" t="str">
            <v>7/8"</v>
          </cell>
          <cell r="J16">
            <v>0.39899998903274536</v>
          </cell>
          <cell r="K16">
            <v>0.60100001096725464</v>
          </cell>
          <cell r="L16">
            <v>0</v>
          </cell>
          <cell r="M16">
            <v>0</v>
          </cell>
        </row>
        <row r="17">
          <cell r="A17" t="str">
            <v>87-275</v>
          </cell>
          <cell r="B17">
            <v>2.75</v>
          </cell>
          <cell r="C17">
            <v>2.5230000000000001</v>
          </cell>
          <cell r="D17">
            <v>5.82E-7</v>
          </cell>
          <cell r="E17">
            <v>1.0820000000000001</v>
          </cell>
          <cell r="F17" t="str">
            <v>1"</v>
          </cell>
          <cell r="G17" t="str">
            <v>7/8"</v>
          </cell>
          <cell r="J17">
            <v>0.43900001049041748</v>
          </cell>
          <cell r="K17">
            <v>0.56099998950958252</v>
          </cell>
          <cell r="L17">
            <v>0</v>
          </cell>
          <cell r="M17">
            <v>0</v>
          </cell>
        </row>
        <row r="18">
          <cell r="A18" t="str">
            <v>87-325</v>
          </cell>
          <cell r="B18">
            <v>3.25</v>
          </cell>
          <cell r="C18">
            <v>2.5750000000000002</v>
          </cell>
          <cell r="D18">
            <v>5.7000000000000005E-7</v>
          </cell>
          <cell r="E18">
            <v>1.0840000000000001</v>
          </cell>
          <cell r="F18" t="str">
            <v>1"</v>
          </cell>
          <cell r="G18" t="str">
            <v>7/8"</v>
          </cell>
          <cell r="J18">
            <v>0.51599997282028198</v>
          </cell>
          <cell r="K18">
            <v>0.48399999737739563</v>
          </cell>
          <cell r="L18">
            <v>0</v>
          </cell>
          <cell r="M18">
            <v>0</v>
          </cell>
        </row>
        <row r="19">
          <cell r="A19" t="str">
            <v>87-375</v>
          </cell>
          <cell r="B19">
            <v>3.75</v>
          </cell>
          <cell r="C19">
            <v>2.641</v>
          </cell>
          <cell r="D19">
            <v>5.5599999999999995E-7</v>
          </cell>
          <cell r="E19">
            <v>1.0780000000000001</v>
          </cell>
          <cell r="F19" t="str">
            <v>1"</v>
          </cell>
          <cell r="G19" t="str">
            <v>7/8"</v>
          </cell>
          <cell r="J19">
            <v>0.6119999885559082</v>
          </cell>
          <cell r="K19">
            <v>0.3880000114440918</v>
          </cell>
          <cell r="L19">
            <v>0</v>
          </cell>
          <cell r="M19">
            <v>0</v>
          </cell>
        </row>
        <row r="20">
          <cell r="A20" t="str">
            <v>87-475</v>
          </cell>
          <cell r="B20">
            <v>4.75</v>
          </cell>
          <cell r="C20">
            <v>2.7930000000000001</v>
          </cell>
          <cell r="D20">
            <v>5.2200000000000004E-7</v>
          </cell>
          <cell r="E20">
            <v>1.038</v>
          </cell>
          <cell r="F20" t="str">
            <v>1"</v>
          </cell>
          <cell r="G20" t="str">
            <v>7/8"</v>
          </cell>
          <cell r="J20">
            <v>0.83600002527236938</v>
          </cell>
          <cell r="K20">
            <v>0.164000004529953</v>
          </cell>
          <cell r="L20">
            <v>0</v>
          </cell>
          <cell r="M20">
            <v>0</v>
          </cell>
        </row>
        <row r="21">
          <cell r="A21" t="str">
            <v>88-xxx</v>
          </cell>
          <cell r="C21">
            <v>2.9039999999999999</v>
          </cell>
          <cell r="D21">
            <v>4.9699999999999996E-7</v>
          </cell>
          <cell r="E21">
            <v>1</v>
          </cell>
          <cell r="F21" t="str">
            <v>1"</v>
          </cell>
          <cell r="J21">
            <v>1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96-100</v>
          </cell>
          <cell r="B22">
            <v>1</v>
          </cell>
          <cell r="C22">
            <v>2.3820000000000001</v>
          </cell>
          <cell r="D22">
            <v>6.7000000000000004E-7</v>
          </cell>
          <cell r="E22">
            <v>1.222</v>
          </cell>
          <cell r="F22" t="str">
            <v>1 1/8"</v>
          </cell>
          <cell r="G22" t="str">
            <v>1"</v>
          </cell>
          <cell r="H22" t="str">
            <v>7/8"</v>
          </cell>
          <cell r="I22" t="str">
            <v>3/4"</v>
          </cell>
          <cell r="J22">
            <v>0.19099999964237213</v>
          </cell>
          <cell r="K22">
            <v>0.19200000166893005</v>
          </cell>
          <cell r="L22">
            <v>0.19499999284744263</v>
          </cell>
          <cell r="M22">
            <v>0.42300000786781311</v>
          </cell>
        </row>
        <row r="23">
          <cell r="A23" t="str">
            <v>96-125</v>
          </cell>
          <cell r="B23">
            <v>1.25</v>
          </cell>
          <cell r="C23">
            <v>2.4350000000000001</v>
          </cell>
          <cell r="D23">
            <v>6.5499999999999998E-7</v>
          </cell>
          <cell r="E23">
            <v>1.224</v>
          </cell>
          <cell r="F23" t="str">
            <v>1 1/8"</v>
          </cell>
          <cell r="G23" t="str">
            <v>1"</v>
          </cell>
          <cell r="H23" t="str">
            <v>7/8"</v>
          </cell>
          <cell r="I23" t="str">
            <v>3/4"</v>
          </cell>
          <cell r="J23">
            <v>0.20499999821186066</v>
          </cell>
          <cell r="K23">
            <v>0.20499999821186066</v>
          </cell>
          <cell r="L23">
            <v>0.2070000022649765</v>
          </cell>
          <cell r="M23">
            <v>0.38299998641014099</v>
          </cell>
        </row>
        <row r="24">
          <cell r="A24" t="str">
            <v>96-150</v>
          </cell>
          <cell r="B24">
            <v>1.5</v>
          </cell>
          <cell r="C24">
            <v>2.5110000000000001</v>
          </cell>
          <cell r="D24">
            <v>6.3300000000000002E-7</v>
          </cell>
          <cell r="E24">
            <v>1.2230000000000001</v>
          </cell>
          <cell r="F24" t="str">
            <v>1 1/8"</v>
          </cell>
          <cell r="G24" t="str">
            <v>1"</v>
          </cell>
          <cell r="H24" t="str">
            <v>7/8"</v>
          </cell>
          <cell r="I24" t="str">
            <v>3/4"</v>
          </cell>
          <cell r="J24">
            <v>0.22400000691413879</v>
          </cell>
          <cell r="K24">
            <v>0.22499999403953552</v>
          </cell>
          <cell r="L24">
            <v>0.22800000011920929</v>
          </cell>
          <cell r="M24">
            <v>0.32300001382827759</v>
          </cell>
        </row>
        <row r="25">
          <cell r="A25" t="str">
            <v>96-175</v>
          </cell>
          <cell r="B25">
            <v>1.75</v>
          </cell>
          <cell r="C25">
            <v>2.6070000000000002</v>
          </cell>
          <cell r="D25">
            <v>6.06E-7</v>
          </cell>
          <cell r="E25">
            <v>1.2130000000000001</v>
          </cell>
          <cell r="F25" t="str">
            <v>1 1/8"</v>
          </cell>
          <cell r="G25" t="str">
            <v>1"</v>
          </cell>
          <cell r="H25" t="str">
            <v>7/8"</v>
          </cell>
          <cell r="I25" t="str">
            <v>3/4"</v>
          </cell>
          <cell r="J25">
            <v>0.24799999594688416</v>
          </cell>
          <cell r="K25">
            <v>0.25</v>
          </cell>
          <cell r="L25">
            <v>0.25099998712539673</v>
          </cell>
          <cell r="M25">
            <v>0.25099998712539673</v>
          </cell>
        </row>
        <row r="26">
          <cell r="A26" t="str">
            <v>96-200</v>
          </cell>
          <cell r="B26">
            <v>2</v>
          </cell>
          <cell r="C26">
            <v>2.7029999999999998</v>
          </cell>
          <cell r="D26">
            <v>5.7800000000000001E-7</v>
          </cell>
          <cell r="E26">
            <v>1.196</v>
          </cell>
          <cell r="F26" t="str">
            <v>1 1/8"</v>
          </cell>
          <cell r="G26" t="str">
            <v>1"</v>
          </cell>
          <cell r="H26" t="str">
            <v>7/8"</v>
          </cell>
          <cell r="I26" t="str">
            <v>3/4"</v>
          </cell>
          <cell r="J26">
            <v>0.27099999785423279</v>
          </cell>
          <cell r="K26">
            <v>0.27900001406669617</v>
          </cell>
          <cell r="L26">
            <v>0.27399998903274536</v>
          </cell>
          <cell r="M26">
            <v>0.17599999904632568</v>
          </cell>
        </row>
        <row r="27">
          <cell r="A27" t="str">
            <v>96-225</v>
          </cell>
          <cell r="B27">
            <v>2.25</v>
          </cell>
          <cell r="C27">
            <v>2.8</v>
          </cell>
          <cell r="D27">
            <v>5.4899999999999995E-7</v>
          </cell>
          <cell r="E27">
            <v>1.1719999999999999</v>
          </cell>
          <cell r="F27" t="str">
            <v>1 1/8"</v>
          </cell>
          <cell r="G27" t="str">
            <v>1"</v>
          </cell>
          <cell r="H27" t="str">
            <v>7/8"</v>
          </cell>
          <cell r="I27" t="str">
            <v>3/4"</v>
          </cell>
          <cell r="J27">
            <v>0.29600000381469727</v>
          </cell>
          <cell r="K27">
            <v>0.30700001120567322</v>
          </cell>
          <cell r="L27">
            <v>0.29800000786781311</v>
          </cell>
          <cell r="M27">
            <v>9.7999997437000275E-2</v>
          </cell>
        </row>
        <row r="28">
          <cell r="A28" t="str">
            <v>97-100</v>
          </cell>
          <cell r="B28">
            <v>1</v>
          </cell>
          <cell r="C28">
            <v>2.645</v>
          </cell>
          <cell r="D28">
            <v>5.68E-7</v>
          </cell>
          <cell r="E28">
            <v>1.1200000000000001</v>
          </cell>
          <cell r="F28" t="str">
            <v>1 1/8"</v>
          </cell>
          <cell r="G28" t="str">
            <v>1"</v>
          </cell>
          <cell r="H28" t="str">
            <v>7/8"</v>
          </cell>
          <cell r="J28">
            <v>0.19699999690055847</v>
          </cell>
          <cell r="K28">
            <v>0.20000000298023224</v>
          </cell>
          <cell r="L28">
            <v>0.6029999852180481</v>
          </cell>
          <cell r="M28">
            <v>0</v>
          </cell>
        </row>
        <row r="29">
          <cell r="A29" t="str">
            <v>97-125</v>
          </cell>
          <cell r="B29">
            <v>1.25</v>
          </cell>
          <cell r="C29">
            <v>2.67</v>
          </cell>
          <cell r="D29">
            <v>5.6300000000000005E-7</v>
          </cell>
          <cell r="E29">
            <v>1.1240000000000001</v>
          </cell>
          <cell r="F29" t="str">
            <v>1 1/8"</v>
          </cell>
          <cell r="G29" t="str">
            <v>1"</v>
          </cell>
          <cell r="H29" t="str">
            <v>7/8"</v>
          </cell>
          <cell r="J29">
            <v>0.20800000429153442</v>
          </cell>
          <cell r="K29">
            <v>0.21199999749660492</v>
          </cell>
          <cell r="L29">
            <v>0.57999998331069946</v>
          </cell>
          <cell r="M29">
            <v>0</v>
          </cell>
        </row>
        <row r="30">
          <cell r="A30" t="str">
            <v>97-150</v>
          </cell>
          <cell r="B30">
            <v>1.5</v>
          </cell>
          <cell r="C30">
            <v>2.7069999999999999</v>
          </cell>
          <cell r="D30">
            <v>5.5599999999999995E-7</v>
          </cell>
          <cell r="E30">
            <v>1.131</v>
          </cell>
          <cell r="F30" t="str">
            <v>1 1/8"</v>
          </cell>
          <cell r="G30" t="str">
            <v>1"</v>
          </cell>
          <cell r="H30" t="str">
            <v>7/8"</v>
          </cell>
          <cell r="J30">
            <v>0.22499999403953552</v>
          </cell>
          <cell r="K30">
            <v>0.23000000417232513</v>
          </cell>
          <cell r="L30">
            <v>0.54500001668930054</v>
          </cell>
          <cell r="M30">
            <v>0</v>
          </cell>
        </row>
        <row r="31">
          <cell r="A31" t="str">
            <v>97-175</v>
          </cell>
          <cell r="B31">
            <v>1.75</v>
          </cell>
          <cell r="C31">
            <v>2.7509999999999999</v>
          </cell>
          <cell r="D31">
            <v>5.4799999999999998E-7</v>
          </cell>
          <cell r="E31">
            <v>1.137</v>
          </cell>
          <cell r="F31" t="str">
            <v>1 1/8"</v>
          </cell>
          <cell r="G31" t="str">
            <v>1"</v>
          </cell>
          <cell r="H31" t="str">
            <v>7/8"</v>
          </cell>
          <cell r="J31">
            <v>0.24500000476837158</v>
          </cell>
          <cell r="K31">
            <v>0.25</v>
          </cell>
          <cell r="L31">
            <v>0.50599998235702515</v>
          </cell>
          <cell r="M31">
            <v>0</v>
          </cell>
        </row>
        <row r="32">
          <cell r="A32" t="str">
            <v>97-200</v>
          </cell>
          <cell r="B32">
            <v>2</v>
          </cell>
          <cell r="C32">
            <v>2.8010000000000002</v>
          </cell>
          <cell r="D32">
            <v>5.3799999999999997E-7</v>
          </cell>
          <cell r="E32">
            <v>1.141</v>
          </cell>
          <cell r="F32" t="str">
            <v>1 1/8"</v>
          </cell>
          <cell r="G32" t="str">
            <v>1"</v>
          </cell>
          <cell r="H32" t="str">
            <v>7/8"</v>
          </cell>
          <cell r="J32">
            <v>0.26800000667572021</v>
          </cell>
          <cell r="K32">
            <v>0.27399998903274536</v>
          </cell>
          <cell r="L32">
            <v>0.45800000429153442</v>
          </cell>
          <cell r="M32">
            <v>0</v>
          </cell>
        </row>
        <row r="33">
          <cell r="A33" t="str">
            <v>97-225</v>
          </cell>
          <cell r="B33">
            <v>2.25</v>
          </cell>
          <cell r="C33">
            <v>2.8559999999999999</v>
          </cell>
          <cell r="D33">
            <v>5.2799999999999996E-7</v>
          </cell>
          <cell r="E33">
            <v>1.143</v>
          </cell>
          <cell r="F33" t="str">
            <v>1 1/8"</v>
          </cell>
          <cell r="G33" t="str">
            <v>1"</v>
          </cell>
          <cell r="H33" t="str">
            <v>7/8"</v>
          </cell>
          <cell r="J33">
            <v>0.29399999976158142</v>
          </cell>
          <cell r="K33">
            <v>0.30199998617172241</v>
          </cell>
          <cell r="L33">
            <v>0.40400001406669617</v>
          </cell>
          <cell r="M33">
            <v>0</v>
          </cell>
        </row>
        <row r="34">
          <cell r="A34" t="str">
            <v>97-250</v>
          </cell>
          <cell r="B34">
            <v>2.5</v>
          </cell>
          <cell r="C34">
            <v>2.9209999999999998</v>
          </cell>
          <cell r="D34">
            <v>5.1500000000000005E-7</v>
          </cell>
          <cell r="E34">
            <v>1.141</v>
          </cell>
          <cell r="F34" t="str">
            <v>1 1/8"</v>
          </cell>
          <cell r="G34" t="str">
            <v>1"</v>
          </cell>
          <cell r="H34" t="str">
            <v>7/8"</v>
          </cell>
          <cell r="J34">
            <v>0.32499998807907104</v>
          </cell>
          <cell r="K34">
            <v>0.33100000023841858</v>
          </cell>
          <cell r="L34">
            <v>0.34400001168251038</v>
          </cell>
          <cell r="M34">
            <v>0</v>
          </cell>
        </row>
        <row r="35">
          <cell r="A35" t="str">
            <v>97-275</v>
          </cell>
          <cell r="B35">
            <v>2.75</v>
          </cell>
          <cell r="C35">
            <v>2.9889999999999999</v>
          </cell>
          <cell r="D35">
            <v>5.0299999999999999E-7</v>
          </cell>
          <cell r="E35">
            <v>1.135</v>
          </cell>
          <cell r="F35" t="str">
            <v>1 1/8"</v>
          </cell>
          <cell r="G35" t="str">
            <v>1"</v>
          </cell>
          <cell r="H35" t="str">
            <v>7/8"</v>
          </cell>
          <cell r="J35">
            <v>0.36100000143051147</v>
          </cell>
          <cell r="K35">
            <v>0.3529999852180481</v>
          </cell>
          <cell r="L35">
            <v>0.28600001335144043</v>
          </cell>
          <cell r="M35">
            <v>0</v>
          </cell>
        </row>
        <row r="36">
          <cell r="A36" t="str">
            <v>97-325</v>
          </cell>
          <cell r="B36">
            <v>3.25</v>
          </cell>
          <cell r="C36">
            <v>3.1320000000000001</v>
          </cell>
          <cell r="D36">
            <v>4.75E-7</v>
          </cell>
          <cell r="E36">
            <v>1.111</v>
          </cell>
          <cell r="F36" t="str">
            <v>1 1/8"</v>
          </cell>
          <cell r="G36" t="str">
            <v>1"</v>
          </cell>
          <cell r="H36" t="str">
            <v>7/8"</v>
          </cell>
          <cell r="J36">
            <v>0.42899999022483826</v>
          </cell>
          <cell r="K36">
            <v>0.41899999976158142</v>
          </cell>
          <cell r="L36">
            <v>0.15199999511241913</v>
          </cell>
          <cell r="M36">
            <v>0</v>
          </cell>
        </row>
        <row r="37">
          <cell r="A37" t="str">
            <v>98-100</v>
          </cell>
          <cell r="B37">
            <v>1</v>
          </cell>
          <cell r="C37">
            <v>3.0680000000000001</v>
          </cell>
          <cell r="D37">
            <v>4.75E-7</v>
          </cell>
          <cell r="E37">
            <v>1.0429999999999999</v>
          </cell>
          <cell r="F37" t="str">
            <v>1 1/8"</v>
          </cell>
          <cell r="G37" t="str">
            <v>1"</v>
          </cell>
          <cell r="J37">
            <v>0.21199999749660492</v>
          </cell>
          <cell r="K37">
            <v>0.78799998760223389</v>
          </cell>
          <cell r="L37">
            <v>0</v>
          </cell>
          <cell r="M37">
            <v>0</v>
          </cell>
        </row>
        <row r="38">
          <cell r="A38" t="str">
            <v>98-125</v>
          </cell>
          <cell r="B38">
            <v>1.25</v>
          </cell>
          <cell r="C38">
            <v>3.0760000000000001</v>
          </cell>
          <cell r="D38">
            <v>4.7399999999999998E-7</v>
          </cell>
          <cell r="E38">
            <v>1.0449999999999999</v>
          </cell>
          <cell r="F38" t="str">
            <v>1 1/8"</v>
          </cell>
          <cell r="G38" t="str">
            <v>1"</v>
          </cell>
          <cell r="J38">
            <v>0.22200000286102295</v>
          </cell>
          <cell r="K38">
            <v>0.77799999713897705</v>
          </cell>
          <cell r="L38">
            <v>0</v>
          </cell>
          <cell r="M38">
            <v>0</v>
          </cell>
        </row>
        <row r="39">
          <cell r="A39" t="str">
            <v>98-150</v>
          </cell>
          <cell r="B39">
            <v>1.5</v>
          </cell>
          <cell r="C39">
            <v>3.089</v>
          </cell>
          <cell r="D39">
            <v>4.7199999999999999E-7</v>
          </cell>
          <cell r="E39">
            <v>1.048</v>
          </cell>
          <cell r="F39" t="str">
            <v>1 1/8"</v>
          </cell>
          <cell r="G39" t="str">
            <v>1"</v>
          </cell>
          <cell r="J39">
            <v>0.23800000548362732</v>
          </cell>
          <cell r="K39">
            <v>0.76200002431869507</v>
          </cell>
          <cell r="L39">
            <v>0</v>
          </cell>
          <cell r="M39">
            <v>0</v>
          </cell>
        </row>
        <row r="40">
          <cell r="A40" t="str">
            <v>98-175</v>
          </cell>
          <cell r="B40">
            <v>1.75</v>
          </cell>
          <cell r="C40">
            <v>3.1030000000000002</v>
          </cell>
          <cell r="D40">
            <v>4.7E-7</v>
          </cell>
          <cell r="E40">
            <v>1.0509999999999999</v>
          </cell>
          <cell r="F40" t="str">
            <v>1 1/8"</v>
          </cell>
          <cell r="G40" t="str">
            <v>1"</v>
          </cell>
          <cell r="J40">
            <v>0.25699999928474426</v>
          </cell>
          <cell r="K40">
            <v>0.74299997091293335</v>
          </cell>
          <cell r="L40">
            <v>0</v>
          </cell>
          <cell r="M40">
            <v>0</v>
          </cell>
        </row>
        <row r="41">
          <cell r="A41" t="str">
            <v>98-200</v>
          </cell>
          <cell r="B41">
            <v>2</v>
          </cell>
          <cell r="C41">
            <v>3.1179999999999999</v>
          </cell>
          <cell r="D41">
            <v>4.6800000000000001E-7</v>
          </cell>
          <cell r="E41">
            <v>1.0549999999999999</v>
          </cell>
          <cell r="F41" t="str">
            <v>1 1/8"</v>
          </cell>
          <cell r="G41" t="str">
            <v>1"</v>
          </cell>
          <cell r="J41">
            <v>0.27700001001358032</v>
          </cell>
          <cell r="K41">
            <v>0.72299998998641968</v>
          </cell>
          <cell r="L41">
            <v>0</v>
          </cell>
          <cell r="M41">
            <v>0</v>
          </cell>
        </row>
        <row r="42">
          <cell r="A42" t="str">
            <v>98-225</v>
          </cell>
          <cell r="B42">
            <v>2.25</v>
          </cell>
          <cell r="C42">
            <v>3.137</v>
          </cell>
          <cell r="D42">
            <v>4.6499999999999999E-7</v>
          </cell>
          <cell r="E42">
            <v>1.0580000000000001</v>
          </cell>
          <cell r="F42" t="str">
            <v>1 1/8"</v>
          </cell>
          <cell r="G42" t="str">
            <v>1"</v>
          </cell>
          <cell r="J42">
            <v>0.30099999904632568</v>
          </cell>
          <cell r="K42">
            <v>0.69900000095367432</v>
          </cell>
          <cell r="L42">
            <v>0</v>
          </cell>
          <cell r="M42">
            <v>0</v>
          </cell>
        </row>
        <row r="43">
          <cell r="A43" t="str">
            <v>98-250</v>
          </cell>
          <cell r="B43">
            <v>2.5</v>
          </cell>
          <cell r="C43">
            <v>3.157</v>
          </cell>
          <cell r="D43">
            <v>4.63E-7</v>
          </cell>
          <cell r="E43">
            <v>1.0620000000000001</v>
          </cell>
          <cell r="F43" t="str">
            <v>1 1/8"</v>
          </cell>
          <cell r="G43" t="str">
            <v>1"</v>
          </cell>
          <cell r="J43">
            <v>0.32699999213218689</v>
          </cell>
          <cell r="K43">
            <v>0.67299997806549072</v>
          </cell>
          <cell r="L43">
            <v>0</v>
          </cell>
          <cell r="M43">
            <v>0</v>
          </cell>
        </row>
        <row r="44">
          <cell r="A44" t="str">
            <v>98-275</v>
          </cell>
          <cell r="B44">
            <v>2.75</v>
          </cell>
          <cell r="C44">
            <v>3.18</v>
          </cell>
          <cell r="D44">
            <v>4.5999999999999999E-7</v>
          </cell>
          <cell r="E44">
            <v>1.0660000000000001</v>
          </cell>
          <cell r="F44" t="str">
            <v>1 1/8"</v>
          </cell>
          <cell r="G44" t="str">
            <v>1"</v>
          </cell>
          <cell r="J44">
            <v>0.35600000619888306</v>
          </cell>
          <cell r="K44">
            <v>0.64399999380111694</v>
          </cell>
          <cell r="L44">
            <v>0</v>
          </cell>
          <cell r="M44">
            <v>0</v>
          </cell>
        </row>
        <row r="45">
          <cell r="A45" t="str">
            <v>98-325</v>
          </cell>
          <cell r="B45">
            <v>3.25</v>
          </cell>
          <cell r="C45">
            <v>3.2309999999999999</v>
          </cell>
          <cell r="D45">
            <v>4.5299999999999999E-7</v>
          </cell>
          <cell r="E45">
            <v>1.071</v>
          </cell>
          <cell r="F45" t="str">
            <v>1 1/8"</v>
          </cell>
          <cell r="G45" t="str">
            <v>1"</v>
          </cell>
          <cell r="J45">
            <v>0.42199999094009399</v>
          </cell>
          <cell r="K45">
            <v>0.57800000905990601</v>
          </cell>
          <cell r="L45">
            <v>0</v>
          </cell>
          <cell r="M45">
            <v>0</v>
          </cell>
        </row>
        <row r="46">
          <cell r="A46" t="str">
            <v>98-375</v>
          </cell>
          <cell r="B46">
            <v>3.75</v>
          </cell>
          <cell r="C46">
            <v>3.2890000000000001</v>
          </cell>
          <cell r="D46">
            <v>4.4499999999999997E-7</v>
          </cell>
          <cell r="E46">
            <v>1.0740000000000001</v>
          </cell>
          <cell r="F46" t="str">
            <v>1 1/8"</v>
          </cell>
          <cell r="G46" t="str">
            <v>1"</v>
          </cell>
          <cell r="J46">
            <v>0.49700000882148743</v>
          </cell>
          <cell r="K46">
            <v>0.50300002098083496</v>
          </cell>
          <cell r="L46">
            <v>0</v>
          </cell>
          <cell r="M46">
            <v>0</v>
          </cell>
        </row>
        <row r="47">
          <cell r="A47" t="str">
            <v>98-475</v>
          </cell>
          <cell r="B47">
            <v>4.75</v>
          </cell>
          <cell r="C47">
            <v>3.4119999999999999</v>
          </cell>
          <cell r="D47">
            <v>4.2800000000000002E-7</v>
          </cell>
          <cell r="E47">
            <v>1.0640000000000001</v>
          </cell>
          <cell r="F47" t="str">
            <v>1 1/8"</v>
          </cell>
          <cell r="G47" t="str">
            <v>1"</v>
          </cell>
          <cell r="J47">
            <v>0.65700000524520874</v>
          </cell>
          <cell r="K47">
            <v>0.34299999475479126</v>
          </cell>
          <cell r="L47">
            <v>0</v>
          </cell>
          <cell r="M47">
            <v>0</v>
          </cell>
        </row>
        <row r="48">
          <cell r="A48" t="str">
            <v>99-xxx</v>
          </cell>
          <cell r="C48">
            <v>3.6760000000000002</v>
          </cell>
          <cell r="D48">
            <v>3.9299999999999999E-7</v>
          </cell>
          <cell r="E48">
            <v>1</v>
          </cell>
          <cell r="F48" t="str">
            <v>1 1/8"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</row>
      </sheetData>
      <sheetData sheetId="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 refreshError="1"/>
      <sheetData sheetId="1"/>
      <sheetData sheetId="2"/>
      <sheetData sheetId="3"/>
      <sheetData sheetId="4">
        <row r="12">
          <cell r="A12" t="str">
            <v>Legajo</v>
          </cell>
          <cell r="B12" t="str">
            <v>Apellido</v>
          </cell>
          <cell r="C12" t="str">
            <v>Nombres</v>
          </cell>
          <cell r="D12" t="str">
            <v>Remuneración Mensual</v>
          </cell>
          <cell r="E12" t="str">
            <v>Compensación Variable</v>
          </cell>
          <cell r="F12" t="str">
            <v>Comp.Var - Cantidad sueldos</v>
          </cell>
          <cell r="G12" t="str">
            <v>Adicional Personal</v>
          </cell>
          <cell r="H12" t="str">
            <v>Bienes y Servicios</v>
          </cell>
          <cell r="I12" t="str">
            <v>Ad. Tarea Superior</v>
          </cell>
        </row>
        <row r="13">
          <cell r="A13">
            <v>1008035725</v>
          </cell>
          <cell r="B13" t="str">
            <v>BIANCHETTI</v>
          </cell>
          <cell r="C13" t="str">
            <v>Miguel</v>
          </cell>
          <cell r="D13">
            <v>12766</v>
          </cell>
          <cell r="E13">
            <v>60587</v>
          </cell>
          <cell r="F13">
            <v>4.7459658467805106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4006040386</v>
          </cell>
          <cell r="B14" t="str">
            <v>MARTINEZ</v>
          </cell>
          <cell r="C14" t="str">
            <v>Aníbal</v>
          </cell>
          <cell r="D14">
            <v>4500</v>
          </cell>
          <cell r="E14">
            <v>9000</v>
          </cell>
          <cell r="F14">
            <v>2</v>
          </cell>
          <cell r="G14">
            <v>0</v>
          </cell>
          <cell r="H14">
            <v>0</v>
          </cell>
          <cell r="I14">
            <v>0</v>
          </cell>
        </row>
        <row r="15">
          <cell r="A15">
            <v>4010941885</v>
          </cell>
          <cell r="B15" t="str">
            <v>DIPINTO CAFIERO</v>
          </cell>
          <cell r="C15" t="str">
            <v>Roberto</v>
          </cell>
          <cell r="D15">
            <v>8833</v>
          </cell>
          <cell r="E15">
            <v>65500</v>
          </cell>
          <cell r="F15">
            <v>7.6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1013683522</v>
          </cell>
          <cell r="B16" t="str">
            <v>RAFFAELI</v>
          </cell>
          <cell r="C16" t="str">
            <v>Nestor</v>
          </cell>
          <cell r="D16">
            <v>7194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A17">
            <v>1018773480</v>
          </cell>
          <cell r="B17" t="str">
            <v>BENEDINI</v>
          </cell>
          <cell r="C17" t="str">
            <v>Adolfo</v>
          </cell>
          <cell r="D17">
            <v>4550</v>
          </cell>
          <cell r="E17">
            <v>13650</v>
          </cell>
          <cell r="F17">
            <v>3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1006437773</v>
          </cell>
          <cell r="B18" t="str">
            <v>BARRERA</v>
          </cell>
          <cell r="C18" t="str">
            <v>Ramón</v>
          </cell>
          <cell r="D18">
            <v>4000</v>
          </cell>
          <cell r="E18">
            <v>12000</v>
          </cell>
          <cell r="F18">
            <v>3</v>
          </cell>
          <cell r="G18">
            <v>0</v>
          </cell>
          <cell r="H18">
            <v>0</v>
          </cell>
          <cell r="I18">
            <v>0</v>
          </cell>
        </row>
        <row r="19">
          <cell r="A19">
            <v>1012021076</v>
          </cell>
          <cell r="B19" t="str">
            <v>BENITO</v>
          </cell>
          <cell r="C19" t="str">
            <v>José</v>
          </cell>
          <cell r="D19">
            <v>4620</v>
          </cell>
          <cell r="E19">
            <v>13860</v>
          </cell>
          <cell r="F19">
            <v>3</v>
          </cell>
          <cell r="G19">
            <v>0</v>
          </cell>
          <cell r="H19">
            <v>0</v>
          </cell>
          <cell r="I19">
            <v>270</v>
          </cell>
        </row>
        <row r="20">
          <cell r="A20">
            <v>4008065048</v>
          </cell>
          <cell r="B20" t="str">
            <v>BOLENTINI</v>
          </cell>
          <cell r="C20" t="str">
            <v>Sergio Daneil</v>
          </cell>
          <cell r="D20">
            <v>8400</v>
          </cell>
          <cell r="E20">
            <v>33600</v>
          </cell>
          <cell r="F20">
            <v>4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1013970682</v>
          </cell>
          <cell r="B21" t="str">
            <v>BONAVIA</v>
          </cell>
          <cell r="C21" t="str">
            <v xml:space="preserve">Osvaldo </v>
          </cell>
          <cell r="D21">
            <v>5039</v>
          </cell>
          <cell r="E21">
            <v>15117</v>
          </cell>
          <cell r="F21">
            <v>3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1012064446</v>
          </cell>
          <cell r="B22" t="str">
            <v>BUSCHIAZZO</v>
          </cell>
          <cell r="C22" t="str">
            <v>Hector Horacio</v>
          </cell>
          <cell r="D22">
            <v>4400</v>
          </cell>
          <cell r="E22">
            <v>14790</v>
          </cell>
          <cell r="F22">
            <v>3</v>
          </cell>
          <cell r="G22">
            <v>0</v>
          </cell>
          <cell r="H22">
            <v>0</v>
          </cell>
          <cell r="I22">
            <v>530</v>
          </cell>
        </row>
        <row r="23">
          <cell r="A23">
            <v>1014625968</v>
          </cell>
          <cell r="B23" t="str">
            <v>CANCELLIERI</v>
          </cell>
          <cell r="C23" t="str">
            <v>Eduardo Alfredo</v>
          </cell>
          <cell r="D23">
            <v>6870</v>
          </cell>
          <cell r="E23">
            <v>27480</v>
          </cell>
          <cell r="F23">
            <v>4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1008341804</v>
          </cell>
          <cell r="B24" t="str">
            <v>FUNARO CHAÑAL</v>
          </cell>
          <cell r="C24" t="str">
            <v>Juan Carlos</v>
          </cell>
          <cell r="D24">
            <v>4925</v>
          </cell>
          <cell r="E24">
            <v>14775</v>
          </cell>
          <cell r="F24">
            <v>3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1018429834</v>
          </cell>
          <cell r="B25" t="str">
            <v>GUIÑAZU</v>
          </cell>
          <cell r="C25" t="str">
            <v>Alfredo Walter</v>
          </cell>
          <cell r="D25">
            <v>4400</v>
          </cell>
          <cell r="E25">
            <v>8800</v>
          </cell>
          <cell r="F25">
            <v>2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1016415959</v>
          </cell>
          <cell r="B26" t="str">
            <v>GUTIERREZ</v>
          </cell>
          <cell r="C26" t="str">
            <v>Fabián Edgardo</v>
          </cell>
          <cell r="D26">
            <v>5100</v>
          </cell>
          <cell r="E26">
            <v>15300</v>
          </cell>
          <cell r="F26">
            <v>3</v>
          </cell>
          <cell r="G26">
            <v>0</v>
          </cell>
          <cell r="H26">
            <v>0</v>
          </cell>
          <cell r="I26">
            <v>0</v>
          </cell>
        </row>
        <row r="27">
          <cell r="A27">
            <v>1013997164</v>
          </cell>
          <cell r="B27" t="str">
            <v>JARAMILLO</v>
          </cell>
          <cell r="C27" t="str">
            <v>Carlos Alberto</v>
          </cell>
          <cell r="D27">
            <v>4045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1011904267</v>
          </cell>
          <cell r="B28" t="str">
            <v>JAVIER</v>
          </cell>
          <cell r="C28" t="str">
            <v>Ruben Ignacio</v>
          </cell>
          <cell r="D28">
            <v>3900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A29">
            <v>1011741656</v>
          </cell>
          <cell r="B29" t="str">
            <v>LLOYD</v>
          </cell>
          <cell r="C29" t="str">
            <v>Roberto Daniel</v>
          </cell>
          <cell r="D29">
            <v>4850</v>
          </cell>
          <cell r="E29">
            <v>14550</v>
          </cell>
          <cell r="F29">
            <v>3</v>
          </cell>
          <cell r="G29">
            <v>0</v>
          </cell>
          <cell r="H29">
            <v>0</v>
          </cell>
          <cell r="I29">
            <v>0</v>
          </cell>
        </row>
        <row r="30">
          <cell r="A30">
            <v>1013708736</v>
          </cell>
          <cell r="B30" t="str">
            <v>LOPEZ</v>
          </cell>
          <cell r="C30" t="str">
            <v>Leandro Leslie</v>
          </cell>
          <cell r="D30">
            <v>4400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</row>
        <row r="31">
          <cell r="A31">
            <v>5013229616</v>
          </cell>
          <cell r="B31" t="str">
            <v>MC GREGOR</v>
          </cell>
          <cell r="C31" t="str">
            <v>Peter Malcolm</v>
          </cell>
          <cell r="D31">
            <v>7290</v>
          </cell>
          <cell r="E31">
            <v>30460</v>
          </cell>
          <cell r="F31">
            <v>4.1783264746227706</v>
          </cell>
          <cell r="G31">
            <v>0</v>
          </cell>
          <cell r="H31">
            <v>0</v>
          </cell>
          <cell r="I31">
            <v>0</v>
          </cell>
        </row>
        <row r="32">
          <cell r="A32">
            <v>1016868207</v>
          </cell>
          <cell r="B32" t="str">
            <v>MUSRI</v>
          </cell>
          <cell r="C32" t="str">
            <v>Daniel Amado</v>
          </cell>
          <cell r="D32">
            <v>6790</v>
          </cell>
          <cell r="E32">
            <v>27160</v>
          </cell>
          <cell r="F32">
            <v>4</v>
          </cell>
          <cell r="G32">
            <v>0</v>
          </cell>
          <cell r="H32">
            <v>0</v>
          </cell>
          <cell r="I32">
            <v>0</v>
          </cell>
        </row>
        <row r="33">
          <cell r="A33">
            <v>1014122177</v>
          </cell>
          <cell r="B33" t="str">
            <v>PARDO</v>
          </cell>
          <cell r="C33" t="str">
            <v>Jorge Héctor</v>
          </cell>
          <cell r="D33">
            <v>4850</v>
          </cell>
          <cell r="E33">
            <v>14550</v>
          </cell>
          <cell r="F33">
            <v>3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1008148229</v>
          </cell>
          <cell r="B34" t="str">
            <v>PIRAN</v>
          </cell>
          <cell r="C34" t="str">
            <v>Orlando Juan</v>
          </cell>
          <cell r="D34">
            <v>14000</v>
          </cell>
          <cell r="E34">
            <v>106400</v>
          </cell>
          <cell r="F34">
            <v>7</v>
          </cell>
          <cell r="G34">
            <v>0</v>
          </cell>
          <cell r="H34">
            <v>0</v>
          </cell>
          <cell r="I34">
            <v>1200</v>
          </cell>
        </row>
        <row r="35">
          <cell r="A35">
            <v>1012495096</v>
          </cell>
          <cell r="B35" t="str">
            <v>TORRES</v>
          </cell>
          <cell r="C35" t="str">
            <v>Rodolfo</v>
          </cell>
          <cell r="D35">
            <v>5000</v>
          </cell>
          <cell r="E35">
            <v>15000</v>
          </cell>
          <cell r="F35">
            <v>3</v>
          </cell>
          <cell r="G35">
            <v>0</v>
          </cell>
          <cell r="H35">
            <v>0</v>
          </cell>
          <cell r="I35">
            <v>0</v>
          </cell>
        </row>
        <row r="36">
          <cell r="A36">
            <v>4009804911</v>
          </cell>
          <cell r="B36" t="str">
            <v>LAMANNA</v>
          </cell>
          <cell r="C36" t="str">
            <v>Darío</v>
          </cell>
          <cell r="D36">
            <v>4600</v>
          </cell>
          <cell r="E36">
            <v>9200</v>
          </cell>
          <cell r="F36">
            <v>2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1013564008</v>
          </cell>
          <cell r="B37" t="str">
            <v>ELVAS</v>
          </cell>
          <cell r="C37" t="str">
            <v>Marcelo Ricardo</v>
          </cell>
          <cell r="D37">
            <v>9326</v>
          </cell>
          <cell r="E37">
            <v>46630</v>
          </cell>
          <cell r="F37">
            <v>5</v>
          </cell>
          <cell r="G37">
            <v>5344</v>
          </cell>
          <cell r="H37">
            <v>3784</v>
          </cell>
          <cell r="I37">
            <v>0</v>
          </cell>
        </row>
        <row r="38">
          <cell r="A38">
            <v>1007615145</v>
          </cell>
          <cell r="B38" t="str">
            <v>URRIJOLA</v>
          </cell>
          <cell r="C38" t="str">
            <v>Ruben Rogelio</v>
          </cell>
          <cell r="D38">
            <v>6930</v>
          </cell>
          <cell r="E38">
            <v>27147</v>
          </cell>
          <cell r="F38">
            <v>3.9173160173160175</v>
          </cell>
          <cell r="G38">
            <v>7233</v>
          </cell>
          <cell r="H38">
            <v>3566</v>
          </cell>
          <cell r="I38">
            <v>0</v>
          </cell>
        </row>
        <row r="39">
          <cell r="A39">
            <v>1008311034</v>
          </cell>
          <cell r="B39" t="str">
            <v>IANNACI</v>
          </cell>
          <cell r="C39" t="str">
            <v>Nestor</v>
          </cell>
          <cell r="D39">
            <v>6221</v>
          </cell>
          <cell r="E39">
            <v>0</v>
          </cell>
          <cell r="F39">
            <v>0</v>
          </cell>
          <cell r="G39">
            <v>15171</v>
          </cell>
          <cell r="H39">
            <v>5815</v>
          </cell>
          <cell r="I39">
            <v>0</v>
          </cell>
        </row>
        <row r="40">
          <cell r="A40">
            <v>1012638017</v>
          </cell>
          <cell r="B40" t="str">
            <v>ROSA</v>
          </cell>
          <cell r="C40" t="str">
            <v>Pablo</v>
          </cell>
          <cell r="D40">
            <v>5967</v>
          </cell>
          <cell r="E40">
            <v>0</v>
          </cell>
          <cell r="F40">
            <v>0</v>
          </cell>
          <cell r="G40">
            <v>14280</v>
          </cell>
          <cell r="H40">
            <v>6159</v>
          </cell>
          <cell r="I40">
            <v>0</v>
          </cell>
        </row>
        <row r="41">
          <cell r="A41">
            <v>1006392188</v>
          </cell>
          <cell r="B41" t="str">
            <v>AHUMADA</v>
          </cell>
          <cell r="C41" t="str">
            <v>Alberto Ricardo</v>
          </cell>
          <cell r="D41">
            <v>3794</v>
          </cell>
          <cell r="E41">
            <v>0</v>
          </cell>
          <cell r="F41">
            <v>0</v>
          </cell>
          <cell r="G41">
            <v>2977</v>
          </cell>
          <cell r="H41">
            <v>4964</v>
          </cell>
          <cell r="I41">
            <v>0</v>
          </cell>
        </row>
        <row r="42">
          <cell r="A42">
            <v>1013035789</v>
          </cell>
          <cell r="B42" t="str">
            <v>BARBUGLI</v>
          </cell>
          <cell r="C42" t="str">
            <v>Jorge Alberto</v>
          </cell>
          <cell r="D42">
            <v>4925</v>
          </cell>
          <cell r="E42">
            <v>14701</v>
          </cell>
          <cell r="F42">
            <v>2.98497461928934</v>
          </cell>
          <cell r="G42">
            <v>1037</v>
          </cell>
          <cell r="H42">
            <v>5752</v>
          </cell>
          <cell r="I42">
            <v>0</v>
          </cell>
        </row>
        <row r="43">
          <cell r="A43">
            <v>1017472934</v>
          </cell>
          <cell r="B43" t="str">
            <v>LAPEGNA</v>
          </cell>
          <cell r="C43" t="str">
            <v>Daniel Alberto</v>
          </cell>
          <cell r="D43">
            <v>5120</v>
          </cell>
          <cell r="E43">
            <v>12800</v>
          </cell>
          <cell r="F43">
            <v>2.5</v>
          </cell>
          <cell r="G43">
            <v>9177</v>
          </cell>
          <cell r="H43">
            <v>5779</v>
          </cell>
          <cell r="I43">
            <v>0</v>
          </cell>
        </row>
        <row r="44">
          <cell r="A44">
            <v>1010528765</v>
          </cell>
          <cell r="B44" t="str">
            <v>HERRERA</v>
          </cell>
          <cell r="C44" t="str">
            <v>José Luis</v>
          </cell>
          <cell r="D44">
            <v>4500</v>
          </cell>
          <cell r="E44">
            <v>0</v>
          </cell>
          <cell r="F44">
            <v>0</v>
          </cell>
          <cell r="G44">
            <v>7037</v>
          </cell>
          <cell r="H44">
            <v>5424</v>
          </cell>
          <cell r="I44">
            <v>0</v>
          </cell>
        </row>
        <row r="45">
          <cell r="A45">
            <v>1012593155</v>
          </cell>
          <cell r="B45" t="str">
            <v>MERCADO</v>
          </cell>
          <cell r="C45" t="str">
            <v>Horacio Manuel</v>
          </cell>
          <cell r="D45">
            <v>3900</v>
          </cell>
          <cell r="E45">
            <v>0</v>
          </cell>
          <cell r="F45">
            <v>0</v>
          </cell>
          <cell r="G45">
            <v>2124</v>
          </cell>
          <cell r="H45">
            <v>5684</v>
          </cell>
          <cell r="I45">
            <v>0</v>
          </cell>
        </row>
        <row r="46">
          <cell r="A46">
            <v>1011355230</v>
          </cell>
          <cell r="B46" t="str">
            <v>MOHANNA</v>
          </cell>
          <cell r="C46" t="str">
            <v>Julio César</v>
          </cell>
          <cell r="D46">
            <v>3429</v>
          </cell>
          <cell r="E46">
            <v>0</v>
          </cell>
          <cell r="F46">
            <v>0</v>
          </cell>
          <cell r="G46">
            <v>1331</v>
          </cell>
          <cell r="H46">
            <v>5233</v>
          </cell>
          <cell r="I46">
            <v>0</v>
          </cell>
        </row>
        <row r="47">
          <cell r="A47">
            <v>1010670880</v>
          </cell>
          <cell r="B47" t="str">
            <v>MONACO</v>
          </cell>
          <cell r="C47" t="str">
            <v>Daniel Hugo</v>
          </cell>
          <cell r="D47">
            <v>5500</v>
          </cell>
          <cell r="E47">
            <v>16500</v>
          </cell>
          <cell r="F47">
            <v>3</v>
          </cell>
          <cell r="G47">
            <v>2383</v>
          </cell>
          <cell r="H47">
            <v>5505</v>
          </cell>
          <cell r="I47">
            <v>0</v>
          </cell>
        </row>
        <row r="48">
          <cell r="A48">
            <v>1011845932</v>
          </cell>
          <cell r="B48" t="str">
            <v>PARON</v>
          </cell>
          <cell r="C48" t="str">
            <v>Roberto Anibal</v>
          </cell>
          <cell r="D48">
            <v>7570</v>
          </cell>
          <cell r="E48">
            <v>30280</v>
          </cell>
          <cell r="F48">
            <v>4</v>
          </cell>
          <cell r="G48">
            <v>2161</v>
          </cell>
          <cell r="H48">
            <v>6804</v>
          </cell>
          <cell r="I48">
            <v>0</v>
          </cell>
        </row>
        <row r="49">
          <cell r="A49">
            <v>1018080721</v>
          </cell>
          <cell r="B49" t="str">
            <v>PERALTA</v>
          </cell>
          <cell r="C49" t="str">
            <v>Enrique Alfredo</v>
          </cell>
          <cell r="D49">
            <v>3400</v>
          </cell>
          <cell r="E49">
            <v>6800</v>
          </cell>
          <cell r="F49">
            <v>2</v>
          </cell>
          <cell r="G49">
            <v>7128</v>
          </cell>
          <cell r="H49">
            <v>4918</v>
          </cell>
          <cell r="I49">
            <v>0</v>
          </cell>
        </row>
        <row r="50">
          <cell r="A50">
            <v>1093519062</v>
          </cell>
          <cell r="B50" t="str">
            <v>REATEGUI SORIA</v>
          </cell>
          <cell r="C50" t="str">
            <v>Artemio</v>
          </cell>
          <cell r="D50">
            <v>5035</v>
          </cell>
          <cell r="E50">
            <v>14827</v>
          </cell>
          <cell r="F50">
            <v>2.9447864945382323</v>
          </cell>
          <cell r="G50">
            <v>1259</v>
          </cell>
          <cell r="H50">
            <v>5767</v>
          </cell>
          <cell r="I50">
            <v>0</v>
          </cell>
        </row>
        <row r="51">
          <cell r="A51">
            <v>1013333465</v>
          </cell>
          <cell r="B51" t="str">
            <v>RECCHIA</v>
          </cell>
          <cell r="C51" t="str">
            <v>Marcelo</v>
          </cell>
          <cell r="D51">
            <v>11000</v>
          </cell>
          <cell r="E51">
            <v>55000</v>
          </cell>
          <cell r="F51">
            <v>5</v>
          </cell>
          <cell r="G51">
            <v>19112</v>
          </cell>
          <cell r="H51">
            <v>7933</v>
          </cell>
          <cell r="I51">
            <v>0</v>
          </cell>
        </row>
        <row r="52">
          <cell r="A52">
            <v>1008318885</v>
          </cell>
          <cell r="B52" t="str">
            <v>AMOROSO</v>
          </cell>
          <cell r="C52" t="str">
            <v>Juan Carlos</v>
          </cell>
          <cell r="D52">
            <v>11500</v>
          </cell>
          <cell r="E52">
            <v>57500</v>
          </cell>
          <cell r="F52">
            <v>5</v>
          </cell>
          <cell r="G52">
            <v>14250</v>
          </cell>
          <cell r="H52">
            <v>0</v>
          </cell>
          <cell r="I52">
            <v>0</v>
          </cell>
        </row>
        <row r="53">
          <cell r="A53">
            <v>1012057492</v>
          </cell>
          <cell r="B53" t="str">
            <v>CORFIELD</v>
          </cell>
          <cell r="C53" t="str">
            <v>Ricardo J.</v>
          </cell>
          <cell r="D53">
            <v>7341</v>
          </cell>
          <cell r="E53">
            <v>30000</v>
          </cell>
          <cell r="F53">
            <v>4.0866366979975481</v>
          </cell>
          <cell r="G53">
            <v>9241</v>
          </cell>
          <cell r="H53">
            <v>2540</v>
          </cell>
          <cell r="I53">
            <v>0</v>
          </cell>
        </row>
        <row r="54">
          <cell r="A54">
            <v>1017144927</v>
          </cell>
          <cell r="B54" t="str">
            <v>DI PIERRO</v>
          </cell>
          <cell r="C54" t="str">
            <v>Esteban</v>
          </cell>
          <cell r="D54">
            <v>3884</v>
          </cell>
          <cell r="E54">
            <v>11000</v>
          </cell>
          <cell r="F54">
            <v>2.8321318228630279</v>
          </cell>
          <cell r="G54">
            <v>7193</v>
          </cell>
          <cell r="H54">
            <v>5083</v>
          </cell>
          <cell r="I54">
            <v>0</v>
          </cell>
        </row>
        <row r="55">
          <cell r="A55">
            <v>1011303322</v>
          </cell>
          <cell r="B55" t="str">
            <v>GIONGO</v>
          </cell>
          <cell r="C55" t="str">
            <v>Luis</v>
          </cell>
          <cell r="D55">
            <v>4615</v>
          </cell>
          <cell r="E55">
            <v>0</v>
          </cell>
          <cell r="F55">
            <v>0</v>
          </cell>
          <cell r="G55">
            <v>5727</v>
          </cell>
          <cell r="H55">
            <v>2304</v>
          </cell>
          <cell r="I55">
            <v>0</v>
          </cell>
        </row>
        <row r="56">
          <cell r="A56">
            <v>1008435173</v>
          </cell>
          <cell r="B56" t="str">
            <v>MALFETANA</v>
          </cell>
          <cell r="C56" t="str">
            <v>Angel Omar</v>
          </cell>
          <cell r="D56">
            <v>5100</v>
          </cell>
          <cell r="E56">
            <v>15300</v>
          </cell>
          <cell r="F56">
            <v>3</v>
          </cell>
          <cell r="G56">
            <v>0</v>
          </cell>
          <cell r="H56">
            <v>0</v>
          </cell>
          <cell r="I56">
            <v>0</v>
          </cell>
        </row>
        <row r="57">
          <cell r="A57">
            <v>1010189991</v>
          </cell>
          <cell r="B57" t="str">
            <v>ORTULAN</v>
          </cell>
          <cell r="C57" t="str">
            <v>Jorge Carlos</v>
          </cell>
          <cell r="D57">
            <v>5950</v>
          </cell>
          <cell r="E57">
            <v>17850</v>
          </cell>
          <cell r="F57">
            <v>3</v>
          </cell>
          <cell r="G57">
            <v>7308</v>
          </cell>
          <cell r="H57">
            <v>6883</v>
          </cell>
          <cell r="I57">
            <v>0</v>
          </cell>
        </row>
        <row r="58">
          <cell r="A58">
            <v>1013733981</v>
          </cell>
          <cell r="B58" t="str">
            <v>ALMONACID</v>
          </cell>
          <cell r="C58" t="str">
            <v>Jorge Daniel</v>
          </cell>
          <cell r="D58">
            <v>5110</v>
          </cell>
          <cell r="E58">
            <v>12775</v>
          </cell>
          <cell r="F58">
            <v>2.5</v>
          </cell>
          <cell r="G58">
            <v>5021</v>
          </cell>
          <cell r="H58">
            <v>3172</v>
          </cell>
          <cell r="I58">
            <v>0</v>
          </cell>
        </row>
        <row r="59">
          <cell r="A59">
            <v>1007602217</v>
          </cell>
          <cell r="B59" t="str">
            <v>BAUZA</v>
          </cell>
          <cell r="C59" t="str">
            <v>Carlos</v>
          </cell>
          <cell r="D59">
            <v>4000</v>
          </cell>
          <cell r="E59">
            <v>8960</v>
          </cell>
          <cell r="F59">
            <v>2.2400000000000002</v>
          </cell>
          <cell r="G59">
            <v>0</v>
          </cell>
          <cell r="H59">
            <v>3109</v>
          </cell>
          <cell r="I59">
            <v>480</v>
          </cell>
        </row>
        <row r="60">
          <cell r="A60">
            <v>1011640847</v>
          </cell>
          <cell r="B60" t="str">
            <v>CINQUEGRANI</v>
          </cell>
          <cell r="C60" t="str">
            <v>Alberto Omar</v>
          </cell>
          <cell r="D60">
            <v>7200</v>
          </cell>
          <cell r="E60">
            <v>28800</v>
          </cell>
          <cell r="F60">
            <v>4</v>
          </cell>
          <cell r="G60">
            <v>9271</v>
          </cell>
          <cell r="H60">
            <v>6893</v>
          </cell>
          <cell r="I60">
            <v>0</v>
          </cell>
        </row>
        <row r="61">
          <cell r="A61">
            <v>1007687952</v>
          </cell>
          <cell r="B61" t="str">
            <v>GAREIS</v>
          </cell>
          <cell r="C61" t="str">
            <v>Juan Eduardo</v>
          </cell>
          <cell r="D61">
            <v>4615</v>
          </cell>
          <cell r="E61">
            <v>0</v>
          </cell>
          <cell r="F61">
            <v>0</v>
          </cell>
          <cell r="G61">
            <v>5027</v>
          </cell>
          <cell r="H61">
            <v>3269</v>
          </cell>
          <cell r="I61">
            <v>0</v>
          </cell>
        </row>
        <row r="62">
          <cell r="A62">
            <v>1008585113</v>
          </cell>
          <cell r="B62" t="str">
            <v>GRUEN</v>
          </cell>
          <cell r="C62" t="str">
            <v>Carlos</v>
          </cell>
          <cell r="D62">
            <v>3900</v>
          </cell>
          <cell r="E62">
            <v>0</v>
          </cell>
          <cell r="F62">
            <v>0</v>
          </cell>
          <cell r="G62">
            <v>5949</v>
          </cell>
          <cell r="H62">
            <v>2634</v>
          </cell>
          <cell r="I62">
            <v>0</v>
          </cell>
        </row>
        <row r="63">
          <cell r="A63">
            <v>1011612422</v>
          </cell>
          <cell r="B63" t="str">
            <v>MAGGIONI</v>
          </cell>
          <cell r="C63" t="str">
            <v>Aldo Jorge</v>
          </cell>
          <cell r="D63">
            <v>5250</v>
          </cell>
          <cell r="E63">
            <v>15750</v>
          </cell>
          <cell r="F63">
            <v>3</v>
          </cell>
          <cell r="G63">
            <v>3580</v>
          </cell>
          <cell r="H63">
            <v>3199</v>
          </cell>
          <cell r="I63">
            <v>0</v>
          </cell>
        </row>
        <row r="64">
          <cell r="A64">
            <v>1011413232</v>
          </cell>
          <cell r="B64" t="str">
            <v>NAVARRO</v>
          </cell>
          <cell r="C64" t="str">
            <v>Jorge Rafael</v>
          </cell>
          <cell r="D64">
            <v>12000</v>
          </cell>
          <cell r="E64">
            <v>60000</v>
          </cell>
          <cell r="F64">
            <v>5</v>
          </cell>
          <cell r="G64">
            <v>9926</v>
          </cell>
          <cell r="H64">
            <v>9734</v>
          </cell>
          <cell r="I64">
            <v>0</v>
          </cell>
        </row>
        <row r="65">
          <cell r="A65">
            <v>1013735426</v>
          </cell>
          <cell r="B65" t="str">
            <v>NOVILLO</v>
          </cell>
          <cell r="C65" t="str">
            <v>Gumersindo Sergio</v>
          </cell>
          <cell r="D65">
            <v>5500</v>
          </cell>
          <cell r="E65">
            <v>19250</v>
          </cell>
          <cell r="F65">
            <v>3.5</v>
          </cell>
          <cell r="G65">
            <v>3487</v>
          </cell>
          <cell r="H65">
            <v>3444</v>
          </cell>
          <cell r="I65">
            <v>0</v>
          </cell>
        </row>
        <row r="66">
          <cell r="A66">
            <v>1014781064</v>
          </cell>
          <cell r="B66" t="str">
            <v>ROLANDO</v>
          </cell>
          <cell r="C66" t="str">
            <v>Roberto</v>
          </cell>
          <cell r="D66">
            <v>3335</v>
          </cell>
          <cell r="E66">
            <v>0</v>
          </cell>
          <cell r="F66">
            <v>0</v>
          </cell>
          <cell r="G66">
            <v>4779</v>
          </cell>
          <cell r="H66">
            <v>2588</v>
          </cell>
          <cell r="I66">
            <v>0</v>
          </cell>
        </row>
        <row r="67">
          <cell r="A67">
            <v>1014625494</v>
          </cell>
          <cell r="B67" t="str">
            <v>SALDAÑO</v>
          </cell>
          <cell r="C67" t="str">
            <v>Hector Roberto</v>
          </cell>
          <cell r="D67">
            <v>7270</v>
          </cell>
          <cell r="E67">
            <v>29080</v>
          </cell>
          <cell r="F67">
            <v>4</v>
          </cell>
          <cell r="G67">
            <v>8810</v>
          </cell>
          <cell r="H67">
            <v>6925</v>
          </cell>
          <cell r="I67">
            <v>0</v>
          </cell>
        </row>
        <row r="68">
          <cell r="A68">
            <v>1012978960</v>
          </cell>
          <cell r="B68" t="str">
            <v>SHAE</v>
          </cell>
          <cell r="C68" t="str">
            <v>Nelson Arturo</v>
          </cell>
          <cell r="D68">
            <v>4300</v>
          </cell>
          <cell r="E68">
            <v>10750</v>
          </cell>
          <cell r="F68">
            <v>2.5</v>
          </cell>
          <cell r="G68">
            <v>3915</v>
          </cell>
          <cell r="H68">
            <v>3309</v>
          </cell>
          <cell r="I68">
            <v>0</v>
          </cell>
        </row>
        <row r="69">
          <cell r="A69">
            <v>1021355179</v>
          </cell>
          <cell r="B69" t="str">
            <v>SPINZANTI</v>
          </cell>
          <cell r="C69" t="str">
            <v>Jorge Andrés</v>
          </cell>
          <cell r="D69">
            <v>2920</v>
          </cell>
          <cell r="E69">
            <v>0</v>
          </cell>
          <cell r="F69">
            <v>0</v>
          </cell>
          <cell r="G69">
            <v>4081</v>
          </cell>
          <cell r="H69">
            <v>2559</v>
          </cell>
          <cell r="I69">
            <v>0</v>
          </cell>
        </row>
        <row r="70">
          <cell r="A70">
            <v>1013784427</v>
          </cell>
          <cell r="B70" t="str">
            <v>VALLEJO</v>
          </cell>
          <cell r="C70" t="str">
            <v>Eduardo Lucio</v>
          </cell>
          <cell r="D70">
            <v>5115</v>
          </cell>
          <cell r="E70">
            <v>14500</v>
          </cell>
          <cell r="F70">
            <v>2.8347996089931575</v>
          </cell>
          <cell r="G70">
            <v>8569</v>
          </cell>
          <cell r="H70">
            <v>6617</v>
          </cell>
          <cell r="I70">
            <v>0</v>
          </cell>
        </row>
        <row r="71">
          <cell r="A71">
            <v>1016001970</v>
          </cell>
          <cell r="B71" t="str">
            <v>RIOS</v>
          </cell>
          <cell r="C71" t="str">
            <v>Luis Manuel</v>
          </cell>
          <cell r="D71">
            <v>5300</v>
          </cell>
          <cell r="E71">
            <v>22750</v>
          </cell>
          <cell r="F71">
            <v>3.5</v>
          </cell>
          <cell r="G71">
            <v>0</v>
          </cell>
          <cell r="H71">
            <v>5797</v>
          </cell>
          <cell r="I71">
            <v>1200</v>
          </cell>
        </row>
        <row r="72">
          <cell r="A72">
            <v>1012030459</v>
          </cell>
          <cell r="B72" t="str">
            <v>DE DIEGO</v>
          </cell>
          <cell r="C72" t="str">
            <v>Pablo</v>
          </cell>
          <cell r="D72">
            <v>6400</v>
          </cell>
          <cell r="E72">
            <v>19200</v>
          </cell>
          <cell r="F72">
            <v>3</v>
          </cell>
          <cell r="G72">
            <v>8579</v>
          </cell>
          <cell r="H72">
            <v>7001</v>
          </cell>
          <cell r="I72">
            <v>0</v>
          </cell>
        </row>
        <row r="73">
          <cell r="A73">
            <v>1092814914</v>
          </cell>
          <cell r="B73" t="str">
            <v>GRIJALBA VAZQUEZ</v>
          </cell>
          <cell r="C73" t="str">
            <v>Pedro M.</v>
          </cell>
          <cell r="D73">
            <v>12000</v>
          </cell>
          <cell r="E73">
            <v>60000</v>
          </cell>
          <cell r="F73">
            <v>5</v>
          </cell>
          <cell r="G73">
            <v>19516</v>
          </cell>
          <cell r="H73">
            <v>9208</v>
          </cell>
          <cell r="I73">
            <v>0</v>
          </cell>
        </row>
        <row r="74">
          <cell r="A74">
            <v>4005959850</v>
          </cell>
          <cell r="B74" t="str">
            <v>IBAÑEZ</v>
          </cell>
          <cell r="C74" t="str">
            <v>Guillermo Hernán</v>
          </cell>
          <cell r="D74">
            <v>5103</v>
          </cell>
          <cell r="E74">
            <v>20412</v>
          </cell>
          <cell r="F74">
            <v>4</v>
          </cell>
          <cell r="G74">
            <v>0</v>
          </cell>
          <cell r="H74">
            <v>6330</v>
          </cell>
          <cell r="I74">
            <v>0</v>
          </cell>
        </row>
        <row r="75">
          <cell r="A75">
            <v>1013820934</v>
          </cell>
          <cell r="B75" t="str">
            <v>LORENZON</v>
          </cell>
          <cell r="C75" t="str">
            <v>Jorge Rubén</v>
          </cell>
          <cell r="D75">
            <v>8800</v>
          </cell>
          <cell r="E75">
            <v>35200</v>
          </cell>
          <cell r="F75">
            <v>4</v>
          </cell>
          <cell r="H75">
            <v>0</v>
          </cell>
          <cell r="I75">
            <v>0</v>
          </cell>
        </row>
        <row r="76">
          <cell r="A76">
            <v>1012047215</v>
          </cell>
          <cell r="B76" t="str">
            <v>BIBBO</v>
          </cell>
          <cell r="C76" t="str">
            <v>Miguel Angel</v>
          </cell>
          <cell r="D76">
            <v>18000</v>
          </cell>
          <cell r="E76">
            <v>126000</v>
          </cell>
          <cell r="F76">
            <v>7</v>
          </cell>
          <cell r="G76">
            <v>0</v>
          </cell>
          <cell r="H76">
            <v>9079</v>
          </cell>
          <cell r="I76">
            <v>0</v>
          </cell>
        </row>
        <row r="77">
          <cell r="A77">
            <v>1017653363</v>
          </cell>
          <cell r="B77" t="str">
            <v>MAS</v>
          </cell>
          <cell r="C77" t="str">
            <v>Gustavo</v>
          </cell>
          <cell r="D77">
            <v>9500</v>
          </cell>
          <cell r="E77">
            <v>55000</v>
          </cell>
          <cell r="F77">
            <v>5.7894736842105265</v>
          </cell>
          <cell r="G77">
            <v>0</v>
          </cell>
          <cell r="H77">
            <v>7933</v>
          </cell>
          <cell r="I77">
            <v>1500</v>
          </cell>
        </row>
        <row r="78">
          <cell r="A78">
            <v>1012963282</v>
          </cell>
          <cell r="B78" t="str">
            <v>CANOSA</v>
          </cell>
          <cell r="C78" t="str">
            <v>Carlos</v>
          </cell>
          <cell r="D78">
            <v>6400</v>
          </cell>
          <cell r="E78">
            <v>19200</v>
          </cell>
          <cell r="F78">
            <v>3</v>
          </cell>
          <cell r="G78">
            <v>0</v>
          </cell>
          <cell r="H78">
            <v>7001</v>
          </cell>
          <cell r="I78">
            <v>0</v>
          </cell>
        </row>
        <row r="79">
          <cell r="A79">
            <v>1016951326</v>
          </cell>
          <cell r="B79" t="str">
            <v>GROSSO</v>
          </cell>
          <cell r="C79" t="str">
            <v>Santiago</v>
          </cell>
          <cell r="D79">
            <v>4169</v>
          </cell>
          <cell r="E79">
            <v>8338</v>
          </cell>
          <cell r="F79">
            <v>2</v>
          </cell>
          <cell r="G79">
            <v>0</v>
          </cell>
          <cell r="H79">
            <v>6253</v>
          </cell>
          <cell r="I79">
            <v>0</v>
          </cell>
        </row>
        <row r="80">
          <cell r="A80">
            <v>1013727062</v>
          </cell>
          <cell r="B80" t="str">
            <v>ARGUELLO</v>
          </cell>
          <cell r="C80" t="str">
            <v>Jorge</v>
          </cell>
          <cell r="D80">
            <v>4564</v>
          </cell>
          <cell r="E80">
            <v>12190</v>
          </cell>
          <cell r="F80">
            <v>2.6709027169149868</v>
          </cell>
          <cell r="G80">
            <v>0</v>
          </cell>
          <cell r="H80">
            <v>6435</v>
          </cell>
          <cell r="I80">
            <v>0</v>
          </cell>
        </row>
        <row r="81">
          <cell r="A81">
            <v>1008389973</v>
          </cell>
          <cell r="B81" t="str">
            <v>BEGARIES</v>
          </cell>
          <cell r="C81" t="str">
            <v xml:space="preserve">Horacio </v>
          </cell>
          <cell r="D81">
            <v>14000</v>
          </cell>
          <cell r="E81">
            <v>63000</v>
          </cell>
          <cell r="F81">
            <v>4.5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1013259141</v>
          </cell>
          <cell r="B82" t="str">
            <v>MOLINA</v>
          </cell>
          <cell r="C82" t="str">
            <v>Alfredo</v>
          </cell>
          <cell r="D82">
            <v>4245</v>
          </cell>
          <cell r="E82">
            <v>0</v>
          </cell>
          <cell r="F82">
            <v>0</v>
          </cell>
          <cell r="G82">
            <v>0</v>
          </cell>
          <cell r="H82">
            <v>6577</v>
          </cell>
          <cell r="I82">
            <v>1843</v>
          </cell>
        </row>
        <row r="83">
          <cell r="A83">
            <v>1013128656</v>
          </cell>
          <cell r="B83" t="str">
            <v>WEIMANN</v>
          </cell>
          <cell r="C83" t="str">
            <v>Pablo</v>
          </cell>
          <cell r="D83">
            <v>3700</v>
          </cell>
          <cell r="E83">
            <v>9620</v>
          </cell>
          <cell r="F83">
            <v>2</v>
          </cell>
          <cell r="G83">
            <v>0</v>
          </cell>
          <cell r="H83">
            <v>0</v>
          </cell>
          <cell r="I83">
            <v>1110</v>
          </cell>
        </row>
        <row r="84">
          <cell r="A84">
            <v>1012447277</v>
          </cell>
          <cell r="B84" t="str">
            <v>CARRO</v>
          </cell>
          <cell r="C84" t="str">
            <v>José Luis</v>
          </cell>
          <cell r="D84">
            <v>5200</v>
          </cell>
          <cell r="E84">
            <v>20800</v>
          </cell>
          <cell r="F84">
            <v>4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1012591991</v>
          </cell>
          <cell r="B85" t="str">
            <v>DIODATTI</v>
          </cell>
          <cell r="C85" t="str">
            <v>Horacio</v>
          </cell>
          <cell r="D85">
            <v>5600</v>
          </cell>
          <cell r="E85">
            <v>16800</v>
          </cell>
          <cell r="F85">
            <v>3</v>
          </cell>
          <cell r="G85">
            <v>0</v>
          </cell>
          <cell r="H85">
            <v>7211</v>
          </cell>
          <cell r="I85">
            <v>0</v>
          </cell>
        </row>
        <row r="86">
          <cell r="A86">
            <v>1006246874</v>
          </cell>
          <cell r="B86" t="str">
            <v>QUINTEROS</v>
          </cell>
          <cell r="C86" t="str">
            <v>Roberto</v>
          </cell>
          <cell r="D86">
            <v>7050</v>
          </cell>
          <cell r="E86">
            <v>21150</v>
          </cell>
          <cell r="F86">
            <v>3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1018084529</v>
          </cell>
          <cell r="B87" t="str">
            <v>CASTILLO</v>
          </cell>
          <cell r="C87" t="str">
            <v>Guillermo</v>
          </cell>
          <cell r="D87">
            <v>2320</v>
          </cell>
          <cell r="E87">
            <v>10203</v>
          </cell>
          <cell r="F87">
            <v>3</v>
          </cell>
          <cell r="G87">
            <v>0</v>
          </cell>
          <cell r="H87">
            <v>279</v>
          </cell>
          <cell r="I87">
            <v>1081</v>
          </cell>
        </row>
        <row r="88">
          <cell r="A88">
            <v>1020207781</v>
          </cell>
          <cell r="B88" t="str">
            <v>PETERSEN</v>
          </cell>
          <cell r="C88" t="str">
            <v>Lucas</v>
          </cell>
          <cell r="D88">
            <v>2000</v>
          </cell>
          <cell r="E88">
            <v>11198.16</v>
          </cell>
          <cell r="F88">
            <v>3.02</v>
          </cell>
          <cell r="G88">
            <v>0</v>
          </cell>
          <cell r="H88">
            <v>0</v>
          </cell>
          <cell r="I88">
            <v>1708</v>
          </cell>
        </row>
        <row r="89">
          <cell r="A89">
            <v>1010636377</v>
          </cell>
          <cell r="B89" t="str">
            <v>LARPIN</v>
          </cell>
          <cell r="C89" t="str">
            <v>José</v>
          </cell>
          <cell r="D89">
            <v>7600</v>
          </cell>
          <cell r="E89">
            <v>34999.998800000001</v>
          </cell>
          <cell r="F89">
            <v>4.6052629999999999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1012395306</v>
          </cell>
          <cell r="B90" t="str">
            <v>MADOERY</v>
          </cell>
          <cell r="C90" t="str">
            <v>Ruben</v>
          </cell>
          <cell r="D90">
            <v>7500</v>
          </cell>
          <cell r="E90">
            <v>24999</v>
          </cell>
          <cell r="F90">
            <v>3</v>
          </cell>
          <cell r="G90">
            <v>0</v>
          </cell>
          <cell r="H90">
            <v>0</v>
          </cell>
          <cell r="I90">
            <v>833</v>
          </cell>
        </row>
        <row r="91">
          <cell r="A91">
            <v>1012780048</v>
          </cell>
          <cell r="B91" t="str">
            <v>ANGIOLINI</v>
          </cell>
          <cell r="C91" t="str">
            <v>Fernando</v>
          </cell>
          <cell r="D91">
            <v>6400</v>
          </cell>
          <cell r="E91">
            <v>19200</v>
          </cell>
          <cell r="F91">
            <v>3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1014471318</v>
          </cell>
          <cell r="B92" t="str">
            <v>MAFFONI</v>
          </cell>
          <cell r="C92" t="str">
            <v>Antonio</v>
          </cell>
          <cell r="D92">
            <v>5600</v>
          </cell>
          <cell r="E92">
            <v>16800</v>
          </cell>
          <cell r="F92">
            <v>3</v>
          </cell>
          <cell r="G92">
            <v>0</v>
          </cell>
          <cell r="H92">
            <v>6387</v>
          </cell>
          <cell r="I92">
            <v>0</v>
          </cell>
        </row>
        <row r="93">
          <cell r="A93">
            <v>1013789218</v>
          </cell>
          <cell r="B93" t="str">
            <v>ARIAS</v>
          </cell>
          <cell r="C93" t="str">
            <v>Carlos</v>
          </cell>
          <cell r="D93">
            <v>5900</v>
          </cell>
          <cell r="E93">
            <v>17700</v>
          </cell>
          <cell r="F93">
            <v>3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1016837842</v>
          </cell>
          <cell r="B94" t="str">
            <v>SUBBOTIN</v>
          </cell>
          <cell r="C94" t="str">
            <v>Juan</v>
          </cell>
          <cell r="D94">
            <v>2160</v>
          </cell>
          <cell r="F94">
            <v>0</v>
          </cell>
          <cell r="H94">
            <v>0</v>
          </cell>
          <cell r="I94">
            <v>540</v>
          </cell>
        </row>
        <row r="95">
          <cell r="A95">
            <v>1016509195</v>
          </cell>
          <cell r="B95" t="str">
            <v>CIFUENTES</v>
          </cell>
          <cell r="C95" t="str">
            <v>Gabriel</v>
          </cell>
          <cell r="D95">
            <v>6600</v>
          </cell>
          <cell r="E95">
            <v>29700</v>
          </cell>
          <cell r="F95">
            <v>4.5</v>
          </cell>
          <cell r="H95">
            <v>7237</v>
          </cell>
        </row>
        <row r="96">
          <cell r="A96">
            <v>1014349559</v>
          </cell>
          <cell r="B96" t="str">
            <v>GIAMPAOLI</v>
          </cell>
          <cell r="C96" t="str">
            <v>Hugo</v>
          </cell>
          <cell r="D96">
            <v>14300</v>
          </cell>
          <cell r="E96">
            <v>85800</v>
          </cell>
          <cell r="F96">
            <v>6</v>
          </cell>
          <cell r="H96">
            <v>0</v>
          </cell>
        </row>
        <row r="97">
          <cell r="A97">
            <v>1008429015</v>
          </cell>
          <cell r="B97" t="str">
            <v>SILVESTRE</v>
          </cell>
          <cell r="C97" t="str">
            <v>Luis</v>
          </cell>
          <cell r="D97">
            <v>6500</v>
          </cell>
          <cell r="E97">
            <v>19500</v>
          </cell>
          <cell r="F97">
            <v>3</v>
          </cell>
          <cell r="H97">
            <v>0</v>
          </cell>
        </row>
        <row r="98">
          <cell r="A98">
            <v>1013810557</v>
          </cell>
          <cell r="B98" t="str">
            <v>KRAEMER</v>
          </cell>
          <cell r="C98" t="str">
            <v>Pablo</v>
          </cell>
          <cell r="D98">
            <v>5500</v>
          </cell>
          <cell r="E98">
            <v>22000</v>
          </cell>
          <cell r="F98">
            <v>4</v>
          </cell>
          <cell r="H98">
            <v>11387</v>
          </cell>
        </row>
        <row r="99">
          <cell r="A99">
            <v>1008429709</v>
          </cell>
          <cell r="B99" t="str">
            <v>FAVORETTI</v>
          </cell>
          <cell r="C99" t="str">
            <v>Daniel Hugo</v>
          </cell>
          <cell r="D99">
            <v>14120</v>
          </cell>
          <cell r="E99">
            <v>84720</v>
          </cell>
          <cell r="F99">
            <v>6</v>
          </cell>
          <cell r="H99">
            <v>0</v>
          </cell>
        </row>
        <row r="100">
          <cell r="A100">
            <v>1007889569</v>
          </cell>
          <cell r="B100" t="str">
            <v>CHELAR</v>
          </cell>
          <cell r="C100" t="str">
            <v>Miguel</v>
          </cell>
          <cell r="D100">
            <v>10800</v>
          </cell>
          <cell r="E100">
            <v>54000</v>
          </cell>
          <cell r="F100">
            <v>5</v>
          </cell>
          <cell r="H100">
            <v>0</v>
          </cell>
        </row>
        <row r="101">
          <cell r="A101">
            <v>1008390299</v>
          </cell>
          <cell r="B101" t="str">
            <v>SOSA</v>
          </cell>
          <cell r="C101" t="str">
            <v>Héctor</v>
          </cell>
          <cell r="D101">
            <v>7850</v>
          </cell>
          <cell r="E101">
            <v>31400</v>
          </cell>
          <cell r="F101">
            <v>4</v>
          </cell>
          <cell r="H101">
            <v>0</v>
          </cell>
        </row>
        <row r="102">
          <cell r="A102">
            <v>1012676951</v>
          </cell>
          <cell r="B102" t="str">
            <v>VILLALBA</v>
          </cell>
          <cell r="C102" t="str">
            <v>Enrique  Gaspar</v>
          </cell>
          <cell r="D102">
            <v>7200</v>
          </cell>
          <cell r="E102">
            <v>28800</v>
          </cell>
          <cell r="F102">
            <v>4</v>
          </cell>
          <cell r="H102">
            <v>0</v>
          </cell>
        </row>
        <row r="103">
          <cell r="A103">
            <v>1012942976</v>
          </cell>
          <cell r="B103" t="str">
            <v>GOMEZ</v>
          </cell>
          <cell r="C103" t="str">
            <v>Marcelo Gerardo</v>
          </cell>
          <cell r="D103">
            <v>12500</v>
          </cell>
          <cell r="E103">
            <v>62500</v>
          </cell>
          <cell r="F103">
            <v>5</v>
          </cell>
          <cell r="G103">
            <v>0</v>
          </cell>
          <cell r="H103">
            <v>8794</v>
          </cell>
          <cell r="I103">
            <v>0</v>
          </cell>
        </row>
        <row r="104">
          <cell r="A104">
            <v>1022510672</v>
          </cell>
          <cell r="B104" t="str">
            <v>BUSTOS CAMPORA</v>
          </cell>
          <cell r="C104" t="str">
            <v>Yanina</v>
          </cell>
          <cell r="D104">
            <v>4100</v>
          </cell>
          <cell r="E104">
            <v>6150</v>
          </cell>
          <cell r="F104">
            <v>1.5</v>
          </cell>
          <cell r="H104">
            <v>0</v>
          </cell>
        </row>
        <row r="105">
          <cell r="A105">
            <v>1021612453</v>
          </cell>
          <cell r="B105" t="str">
            <v>MENDIZABAL</v>
          </cell>
          <cell r="C105" t="str">
            <v>Andrés</v>
          </cell>
          <cell r="D105">
            <v>4600</v>
          </cell>
          <cell r="E105">
            <v>11500</v>
          </cell>
          <cell r="F105">
            <v>2.5</v>
          </cell>
          <cell r="H105">
            <v>0</v>
          </cell>
        </row>
        <row r="106">
          <cell r="A106">
            <v>1024069415</v>
          </cell>
          <cell r="B106" t="str">
            <v>ARNAUDE</v>
          </cell>
          <cell r="C106" t="str">
            <v>Pablo</v>
          </cell>
          <cell r="D106">
            <v>4000</v>
          </cell>
          <cell r="E106">
            <v>6900</v>
          </cell>
          <cell r="F106">
            <v>1.5</v>
          </cell>
          <cell r="G106">
            <v>0</v>
          </cell>
          <cell r="H106">
            <v>18200</v>
          </cell>
          <cell r="I106">
            <v>600</v>
          </cell>
        </row>
        <row r="107">
          <cell r="A107">
            <v>1021368232</v>
          </cell>
          <cell r="B107" t="str">
            <v>RECIO</v>
          </cell>
          <cell r="C107" t="str">
            <v>Mauricio Nestor</v>
          </cell>
          <cell r="D107">
            <v>4066</v>
          </cell>
          <cell r="E107">
            <v>4066</v>
          </cell>
          <cell r="F107">
            <v>1</v>
          </cell>
          <cell r="H107">
            <v>0</v>
          </cell>
          <cell r="I107">
            <v>0</v>
          </cell>
        </row>
        <row r="108">
          <cell r="A108">
            <v>1012219406</v>
          </cell>
          <cell r="B108" t="str">
            <v>CASALIS</v>
          </cell>
          <cell r="C108" t="str">
            <v>Daniel Jorge</v>
          </cell>
          <cell r="D108">
            <v>5246</v>
          </cell>
          <cell r="E108">
            <v>20984</v>
          </cell>
          <cell r="F108">
            <v>4</v>
          </cell>
          <cell r="H108">
            <v>0</v>
          </cell>
        </row>
        <row r="109">
          <cell r="A109">
            <v>18</v>
          </cell>
          <cell r="B109">
            <v>0</v>
          </cell>
          <cell r="C109">
            <v>0</v>
          </cell>
          <cell r="F109" t="e">
            <v>#DIV/0!</v>
          </cell>
          <cell r="H109">
            <v>0</v>
          </cell>
        </row>
        <row r="110">
          <cell r="A110">
            <v>19</v>
          </cell>
          <cell r="B110">
            <v>0</v>
          </cell>
          <cell r="C110">
            <v>0</v>
          </cell>
          <cell r="F110" t="e">
            <v>#DIV/0!</v>
          </cell>
          <cell r="H110">
            <v>0</v>
          </cell>
        </row>
        <row r="111">
          <cell r="A111">
            <v>20</v>
          </cell>
          <cell r="B111">
            <v>0</v>
          </cell>
          <cell r="C111">
            <v>0</v>
          </cell>
          <cell r="F111" t="e">
            <v>#DIV/0!</v>
          </cell>
          <cell r="H111">
            <v>0</v>
          </cell>
        </row>
        <row r="112">
          <cell r="A112">
            <v>21</v>
          </cell>
          <cell r="B112">
            <v>0</v>
          </cell>
          <cell r="C112">
            <v>0</v>
          </cell>
          <cell r="F112" t="e">
            <v>#DIV/0!</v>
          </cell>
          <cell r="H112">
            <v>0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Precios Oil"/>
      <sheetName val="Precios Gas"/>
      <sheetName val="Precios LPG"/>
      <sheetName val="Precios y Ventas Gas"/>
      <sheetName val="Unidades de Venta"/>
      <sheetName val="Transporte"/>
      <sheetName val="Valor Regalia Gas"/>
      <sheetName val="Deduc Regalias"/>
      <sheetName val="Datos Para Oil"/>
      <sheetName val="Alícuotas IIBB"/>
      <sheetName val="Unidades Venta BP"/>
      <sheetName val="Producciones"/>
      <sheetName val="Producciones BP"/>
      <sheetName val="Precios Gas (2)"/>
    </sheetNames>
    <sheetDataSet>
      <sheetData sheetId="0" refreshError="1">
        <row r="4">
          <cell r="E4">
            <v>25</v>
          </cell>
          <cell r="I4">
            <v>6.2893081761006284</v>
          </cell>
        </row>
        <row r="5">
          <cell r="E5">
            <v>25</v>
          </cell>
        </row>
        <row r="6">
          <cell r="E6">
            <v>25</v>
          </cell>
        </row>
        <row r="7">
          <cell r="E7">
            <v>25</v>
          </cell>
        </row>
        <row r="8">
          <cell r="E8">
            <v>25</v>
          </cell>
        </row>
        <row r="9">
          <cell r="E9">
            <v>25</v>
          </cell>
        </row>
        <row r="10">
          <cell r="E10">
            <v>25</v>
          </cell>
        </row>
        <row r="11">
          <cell r="E11">
            <v>25</v>
          </cell>
        </row>
        <row r="12">
          <cell r="E12">
            <v>25</v>
          </cell>
        </row>
        <row r="13">
          <cell r="E13">
            <v>25</v>
          </cell>
        </row>
        <row r="14">
          <cell r="E14">
            <v>25</v>
          </cell>
        </row>
        <row r="15">
          <cell r="E15">
            <v>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YPF SUR"/>
      <sheetName val="YPF OESTE"/>
      <sheetName val="SPLITS"/>
      <sheetName val="DATABASE"/>
    </sheetNames>
    <sheetDataSet>
      <sheetData sheetId="0" refreshError="1"/>
      <sheetData sheetId="1" refreshError="1"/>
      <sheetData sheetId="2" refreshError="1"/>
      <sheetData sheetId="3"/>
      <sheetData sheetId="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13">
          <cell r="F13">
            <v>3.4139994484293124</v>
          </cell>
        </row>
        <row r="62">
          <cell r="F62">
            <v>0.85</v>
          </cell>
        </row>
        <row r="66">
          <cell r="F66">
            <v>0</v>
          </cell>
        </row>
        <row r="72">
          <cell r="F72">
            <v>0</v>
          </cell>
        </row>
        <row r="74">
          <cell r="F74">
            <v>0</v>
          </cell>
        </row>
      </sheetData>
      <sheetData sheetId="1" refreshError="1">
        <row r="6">
          <cell r="J6">
            <v>273</v>
          </cell>
        </row>
        <row r="7">
          <cell r="G7">
            <v>3050</v>
          </cell>
          <cell r="I7">
            <v>1</v>
          </cell>
        </row>
        <row r="8">
          <cell r="G8">
            <v>3050</v>
          </cell>
          <cell r="I8">
            <v>1</v>
          </cell>
        </row>
        <row r="9">
          <cell r="G9">
            <v>3050</v>
          </cell>
          <cell r="I9">
            <v>1</v>
          </cell>
        </row>
        <row r="10">
          <cell r="G10">
            <v>3050</v>
          </cell>
          <cell r="I10">
            <v>1</v>
          </cell>
        </row>
        <row r="11">
          <cell r="G11">
            <v>3050</v>
          </cell>
          <cell r="I11">
            <v>1</v>
          </cell>
        </row>
        <row r="12">
          <cell r="G12">
            <v>3050</v>
          </cell>
          <cell r="I12">
            <v>1</v>
          </cell>
        </row>
        <row r="13">
          <cell r="G13">
            <v>3050</v>
          </cell>
          <cell r="I13">
            <v>1</v>
          </cell>
        </row>
        <row r="14">
          <cell r="G14">
            <v>3050</v>
          </cell>
          <cell r="I14">
            <v>1</v>
          </cell>
        </row>
        <row r="15">
          <cell r="G15">
            <v>3050</v>
          </cell>
          <cell r="I15">
            <v>1</v>
          </cell>
        </row>
        <row r="16">
          <cell r="G16">
            <v>3050</v>
          </cell>
          <cell r="I16">
            <v>1</v>
          </cell>
        </row>
        <row r="17">
          <cell r="G17">
            <v>3050</v>
          </cell>
          <cell r="I17">
            <v>1</v>
          </cell>
        </row>
        <row r="18">
          <cell r="C18">
            <v>24.333280000000002</v>
          </cell>
          <cell r="D18">
            <v>10</v>
          </cell>
          <cell r="E18">
            <v>7.2999840000000003</v>
          </cell>
          <cell r="F18">
            <v>7.4766424048628419</v>
          </cell>
          <cell r="G18">
            <v>3050</v>
          </cell>
          <cell r="H18">
            <v>34.333280000000002</v>
          </cell>
          <cell r="I18">
            <v>1</v>
          </cell>
        </row>
        <row r="19">
          <cell r="C19">
            <v>39.541580000000003</v>
          </cell>
          <cell r="D19">
            <v>16.25</v>
          </cell>
          <cell r="E19">
            <v>11.862474000000002</v>
          </cell>
          <cell r="F19">
            <v>12.149543907902119</v>
          </cell>
          <cell r="G19">
            <v>3050</v>
          </cell>
          <cell r="H19">
            <v>55.791580000000003</v>
          </cell>
          <cell r="I19">
            <v>1</v>
          </cell>
        </row>
        <row r="20">
          <cell r="C20">
            <v>69.958179999999999</v>
          </cell>
          <cell r="D20">
            <v>28.75</v>
          </cell>
          <cell r="E20">
            <v>20.987454</v>
          </cell>
          <cell r="F20">
            <v>21.495346913980669</v>
          </cell>
          <cell r="G20">
            <v>3050</v>
          </cell>
          <cell r="H20">
            <v>98.708179999999999</v>
          </cell>
          <cell r="I20">
            <v>1</v>
          </cell>
        </row>
        <row r="21">
          <cell r="C21">
            <v>121.6664</v>
          </cell>
          <cell r="D21">
            <v>50</v>
          </cell>
          <cell r="E21">
            <v>36.499919999999996</v>
          </cell>
          <cell r="F21">
            <v>37.383212024314204</v>
          </cell>
          <cell r="G21">
            <v>3050</v>
          </cell>
          <cell r="H21">
            <v>171.66639999999998</v>
          </cell>
          <cell r="I21">
            <v>1</v>
          </cell>
        </row>
        <row r="22">
          <cell r="C22">
            <v>228.12449999999998</v>
          </cell>
          <cell r="D22">
            <v>93.75</v>
          </cell>
          <cell r="E22">
            <v>68.437349999999995</v>
          </cell>
          <cell r="F22">
            <v>70.093522545589138</v>
          </cell>
          <cell r="G22">
            <v>3050</v>
          </cell>
          <cell r="H22">
            <v>321.87449999999995</v>
          </cell>
          <cell r="I22">
            <v>1</v>
          </cell>
        </row>
        <row r="23">
          <cell r="C23">
            <v>252.45778000000001</v>
          </cell>
          <cell r="D23">
            <v>103.75</v>
          </cell>
          <cell r="E23">
            <v>75.737334000000004</v>
          </cell>
          <cell r="F23">
            <v>77.570164950451982</v>
          </cell>
          <cell r="G23">
            <v>3050</v>
          </cell>
          <cell r="H23">
            <v>356.20778000000001</v>
          </cell>
          <cell r="I23">
            <v>1</v>
          </cell>
        </row>
        <row r="24">
          <cell r="C24">
            <v>243.33279999999999</v>
          </cell>
          <cell r="D24">
            <v>172.29262812981457</v>
          </cell>
          <cell r="E24">
            <v>72.999839999999992</v>
          </cell>
          <cell r="F24">
            <v>74.766424048628409</v>
          </cell>
          <cell r="G24">
            <v>3050</v>
          </cell>
          <cell r="H24">
            <v>415.62542812981457</v>
          </cell>
          <cell r="I24">
            <v>1</v>
          </cell>
        </row>
        <row r="25">
          <cell r="C25">
            <v>212.9162</v>
          </cell>
          <cell r="D25">
            <v>598.52064437402714</v>
          </cell>
          <cell r="E25">
            <v>63.874859999999998</v>
          </cell>
          <cell r="F25">
            <v>65.420621042549868</v>
          </cell>
          <cell r="G25">
            <v>3050</v>
          </cell>
          <cell r="H25">
            <v>811.43684437402715</v>
          </cell>
          <cell r="I25">
            <v>1</v>
          </cell>
        </row>
        <row r="26">
          <cell r="C26">
            <v>177.33407664183861</v>
          </cell>
          <cell r="D26">
            <v>761.51864888974603</v>
          </cell>
          <cell r="E26">
            <v>53.200222992551588</v>
          </cell>
          <cell r="F26">
            <v>54.487659585866261</v>
          </cell>
          <cell r="G26">
            <v>3050</v>
          </cell>
          <cell r="H26">
            <v>938.85272553158461</v>
          </cell>
          <cell r="I26">
            <v>1</v>
          </cell>
        </row>
        <row r="27">
          <cell r="C27">
            <v>153.58713213515577</v>
          </cell>
          <cell r="D27">
            <v>1230</v>
          </cell>
          <cell r="E27">
            <v>46.076139640546728</v>
          </cell>
          <cell r="F27">
            <v>47.19117459557355</v>
          </cell>
          <cell r="G27">
            <v>3050</v>
          </cell>
          <cell r="H27">
            <v>1383.5871321351558</v>
          </cell>
          <cell r="I27">
            <v>1</v>
          </cell>
        </row>
        <row r="28">
          <cell r="C28">
            <v>136.42686620844847</v>
          </cell>
          <cell r="D28">
            <v>1764</v>
          </cell>
          <cell r="E28">
            <v>40.928059862534539</v>
          </cell>
          <cell r="F28">
            <v>41.918512138792437</v>
          </cell>
          <cell r="G28">
            <v>3050</v>
          </cell>
          <cell r="H28">
            <v>1900.4268662084485</v>
          </cell>
          <cell r="I28">
            <v>1</v>
          </cell>
        </row>
        <row r="29">
          <cell r="C29">
            <v>123.34902928239745</v>
          </cell>
          <cell r="D29">
            <v>2495</v>
          </cell>
          <cell r="E29">
            <v>37.004708784719234</v>
          </cell>
          <cell r="F29">
            <v>37.90021661409564</v>
          </cell>
          <cell r="G29">
            <v>3050</v>
          </cell>
          <cell r="H29">
            <v>2618.3490292823976</v>
          </cell>
          <cell r="I29">
            <v>1</v>
          </cell>
        </row>
        <row r="30">
          <cell r="C30">
            <v>112.99505934135966</v>
          </cell>
          <cell r="D30">
            <v>2737.00494065864</v>
          </cell>
          <cell r="E30">
            <v>33.898517802407895</v>
          </cell>
          <cell r="F30">
            <v>34.718856323997535</v>
          </cell>
          <cell r="G30">
            <v>3050</v>
          </cell>
          <cell r="H30">
            <v>2850</v>
          </cell>
          <cell r="I30">
            <v>1</v>
          </cell>
        </row>
        <row r="31">
          <cell r="C31">
            <v>104.55894706411743</v>
          </cell>
          <cell r="D31">
            <v>2905.4410529358802</v>
          </cell>
          <cell r="E31">
            <v>31.367684119235228</v>
          </cell>
          <cell r="F31">
            <v>32.126776884472193</v>
          </cell>
          <cell r="G31">
            <v>3050</v>
          </cell>
          <cell r="H31">
            <v>3010</v>
          </cell>
          <cell r="I31">
            <v>1</v>
          </cell>
        </row>
        <row r="32">
          <cell r="C32">
            <v>97.529775516084101</v>
          </cell>
          <cell r="D32">
            <v>2952.4702244839159</v>
          </cell>
          <cell r="E32">
            <v>29.25893265482523</v>
          </cell>
          <cell r="F32">
            <v>29.966993983561121</v>
          </cell>
          <cell r="G32">
            <v>3050</v>
          </cell>
          <cell r="H32">
            <v>3050</v>
          </cell>
          <cell r="I32">
            <v>1</v>
          </cell>
        </row>
        <row r="33">
          <cell r="C33">
            <v>91.566711374059622</v>
          </cell>
          <cell r="D33">
            <v>2958.4332886259403</v>
          </cell>
          <cell r="E33">
            <v>27.470013412217888</v>
          </cell>
          <cell r="F33">
            <v>28.134783191297306</v>
          </cell>
          <cell r="G33">
            <v>3050</v>
          </cell>
          <cell r="H33">
            <v>3050</v>
          </cell>
          <cell r="I33">
            <v>1</v>
          </cell>
        </row>
        <row r="34">
          <cell r="C34">
            <v>86.432949501027224</v>
          </cell>
          <cell r="D34">
            <v>2963.567050498973</v>
          </cell>
          <cell r="E34">
            <v>25.92988485030817</v>
          </cell>
          <cell r="F34">
            <v>26.557383773036303</v>
          </cell>
          <cell r="G34">
            <v>3050</v>
          </cell>
          <cell r="H34">
            <v>3050</v>
          </cell>
          <cell r="I34">
            <v>1</v>
          </cell>
        </row>
        <row r="35">
          <cell r="C35">
            <v>81.958414406300903</v>
          </cell>
          <cell r="D35">
            <v>2968.041585593699</v>
          </cell>
          <cell r="E35">
            <v>24.587524321890271</v>
          </cell>
          <cell r="F35">
            <v>25.182538341952707</v>
          </cell>
          <cell r="G35">
            <v>3050</v>
          </cell>
          <cell r="H35">
            <v>3050</v>
          </cell>
          <cell r="I35">
            <v>1</v>
          </cell>
        </row>
        <row r="36">
          <cell r="C36">
            <v>78.017540844474595</v>
          </cell>
          <cell r="D36">
            <v>2971.9824591555252</v>
          </cell>
          <cell r="E36">
            <v>23.405262253342379</v>
          </cell>
          <cell r="F36">
            <v>23.971665726976287</v>
          </cell>
          <cell r="G36">
            <v>3050</v>
          </cell>
          <cell r="H36">
            <v>3050</v>
          </cell>
          <cell r="I36">
            <v>1</v>
          </cell>
        </row>
        <row r="37">
          <cell r="C37">
            <v>74.515439231660253</v>
          </cell>
          <cell r="D37">
            <v>2975.4845607683396</v>
          </cell>
          <cell r="E37">
            <v>22.354631769498074</v>
          </cell>
          <cell r="F37">
            <v>22.895610159272042</v>
          </cell>
          <cell r="G37">
            <v>3050</v>
          </cell>
          <cell r="H37">
            <v>3050</v>
          </cell>
          <cell r="I37">
            <v>1</v>
          </cell>
        </row>
        <row r="38">
          <cell r="C38">
            <v>71.378955912763814</v>
          </cell>
          <cell r="D38">
            <v>2978.621044087236</v>
          </cell>
          <cell r="E38">
            <v>21.413686773829145</v>
          </cell>
          <cell r="F38">
            <v>21.931894450407228</v>
          </cell>
          <cell r="G38">
            <v>3050</v>
          </cell>
          <cell r="H38">
            <v>3050</v>
          </cell>
          <cell r="I38">
            <v>1</v>
          </cell>
        </row>
        <row r="39">
          <cell r="C39">
            <v>68.550710638567338</v>
          </cell>
          <cell r="D39">
            <v>2981.4492893614329</v>
          </cell>
          <cell r="E39">
            <v>20.565213191570201</v>
          </cell>
          <cell r="F39">
            <v>21.062887947855565</v>
          </cell>
          <cell r="G39">
            <v>3050</v>
          </cell>
          <cell r="H39">
            <v>3050</v>
          </cell>
          <cell r="I39">
            <v>1</v>
          </cell>
        </row>
        <row r="40">
          <cell r="C40">
            <v>65.985009601487775</v>
          </cell>
          <cell r="D40">
            <v>2984.0149903985121</v>
          </cell>
          <cell r="E40">
            <v>19.795502880446332</v>
          </cell>
          <cell r="F40">
            <v>20.274550774567391</v>
          </cell>
          <cell r="G40">
            <v>3050</v>
          </cell>
          <cell r="H40">
            <v>3050</v>
          </cell>
          <cell r="I40">
            <v>1</v>
          </cell>
        </row>
        <row r="41">
          <cell r="C41">
            <v>63.644976501376227</v>
          </cell>
          <cell r="D41">
            <v>2986.3550234986237</v>
          </cell>
          <cell r="E41">
            <v>19.093492950412866</v>
          </cell>
          <cell r="F41">
            <v>19.555552320389548</v>
          </cell>
          <cell r="G41">
            <v>3050</v>
          </cell>
          <cell r="H41">
            <v>3050</v>
          </cell>
          <cell r="I41">
            <v>1</v>
          </cell>
        </row>
        <row r="42">
          <cell r="C42">
            <v>61.500495950151482</v>
          </cell>
          <cell r="D42">
            <v>2988.4995040498484</v>
          </cell>
          <cell r="E42">
            <v>18.450148785045442</v>
          </cell>
          <cell r="F42">
            <v>18.896639332675168</v>
          </cell>
          <cell r="G42">
            <v>3050</v>
          </cell>
          <cell r="H42">
            <v>3050</v>
          </cell>
          <cell r="I42">
            <v>1</v>
          </cell>
        </row>
        <row r="43">
          <cell r="C43">
            <v>59.526711515145593</v>
          </cell>
          <cell r="D43">
            <v>2990.4732884848545</v>
          </cell>
          <cell r="E43">
            <v>17.858013454543677</v>
          </cell>
          <cell r="F43">
            <v>18.290174425156607</v>
          </cell>
          <cell r="G43">
            <v>3050</v>
          </cell>
          <cell r="H43">
            <v>3050</v>
          </cell>
          <cell r="I43">
            <v>1</v>
          </cell>
        </row>
        <row r="44">
          <cell r="C44">
            <v>57.702910438689777</v>
          </cell>
          <cell r="D44">
            <v>2992.2970895613103</v>
          </cell>
          <cell r="E44">
            <v>17.310873131606932</v>
          </cell>
          <cell r="F44">
            <v>17.72979339694076</v>
          </cell>
          <cell r="G44">
            <v>3050</v>
          </cell>
          <cell r="H44">
            <v>3050</v>
          </cell>
          <cell r="I44">
            <v>1</v>
          </cell>
        </row>
        <row r="45">
          <cell r="C45">
            <v>56.011683020200763</v>
          </cell>
          <cell r="D45">
            <v>2993.988316979799</v>
          </cell>
          <cell r="E45">
            <v>16.80350490606023</v>
          </cell>
          <cell r="F45">
            <v>17.21014694429066</v>
          </cell>
          <cell r="G45">
            <v>3050</v>
          </cell>
          <cell r="H45">
            <v>3050</v>
          </cell>
          <cell r="I45">
            <v>1</v>
          </cell>
        </row>
        <row r="46">
          <cell r="C46">
            <v>54.438280406268909</v>
          </cell>
          <cell r="D46">
            <v>2995.5617195937311</v>
          </cell>
          <cell r="E46">
            <v>16.331484121880671</v>
          </cell>
          <cell r="F46">
            <v>16.726703335239804</v>
          </cell>
          <cell r="G46">
            <v>3050</v>
          </cell>
          <cell r="H46">
            <v>3050</v>
          </cell>
          <cell r="I46">
            <v>1</v>
          </cell>
        </row>
        <row r="47">
          <cell r="C47">
            <v>52.970117905149422</v>
          </cell>
          <cell r="D47">
            <v>2997.0298820948506</v>
          </cell>
          <cell r="E47">
            <v>15.891035371544827</v>
          </cell>
          <cell r="F47">
            <v>16.275595798027421</v>
          </cell>
          <cell r="G47">
            <v>3050</v>
          </cell>
          <cell r="H47">
            <v>3050</v>
          </cell>
          <cell r="I47">
            <v>1</v>
          </cell>
        </row>
        <row r="48">
          <cell r="C48">
            <v>51.596386527478096</v>
          </cell>
          <cell r="D48">
            <v>2998.403613472522</v>
          </cell>
          <cell r="E48">
            <v>15.478915958243428</v>
          </cell>
          <cell r="F48">
            <v>15.853503163118024</v>
          </cell>
          <cell r="G48">
            <v>3050</v>
          </cell>
          <cell r="H48">
            <v>3050</v>
          </cell>
          <cell r="I48">
            <v>1</v>
          </cell>
        </row>
        <row r="49">
          <cell r="C49">
            <v>50.307746040616323</v>
          </cell>
          <cell r="D49">
            <v>2999.6922539593838</v>
          </cell>
          <cell r="E49">
            <v>15.092323812184897</v>
          </cell>
          <cell r="F49">
            <v>15.457555551094744</v>
          </cell>
          <cell r="G49">
            <v>3050</v>
          </cell>
          <cell r="H49">
            <v>3050</v>
          </cell>
          <cell r="I49">
            <v>1</v>
          </cell>
        </row>
        <row r="50">
          <cell r="C50">
            <v>49.096080134887984</v>
          </cell>
          <cell r="D50">
            <v>3000.9039198651121</v>
          </cell>
          <cell r="E50">
            <v>14.728824040466394</v>
          </cell>
          <cell r="F50">
            <v>15.085259145049399</v>
          </cell>
          <cell r="G50">
            <v>3050</v>
          </cell>
          <cell r="H50">
            <v>3050</v>
          </cell>
          <cell r="I50">
            <v>1</v>
          </cell>
        </row>
        <row r="51">
          <cell r="C51">
            <v>47.954299427064207</v>
          </cell>
          <cell r="D51">
            <v>3002.0457005729359</v>
          </cell>
          <cell r="E51">
            <v>14.386289828119263</v>
          </cell>
          <cell r="F51">
            <v>14.734435661443017</v>
          </cell>
          <cell r="G51">
            <v>3050</v>
          </cell>
          <cell r="H51">
            <v>3050</v>
          </cell>
          <cell r="I51">
            <v>1</v>
          </cell>
        </row>
        <row r="52">
          <cell r="C52">
            <v>46.876181673071628</v>
          </cell>
          <cell r="D52">
            <v>3003.1238183269284</v>
          </cell>
          <cell r="E52">
            <v>14.062854501921489</v>
          </cell>
          <cell r="F52">
            <v>14.403173253870492</v>
          </cell>
          <cell r="G52">
            <v>3050</v>
          </cell>
          <cell r="H52">
            <v>3050</v>
          </cell>
          <cell r="I52">
            <v>1</v>
          </cell>
        </row>
        <row r="53">
          <cell r="C53">
            <v>45.856241189468676</v>
          </cell>
          <cell r="D53">
            <v>3004.1437588105314</v>
          </cell>
          <cell r="E53">
            <v>13.756872356840603</v>
          </cell>
          <cell r="F53">
            <v>14.089786391509882</v>
          </cell>
          <cell r="G53">
            <v>3050</v>
          </cell>
          <cell r="H53">
            <v>3050</v>
          </cell>
          <cell r="I53">
            <v>1</v>
          </cell>
        </row>
        <row r="54">
          <cell r="G54">
            <v>3050</v>
          </cell>
          <cell r="H54">
            <v>0</v>
          </cell>
          <cell r="I54">
            <v>1</v>
          </cell>
        </row>
        <row r="55">
          <cell r="G55">
            <v>3050</v>
          </cell>
          <cell r="H55">
            <v>0</v>
          </cell>
          <cell r="I55">
            <v>1</v>
          </cell>
        </row>
        <row r="56">
          <cell r="G56">
            <v>3050</v>
          </cell>
          <cell r="H56">
            <v>0</v>
          </cell>
          <cell r="I56">
            <v>1</v>
          </cell>
        </row>
        <row r="57">
          <cell r="G57">
            <v>3050</v>
          </cell>
          <cell r="H57">
            <v>0</v>
          </cell>
          <cell r="I57">
            <v>1</v>
          </cell>
        </row>
        <row r="58">
          <cell r="G58">
            <v>3050</v>
          </cell>
          <cell r="H58">
            <v>0</v>
          </cell>
          <cell r="I58">
            <v>1</v>
          </cell>
        </row>
        <row r="59">
          <cell r="G59">
            <v>3050</v>
          </cell>
          <cell r="H59">
            <v>0</v>
          </cell>
          <cell r="I59">
            <v>1</v>
          </cell>
        </row>
        <row r="60">
          <cell r="G60">
            <v>3050</v>
          </cell>
          <cell r="H60">
            <v>0</v>
          </cell>
          <cell r="I60">
            <v>1</v>
          </cell>
        </row>
        <row r="61">
          <cell r="G61">
            <v>3050</v>
          </cell>
          <cell r="H61">
            <v>0</v>
          </cell>
          <cell r="I61">
            <v>1</v>
          </cell>
        </row>
        <row r="62">
          <cell r="G62">
            <v>3050</v>
          </cell>
          <cell r="H62">
            <v>0</v>
          </cell>
          <cell r="I62">
            <v>1</v>
          </cell>
        </row>
        <row r="63">
          <cell r="G63">
            <v>3050</v>
          </cell>
          <cell r="H63">
            <v>0</v>
          </cell>
          <cell r="I63">
            <v>1</v>
          </cell>
        </row>
        <row r="64">
          <cell r="G64">
            <v>3050</v>
          </cell>
          <cell r="H64">
            <v>0</v>
          </cell>
          <cell r="I64">
            <v>1</v>
          </cell>
        </row>
        <row r="65">
          <cell r="G65">
            <v>3050</v>
          </cell>
          <cell r="H65">
            <v>0</v>
          </cell>
          <cell r="I65">
            <v>1</v>
          </cell>
        </row>
        <row r="66">
          <cell r="G66">
            <v>3050</v>
          </cell>
          <cell r="H66">
            <v>0</v>
          </cell>
          <cell r="I66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REP2"/>
      <sheetName val="REP 2003"/>
      <sheetName val="AFE Costos"/>
      <sheetName val="Sheet1"/>
      <sheetName val="AFE00 "/>
      <sheetName val="AFE05 Carátula"/>
      <sheetName val="AFE05 Costos"/>
      <sheetName val="Rep 05"/>
      <sheetName val="Inf.Rep01_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mización"/>
      <sheetName val="Diseño"/>
      <sheetName val="Pozos"/>
      <sheetName val="Configuración"/>
      <sheetName val="Medición"/>
      <sheetName val="Físicos"/>
      <sheetName val="Eléctricos"/>
      <sheetName val="Proceso"/>
      <sheetName val="RIFTS"/>
      <sheetName val="Coef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2">
          <cell r="J112" t="str">
            <v>Yes</v>
          </cell>
        </row>
        <row r="113">
          <cell r="J113" t="str">
            <v>No</v>
          </cell>
        </row>
        <row r="114">
          <cell r="J114" t="str">
            <v>ERFV</v>
          </cell>
        </row>
        <row r="115">
          <cell r="J115" t="str">
            <v>Invertida</v>
          </cell>
        </row>
        <row r="117">
          <cell r="J117" t="str">
            <v>Yes</v>
          </cell>
        </row>
        <row r="118">
          <cell r="J118" t="str">
            <v>No</v>
          </cell>
        </row>
        <row r="119">
          <cell r="J119" t="str">
            <v>Yes/Parissi</v>
          </cell>
        </row>
        <row r="120">
          <cell r="J120" t="str">
            <v>Parissi</v>
          </cell>
        </row>
        <row r="121">
          <cell r="J121" t="str">
            <v>Yes/ERFV</v>
          </cell>
        </row>
        <row r="122">
          <cell r="J122" t="str">
            <v>ERFV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B.M."/>
      <sheetName val="CARGA DE DATOS B.E.S. "/>
      <sheetName val="CARGA DE DATOS P.C.P."/>
      <sheetName val="CARGA DE DATOS"/>
      <sheetName val="Graph"/>
      <sheetName val="Resumen Graficos"/>
      <sheetName val="TOTALES"/>
      <sheetName val="ESPERA TRACTOR"/>
      <sheetName val="CAMBIO DE BOMBA"/>
      <sheetName val="PESCA DE V-B"/>
      <sheetName val="PERDIDA DE TBG."/>
      <sheetName val="BOMBEO APRISIONADO"/>
      <sheetName val="RESUMEN ANUAL"/>
      <sheetName val="CORR-INC."/>
      <sheetName val="causas"/>
      <sheetName val="HORAS DE PULLING"/>
      <sheetName val="pres-04"/>
      <sheetName val="5858"/>
      <sheetName val="5859"/>
      <sheetName val="5862"/>
      <sheetName val="SetupImpre"/>
      <sheetName val="AreaImpre"/>
      <sheetName val="MenuPrincip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aración"/>
      <sheetName val="Pulling"/>
      <sheetName val="Programa"/>
      <sheetName val="AFE01 Caratula"/>
      <sheetName val="AFE Costos"/>
    </sheetNames>
    <sheetDataSet>
      <sheetData sheetId="0" refreshError="1"/>
      <sheetData sheetId="1" refreshError="1">
        <row r="24">
          <cell r="C24">
            <v>37231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P Mant Plantas"/>
      <sheetName val="Template Elementos PEPs"/>
      <sheetName val="Template Definicion de Py"/>
      <sheetName val="Hoja1"/>
      <sheetName val=" Campos"/>
      <sheetName val="Lista de valores"/>
      <sheetName val="Datos JVA"/>
      <sheetName val="CeCos"/>
      <sheetName val="Lista Plantas"/>
      <sheetName val="Lista Plant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D2" t="str">
            <v>AR10BAZ715 - A.P.B.</v>
          </cell>
        </row>
        <row r="3">
          <cell r="D3" t="str">
            <v>AR10APZ500 - Alocaciones</v>
          </cell>
        </row>
        <row r="4">
          <cell r="D4" t="str">
            <v>AR10SRZ500 - Alocaciones</v>
          </cell>
        </row>
        <row r="5">
          <cell r="D5" t="str">
            <v>AR1040Z500 - Alocaciones</v>
          </cell>
        </row>
        <row r="6">
          <cell r="D6" t="str">
            <v>AR1046Z500 - Alocaciones</v>
          </cell>
        </row>
        <row r="7">
          <cell r="D7" t="str">
            <v>AR10BCZ500 - Alocaciones</v>
          </cell>
        </row>
        <row r="8">
          <cell r="D8" t="str">
            <v>AR10CDZ500 - Alocaciones</v>
          </cell>
        </row>
        <row r="9">
          <cell r="D9" t="str">
            <v>AR10CK4500 - Alocaciones</v>
          </cell>
        </row>
        <row r="10">
          <cell r="D10" t="str">
            <v>AR10PIZ500 - Alocaciones</v>
          </cell>
        </row>
        <row r="11">
          <cell r="D11" t="str">
            <v>AR10PMZ500 - Alocaciones</v>
          </cell>
        </row>
        <row r="12">
          <cell r="D12" t="str">
            <v>AR40LE2500 - Alocaciones</v>
          </cell>
        </row>
        <row r="13">
          <cell r="D13" t="str">
            <v>AR10AEZ500 - Alocaciones</v>
          </cell>
        </row>
        <row r="14">
          <cell r="D14" t="str">
            <v>AR10FEZ500 - Alocaciones</v>
          </cell>
        </row>
        <row r="15">
          <cell r="D15" t="str">
            <v>AR10CEZ500 - Alocaciones</v>
          </cell>
        </row>
        <row r="16">
          <cell r="D16" t="str">
            <v>AR10SEZ500 - Alocaciones</v>
          </cell>
        </row>
        <row r="17">
          <cell r="D17" t="str">
            <v>AR11CAZ500 - Alocaciones</v>
          </cell>
        </row>
        <row r="18">
          <cell r="D18" t="str">
            <v>AR11SAZ500 - Alocaciones</v>
          </cell>
        </row>
        <row r="19">
          <cell r="D19" t="str">
            <v>AR11SCZ500 - Alocaciones</v>
          </cell>
        </row>
        <row r="20">
          <cell r="D20" t="str">
            <v>AR12FUZ500 - Alocaciones</v>
          </cell>
        </row>
        <row r="21">
          <cell r="D21" t="str">
            <v>AR12FMZ500 - Alocaciones</v>
          </cell>
        </row>
        <row r="22">
          <cell r="D22" t="str">
            <v>AR13BSZ500 - Alocaciones</v>
          </cell>
        </row>
        <row r="23">
          <cell r="D23" t="str">
            <v>AR40LA2500 - Alocaciones</v>
          </cell>
        </row>
        <row r="24">
          <cell r="D24" t="str">
            <v>AR41ACZ500 - Alocaciones</v>
          </cell>
        </row>
        <row r="25">
          <cell r="D25" t="str">
            <v>AR42AFZ500 - Alocaciones</v>
          </cell>
        </row>
        <row r="26">
          <cell r="D26" t="str">
            <v>AR43GCZ500 - Alocaciones</v>
          </cell>
        </row>
        <row r="27">
          <cell r="D27" t="str">
            <v>AR44GSZ500 - Alocaciones</v>
          </cell>
        </row>
        <row r="28">
          <cell r="D28" t="str">
            <v>BO10OGZ500 - Alocaciones</v>
          </cell>
        </row>
        <row r="29">
          <cell r="D29" t="str">
            <v>BO11CIZ500 - Alocaciones</v>
          </cell>
        </row>
        <row r="30">
          <cell r="D30" t="str">
            <v>BO11CNZ500 - Alocaciones</v>
          </cell>
        </row>
        <row r="31">
          <cell r="D31" t="str">
            <v>CL10CH1500 - Alocaciones</v>
          </cell>
        </row>
        <row r="32">
          <cell r="D32" t="str">
            <v>CL10CC1500 - Alocaciones</v>
          </cell>
        </row>
        <row r="33">
          <cell r="D33" t="str">
            <v>CL10CB1500 - Alocaciones</v>
          </cell>
        </row>
        <row r="34">
          <cell r="D34" t="str">
            <v>AR10CDZ515 - Auditoria</v>
          </cell>
        </row>
        <row r="35">
          <cell r="D35" t="str">
            <v>AR10CK4515 - Auditoria</v>
          </cell>
        </row>
        <row r="36">
          <cell r="D36" t="str">
            <v>AR10ANZ515 - Auditoria</v>
          </cell>
        </row>
        <row r="37">
          <cell r="D37" t="str">
            <v>AR10SNZ515 - Auditoria</v>
          </cell>
        </row>
        <row r="38">
          <cell r="D38" t="str">
            <v>AR104NZ515 - Auditoria</v>
          </cell>
        </row>
        <row r="39">
          <cell r="D39" t="str">
            <v>AR106NZ515 - Auditoria</v>
          </cell>
        </row>
        <row r="40">
          <cell r="D40" t="str">
            <v>AR10BNZ515 - Auditoria</v>
          </cell>
        </row>
        <row r="41">
          <cell r="D41" t="str">
            <v>AR40LE2515 - Auditoria</v>
          </cell>
        </row>
        <row r="42">
          <cell r="D42" t="str">
            <v>AR10AEZ515 - Auditoria</v>
          </cell>
        </row>
        <row r="43">
          <cell r="D43" t="str">
            <v>AR10FEZ515 - Auditoria</v>
          </cell>
        </row>
        <row r="44">
          <cell r="D44" t="str">
            <v>AR10BAZ515 - Auditoria</v>
          </cell>
        </row>
        <row r="45">
          <cell r="D45" t="str">
            <v>AR11CNZ515 - Auditoria</v>
          </cell>
        </row>
        <row r="46">
          <cell r="D46" t="str">
            <v>AR11SAZ515 - Auditoria</v>
          </cell>
        </row>
        <row r="47">
          <cell r="D47" t="str">
            <v>AR40LA2515 - Auditoria</v>
          </cell>
        </row>
        <row r="48">
          <cell r="D48" t="str">
            <v>AR41ACZ515 - Auditoria</v>
          </cell>
        </row>
        <row r="49">
          <cell r="D49" t="str">
            <v>AR42AFZ515 - Auditoria</v>
          </cell>
        </row>
        <row r="50">
          <cell r="D50" t="str">
            <v>CL10CH1515 - Auditoria</v>
          </cell>
        </row>
        <row r="51">
          <cell r="D51" t="str">
            <v>CL10CC1515 - Auditoria</v>
          </cell>
        </row>
        <row r="52">
          <cell r="D52" t="str">
            <v>CL10CB1515 - Auditoria</v>
          </cell>
        </row>
        <row r="53">
          <cell r="D53" t="str">
            <v>AR10CD1010 - Boca de Pozo</v>
          </cell>
        </row>
        <row r="54">
          <cell r="D54" t="str">
            <v>AR10CD2010 - Boca de Pozo</v>
          </cell>
        </row>
        <row r="55">
          <cell r="D55" t="str">
            <v>AR10CD3010 - Boca de Pozo</v>
          </cell>
        </row>
        <row r="56">
          <cell r="D56" t="str">
            <v>AR10CD5010 - Boca de Pozo</v>
          </cell>
        </row>
        <row r="57">
          <cell r="D57" t="str">
            <v>AR10CD7010 - Boca de Pozo</v>
          </cell>
        </row>
        <row r="58">
          <cell r="D58" t="str">
            <v>AR10CD8010 - Boca de Pozo</v>
          </cell>
        </row>
        <row r="59">
          <cell r="D59" t="str">
            <v>AR10CD9010 - Boca de Pozo</v>
          </cell>
        </row>
        <row r="60">
          <cell r="D60" t="str">
            <v>AR10CK4010 - Boca de Pozo</v>
          </cell>
        </row>
        <row r="61">
          <cell r="D61" t="str">
            <v>AR10ANZ010 - Boca de Pozo</v>
          </cell>
        </row>
        <row r="62">
          <cell r="D62" t="str">
            <v>AR10SNZ010 - Boca de Pozo</v>
          </cell>
        </row>
        <row r="63">
          <cell r="D63" t="str">
            <v>AR104NZ010 - Boca de Pozo</v>
          </cell>
        </row>
        <row r="64">
          <cell r="D64" t="str">
            <v>AR106NZ010 - Boca de Pozo</v>
          </cell>
        </row>
        <row r="65">
          <cell r="D65" t="str">
            <v>AR10BNZ010 - Boca de Pozo</v>
          </cell>
        </row>
        <row r="66">
          <cell r="D66" t="str">
            <v>AR40LE1010 - Boca de Pozo</v>
          </cell>
        </row>
        <row r="67">
          <cell r="D67" t="str">
            <v>AR40LE2010 - Boca de Pozo</v>
          </cell>
        </row>
        <row r="68">
          <cell r="D68" t="str">
            <v>AR10AE1010 - Boca de Pozo</v>
          </cell>
        </row>
        <row r="69">
          <cell r="D69" t="str">
            <v>AR10AE2010 - Boca de Pozo</v>
          </cell>
        </row>
        <row r="70">
          <cell r="D70" t="str">
            <v>AR10AE3010 - Boca de Pozo</v>
          </cell>
        </row>
        <row r="71">
          <cell r="D71" t="str">
            <v>AR10AE4010 - Boca de Pozo</v>
          </cell>
        </row>
        <row r="72">
          <cell r="D72" t="str">
            <v>AR10AE5010 - Boca de Pozo</v>
          </cell>
        </row>
        <row r="73">
          <cell r="D73" t="str">
            <v>AR10FEZ010 - Boca de Pozo</v>
          </cell>
        </row>
        <row r="74">
          <cell r="D74" t="str">
            <v>AR11CNZ010 - Boca de Pozo</v>
          </cell>
        </row>
        <row r="75">
          <cell r="D75" t="str">
            <v>AR40LA1010 - Boca de Pozo</v>
          </cell>
        </row>
        <row r="76">
          <cell r="D76" t="str">
            <v>AR40LA2010 - Boca de Pozo</v>
          </cell>
        </row>
        <row r="77">
          <cell r="D77" t="str">
            <v>AR41AC1010 - Boca de Pozo</v>
          </cell>
        </row>
        <row r="78">
          <cell r="D78" t="str">
            <v>AR41AC2010 - Boca de Pozo</v>
          </cell>
        </row>
        <row r="79">
          <cell r="D79" t="str">
            <v>AR41AC3010 - Boca de Pozo</v>
          </cell>
        </row>
        <row r="80">
          <cell r="D80" t="str">
            <v>AR41AC4010 - Boca de Pozo</v>
          </cell>
        </row>
        <row r="81">
          <cell r="D81" t="str">
            <v>AR41AC5010 - Boca de Pozo</v>
          </cell>
        </row>
        <row r="82">
          <cell r="D82" t="str">
            <v>AR42AFZ010 - Boca de Pozo</v>
          </cell>
        </row>
        <row r="83">
          <cell r="D83" t="str">
            <v>BO11CIZ010 - Boca de Pozo</v>
          </cell>
        </row>
        <row r="84">
          <cell r="D84" t="str">
            <v>BO11CNZ010 - Boca de Pozo</v>
          </cell>
        </row>
        <row r="85">
          <cell r="D85" t="str">
            <v>CL10CH1010 - Boca de Pozo</v>
          </cell>
        </row>
        <row r="86">
          <cell r="D86" t="str">
            <v>CL10CC1010 - Boca de Pozo</v>
          </cell>
        </row>
        <row r="87">
          <cell r="D87" t="str">
            <v>CL10CB1010 - Boca de Pozo</v>
          </cell>
        </row>
        <row r="88">
          <cell r="D88" t="str">
            <v>AR10CD1140 - Bombas de profundidad</v>
          </cell>
        </row>
        <row r="89">
          <cell r="D89" t="str">
            <v>AR10CD2140 - Bombas de profundidad</v>
          </cell>
        </row>
        <row r="90">
          <cell r="D90" t="str">
            <v>AR10CD3140 - Bombas de profundidad</v>
          </cell>
        </row>
        <row r="91">
          <cell r="D91" t="str">
            <v>AR10CD5140 - Bombas de profundidad</v>
          </cell>
        </row>
        <row r="92">
          <cell r="D92" t="str">
            <v>AR10CD7140 - Bombas de profundidad</v>
          </cell>
        </row>
        <row r="93">
          <cell r="D93" t="str">
            <v>AR10CD8140 - Bombas de profundidad</v>
          </cell>
        </row>
        <row r="94">
          <cell r="D94" t="str">
            <v>AR10CD9140 - Bombas de profundidad</v>
          </cell>
        </row>
        <row r="95">
          <cell r="D95" t="str">
            <v>AR10CK4140 - Bombas de profundidad</v>
          </cell>
        </row>
        <row r="96">
          <cell r="D96" t="str">
            <v>AR10ANZ140 - Bombas de profundidad</v>
          </cell>
        </row>
        <row r="97">
          <cell r="D97" t="str">
            <v>AR10SNZ140 - Bombas de profundidad</v>
          </cell>
        </row>
        <row r="98">
          <cell r="D98" t="str">
            <v>AR104NZ140 - Bombas de profundidad</v>
          </cell>
        </row>
        <row r="99">
          <cell r="D99" t="str">
            <v>AR106NZ140 - Bombas de profundidad</v>
          </cell>
        </row>
        <row r="100">
          <cell r="D100" t="str">
            <v>AR10BNZ140 - Bombas de profundidad</v>
          </cell>
        </row>
        <row r="101">
          <cell r="D101" t="str">
            <v>AR40LE1140 - Bombas de profundidad</v>
          </cell>
        </row>
        <row r="102">
          <cell r="D102" t="str">
            <v>AR40LE2140 - Bombas de profundidad</v>
          </cell>
        </row>
        <row r="103">
          <cell r="D103" t="str">
            <v>AR10AE1140 - Bombas de profundidad</v>
          </cell>
        </row>
        <row r="104">
          <cell r="D104" t="str">
            <v>AR10AE2140 - Bombas de profundidad</v>
          </cell>
        </row>
        <row r="105">
          <cell r="D105" t="str">
            <v>AR10AE3140 - Bombas de profundidad</v>
          </cell>
        </row>
        <row r="106">
          <cell r="D106" t="str">
            <v>AR10AE4140 - Bombas de profundidad</v>
          </cell>
        </row>
        <row r="107">
          <cell r="D107" t="str">
            <v>AR10AE5140 - Bombas de profundidad</v>
          </cell>
        </row>
        <row r="108">
          <cell r="D108" t="str">
            <v>AR10FEZ140 - Bombas de profundidad</v>
          </cell>
        </row>
        <row r="109">
          <cell r="D109" t="str">
            <v>AR11CNZ140 - Bombas de profundidad</v>
          </cell>
        </row>
        <row r="110">
          <cell r="D110" t="str">
            <v>AR40LA1140 - Bombas de profundidad</v>
          </cell>
        </row>
        <row r="111">
          <cell r="D111" t="str">
            <v>AR40LA2140 - Bombas de profundidad</v>
          </cell>
        </row>
        <row r="112">
          <cell r="D112" t="str">
            <v>AR41AC1140 - Bombas de profundidad</v>
          </cell>
        </row>
        <row r="113">
          <cell r="D113" t="str">
            <v>AR41AC2140 - Bombas de profundidad</v>
          </cell>
        </row>
        <row r="114">
          <cell r="D114" t="str">
            <v>AR41AC3140 - Bombas de profundidad</v>
          </cell>
        </row>
        <row r="115">
          <cell r="D115" t="str">
            <v>AR41AC4140 - Bombas de profundidad</v>
          </cell>
        </row>
        <row r="116">
          <cell r="D116" t="str">
            <v>AR41AC5140 - Bombas de profundidad</v>
          </cell>
        </row>
        <row r="117">
          <cell r="D117" t="str">
            <v>AR42AFZ140 - Bombas de profundidad</v>
          </cell>
        </row>
        <row r="118">
          <cell r="D118" t="str">
            <v>BO11CIZ140 - Bombas de profundidad</v>
          </cell>
        </row>
        <row r="119">
          <cell r="D119" t="str">
            <v>BO11CNZ140 - Bombas de profundidad</v>
          </cell>
        </row>
        <row r="120">
          <cell r="D120" t="str">
            <v>CL10CH1140 - Bombas de profundidad</v>
          </cell>
        </row>
        <row r="121">
          <cell r="D121" t="str">
            <v>CL10CC1140 - Bombas de profundidad</v>
          </cell>
        </row>
        <row r="122">
          <cell r="D122" t="str">
            <v>CL10CB1140 - Bombas de profundidad</v>
          </cell>
        </row>
        <row r="123">
          <cell r="D123" t="str">
            <v>AR10BAZ690 - C.A.B.</v>
          </cell>
        </row>
        <row r="124">
          <cell r="D124" t="str">
            <v>AR10ANZ657 - C.O.O. &amp; Operating VP</v>
          </cell>
        </row>
        <row r="125">
          <cell r="D125" t="str">
            <v>AR10SNZ657 - C.O.O. &amp; Operating VP</v>
          </cell>
        </row>
        <row r="126">
          <cell r="D126" t="str">
            <v>AR104NZ657 - C.O.O. &amp; Operating VP</v>
          </cell>
        </row>
        <row r="127">
          <cell r="D127" t="str">
            <v>AR106NZ657 - C.O.O. &amp; Operating VP</v>
          </cell>
        </row>
        <row r="128">
          <cell r="D128" t="str">
            <v>AR10BNZ657 - C.O.O. &amp; Operating VP</v>
          </cell>
        </row>
        <row r="129">
          <cell r="D129" t="str">
            <v>AR10BAZ665 - C.O.O. &amp; Operating VP</v>
          </cell>
        </row>
        <row r="130">
          <cell r="D130" t="str">
            <v>AR11CNZ657 - C.O.O. &amp; Operating VP</v>
          </cell>
        </row>
        <row r="131">
          <cell r="D131" t="str">
            <v>AR11SAZ657 - C.O.O. &amp; Operating VP</v>
          </cell>
        </row>
        <row r="132">
          <cell r="D132" t="str">
            <v>AR10CD1040 - Caminos, Locac. y mov. de Tierra</v>
          </cell>
        </row>
        <row r="133">
          <cell r="D133" t="str">
            <v>AR10CD2040 - Caminos, Locac. y mov. de Tierra</v>
          </cell>
        </row>
        <row r="134">
          <cell r="D134" t="str">
            <v>AR10CD3040 - Caminos, Locac. y mov. de Tierra</v>
          </cell>
        </row>
        <row r="135">
          <cell r="D135" t="str">
            <v>AR10CD5040 - Caminos, Locac. y mov. de Tierra</v>
          </cell>
        </row>
        <row r="136">
          <cell r="D136" t="str">
            <v>AR10CD7040 - Caminos, Locac. y mov. de Tierra</v>
          </cell>
        </row>
        <row r="137">
          <cell r="D137" t="str">
            <v>AR10CD8040 - Caminos, Locac. y mov. de Tierra</v>
          </cell>
        </row>
        <row r="138">
          <cell r="D138" t="str">
            <v>AR10CD9040 - Caminos, Locac. y mov. de Tierra</v>
          </cell>
        </row>
        <row r="139">
          <cell r="D139" t="str">
            <v>AR10CDE040 - Caminos, Locac. y mov. de Tierra</v>
          </cell>
        </row>
        <row r="140">
          <cell r="D140" t="str">
            <v>AR10CDP040 - Caminos, Locac. y mov. de Tierra</v>
          </cell>
        </row>
        <row r="141">
          <cell r="D141" t="str">
            <v>AR10CK4040 - Caminos, Locac. y mov. de Tierra</v>
          </cell>
        </row>
        <row r="142">
          <cell r="D142" t="str">
            <v>AR10ANZ040 - Caminos, Locac. y mov. de Tierra</v>
          </cell>
        </row>
        <row r="143">
          <cell r="D143" t="str">
            <v>AR10SNZ040 - Caminos, Locac. y mov. de Tierra</v>
          </cell>
        </row>
        <row r="144">
          <cell r="D144" t="str">
            <v>AR104NZ040 - Caminos, Locac. y mov. de Tierra</v>
          </cell>
        </row>
        <row r="145">
          <cell r="D145" t="str">
            <v>AR106NZ040 - Caminos, Locac. y mov. de Tierra</v>
          </cell>
        </row>
        <row r="146">
          <cell r="D146" t="str">
            <v>AR10BNZ040 - Caminos, Locac. y mov. de Tierra</v>
          </cell>
        </row>
        <row r="147">
          <cell r="D147" t="str">
            <v>AR40LE1040 - Caminos, Locac. y mov. de Tierra</v>
          </cell>
        </row>
        <row r="148">
          <cell r="D148" t="str">
            <v>AR40LE2040 - Caminos, Locac. y mov. de Tierra</v>
          </cell>
        </row>
        <row r="149">
          <cell r="D149" t="str">
            <v>AR10AE1040 - Caminos, Locac. y mov. de Tierra</v>
          </cell>
        </row>
        <row r="150">
          <cell r="D150" t="str">
            <v>AR10AE2040 - Caminos, Locac. y mov. de Tierra</v>
          </cell>
        </row>
        <row r="151">
          <cell r="D151" t="str">
            <v>AR10AE3040 - Caminos, Locac. y mov. de Tierra</v>
          </cell>
        </row>
        <row r="152">
          <cell r="D152" t="str">
            <v>AR10AE4040 - Caminos, Locac. y mov. de Tierra</v>
          </cell>
        </row>
        <row r="153">
          <cell r="D153" t="str">
            <v>AR10AE6040 - Caminos, Locac. y mov. de Tierra</v>
          </cell>
        </row>
        <row r="154">
          <cell r="D154" t="str">
            <v>AR10AE7040 - Caminos, Locac. y mov. de Tierra</v>
          </cell>
        </row>
        <row r="155">
          <cell r="D155" t="str">
            <v>AR10AE5040 - Caminos, Locac. y mov. de Tierra</v>
          </cell>
        </row>
        <row r="156">
          <cell r="D156" t="str">
            <v>AR10FEZ040 - Caminos, Locac. y mov. de Tierra</v>
          </cell>
        </row>
        <row r="157">
          <cell r="D157" t="str">
            <v>AR11CNZ040 - Caminos, Locac. y mov. de Tierra</v>
          </cell>
        </row>
        <row r="158">
          <cell r="D158" t="str">
            <v>AR40LA1040 - Caminos, Locac. y mov. de Tierra</v>
          </cell>
        </row>
        <row r="159">
          <cell r="D159" t="str">
            <v>AR40LA2040 - Caminos, Locac. y mov. de Tierra</v>
          </cell>
        </row>
        <row r="160">
          <cell r="D160" t="str">
            <v>AR41AC1040 - Caminos, Locac. y mov. de Tierra</v>
          </cell>
        </row>
        <row r="161">
          <cell r="D161" t="str">
            <v>AR41AC2040 - Caminos, Locac. y mov. de Tierra</v>
          </cell>
        </row>
        <row r="162">
          <cell r="D162" t="str">
            <v>AR41AC3040 - Caminos, Locac. y mov. de Tierra</v>
          </cell>
        </row>
        <row r="163">
          <cell r="D163" t="str">
            <v>AR41AC4040 - Caminos, Locac. y mov. de Tierra</v>
          </cell>
        </row>
        <row r="164">
          <cell r="D164" t="str">
            <v>AR41AC6040 - Caminos, Locac. y mov. de Tierra</v>
          </cell>
        </row>
        <row r="165">
          <cell r="D165" t="str">
            <v>AR41AC7040 - Caminos, Locac. y mov. de Tierra</v>
          </cell>
        </row>
        <row r="166">
          <cell r="D166" t="str">
            <v>AR41AC5040 - Caminos, Locac. y mov. de Tierra</v>
          </cell>
        </row>
        <row r="167">
          <cell r="D167" t="str">
            <v>AR42AFZ040 - Caminos, Locac. y mov. de Tierra</v>
          </cell>
        </row>
        <row r="168">
          <cell r="D168" t="str">
            <v>BO11CIZ040 - Caminos, Locac. y mov. de Tierra</v>
          </cell>
        </row>
        <row r="169">
          <cell r="D169" t="str">
            <v>BO11CNZ040 - Caminos, Locac. y mov. de Tierra</v>
          </cell>
        </row>
        <row r="170">
          <cell r="D170" t="str">
            <v>CL10CH1040 - Caminos, Locac. y mov. de Tierra</v>
          </cell>
        </row>
        <row r="171">
          <cell r="D171" t="str">
            <v>CL10CC1040 - Caminos, Locac. y mov. de Tierra</v>
          </cell>
        </row>
        <row r="172">
          <cell r="D172" t="str">
            <v>CL10CB1040 - Caminos, Locac. y mov. de Tierra</v>
          </cell>
        </row>
        <row r="173">
          <cell r="D173" t="str">
            <v>AR10BAZ740 - Chief Executive Officer(C.E.O)</v>
          </cell>
        </row>
        <row r="174">
          <cell r="D174" t="str">
            <v>AR10BAZ735 - Chief Financial Officer (C.F.O)</v>
          </cell>
        </row>
        <row r="175">
          <cell r="D175" t="str">
            <v>AR10CDZ520 - Comercial</v>
          </cell>
        </row>
        <row r="176">
          <cell r="D176" t="str">
            <v>AR10CK4520 - Comercial</v>
          </cell>
        </row>
        <row r="177">
          <cell r="D177" t="str">
            <v>AR10APZ525 - Controller</v>
          </cell>
        </row>
        <row r="178">
          <cell r="D178" t="str">
            <v>AR10SRZ525 - Controller</v>
          </cell>
        </row>
        <row r="179">
          <cell r="D179" t="str">
            <v>AR1040Z525 - Controller</v>
          </cell>
        </row>
        <row r="180">
          <cell r="D180" t="str">
            <v>AR1046Z525 - Controller</v>
          </cell>
        </row>
        <row r="181">
          <cell r="D181" t="str">
            <v>AR10BCZ525 - Controller</v>
          </cell>
        </row>
        <row r="182">
          <cell r="D182" t="str">
            <v>AR10CDZ525 - Controller</v>
          </cell>
        </row>
        <row r="183">
          <cell r="D183" t="str">
            <v>AR10CK4525 - Controller</v>
          </cell>
        </row>
        <row r="184">
          <cell r="D184" t="str">
            <v>AR10ANZ525 - Controller</v>
          </cell>
        </row>
        <row r="185">
          <cell r="D185" t="str">
            <v>AR10SNZ525 - Controller</v>
          </cell>
        </row>
        <row r="186">
          <cell r="D186" t="str">
            <v>AR104NZ525 - Controller</v>
          </cell>
        </row>
        <row r="187">
          <cell r="D187" t="str">
            <v>AR106NZ525 - Controller</v>
          </cell>
        </row>
        <row r="188">
          <cell r="D188" t="str">
            <v>AR10BNZ525 - Controller</v>
          </cell>
        </row>
        <row r="189">
          <cell r="D189" t="str">
            <v>AR40LE2525 - Controller</v>
          </cell>
        </row>
        <row r="190">
          <cell r="D190" t="str">
            <v>AR10AEZ525 - Controller</v>
          </cell>
        </row>
        <row r="191">
          <cell r="D191" t="str">
            <v>AR10FEZ525 - Controller</v>
          </cell>
        </row>
        <row r="192">
          <cell r="D192" t="str">
            <v>AR10CEZ525 - Controller</v>
          </cell>
        </row>
        <row r="193">
          <cell r="D193" t="str">
            <v>AR10SEZ525 - Controller</v>
          </cell>
        </row>
        <row r="194">
          <cell r="D194" t="str">
            <v>AR10BAZ525 - Controller</v>
          </cell>
        </row>
        <row r="195">
          <cell r="D195" t="str">
            <v>AR11CAZ525 - Controller</v>
          </cell>
        </row>
        <row r="196">
          <cell r="D196" t="str">
            <v>AR11CNZ525 - Controller</v>
          </cell>
        </row>
        <row r="197">
          <cell r="D197" t="str">
            <v>AR11SAZ525 - Controller</v>
          </cell>
        </row>
        <row r="198">
          <cell r="D198" t="str">
            <v>AR12FUZ525 - Controller</v>
          </cell>
        </row>
        <row r="199">
          <cell r="D199" t="str">
            <v>AR12FMZ525 - Controller</v>
          </cell>
        </row>
        <row r="200">
          <cell r="D200" t="str">
            <v>AR13BSZ525 - Controller</v>
          </cell>
        </row>
        <row r="201">
          <cell r="D201" t="str">
            <v>AR40LA2525 - Controller</v>
          </cell>
        </row>
        <row r="202">
          <cell r="D202" t="str">
            <v>AR41ACZ525 - Controller</v>
          </cell>
        </row>
        <row r="203">
          <cell r="D203" t="str">
            <v>AR42AFZ525 - Controller</v>
          </cell>
        </row>
        <row r="204">
          <cell r="D204" t="str">
            <v>AR43GCZ525 - Controller</v>
          </cell>
        </row>
        <row r="205">
          <cell r="D205" t="str">
            <v>AR44GSZ525 - Controller</v>
          </cell>
        </row>
        <row r="206">
          <cell r="D206" t="str">
            <v>BO10OGZ525 - Controller</v>
          </cell>
        </row>
        <row r="207">
          <cell r="D207" t="str">
            <v>BO11CIZ525 - Controller</v>
          </cell>
        </row>
        <row r="208">
          <cell r="D208" t="str">
            <v>BO11CNZ525 - Controller</v>
          </cell>
        </row>
        <row r="209">
          <cell r="D209" t="str">
            <v>CL10CH1525 - Controller</v>
          </cell>
        </row>
        <row r="210">
          <cell r="D210" t="str">
            <v>CL10CC1525 - Controller</v>
          </cell>
        </row>
        <row r="211">
          <cell r="D211" t="str">
            <v>CL10CB1525 - Controller</v>
          </cell>
        </row>
        <row r="212">
          <cell r="D212" t="str">
            <v>AR10CDZ880 - Costos improductivos</v>
          </cell>
        </row>
        <row r="213">
          <cell r="D213" t="str">
            <v>AR10CK4880 - Costos improductivos</v>
          </cell>
        </row>
        <row r="214">
          <cell r="D214" t="str">
            <v>AR10ANZ695 - Desarrollo de mercado</v>
          </cell>
        </row>
        <row r="215">
          <cell r="D215" t="str">
            <v>AR10SNZ695 - Desarrollo de mercado</v>
          </cell>
        </row>
        <row r="216">
          <cell r="D216" t="str">
            <v>AR104NZ695 - Desarrollo de mercado</v>
          </cell>
        </row>
        <row r="217">
          <cell r="D217" t="str">
            <v>AR106NZ695 - Desarrollo de mercado</v>
          </cell>
        </row>
        <row r="218">
          <cell r="D218" t="str">
            <v>AR10BNZ695 - Desarrollo de mercado</v>
          </cell>
        </row>
        <row r="219">
          <cell r="D219" t="str">
            <v>AR10BAZ700 - Desarrollo de mercado</v>
          </cell>
        </row>
        <row r="220">
          <cell r="D220" t="str">
            <v>AR11CNZ695 - Desarrollo de mercado</v>
          </cell>
        </row>
        <row r="221">
          <cell r="D221" t="str">
            <v>AR11SAZ695 - Desarrollo de mercado</v>
          </cell>
        </row>
        <row r="222">
          <cell r="D222" t="str">
            <v>AR10APZ530 - Desarrollo De Reservas</v>
          </cell>
        </row>
        <row r="223">
          <cell r="D223" t="str">
            <v>AR10SRZ530 - Desarrollo De Reservas</v>
          </cell>
        </row>
        <row r="224">
          <cell r="D224" t="str">
            <v>AR1040Z530 - Desarrollo De Reservas</v>
          </cell>
        </row>
        <row r="225">
          <cell r="D225" t="str">
            <v>AR1046Z530 - Desarrollo De Reservas</v>
          </cell>
        </row>
        <row r="226">
          <cell r="D226" t="str">
            <v>AR10BCZ530 - Desarrollo De Reservas</v>
          </cell>
        </row>
        <row r="227">
          <cell r="D227" t="str">
            <v>AR10CDZ530 - Desarrollo De Reservas</v>
          </cell>
        </row>
        <row r="228">
          <cell r="D228" t="str">
            <v>AR10CK4530 - Desarrollo De Reservas</v>
          </cell>
        </row>
        <row r="229">
          <cell r="D229" t="str">
            <v>AR10ANZ530 - Desarrollo De Reservas</v>
          </cell>
        </row>
        <row r="230">
          <cell r="D230" t="str">
            <v>AR10SNZ530 - Desarrollo De Reservas</v>
          </cell>
        </row>
        <row r="231">
          <cell r="D231" t="str">
            <v>AR104NZ530 - Desarrollo De Reservas</v>
          </cell>
        </row>
        <row r="232">
          <cell r="D232" t="str">
            <v>AR106NZ530 - Desarrollo De Reservas</v>
          </cell>
        </row>
        <row r="233">
          <cell r="D233" t="str">
            <v>AR10BNZ530 - Desarrollo De Reservas</v>
          </cell>
        </row>
        <row r="234">
          <cell r="D234" t="str">
            <v>AR40LE2530 - Desarrollo De Reservas</v>
          </cell>
        </row>
        <row r="235">
          <cell r="D235" t="str">
            <v>AR10AEZ530 - Desarrollo De Reservas</v>
          </cell>
        </row>
        <row r="236">
          <cell r="D236" t="str">
            <v>AR10FEZ530 - Desarrollo De Reservas</v>
          </cell>
        </row>
        <row r="237">
          <cell r="D237" t="str">
            <v>AR10CEZ530 - Desarrollo De Reservas</v>
          </cell>
        </row>
        <row r="238">
          <cell r="D238" t="str">
            <v>AR10SEZ530 - Desarrollo De Reservas</v>
          </cell>
        </row>
        <row r="239">
          <cell r="D239" t="str">
            <v>AR10BAZ530 - Desarrollo De Reservas</v>
          </cell>
        </row>
        <row r="240">
          <cell r="D240" t="str">
            <v>AR11CAZ530 - Desarrollo De Reservas</v>
          </cell>
        </row>
        <row r="241">
          <cell r="D241" t="str">
            <v>AR11CNZ530 - Desarrollo De Reservas</v>
          </cell>
        </row>
        <row r="242">
          <cell r="D242" t="str">
            <v>AR11SAZ530 - Desarrollo De Reservas</v>
          </cell>
        </row>
        <row r="243">
          <cell r="D243" t="str">
            <v>AR12FUZ530 - Desarrollo De Reservas</v>
          </cell>
        </row>
        <row r="244">
          <cell r="D244" t="str">
            <v>AR12FMZ530 - Desarrollo De Reservas</v>
          </cell>
        </row>
        <row r="245">
          <cell r="D245" t="str">
            <v>AR13BSZ530 - Desarrollo De Reservas</v>
          </cell>
        </row>
        <row r="246">
          <cell r="D246" t="str">
            <v>AR40LA2530 - Desarrollo De Reservas</v>
          </cell>
        </row>
        <row r="247">
          <cell r="D247" t="str">
            <v>AR41ACZ530 - Desarrollo De Reservas</v>
          </cell>
        </row>
        <row r="248">
          <cell r="D248" t="str">
            <v>AR42AFZ530 - Desarrollo De Reservas</v>
          </cell>
        </row>
        <row r="249">
          <cell r="D249" t="str">
            <v>AR43GCZ530 - Desarrollo De Reservas</v>
          </cell>
        </row>
        <row r="250">
          <cell r="D250" t="str">
            <v>AR44GSZ530 - Desarrollo De Reservas</v>
          </cell>
        </row>
        <row r="251">
          <cell r="D251" t="str">
            <v>BO10OGZ530 - Desarrollo De Reservas</v>
          </cell>
        </row>
        <row r="252">
          <cell r="D252" t="str">
            <v>BO11CIZ530 - Desarrollo De Reservas</v>
          </cell>
        </row>
        <row r="253">
          <cell r="D253" t="str">
            <v>BO11CNZ530 - Desarrollo De Reservas</v>
          </cell>
        </row>
        <row r="254">
          <cell r="D254" t="str">
            <v>CL10CH1530 - Desarrollo De Reservas</v>
          </cell>
        </row>
        <row r="255">
          <cell r="D255" t="str">
            <v>CL10CC1530 - Desarrollo De Reservas</v>
          </cell>
        </row>
        <row r="256">
          <cell r="D256" t="str">
            <v>CL10CB1530 - Desarrollo De Reservas</v>
          </cell>
        </row>
        <row r="257">
          <cell r="D257" t="str">
            <v>AR10CDZ535 - Energía</v>
          </cell>
        </row>
        <row r="258">
          <cell r="D258" t="str">
            <v>AR10CK4535 - Energía</v>
          </cell>
        </row>
        <row r="259">
          <cell r="D259" t="str">
            <v>AR10CD1001 - Eq. Mult. 1</v>
          </cell>
        </row>
        <row r="260">
          <cell r="D260" t="str">
            <v>AR10CD2001 - Eq. Mult. 1</v>
          </cell>
        </row>
        <row r="261">
          <cell r="D261" t="str">
            <v>AR10CD3001 - Eq. Mult. 1</v>
          </cell>
        </row>
        <row r="262">
          <cell r="D262" t="str">
            <v>AR10CD5001 - Eq. Mult. 1</v>
          </cell>
        </row>
        <row r="263">
          <cell r="D263" t="str">
            <v>AR10CD7001 - Eq. Mult. 1</v>
          </cell>
        </row>
        <row r="264">
          <cell r="D264" t="str">
            <v>AR10CD8001 - Eq. Mult. 1</v>
          </cell>
        </row>
        <row r="265">
          <cell r="D265" t="str">
            <v>AR10CD9001 - Eq. Mult. 1</v>
          </cell>
        </row>
        <row r="266">
          <cell r="D266" t="str">
            <v>AR10CDE001 - Eq. Mult. 1</v>
          </cell>
        </row>
        <row r="267">
          <cell r="D267" t="str">
            <v>AR10CDP001 - Eq. Mult. 1</v>
          </cell>
        </row>
        <row r="268">
          <cell r="D268" t="str">
            <v>AR10CK4001 - Eq. Mult. 1</v>
          </cell>
        </row>
        <row r="269">
          <cell r="D269" t="str">
            <v>AR10CD1002 - Eq. Mult. 2</v>
          </cell>
        </row>
        <row r="270">
          <cell r="D270" t="str">
            <v>AR10CD2002 - Eq. Mult. 2</v>
          </cell>
        </row>
        <row r="271">
          <cell r="D271" t="str">
            <v>AR10CD3002 - Eq. Mult. 2</v>
          </cell>
        </row>
        <row r="272">
          <cell r="D272" t="str">
            <v>AR10CD5002 - Eq. Mult. 2</v>
          </cell>
        </row>
        <row r="273">
          <cell r="D273" t="str">
            <v>AR10CD7002 - Eq. Mult. 2</v>
          </cell>
        </row>
        <row r="274">
          <cell r="D274" t="str">
            <v>AR10CD8002 - Eq. Mult. 2</v>
          </cell>
        </row>
        <row r="275">
          <cell r="D275" t="str">
            <v>AR10CD9002 - Eq. Mult. 2</v>
          </cell>
        </row>
        <row r="276">
          <cell r="D276" t="str">
            <v>AR10CDE002 - Eq. Mult. 2</v>
          </cell>
        </row>
        <row r="277">
          <cell r="D277" t="str">
            <v>AR10CDP002 - Eq. Mult. 2</v>
          </cell>
        </row>
        <row r="278">
          <cell r="D278" t="str">
            <v>AR10CK4002 - Eq. Mult. 2</v>
          </cell>
        </row>
        <row r="279">
          <cell r="D279" t="str">
            <v>AR10CD1003 - Eq. Mult. 3</v>
          </cell>
        </row>
        <row r="280">
          <cell r="D280" t="str">
            <v>AR10CD2003 - Eq. Mult. 3</v>
          </cell>
        </row>
        <row r="281">
          <cell r="D281" t="str">
            <v>AR10CD3003 - Eq. Mult. 3</v>
          </cell>
        </row>
        <row r="282">
          <cell r="D282" t="str">
            <v>AR10CD5003 - Eq. Mult. 3</v>
          </cell>
        </row>
        <row r="283">
          <cell r="D283" t="str">
            <v>AR10CD7003 - Eq. Mult. 3</v>
          </cell>
        </row>
        <row r="284">
          <cell r="D284" t="str">
            <v>AR10CD8003 - Eq. Mult. 3</v>
          </cell>
        </row>
        <row r="285">
          <cell r="D285" t="str">
            <v>AR10CD9003 - Eq. Mult. 3</v>
          </cell>
        </row>
        <row r="286">
          <cell r="D286" t="str">
            <v>AR10CK4003 - Eq. Mult. 3</v>
          </cell>
        </row>
        <row r="287">
          <cell r="D287" t="str">
            <v>AR10CD1008 - Eq. Mult. 8</v>
          </cell>
        </row>
        <row r="288">
          <cell r="D288" t="str">
            <v>AR10CD2008 - Eq. Mult. 8</v>
          </cell>
        </row>
        <row r="289">
          <cell r="D289" t="str">
            <v>AR10CD3008 - Eq. Mult. 8</v>
          </cell>
        </row>
        <row r="290">
          <cell r="D290" t="str">
            <v>AR10CD5008 - Eq. Mult. 8</v>
          </cell>
        </row>
        <row r="291">
          <cell r="D291" t="str">
            <v>AR10CD7008 - Eq. Mult. 8</v>
          </cell>
        </row>
        <row r="292">
          <cell r="D292" t="str">
            <v>AR10CD8008 - Eq. Mult. 8</v>
          </cell>
        </row>
        <row r="293">
          <cell r="D293" t="str">
            <v>AR10CD9008 - Eq. Mult. 8</v>
          </cell>
        </row>
        <row r="294">
          <cell r="D294" t="str">
            <v>AR10CK4008 - Eq. Mult. 8</v>
          </cell>
        </row>
        <row r="295">
          <cell r="D295" t="str">
            <v>AR10CD1130 - ESP</v>
          </cell>
        </row>
        <row r="296">
          <cell r="D296" t="str">
            <v>AR10CD2130 - ESP</v>
          </cell>
        </row>
        <row r="297">
          <cell r="D297" t="str">
            <v>AR10CD3130 - ESP</v>
          </cell>
        </row>
        <row r="298">
          <cell r="D298" t="str">
            <v>AR10CD5130 - ESP</v>
          </cell>
        </row>
        <row r="299">
          <cell r="D299" t="str">
            <v>AR10CD7130 - ESP</v>
          </cell>
        </row>
        <row r="300">
          <cell r="D300" t="str">
            <v>AR10CD8130 - ESP</v>
          </cell>
        </row>
        <row r="301">
          <cell r="D301" t="str">
            <v>AR10CD9130 - ESP</v>
          </cell>
        </row>
        <row r="302">
          <cell r="D302" t="str">
            <v>AR10CK4130 - ESP</v>
          </cell>
        </row>
        <row r="303">
          <cell r="D303" t="str">
            <v>AR10ANZ130 - ESP</v>
          </cell>
        </row>
        <row r="304">
          <cell r="D304" t="str">
            <v>AR10SNZ130 - ESP</v>
          </cell>
        </row>
        <row r="305">
          <cell r="D305" t="str">
            <v>AR104NZ130 - ESP</v>
          </cell>
        </row>
        <row r="306">
          <cell r="D306" t="str">
            <v>AR106NZ130 - ESP</v>
          </cell>
        </row>
        <row r="307">
          <cell r="D307" t="str">
            <v>AR10BNZ130 - ESP</v>
          </cell>
        </row>
        <row r="308">
          <cell r="D308" t="str">
            <v>AR40LE1130 - ESP</v>
          </cell>
        </row>
        <row r="309">
          <cell r="D309" t="str">
            <v>AR40LE2130 - ESP</v>
          </cell>
        </row>
        <row r="310">
          <cell r="D310" t="str">
            <v>AR10AE1130 - ESP</v>
          </cell>
        </row>
        <row r="311">
          <cell r="D311" t="str">
            <v>AR10AE2130 - ESP</v>
          </cell>
        </row>
        <row r="312">
          <cell r="D312" t="str">
            <v>AR10AE3130 - ESP</v>
          </cell>
        </row>
        <row r="313">
          <cell r="D313" t="str">
            <v>AR10AE4130 - ESP</v>
          </cell>
        </row>
        <row r="314">
          <cell r="D314" t="str">
            <v>AR10AE5130 - ESP</v>
          </cell>
        </row>
        <row r="315">
          <cell r="D315" t="str">
            <v>AR10FEZ130 - ESP</v>
          </cell>
        </row>
        <row r="316">
          <cell r="D316" t="str">
            <v>AR11CNZ130 - ESP</v>
          </cell>
        </row>
        <row r="317">
          <cell r="D317" t="str">
            <v>AR40LA1130 - ESP</v>
          </cell>
        </row>
        <row r="318">
          <cell r="D318" t="str">
            <v>AR40LA2130 - ESP</v>
          </cell>
        </row>
        <row r="319">
          <cell r="D319" t="str">
            <v>AR41AC1130 - ESP</v>
          </cell>
        </row>
        <row r="320">
          <cell r="D320" t="str">
            <v>AR41AC2130 - ESP</v>
          </cell>
        </row>
        <row r="321">
          <cell r="D321" t="str">
            <v>AR41AC3130 - ESP</v>
          </cell>
        </row>
        <row r="322">
          <cell r="D322" t="str">
            <v>AR41AC4130 - ESP</v>
          </cell>
        </row>
        <row r="323">
          <cell r="D323" t="str">
            <v>AR41AC5130 - ESP</v>
          </cell>
        </row>
        <row r="324">
          <cell r="D324" t="str">
            <v>AR42AFZ130 - ESP</v>
          </cell>
        </row>
        <row r="325">
          <cell r="D325" t="str">
            <v>BO11CIZ130 - ESP</v>
          </cell>
        </row>
        <row r="326">
          <cell r="D326" t="str">
            <v>BO11CNZ130 - ESP</v>
          </cell>
        </row>
        <row r="327">
          <cell r="D327" t="str">
            <v>CL10CH1130 - ESP</v>
          </cell>
        </row>
        <row r="328">
          <cell r="D328" t="str">
            <v>CL10CC1130 - ESP</v>
          </cell>
        </row>
        <row r="329">
          <cell r="D329" t="str">
            <v>CL10CB1130 - ESP</v>
          </cell>
        </row>
        <row r="330">
          <cell r="D330" t="str">
            <v>AR10CDZ540 - Excelencia Operativa</v>
          </cell>
        </row>
        <row r="331">
          <cell r="D331" t="str">
            <v>AR10CK4540 - Excelencia Operativa</v>
          </cell>
        </row>
        <row r="332">
          <cell r="D332" t="str">
            <v>AR10APZ675 - Exploración</v>
          </cell>
        </row>
        <row r="333">
          <cell r="D333" t="str">
            <v>AR10SRZ675 - Exploración</v>
          </cell>
        </row>
        <row r="334">
          <cell r="D334" t="str">
            <v>AR1040Z675 - Exploración</v>
          </cell>
        </row>
        <row r="335">
          <cell r="D335" t="str">
            <v>AR1046Z675 - Exploración</v>
          </cell>
        </row>
        <row r="336">
          <cell r="D336" t="str">
            <v>AR10BCZ675 - Exploración</v>
          </cell>
        </row>
        <row r="337">
          <cell r="D337" t="str">
            <v>AR10ANZ670 - Exploración</v>
          </cell>
        </row>
        <row r="338">
          <cell r="D338" t="str">
            <v>AR10SNZ670 - Exploración</v>
          </cell>
        </row>
        <row r="339">
          <cell r="D339" t="str">
            <v>AR104NZ670 - Exploración</v>
          </cell>
        </row>
        <row r="340">
          <cell r="D340" t="str">
            <v>AR106NZ670 - Exploración</v>
          </cell>
        </row>
        <row r="341">
          <cell r="D341" t="str">
            <v>AR10BNZ670 - Exploración</v>
          </cell>
        </row>
        <row r="342">
          <cell r="D342" t="str">
            <v>AR40LE2675 - Exploración</v>
          </cell>
        </row>
        <row r="343">
          <cell r="D343" t="str">
            <v>AR10AEZ675 - Exploración</v>
          </cell>
        </row>
        <row r="344">
          <cell r="D344" t="str">
            <v>AR10FEZ675 - Exploración</v>
          </cell>
        </row>
        <row r="345">
          <cell r="D345" t="str">
            <v>AR10CEZ675 - Exploración</v>
          </cell>
        </row>
        <row r="346">
          <cell r="D346" t="str">
            <v>AR10SEZ675 - Exploración</v>
          </cell>
        </row>
        <row r="347">
          <cell r="D347" t="str">
            <v>AR10BAZ675 - Exploración</v>
          </cell>
        </row>
        <row r="348">
          <cell r="D348" t="str">
            <v>AR11CAZ675 - Exploración</v>
          </cell>
        </row>
        <row r="349">
          <cell r="D349" t="str">
            <v>AR11CNZ670 - Exploración</v>
          </cell>
        </row>
        <row r="350">
          <cell r="D350" t="str">
            <v>AR11SAZ670 - Exploración</v>
          </cell>
        </row>
        <row r="351">
          <cell r="D351" t="str">
            <v>AR12FUZ675 - Exploración</v>
          </cell>
        </row>
        <row r="352">
          <cell r="D352" t="str">
            <v>AR12FMZ675 - Exploración</v>
          </cell>
        </row>
        <row r="353">
          <cell r="D353" t="str">
            <v>AR13BSZ675 - Exploración</v>
          </cell>
        </row>
        <row r="354">
          <cell r="D354" t="str">
            <v>AR40LA2675 - Exploración</v>
          </cell>
        </row>
        <row r="355">
          <cell r="D355" t="str">
            <v>AR41ACZ675 - Exploración</v>
          </cell>
        </row>
        <row r="356">
          <cell r="D356" t="str">
            <v>AR42AFZ675 - Exploración</v>
          </cell>
        </row>
        <row r="357">
          <cell r="D357" t="str">
            <v>AR43GCZ675 - Exploración</v>
          </cell>
        </row>
        <row r="358">
          <cell r="D358" t="str">
            <v>AR44GSZ675 - Exploración</v>
          </cell>
        </row>
        <row r="359">
          <cell r="D359" t="str">
            <v>BO10OGZ675 - Exploración</v>
          </cell>
        </row>
        <row r="360">
          <cell r="D360" t="str">
            <v>BO11CIZ675 - Exploración</v>
          </cell>
        </row>
        <row r="361">
          <cell r="D361" t="str">
            <v>BO11CNZ675 - Exploración</v>
          </cell>
        </row>
        <row r="362">
          <cell r="D362" t="str">
            <v>CL10CH1675 - Exploración</v>
          </cell>
        </row>
        <row r="363">
          <cell r="D363" t="str">
            <v>CL10CC1675 - Exploración</v>
          </cell>
        </row>
        <row r="364">
          <cell r="D364" t="str">
            <v>CL10CB1675 - Exploración</v>
          </cell>
        </row>
        <row r="365">
          <cell r="D365" t="str">
            <v>AR10ANZ715 - Finanzas Corporativas de Capital</v>
          </cell>
        </row>
        <row r="366">
          <cell r="D366" t="str">
            <v>AR10SNZ715 - Finanzas Corporativas de Capital</v>
          </cell>
        </row>
        <row r="367">
          <cell r="D367" t="str">
            <v>AR104NZ715 - Finanzas Corporativas de Capital</v>
          </cell>
        </row>
        <row r="368">
          <cell r="D368" t="str">
            <v>AR106NZ715 - Finanzas Corporativas de Capital</v>
          </cell>
        </row>
        <row r="369">
          <cell r="D369" t="str">
            <v>AR10BNZ715 - Finanzas Corporativas de Capital</v>
          </cell>
        </row>
        <row r="370">
          <cell r="D370" t="str">
            <v>AR10BAZ720 - Finanzas Corporativas de Capital</v>
          </cell>
        </row>
        <row r="371">
          <cell r="D371" t="str">
            <v>AR11CNZ715 - Finanzas Corporativas de Capital</v>
          </cell>
        </row>
        <row r="372">
          <cell r="D372" t="str">
            <v>AR11SAZ715 - Finanzas Corporativas de Capital</v>
          </cell>
        </row>
        <row r="373">
          <cell r="D373" t="str">
            <v>AR10APZ545 - Finanzas Y Planeamiento</v>
          </cell>
        </row>
        <row r="374">
          <cell r="D374" t="str">
            <v>AR10SRZ545 - Finanzas Y Planeamiento</v>
          </cell>
        </row>
        <row r="375">
          <cell r="D375" t="str">
            <v>AR1040Z545 - Finanzas Y Planeamiento</v>
          </cell>
        </row>
        <row r="376">
          <cell r="D376" t="str">
            <v>AR1046Z545 - Finanzas Y Planeamiento</v>
          </cell>
        </row>
        <row r="377">
          <cell r="D377" t="str">
            <v>AR10BCZ545 - Finanzas Y Planeamiento</v>
          </cell>
        </row>
        <row r="378">
          <cell r="D378" t="str">
            <v>AR10CDZ545 - Finanzas Y Planeamiento</v>
          </cell>
        </row>
        <row r="379">
          <cell r="D379" t="str">
            <v>AR10CK4545 - Finanzas Y Planeamiento</v>
          </cell>
        </row>
        <row r="380">
          <cell r="D380" t="str">
            <v>AR10ANZ545 - Finanzas Y Planeamiento</v>
          </cell>
        </row>
        <row r="381">
          <cell r="D381" t="str">
            <v>AR10SNZ545 - Finanzas Y Planeamiento</v>
          </cell>
        </row>
        <row r="382">
          <cell r="D382" t="str">
            <v>AR104NZ545 - Finanzas Y Planeamiento</v>
          </cell>
        </row>
        <row r="383">
          <cell r="D383" t="str">
            <v>AR106NZ545 - Finanzas Y Planeamiento</v>
          </cell>
        </row>
        <row r="384">
          <cell r="D384" t="str">
            <v>AR10BNZ545 - Finanzas Y Planeamiento</v>
          </cell>
        </row>
        <row r="385">
          <cell r="D385" t="str">
            <v>AR40LE2545 - Finanzas Y Planeamiento</v>
          </cell>
        </row>
        <row r="386">
          <cell r="D386" t="str">
            <v>AR10FEZ545 - Finanzas Y Planeamiento</v>
          </cell>
        </row>
        <row r="387">
          <cell r="D387" t="str">
            <v>AR10CEZ545 - Finanzas Y Planeamiento</v>
          </cell>
        </row>
        <row r="388">
          <cell r="D388" t="str">
            <v>AR10SEZ545 - Finanzas Y Planeamiento</v>
          </cell>
        </row>
        <row r="389">
          <cell r="D389" t="str">
            <v>AR10BAZ545 - Finanzas Y Planeamiento</v>
          </cell>
        </row>
        <row r="390">
          <cell r="D390" t="str">
            <v>AR11CAZ545 - Finanzas Y Planeamiento</v>
          </cell>
        </row>
        <row r="391">
          <cell r="D391" t="str">
            <v>AR11CNZ545 - Finanzas Y Planeamiento</v>
          </cell>
        </row>
        <row r="392">
          <cell r="D392" t="str">
            <v>AR11SAZ545 - Finanzas Y Planeamiento</v>
          </cell>
        </row>
        <row r="393">
          <cell r="D393" t="str">
            <v>AR12FUZ545 - Finanzas Y Planeamiento</v>
          </cell>
        </row>
        <row r="394">
          <cell r="D394" t="str">
            <v>AR12FMZ545 - Finanzas Y Planeamiento</v>
          </cell>
        </row>
        <row r="395">
          <cell r="D395" t="str">
            <v>AR13BSZ545 - Finanzas Y Planeamiento</v>
          </cell>
        </row>
        <row r="396">
          <cell r="D396" t="str">
            <v>AR40LA2545 - Finanzas Y Planeamiento</v>
          </cell>
        </row>
        <row r="397">
          <cell r="D397" t="str">
            <v>AR42AFZ545 - Finanzas Y Planeamiento</v>
          </cell>
        </row>
        <row r="398">
          <cell r="D398" t="str">
            <v>AR43GCZ545 - Finanzas Y Planeamiento</v>
          </cell>
        </row>
        <row r="399">
          <cell r="D399" t="str">
            <v>AR44GSZ545 - Finanzas Y Planeamiento</v>
          </cell>
        </row>
        <row r="400">
          <cell r="D400" t="str">
            <v>BO10OGZ545 - Finanzas Y Planeamiento</v>
          </cell>
        </row>
        <row r="401">
          <cell r="D401" t="str">
            <v>BO11CIZ545 - Finanzas Y Planeamiento</v>
          </cell>
        </row>
        <row r="402">
          <cell r="D402" t="str">
            <v>BO11CNZ545 - Finanzas Y Planeamiento</v>
          </cell>
        </row>
        <row r="403">
          <cell r="D403" t="str">
            <v>CL10CH1545 - Finanzas Y Planeamiento</v>
          </cell>
        </row>
        <row r="404">
          <cell r="D404" t="str">
            <v>CL10CC1545 - Finanzas Y Planeamiento</v>
          </cell>
        </row>
        <row r="405">
          <cell r="D405" t="str">
            <v>CL10CB1545 - Finanzas Y Planeamiento</v>
          </cell>
        </row>
        <row r="406">
          <cell r="D406" t="str">
            <v>AR10APZ860 - Gas</v>
          </cell>
        </row>
        <row r="407">
          <cell r="D407" t="str">
            <v>AR10SRZ860 - Gas</v>
          </cell>
        </row>
        <row r="408">
          <cell r="D408" t="str">
            <v>AR11CAZ860 - Gas</v>
          </cell>
        </row>
        <row r="409">
          <cell r="D409" t="str">
            <v>AR10CD1160 - Gas lift</v>
          </cell>
        </row>
        <row r="410">
          <cell r="D410" t="str">
            <v>AR10CD2160 - Gas lift</v>
          </cell>
        </row>
        <row r="411">
          <cell r="D411" t="str">
            <v>AR10CD3160 - Gas lift</v>
          </cell>
        </row>
        <row r="412">
          <cell r="D412" t="str">
            <v>AR10CD5160 - Gas lift</v>
          </cell>
        </row>
        <row r="413">
          <cell r="D413" t="str">
            <v>AR10CD7160 - Gas lift</v>
          </cell>
        </row>
        <row r="414">
          <cell r="D414" t="str">
            <v>AR10CD8160 - Gas lift</v>
          </cell>
        </row>
        <row r="415">
          <cell r="D415" t="str">
            <v>AR10CD9160 - Gas lift</v>
          </cell>
        </row>
        <row r="416">
          <cell r="D416" t="str">
            <v>AR10CK4160 - Gas lift</v>
          </cell>
        </row>
        <row r="417">
          <cell r="D417" t="str">
            <v>AR10ANZ160 - Gas lift</v>
          </cell>
        </row>
        <row r="418">
          <cell r="D418" t="str">
            <v>AR10SNZ160 - Gas lift</v>
          </cell>
        </row>
        <row r="419">
          <cell r="D419" t="str">
            <v>AR104NZ160 - Gas lift</v>
          </cell>
        </row>
        <row r="420">
          <cell r="D420" t="str">
            <v>AR106NZ160 - Gas lift</v>
          </cell>
        </row>
        <row r="421">
          <cell r="D421" t="str">
            <v>AR10BNZ160 - Gas lift</v>
          </cell>
        </row>
        <row r="422">
          <cell r="D422" t="str">
            <v>AR40LE1160 - Gas lift</v>
          </cell>
        </row>
        <row r="423">
          <cell r="D423" t="str">
            <v>AR40LE2160 - Gas lift</v>
          </cell>
        </row>
        <row r="424">
          <cell r="D424" t="str">
            <v>AR10AE1160 - Gas lift</v>
          </cell>
        </row>
        <row r="425">
          <cell r="D425" t="str">
            <v>AR10AE2160 - Gas lift</v>
          </cell>
        </row>
        <row r="426">
          <cell r="D426" t="str">
            <v>AR10AE3160 - Gas lift</v>
          </cell>
        </row>
        <row r="427">
          <cell r="D427" t="str">
            <v>AR10AE4160 - Gas lift</v>
          </cell>
        </row>
        <row r="428">
          <cell r="D428" t="str">
            <v>AR10AE5160 - Gas lift</v>
          </cell>
        </row>
        <row r="429">
          <cell r="D429" t="str">
            <v>AR10FEZ160 - Gas lift</v>
          </cell>
        </row>
        <row r="430">
          <cell r="D430" t="str">
            <v>AR11CNZ160 - Gas lift</v>
          </cell>
        </row>
        <row r="431">
          <cell r="D431" t="str">
            <v>AR40LA1160 - Gas lift</v>
          </cell>
        </row>
        <row r="432">
          <cell r="D432" t="str">
            <v>AR40LA2160 - Gas lift</v>
          </cell>
        </row>
        <row r="433">
          <cell r="D433" t="str">
            <v>AR41AC1160 - Gas lift</v>
          </cell>
        </row>
        <row r="434">
          <cell r="D434" t="str">
            <v>AR41AC2160 - Gas lift</v>
          </cell>
        </row>
        <row r="435">
          <cell r="D435" t="str">
            <v>AR41AC3160 - Gas lift</v>
          </cell>
        </row>
        <row r="436">
          <cell r="D436" t="str">
            <v>AR41AC4160 - Gas lift</v>
          </cell>
        </row>
        <row r="437">
          <cell r="D437" t="str">
            <v>AR41AC5160 - Gas lift</v>
          </cell>
        </row>
        <row r="438">
          <cell r="D438" t="str">
            <v>AR42AFZ160 - Gas lift</v>
          </cell>
        </row>
        <row r="439">
          <cell r="D439" t="str">
            <v>BO11CIZ160 - Gas lift</v>
          </cell>
        </row>
        <row r="440">
          <cell r="D440" t="str">
            <v>BO11CNZ160 - Gas lift</v>
          </cell>
        </row>
        <row r="441">
          <cell r="D441" t="str">
            <v>CL10CH1160 - Gas lift</v>
          </cell>
        </row>
        <row r="442">
          <cell r="D442" t="str">
            <v>CL10CC1160 - Gas lift</v>
          </cell>
        </row>
        <row r="443">
          <cell r="D443" t="str">
            <v>CL10CB1160 - Gas lift</v>
          </cell>
        </row>
        <row r="444">
          <cell r="D444" t="str">
            <v>AR10LAZ860 - Gas Transportation</v>
          </cell>
        </row>
        <row r="445">
          <cell r="D445" t="str">
            <v>AR10ACZ860 - Gas Transportation</v>
          </cell>
        </row>
        <row r="446">
          <cell r="D446" t="str">
            <v>AR10GCZ860 - Gas Transportation</v>
          </cell>
        </row>
        <row r="447">
          <cell r="D447" t="str">
            <v>AR10GSZ860 - Gas Transportation</v>
          </cell>
        </row>
        <row r="448">
          <cell r="D448" t="str">
            <v>AR10CD1860 - Gas Transportation</v>
          </cell>
        </row>
        <row r="449">
          <cell r="D449" t="str">
            <v>AR10CD2860 - Gas Transportation</v>
          </cell>
        </row>
        <row r="450">
          <cell r="D450" t="str">
            <v>AR10CD3860 - Gas Transportation</v>
          </cell>
        </row>
        <row r="451">
          <cell r="D451" t="str">
            <v>AR10CD5860 - Gas Transportation</v>
          </cell>
        </row>
        <row r="452">
          <cell r="D452" t="str">
            <v>AR10CD7860 - Gas Transportation</v>
          </cell>
        </row>
        <row r="453">
          <cell r="D453" t="str">
            <v>AR10CD8860 - Gas Transportation</v>
          </cell>
        </row>
        <row r="454">
          <cell r="D454" t="str">
            <v>AR10CD9860 - Gas Transportation</v>
          </cell>
        </row>
        <row r="455">
          <cell r="D455" t="str">
            <v>AR10CDZ860 - Gas Transportation</v>
          </cell>
        </row>
        <row r="456">
          <cell r="D456" t="str">
            <v>AR10CK4860 - Gas Transportation</v>
          </cell>
        </row>
        <row r="457">
          <cell r="D457" t="str">
            <v>AR10ANZ860 - Gas Transportation</v>
          </cell>
        </row>
        <row r="458">
          <cell r="D458" t="str">
            <v>AR10SNZ860 - Gas Transportation</v>
          </cell>
        </row>
        <row r="459">
          <cell r="D459" t="str">
            <v>AR40LE2860 - Gas Transportation</v>
          </cell>
        </row>
        <row r="460">
          <cell r="D460" t="str">
            <v>AR10AEZ860 - Gas Transportation</v>
          </cell>
        </row>
        <row r="461">
          <cell r="D461" t="str">
            <v>AR11CNZ860 - Gas Transportation</v>
          </cell>
        </row>
        <row r="462">
          <cell r="D462" t="str">
            <v>AR11SAZ860 - Gas Transportation</v>
          </cell>
        </row>
        <row r="463">
          <cell r="D463" t="str">
            <v>AR12FUZ860 - Gas Transportation</v>
          </cell>
        </row>
        <row r="464">
          <cell r="D464" t="str">
            <v>AR12FMZ860 - Gas Transportation</v>
          </cell>
        </row>
        <row r="465">
          <cell r="D465" t="str">
            <v>AR40LA2860 - Gas Transportation</v>
          </cell>
        </row>
        <row r="466">
          <cell r="D466" t="str">
            <v>AR41ACZ860 - Gas Transportation</v>
          </cell>
        </row>
        <row r="467">
          <cell r="D467" t="str">
            <v>CL10CH1860 - Gas Transportation</v>
          </cell>
        </row>
        <row r="468">
          <cell r="D468" t="str">
            <v>CL10CC1860 - Gas Transportation</v>
          </cell>
        </row>
        <row r="469">
          <cell r="D469" t="str">
            <v>CL10CB1860 - Gas Transportation</v>
          </cell>
        </row>
        <row r="470">
          <cell r="D470" t="str">
            <v>AR10BAZ725 - Gcia de aseg. del desarrollo</v>
          </cell>
        </row>
        <row r="471">
          <cell r="D471" t="str">
            <v>AR10CD1910 - Geofísica</v>
          </cell>
        </row>
        <row r="472">
          <cell r="D472" t="str">
            <v>AR10CD2910 - Geofísica</v>
          </cell>
        </row>
        <row r="473">
          <cell r="D473" t="str">
            <v>AR10CD3910 - Geofísica</v>
          </cell>
        </row>
        <row r="474">
          <cell r="D474" t="str">
            <v>AR10CD5910 - Geofísica</v>
          </cell>
        </row>
        <row r="475">
          <cell r="D475" t="str">
            <v>AR10CD7910 - Geofísica</v>
          </cell>
        </row>
        <row r="476">
          <cell r="D476" t="str">
            <v>AR10CD8910 - Geofísica</v>
          </cell>
        </row>
        <row r="477">
          <cell r="D477" t="str">
            <v>AR10CD9910 - Geofísica</v>
          </cell>
        </row>
        <row r="478">
          <cell r="D478" t="str">
            <v>AR10CDZ910 - Geofísica</v>
          </cell>
        </row>
        <row r="479">
          <cell r="D479" t="str">
            <v>AR10CK4910 - Geofísica</v>
          </cell>
        </row>
        <row r="480">
          <cell r="D480" t="str">
            <v>AR10PIZ910 - Geofísica</v>
          </cell>
        </row>
        <row r="481">
          <cell r="D481" t="str">
            <v>AR10PMZ910 - Geofísica</v>
          </cell>
        </row>
        <row r="482">
          <cell r="D482" t="str">
            <v>AR10ANZ910 - Geofísica</v>
          </cell>
        </row>
        <row r="483">
          <cell r="D483" t="str">
            <v>AR10SNZ910 - Geofísica</v>
          </cell>
        </row>
        <row r="484">
          <cell r="D484" t="str">
            <v>AR104NZ910 - Geofísica</v>
          </cell>
        </row>
        <row r="485">
          <cell r="D485" t="str">
            <v>AR106NZ910 - Geofísica</v>
          </cell>
        </row>
        <row r="486">
          <cell r="D486" t="str">
            <v>AR10BNZ910 - Geofísica</v>
          </cell>
        </row>
        <row r="487">
          <cell r="D487" t="str">
            <v>AR40LE1910 - Geofísica</v>
          </cell>
        </row>
        <row r="488">
          <cell r="D488" t="str">
            <v>AR40LE2910 - Geofísica</v>
          </cell>
        </row>
        <row r="489">
          <cell r="D489" t="str">
            <v>AR40LE2910 - Geofísica</v>
          </cell>
        </row>
        <row r="490">
          <cell r="D490" t="str">
            <v>AR10AE1910 - Geofísica</v>
          </cell>
        </row>
        <row r="491">
          <cell r="D491" t="str">
            <v>AR10AE2910 - Geofísica</v>
          </cell>
        </row>
        <row r="492">
          <cell r="D492" t="str">
            <v>AR10AE3910 - Geofísica</v>
          </cell>
        </row>
        <row r="493">
          <cell r="D493" t="str">
            <v>AR10AE4910 - Geofísica</v>
          </cell>
        </row>
        <row r="494">
          <cell r="D494" t="str">
            <v>AR10AE5910 - Geofísica</v>
          </cell>
        </row>
        <row r="495">
          <cell r="D495" t="str">
            <v>AR10AEZ910 - Geofísica</v>
          </cell>
        </row>
        <row r="496">
          <cell r="D496" t="str">
            <v>AR10CEZ910 - Geofísica</v>
          </cell>
        </row>
        <row r="497">
          <cell r="D497" t="str">
            <v>AR10SEZ910 - Geofísica</v>
          </cell>
        </row>
        <row r="498">
          <cell r="D498" t="str">
            <v>AR11CNZ910 - Geofísica</v>
          </cell>
        </row>
        <row r="499">
          <cell r="D499" t="str">
            <v>AR13BSZ910 - Geofísica</v>
          </cell>
        </row>
        <row r="500">
          <cell r="D500" t="str">
            <v>AR40LA1910 - Geofísica</v>
          </cell>
        </row>
        <row r="501">
          <cell r="D501" t="str">
            <v>AR40LA2910 - Geofísica</v>
          </cell>
        </row>
        <row r="502">
          <cell r="D502" t="str">
            <v>AR40LA2910 - Geofísica</v>
          </cell>
        </row>
        <row r="503">
          <cell r="D503" t="str">
            <v>AR41AC1910 - Geofísica</v>
          </cell>
        </row>
        <row r="504">
          <cell r="D504" t="str">
            <v>AR41AC2910 - Geofísica</v>
          </cell>
        </row>
        <row r="505">
          <cell r="D505" t="str">
            <v>AR41AC3910 - Geofísica</v>
          </cell>
        </row>
        <row r="506">
          <cell r="D506" t="str">
            <v>AR41AC4910 - Geofísica</v>
          </cell>
        </row>
        <row r="507">
          <cell r="D507" t="str">
            <v>AR41AC5910 - Geofísica</v>
          </cell>
        </row>
        <row r="508">
          <cell r="D508" t="str">
            <v>AR41ACZ910 - Geofísica</v>
          </cell>
        </row>
        <row r="509">
          <cell r="D509" t="str">
            <v>AR43GCZ910 - Geofísica</v>
          </cell>
        </row>
        <row r="510">
          <cell r="D510" t="str">
            <v>AR44GSZ910 - Geofísica</v>
          </cell>
        </row>
        <row r="511">
          <cell r="D511" t="str">
            <v>BO11CIZ910 - Geofísica</v>
          </cell>
        </row>
        <row r="512">
          <cell r="D512" t="str">
            <v>BO11CNZ910 - Geofísica</v>
          </cell>
        </row>
        <row r="513">
          <cell r="D513" t="str">
            <v>CL10CH1910 - Geofísica</v>
          </cell>
        </row>
        <row r="514">
          <cell r="D514" t="str">
            <v>CL10CC1910 - Geofísica</v>
          </cell>
        </row>
        <row r="515">
          <cell r="D515" t="str">
            <v>CL10CB1910 - Geofísica</v>
          </cell>
        </row>
        <row r="516">
          <cell r="D516" t="str">
            <v>AR10CD1905 - Geología</v>
          </cell>
        </row>
        <row r="517">
          <cell r="D517" t="str">
            <v>AR10CD2905 - Geología</v>
          </cell>
        </row>
        <row r="518">
          <cell r="D518" t="str">
            <v>AR10CD3905 - Geología</v>
          </cell>
        </row>
        <row r="519">
          <cell r="D519" t="str">
            <v>AR10CD5905 - Geología</v>
          </cell>
        </row>
        <row r="520">
          <cell r="D520" t="str">
            <v>AR10CD7905 - Geología</v>
          </cell>
        </row>
        <row r="521">
          <cell r="D521" t="str">
            <v>AR10CD8905 - Geología</v>
          </cell>
        </row>
        <row r="522">
          <cell r="D522" t="str">
            <v>AR10CD9905 - Geología</v>
          </cell>
        </row>
        <row r="523">
          <cell r="D523" t="str">
            <v>AR10CDZ905 - Geología</v>
          </cell>
        </row>
        <row r="524">
          <cell r="D524" t="str">
            <v>AR10CK4905 - Geología</v>
          </cell>
        </row>
        <row r="525">
          <cell r="D525" t="str">
            <v>AR10PIZ905 - Geología</v>
          </cell>
        </row>
        <row r="526">
          <cell r="D526" t="str">
            <v>AR10PMZ905 - Geología</v>
          </cell>
        </row>
        <row r="527">
          <cell r="D527" t="str">
            <v>AR10ANZ905 - Geología</v>
          </cell>
        </row>
        <row r="528">
          <cell r="D528" t="str">
            <v>AR10SNZ905 - Geología</v>
          </cell>
        </row>
        <row r="529">
          <cell r="D529" t="str">
            <v>AR104NZ905 - Geología</v>
          </cell>
        </row>
        <row r="530">
          <cell r="D530" t="str">
            <v>AR106NZ905 - Geología</v>
          </cell>
        </row>
        <row r="531">
          <cell r="D531" t="str">
            <v>AR10BNZ905 - Geología</v>
          </cell>
        </row>
        <row r="532">
          <cell r="D532" t="str">
            <v>AR40LE1905 - Geología</v>
          </cell>
        </row>
        <row r="533">
          <cell r="D533" t="str">
            <v>AR40LE2905 - Geología</v>
          </cell>
        </row>
        <row r="534">
          <cell r="D534" t="str">
            <v>AR40LE2905 - Geología</v>
          </cell>
        </row>
        <row r="535">
          <cell r="D535" t="str">
            <v>AR10AE1905 - Geología</v>
          </cell>
        </row>
        <row r="536">
          <cell r="D536" t="str">
            <v>AR10AE2905 - Geología</v>
          </cell>
        </row>
        <row r="537">
          <cell r="D537" t="str">
            <v>AR10AE3905 - Geología</v>
          </cell>
        </row>
        <row r="538">
          <cell r="D538" t="str">
            <v>AR10AE4905 - Geología</v>
          </cell>
        </row>
        <row r="539">
          <cell r="D539" t="str">
            <v>AR10AE5905 - Geología</v>
          </cell>
        </row>
        <row r="540">
          <cell r="D540" t="str">
            <v>AR10AEZ905 - Geología</v>
          </cell>
        </row>
        <row r="541">
          <cell r="D541" t="str">
            <v>AR10CEZ905 - Geología</v>
          </cell>
        </row>
        <row r="542">
          <cell r="D542" t="str">
            <v>AR10SEZ905 - Geología</v>
          </cell>
        </row>
        <row r="543">
          <cell r="D543" t="str">
            <v>AR11CNZ905 - Geología</v>
          </cell>
        </row>
        <row r="544">
          <cell r="D544" t="str">
            <v>AR13BSZ905 - Geología</v>
          </cell>
        </row>
        <row r="545">
          <cell r="D545" t="str">
            <v>AR40LA1905 - Geología</v>
          </cell>
        </row>
        <row r="546">
          <cell r="D546" t="str">
            <v>AR40LA2905 - Geología</v>
          </cell>
        </row>
        <row r="547">
          <cell r="D547" t="str">
            <v>AR40LA2905 - Geología</v>
          </cell>
        </row>
        <row r="548">
          <cell r="D548" t="str">
            <v>AR41AC1905 - Geología</v>
          </cell>
        </row>
        <row r="549">
          <cell r="D549" t="str">
            <v>AR41AC2905 - Geología</v>
          </cell>
        </row>
        <row r="550">
          <cell r="D550" t="str">
            <v>AR41AC3905 - Geología</v>
          </cell>
        </row>
        <row r="551">
          <cell r="D551" t="str">
            <v>AR41AC4905 - Geología</v>
          </cell>
        </row>
        <row r="552">
          <cell r="D552" t="str">
            <v>AR41AC5905 - Geología</v>
          </cell>
        </row>
        <row r="553">
          <cell r="D553" t="str">
            <v>AR41ACZ905 - Geología</v>
          </cell>
        </row>
        <row r="554">
          <cell r="D554" t="str">
            <v>AR43GCZ905 - Geología</v>
          </cell>
        </row>
        <row r="555">
          <cell r="D555" t="str">
            <v>AR44GSZ905 - Geología</v>
          </cell>
        </row>
        <row r="556">
          <cell r="D556" t="str">
            <v>BO11CIZ905 - Geología</v>
          </cell>
        </row>
        <row r="557">
          <cell r="D557" t="str">
            <v>BO11CNZ905 - Geología</v>
          </cell>
        </row>
        <row r="558">
          <cell r="D558" t="str">
            <v>CL10CH1905 - Geología</v>
          </cell>
        </row>
        <row r="559">
          <cell r="D559" t="str">
            <v>CL10CC1905 - Geología</v>
          </cell>
        </row>
        <row r="560">
          <cell r="D560" t="str">
            <v>CL10CB1905 - Geología</v>
          </cell>
        </row>
        <row r="561">
          <cell r="D561" t="str">
            <v>AR10CDZ550 - Gerencia De Servicios</v>
          </cell>
        </row>
        <row r="562">
          <cell r="D562" t="str">
            <v>AR10CK4550 - Gerencia De Servicios</v>
          </cell>
        </row>
        <row r="563">
          <cell r="D563" t="str">
            <v>AR10CDZ555 - Gerencia U.G.</v>
          </cell>
        </row>
        <row r="564">
          <cell r="D564" t="str">
            <v>AR10CK4555 - Gerencia U.G.</v>
          </cell>
        </row>
        <row r="565">
          <cell r="D565" t="str">
            <v>AR10CD1810 - Gestión de residuos</v>
          </cell>
        </row>
        <row r="566">
          <cell r="D566" t="str">
            <v>AR10CD2810 - Gestión de residuos</v>
          </cell>
        </row>
        <row r="567">
          <cell r="D567" t="str">
            <v>AR10CD3810 - Gestión de residuos</v>
          </cell>
        </row>
        <row r="568">
          <cell r="D568" t="str">
            <v>AR10CD5810 - Gestión de residuos</v>
          </cell>
        </row>
        <row r="569">
          <cell r="D569" t="str">
            <v>AR10CD7810 - Gestión de residuos</v>
          </cell>
        </row>
        <row r="570">
          <cell r="D570" t="str">
            <v>AR10CD8810 - Gestión de residuos</v>
          </cell>
        </row>
        <row r="571">
          <cell r="D571" t="str">
            <v>AR10CD9810 - Gestión de residuos</v>
          </cell>
        </row>
        <row r="572">
          <cell r="D572" t="str">
            <v>AR10CDE810 - Gestión de residuos</v>
          </cell>
        </row>
        <row r="573">
          <cell r="D573" t="str">
            <v>AR10CDP810 - Gestión de residuos</v>
          </cell>
        </row>
        <row r="574">
          <cell r="D574" t="str">
            <v>AR10CDZ810 - Gestión de residuos</v>
          </cell>
        </row>
        <row r="575">
          <cell r="D575" t="str">
            <v>AR10CK4810 - Gestión de residuos</v>
          </cell>
        </row>
        <row r="576">
          <cell r="D576" t="str">
            <v>AR10ANZ810 - Gestión de residuos</v>
          </cell>
        </row>
        <row r="577">
          <cell r="D577" t="str">
            <v>AR10SNZ810 - Gestión de residuos</v>
          </cell>
        </row>
        <row r="578">
          <cell r="D578" t="str">
            <v>AR10SNZ810 - Gestión de residuos</v>
          </cell>
        </row>
        <row r="579">
          <cell r="D579" t="str">
            <v>AR106NZ810 - Gestión de residuos</v>
          </cell>
        </row>
        <row r="580">
          <cell r="D580" t="str">
            <v>AR10BNZ810 - Gestión de residuos</v>
          </cell>
        </row>
        <row r="581">
          <cell r="D581" t="str">
            <v>AR40LE1810 - Gestión de residuos</v>
          </cell>
        </row>
        <row r="582">
          <cell r="D582" t="str">
            <v>AR40LE2810 - Gestión de residuos</v>
          </cell>
        </row>
        <row r="583">
          <cell r="D583" t="str">
            <v>AR40LE2810 - Gestión de residuos</v>
          </cell>
        </row>
        <row r="584">
          <cell r="D584" t="str">
            <v>AR10AE1810 - Gestión de residuos</v>
          </cell>
        </row>
        <row r="585">
          <cell r="D585" t="str">
            <v>AR10AE2810 - Gestión de residuos</v>
          </cell>
        </row>
        <row r="586">
          <cell r="D586" t="str">
            <v>AR10AE3810 - Gestión de residuos</v>
          </cell>
        </row>
        <row r="587">
          <cell r="D587" t="str">
            <v>AR10AE4810 - Gestión de residuos</v>
          </cell>
        </row>
        <row r="588">
          <cell r="D588" t="str">
            <v>AR10AE6810 - Gestión de residuos</v>
          </cell>
        </row>
        <row r="589">
          <cell r="D589" t="str">
            <v>AR10AE7810 - Gestión de residuos</v>
          </cell>
        </row>
        <row r="590">
          <cell r="D590" t="str">
            <v>AR10AE5810 - Gestión de residuos</v>
          </cell>
        </row>
        <row r="591">
          <cell r="D591" t="str">
            <v>AR10AEZ810 - Gestión de residuos</v>
          </cell>
        </row>
        <row r="592">
          <cell r="D592" t="str">
            <v>AR10CEZ810 - Gestión de residuos</v>
          </cell>
        </row>
        <row r="593">
          <cell r="D593" t="str">
            <v>AR10SEZ810 - Gestión de residuos</v>
          </cell>
        </row>
        <row r="594">
          <cell r="D594" t="str">
            <v>AR11CNZ810 - Gestión de residuos</v>
          </cell>
        </row>
        <row r="595">
          <cell r="D595" t="str">
            <v>AR11SAZ810 - Gestión de residuos</v>
          </cell>
        </row>
        <row r="596">
          <cell r="D596" t="str">
            <v>AR13BSZ810 - Gestión de residuos</v>
          </cell>
        </row>
        <row r="597">
          <cell r="D597" t="str">
            <v>AR40LA1810 - Gestión de residuos</v>
          </cell>
        </row>
        <row r="598">
          <cell r="D598" t="str">
            <v>AR40LA2810 - Gestión de residuos</v>
          </cell>
        </row>
        <row r="599">
          <cell r="D599" t="str">
            <v>AR40LA2810 - Gestión de residuos</v>
          </cell>
        </row>
        <row r="600">
          <cell r="D600" t="str">
            <v>AR41AC1810 - Gestión de residuos</v>
          </cell>
        </row>
        <row r="601">
          <cell r="D601" t="str">
            <v>AR41AC2810 - Gestión de residuos</v>
          </cell>
        </row>
        <row r="602">
          <cell r="D602" t="str">
            <v>AR41AC3810 - Gestión de residuos</v>
          </cell>
        </row>
        <row r="603">
          <cell r="D603" t="str">
            <v>AR41AC4810 - Gestión de residuos</v>
          </cell>
        </row>
        <row r="604">
          <cell r="D604" t="str">
            <v>AR41AC6810 - Gestión de residuos</v>
          </cell>
        </row>
        <row r="605">
          <cell r="D605" t="str">
            <v>AR41AC7810 - Gestión de residuos</v>
          </cell>
        </row>
        <row r="606">
          <cell r="D606" t="str">
            <v>AR41AC5810 - Gestión de residuos</v>
          </cell>
        </row>
        <row r="607">
          <cell r="D607" t="str">
            <v>AR41ACZ810 - Gestión de residuos</v>
          </cell>
        </row>
        <row r="608">
          <cell r="D608" t="str">
            <v>AR43GCZ810 - Gestión de residuos</v>
          </cell>
        </row>
        <row r="609">
          <cell r="D609" t="str">
            <v>AR44GSZ810 - Gestión de residuos</v>
          </cell>
        </row>
        <row r="610">
          <cell r="D610" t="str">
            <v>BO11CIZ810 - Gestión de residuos</v>
          </cell>
        </row>
        <row r="611">
          <cell r="D611" t="str">
            <v>BO11CNZ810 - Gestión de residuos</v>
          </cell>
        </row>
        <row r="612">
          <cell r="D612" t="str">
            <v>CL10CH1810 - Gestión de residuos</v>
          </cell>
        </row>
        <row r="613">
          <cell r="D613" t="str">
            <v>CL10CC1810 - Gestión de residuos</v>
          </cell>
        </row>
        <row r="614">
          <cell r="D614" t="str">
            <v>CL10CB1810 - Gestión de residuos</v>
          </cell>
        </row>
        <row r="615">
          <cell r="D615" t="str">
            <v>AR10APZ565 - Inf. Technology</v>
          </cell>
        </row>
        <row r="616">
          <cell r="D616" t="str">
            <v>AR10SRZ565 - Inf. Technology</v>
          </cell>
        </row>
        <row r="617">
          <cell r="D617" t="str">
            <v>AR1040Z565 - Inf. Technology</v>
          </cell>
        </row>
        <row r="618">
          <cell r="D618" t="str">
            <v>AR1046Z565 - Inf. Technology</v>
          </cell>
        </row>
        <row r="619">
          <cell r="D619" t="str">
            <v>AR10BCZ565 - Inf. Technology</v>
          </cell>
        </row>
        <row r="620">
          <cell r="D620" t="str">
            <v>AR10CDZ565 - Inf. Technology</v>
          </cell>
        </row>
        <row r="621">
          <cell r="D621" t="str">
            <v>AR10CK4565 - Inf. Technology</v>
          </cell>
        </row>
        <row r="622">
          <cell r="D622" t="str">
            <v>AR40LE2565 - Inf. Technology</v>
          </cell>
        </row>
        <row r="623">
          <cell r="D623" t="str">
            <v>AR10AEZ565 - Inf. Technology</v>
          </cell>
        </row>
        <row r="624">
          <cell r="D624" t="str">
            <v>AR10FEZ565 - Inf. Technology</v>
          </cell>
        </row>
        <row r="625">
          <cell r="D625" t="str">
            <v>AR10CEZ565 - Inf. Technology</v>
          </cell>
        </row>
        <row r="626">
          <cell r="D626" t="str">
            <v>AR10SEZ565 - Inf. Technology</v>
          </cell>
        </row>
        <row r="627">
          <cell r="D627" t="str">
            <v>AR11CAZ565 - Inf. Technology</v>
          </cell>
        </row>
        <row r="628">
          <cell r="D628" t="str">
            <v>AR40LA2565 - Inf. Technology</v>
          </cell>
        </row>
        <row r="629">
          <cell r="D629" t="str">
            <v>AR41ACZ565 - Inf. Technology</v>
          </cell>
        </row>
        <row r="630">
          <cell r="D630" t="str">
            <v>AR42AFZ565 - Inf. Technology</v>
          </cell>
        </row>
        <row r="631">
          <cell r="D631" t="str">
            <v>AR43GCZ565 - Inf. Technology</v>
          </cell>
        </row>
        <row r="632">
          <cell r="D632" t="str">
            <v>AR44GSZ565 - Inf. Technology</v>
          </cell>
        </row>
        <row r="633">
          <cell r="D633" t="str">
            <v>BO10OGZ565 - Inf. Technology</v>
          </cell>
        </row>
        <row r="634">
          <cell r="D634" t="str">
            <v>BO11CIZ565 - Inf. Technology</v>
          </cell>
        </row>
        <row r="635">
          <cell r="D635" t="str">
            <v>BO11CNZ565 - Inf. Technology</v>
          </cell>
        </row>
        <row r="636">
          <cell r="D636" t="str">
            <v>CL10CH1565 - Inf. Technology</v>
          </cell>
        </row>
        <row r="637">
          <cell r="D637" t="str">
            <v>CL10CC1565 - Inf. Technology</v>
          </cell>
        </row>
        <row r="638">
          <cell r="D638" t="str">
            <v>CL10CB1565 - Inf. Technology</v>
          </cell>
        </row>
        <row r="639">
          <cell r="D639" t="str">
            <v>AR10APZ656 - Information Tech.</v>
          </cell>
        </row>
        <row r="640">
          <cell r="D640" t="str">
            <v>AR10SRZ656 - Information Tech.</v>
          </cell>
        </row>
        <row r="641">
          <cell r="D641" t="str">
            <v>AR1040Z656 - Information Tech.</v>
          </cell>
        </row>
        <row r="642">
          <cell r="D642" t="str">
            <v>AR1046Z656 - Information Tech.</v>
          </cell>
        </row>
        <row r="643">
          <cell r="D643" t="str">
            <v>AR10BCZ656 - Information Tech.</v>
          </cell>
        </row>
        <row r="644">
          <cell r="D644" t="str">
            <v>AR10ANZ660 - Information Tech.</v>
          </cell>
        </row>
        <row r="645">
          <cell r="D645" t="str">
            <v>AR10SNZ660 - Information Tech.</v>
          </cell>
        </row>
        <row r="646">
          <cell r="D646" t="str">
            <v>AR104NZ660 - Information Tech.</v>
          </cell>
        </row>
        <row r="647">
          <cell r="D647" t="str">
            <v>AR106NZ660 - Information Tech.</v>
          </cell>
        </row>
        <row r="648">
          <cell r="D648" t="str">
            <v>AR10BNZ660 - Information Tech.</v>
          </cell>
        </row>
        <row r="649">
          <cell r="D649" t="str">
            <v>AR40LE2656 - Information Tech.</v>
          </cell>
        </row>
        <row r="650">
          <cell r="D650" t="str">
            <v>AR10AEZ656 - Information Tech.</v>
          </cell>
        </row>
        <row r="651">
          <cell r="D651" t="str">
            <v>AR10FEZ656 - Information Tech.</v>
          </cell>
        </row>
        <row r="652">
          <cell r="D652" t="str">
            <v>AR10CEZ656 - Information Tech.</v>
          </cell>
        </row>
        <row r="653">
          <cell r="D653" t="str">
            <v>AR10SEZ656 - Information Tech.</v>
          </cell>
        </row>
        <row r="654">
          <cell r="D654" t="str">
            <v>AR10BAZ656 - Information Tech.</v>
          </cell>
        </row>
        <row r="655">
          <cell r="D655" t="str">
            <v>AR11CAZ656 - Information Tech.</v>
          </cell>
        </row>
        <row r="656">
          <cell r="D656" t="str">
            <v>AR11CNZ660 - Information Tech.</v>
          </cell>
        </row>
        <row r="657">
          <cell r="D657" t="str">
            <v>AR11SAZ660 - Information Tech.</v>
          </cell>
        </row>
        <row r="658">
          <cell r="D658" t="str">
            <v>AR40LA2656 - Information Tech.</v>
          </cell>
        </row>
        <row r="659">
          <cell r="D659" t="str">
            <v>AR41ACZ656 - Information Tech.</v>
          </cell>
        </row>
        <row r="660">
          <cell r="D660" t="str">
            <v>AR42AFZ656 - Information Tech.</v>
          </cell>
        </row>
        <row r="661">
          <cell r="D661" t="str">
            <v>AR43GCZ656 - Information Tech.</v>
          </cell>
        </row>
        <row r="662">
          <cell r="D662" t="str">
            <v>AR44GSZ656 - Information Tech.</v>
          </cell>
        </row>
        <row r="663">
          <cell r="D663" t="str">
            <v>BO10OGZ656 - Information Tech.</v>
          </cell>
        </row>
        <row r="664">
          <cell r="D664" t="str">
            <v>BO11CIZ656 - Information Tech.</v>
          </cell>
        </row>
        <row r="665">
          <cell r="D665" t="str">
            <v>BO11CNZ656 - Information Tech.</v>
          </cell>
        </row>
        <row r="666">
          <cell r="D666" t="str">
            <v>CL10CH1656 - Information Tech.</v>
          </cell>
        </row>
        <row r="667">
          <cell r="D667" t="str">
            <v>CL10CC1656 - Information Tech.</v>
          </cell>
        </row>
        <row r="668">
          <cell r="D668" t="str">
            <v>CL10CB1656 - Information Tech.</v>
          </cell>
        </row>
        <row r="669">
          <cell r="D669" t="str">
            <v xml:space="preserve">AR10CDZ570 - Ing De Prod Y Recup Sec </v>
          </cell>
        </row>
        <row r="670">
          <cell r="D670" t="str">
            <v xml:space="preserve">AR10CK4570 - Ing De Prod Y Recup Sec </v>
          </cell>
        </row>
        <row r="671">
          <cell r="D671" t="str">
            <v>AR10ANZ705 - Ingeniería de Procesos y Pro P</v>
          </cell>
        </row>
        <row r="672">
          <cell r="D672" t="str">
            <v>AR10SNZ705 - Ingeniería de Procesos y Pro P</v>
          </cell>
        </row>
        <row r="673">
          <cell r="D673" t="str">
            <v>AR104NZ705 - Ingeniería de Procesos y Pro P</v>
          </cell>
        </row>
        <row r="674">
          <cell r="D674" t="str">
            <v>AR106NZ705 - Ingeniería de Procesos y Pro P</v>
          </cell>
        </row>
        <row r="675">
          <cell r="D675" t="str">
            <v>AR10BNZ705 - Ingeniería de Procesos y Pro P</v>
          </cell>
        </row>
        <row r="676">
          <cell r="D676" t="str">
            <v>AR10BAZ710 - Ingeniería de Procesos y Pro P</v>
          </cell>
        </row>
        <row r="677">
          <cell r="D677" t="str">
            <v>AR11CNZ705 - Ingeniería de Procesos y Pro P</v>
          </cell>
        </row>
        <row r="678">
          <cell r="D678" t="str">
            <v>AR11SAZ705 - Ingeniería de Procesos y Pro P</v>
          </cell>
        </row>
        <row r="679">
          <cell r="D679" t="str">
            <v>AR10CDZ575 - Ingenieria De Procesos y Proy (GIPP)</v>
          </cell>
        </row>
        <row r="680">
          <cell r="D680" t="str">
            <v>AR10CK4575 - Ingenieria De Procesos y Proy (GIPP)</v>
          </cell>
        </row>
        <row r="681">
          <cell r="D681" t="str">
            <v>AR10CD1100 - Ingeniería de producción &amp; Recuperación Secundaria</v>
          </cell>
        </row>
        <row r="682">
          <cell r="D682" t="str">
            <v>AR10CD2100 - Ingeniería de producción &amp; Recuperación Secundaria</v>
          </cell>
        </row>
        <row r="683">
          <cell r="D683" t="str">
            <v>AR10CD3100 - Ingeniería de producción &amp; Recuperación Secundaria</v>
          </cell>
        </row>
        <row r="684">
          <cell r="D684" t="str">
            <v>AR10CD5100 - Ingeniería de producción &amp; Recuperación Secundaria</v>
          </cell>
        </row>
        <row r="685">
          <cell r="D685" t="str">
            <v>AR10CD7100 - Ingeniería de producción &amp; Recuperación Secundaria</v>
          </cell>
        </row>
        <row r="686">
          <cell r="D686" t="str">
            <v>AR10CD8100 - Ingeniería de producción &amp; Recuperación Secundaria</v>
          </cell>
        </row>
        <row r="687">
          <cell r="D687" t="str">
            <v>AR10CD9100 - Ingeniería de producción &amp; Recuperación Secundaria</v>
          </cell>
        </row>
        <row r="688">
          <cell r="D688" t="str">
            <v>AR10CK4100 - Ingeniería de producción &amp; Recuperación Secundaria</v>
          </cell>
        </row>
        <row r="689">
          <cell r="D689" t="str">
            <v>AR10ANZ100 - Ingeniería de producción &amp; Recuperación Secundaria</v>
          </cell>
        </row>
        <row r="690">
          <cell r="D690" t="str">
            <v>AR10SNZ100 - Ingeniería de producción &amp; Recuperación Secundaria</v>
          </cell>
        </row>
        <row r="691">
          <cell r="D691" t="str">
            <v>AR104NZ100 - Ingeniería de producción &amp; Recuperación Secundaria</v>
          </cell>
        </row>
        <row r="692">
          <cell r="D692" t="str">
            <v>AR106NZ100 - Ingeniería de producción &amp; Recuperación Secundaria</v>
          </cell>
        </row>
        <row r="693">
          <cell r="D693" t="str">
            <v>AR10BNZ100 - Ingeniería de producción &amp; Recuperación Secundaria</v>
          </cell>
        </row>
        <row r="694">
          <cell r="D694" t="str">
            <v>AR40LE1100 - Ingeniería de producción &amp; Recuperación Secundaria</v>
          </cell>
        </row>
        <row r="695">
          <cell r="D695" t="str">
            <v>AR40LE2100 - Ingeniería de producción &amp; Recuperación Secundaria</v>
          </cell>
        </row>
        <row r="696">
          <cell r="D696" t="str">
            <v>AR10AE1100 - Ingeniería de producción &amp; Recuperación Secundaria</v>
          </cell>
        </row>
        <row r="697">
          <cell r="D697" t="str">
            <v>AR10AE2100 - Ingeniería de producción &amp; Recuperación Secundaria</v>
          </cell>
        </row>
        <row r="698">
          <cell r="D698" t="str">
            <v>AR10AE3100 - Ingeniería de producción &amp; Recuperación Secundaria</v>
          </cell>
        </row>
        <row r="699">
          <cell r="D699" t="str">
            <v>AR10AE4100 - Ingeniería de producción &amp; Recuperación Secundaria</v>
          </cell>
        </row>
        <row r="700">
          <cell r="D700" t="str">
            <v>AR10AE5100 - Ingeniería de producción &amp; Recuperación Secundaria</v>
          </cell>
        </row>
        <row r="701">
          <cell r="D701" t="str">
            <v>AR10FEZ100 - Ingeniería de producción &amp; Recuperación Secundaria</v>
          </cell>
        </row>
        <row r="702">
          <cell r="D702" t="str">
            <v>AR11CNZ100 - Ingeniería de producción &amp; Recuperación Secundaria</v>
          </cell>
        </row>
        <row r="703">
          <cell r="D703" t="str">
            <v>AR40LA1100 - Ingeniería de producción &amp; Recuperación Secundaria</v>
          </cell>
        </row>
        <row r="704">
          <cell r="D704" t="str">
            <v>AR40LA2100 - Ingeniería de producción &amp; Recuperación Secundaria</v>
          </cell>
        </row>
        <row r="705">
          <cell r="D705" t="str">
            <v>AR41AC1100 - Ingeniería de producción &amp; Recuperación Secundaria</v>
          </cell>
        </row>
        <row r="706">
          <cell r="D706" t="str">
            <v>AR41AC2100 - Ingeniería de producción &amp; Recuperación Secundaria</v>
          </cell>
        </row>
        <row r="707">
          <cell r="D707" t="str">
            <v>AR41AC3100 - Ingeniería de producción &amp; Recuperación Secundaria</v>
          </cell>
        </row>
        <row r="708">
          <cell r="D708" t="str">
            <v>AR41AC4100 - Ingeniería de producción &amp; Recuperación Secundaria</v>
          </cell>
        </row>
        <row r="709">
          <cell r="D709" t="str">
            <v>AR41AC5100 - Ingeniería de producción &amp; Recuperación Secundaria</v>
          </cell>
        </row>
        <row r="710">
          <cell r="D710" t="str">
            <v>AR42AFZ100 - Ingeniería de producción &amp; Recuperación Secundaria</v>
          </cell>
        </row>
        <row r="711">
          <cell r="D711" t="str">
            <v>BO11CIZ100 - Ingeniería de producción &amp; Recuperación Secundaria</v>
          </cell>
        </row>
        <row r="712">
          <cell r="D712" t="str">
            <v>BO11CNZ100 - Ingeniería de producción &amp; Recuperación Secundaria</v>
          </cell>
        </row>
        <row r="713">
          <cell r="D713" t="str">
            <v>CL10CH1100 - Ingeniería de producción &amp; Recuperación Secundaria</v>
          </cell>
        </row>
        <row r="714">
          <cell r="D714" t="str">
            <v>CL10CC1100 - Ingeniería de producción &amp; Recuperación Secundaria</v>
          </cell>
        </row>
        <row r="715">
          <cell r="D715" t="str">
            <v>CL10CB1100 - Ingeniería de producción &amp; Recuperación Secundaria</v>
          </cell>
        </row>
        <row r="716">
          <cell r="D716" t="str">
            <v>AR10CD1030 - Instalaciones de Superficie</v>
          </cell>
        </row>
        <row r="717">
          <cell r="D717" t="str">
            <v>AR10CD2030 - Instalaciones de Superficie</v>
          </cell>
        </row>
        <row r="718">
          <cell r="D718" t="str">
            <v>AR10CD3030 - Instalaciones de Superficie</v>
          </cell>
        </row>
        <row r="719">
          <cell r="D719" t="str">
            <v>AR10CD5030 - Instalaciones de Superficie</v>
          </cell>
        </row>
        <row r="720">
          <cell r="D720" t="str">
            <v>AR10CD7030 - Instalaciones de Superficie</v>
          </cell>
        </row>
        <row r="721">
          <cell r="D721" t="str">
            <v>AR10CD8030 - Instalaciones de Superficie</v>
          </cell>
        </row>
        <row r="722">
          <cell r="D722" t="str">
            <v>AR10CD9030 - Instalaciones de Superficie</v>
          </cell>
        </row>
        <row r="723">
          <cell r="D723" t="str">
            <v>AR10CDE030 - Instalaciones de Superficie</v>
          </cell>
        </row>
        <row r="724">
          <cell r="D724" t="str">
            <v>AR10CDP030 - Instalaciones de Superficie</v>
          </cell>
        </row>
        <row r="725">
          <cell r="D725" t="str">
            <v>AR10CK4030 - Instalaciones de Superficie</v>
          </cell>
        </row>
        <row r="726">
          <cell r="D726" t="str">
            <v>AR10ANZ030 - Instalaciones de Superficie</v>
          </cell>
        </row>
        <row r="727">
          <cell r="D727" t="str">
            <v>AR10SNZ030 - Instalaciones de Superficie</v>
          </cell>
        </row>
        <row r="728">
          <cell r="D728" t="str">
            <v>AR104NZ030 - Instalaciones de Superficie</v>
          </cell>
        </row>
        <row r="729">
          <cell r="D729" t="str">
            <v>AR106NZ030 - Instalaciones de Superficie</v>
          </cell>
        </row>
        <row r="730">
          <cell r="D730" t="str">
            <v>AR10BNZ030 - Instalaciones de Superficie</v>
          </cell>
        </row>
        <row r="731">
          <cell r="D731" t="str">
            <v>AR40LE1030 - Instalaciones de Superficie</v>
          </cell>
        </row>
        <row r="732">
          <cell r="D732" t="str">
            <v>AR40LE2030 - Instalaciones de Superficie</v>
          </cell>
        </row>
        <row r="733">
          <cell r="D733" t="str">
            <v>AR10AE1030 - Instalaciones de Superficie</v>
          </cell>
        </row>
        <row r="734">
          <cell r="D734" t="str">
            <v>AR10AE2030 - Instalaciones de Superficie</v>
          </cell>
        </row>
        <row r="735">
          <cell r="D735" t="str">
            <v>AR10AE3030 - Instalaciones de Superficie</v>
          </cell>
        </row>
        <row r="736">
          <cell r="D736" t="str">
            <v>AR10AE4030 - Instalaciones de Superficie</v>
          </cell>
        </row>
        <row r="737">
          <cell r="D737" t="str">
            <v>AR10AE6030 - Instalaciones de Superficie</v>
          </cell>
        </row>
        <row r="738">
          <cell r="D738" t="str">
            <v>AR10AE7030 - Instalaciones de Superficie</v>
          </cell>
        </row>
        <row r="739">
          <cell r="D739" t="str">
            <v>AR10AE5030 - Instalaciones de Superficie</v>
          </cell>
        </row>
        <row r="740">
          <cell r="D740" t="str">
            <v>AR10FEZ030 - Instalaciones de Superficie</v>
          </cell>
        </row>
        <row r="741">
          <cell r="D741" t="str">
            <v>AR11CNZ030 - Instalaciones de Superficie</v>
          </cell>
        </row>
        <row r="742">
          <cell r="D742" t="str">
            <v>AR40LA1030 - Instalaciones de Superficie</v>
          </cell>
        </row>
        <row r="743">
          <cell r="D743" t="str">
            <v>AR40LA2030 - Instalaciones de Superficie</v>
          </cell>
        </row>
        <row r="744">
          <cell r="D744" t="str">
            <v>AR41AC1030 - Instalaciones de Superficie</v>
          </cell>
        </row>
        <row r="745">
          <cell r="D745" t="str">
            <v>AR41AC2030 - Instalaciones de Superficie</v>
          </cell>
        </row>
        <row r="746">
          <cell r="D746" t="str">
            <v>AR41AC3030 - Instalaciones de Superficie</v>
          </cell>
        </row>
        <row r="747">
          <cell r="D747" t="str">
            <v>AR41AC4030 - Instalaciones de Superficie</v>
          </cell>
        </row>
        <row r="748">
          <cell r="D748" t="str">
            <v>AR41AC6030 - Instalaciones de Superficie</v>
          </cell>
        </row>
        <row r="749">
          <cell r="D749" t="str">
            <v>AR41AC7030 - Instalaciones de Superficie</v>
          </cell>
        </row>
        <row r="750">
          <cell r="D750" t="str">
            <v>AR41AC5030 - Instalaciones de Superficie</v>
          </cell>
        </row>
        <row r="751">
          <cell r="D751" t="str">
            <v>AR42AFZ030 - Instalaciones de Superficie</v>
          </cell>
        </row>
        <row r="752">
          <cell r="D752" t="str">
            <v>BO11CIZ030 - Instalaciones de Superficie</v>
          </cell>
        </row>
        <row r="753">
          <cell r="D753" t="str">
            <v>BO11CNZ030 - Instalaciones de Superficie</v>
          </cell>
        </row>
        <row r="754">
          <cell r="D754" t="str">
            <v>CL10CH1030 - Instalaciones de Superficie</v>
          </cell>
        </row>
        <row r="755">
          <cell r="D755" t="str">
            <v>CL10CC1030 - Instalaciones de Superficie</v>
          </cell>
        </row>
        <row r="756">
          <cell r="D756" t="str">
            <v>CL10CB1030 - Instalaciones de Superficie</v>
          </cell>
        </row>
        <row r="757">
          <cell r="D757" t="str">
            <v>AR10CD1200 - Integridad &amp; Corrosión</v>
          </cell>
        </row>
        <row r="758">
          <cell r="D758" t="str">
            <v>AR10CD2200 - Integridad &amp; Corrosión</v>
          </cell>
        </row>
        <row r="759">
          <cell r="D759" t="str">
            <v>AR10CD3200 - Integridad &amp; Corrosión</v>
          </cell>
        </row>
        <row r="760">
          <cell r="D760" t="str">
            <v>AR10CD5200 - Integridad &amp; Corrosión</v>
          </cell>
        </row>
        <row r="761">
          <cell r="D761" t="str">
            <v>AR10CD7200 - Integridad &amp; Corrosión</v>
          </cell>
        </row>
        <row r="762">
          <cell r="D762" t="str">
            <v>AR10CD8200 - Integridad &amp; Corrosión</v>
          </cell>
        </row>
        <row r="763">
          <cell r="D763" t="str">
            <v>AR10CD9200 - Integridad &amp; Corrosión</v>
          </cell>
        </row>
        <row r="764">
          <cell r="D764" t="str">
            <v>AR10CDE200 - Integridad &amp; Corrosión</v>
          </cell>
        </row>
        <row r="765">
          <cell r="D765" t="str">
            <v>AR10CDP200 - Integridad &amp; Corrosión</v>
          </cell>
        </row>
        <row r="766">
          <cell r="D766" t="str">
            <v>AR10CK4200 - Integridad &amp; Corrosión</v>
          </cell>
        </row>
        <row r="767">
          <cell r="D767" t="str">
            <v>AR10ANZ200 - Integridad &amp; Corrosión</v>
          </cell>
        </row>
        <row r="768">
          <cell r="D768" t="str">
            <v>AR10SNZ200 - Integridad &amp; Corrosión</v>
          </cell>
        </row>
        <row r="769">
          <cell r="D769" t="str">
            <v>AR104NZ200 - Integridad &amp; Corrosión</v>
          </cell>
        </row>
        <row r="770">
          <cell r="D770" t="str">
            <v>AR106NZ200 - Integridad &amp; Corrosión</v>
          </cell>
        </row>
        <row r="771">
          <cell r="D771" t="str">
            <v>AR10BNZ200 - Integridad &amp; Corrosión</v>
          </cell>
        </row>
        <row r="772">
          <cell r="D772" t="str">
            <v>AR40LE1200 - Integridad &amp; Corrosión</v>
          </cell>
        </row>
        <row r="773">
          <cell r="D773" t="str">
            <v>AR40LE2200 - Integridad &amp; Corrosión</v>
          </cell>
        </row>
        <row r="774">
          <cell r="D774" t="str">
            <v>AR10AE1200 - Integridad &amp; Corrosión</v>
          </cell>
        </row>
        <row r="775">
          <cell r="D775" t="str">
            <v>AR10AE2200 - Integridad &amp; Corrosión</v>
          </cell>
        </row>
        <row r="776">
          <cell r="D776" t="str">
            <v>AR10AE3200 - Integridad &amp; Corrosión</v>
          </cell>
        </row>
        <row r="777">
          <cell r="D777" t="str">
            <v>AR10AE4200 - Integridad &amp; Corrosión</v>
          </cell>
        </row>
        <row r="778">
          <cell r="D778" t="str">
            <v>AR10AE6200 - Integridad &amp; Corrosión</v>
          </cell>
        </row>
        <row r="779">
          <cell r="D779" t="str">
            <v>AR10AE7200 - Integridad &amp; Corrosión</v>
          </cell>
        </row>
        <row r="780">
          <cell r="D780" t="str">
            <v>AR10AE5200 - Integridad &amp; Corrosión</v>
          </cell>
        </row>
        <row r="781">
          <cell r="D781" t="str">
            <v>AR10FEZ200 - Integridad &amp; Corrosión</v>
          </cell>
        </row>
        <row r="782">
          <cell r="D782" t="str">
            <v>AR11CNZ200 - Integridad &amp; Corrosión</v>
          </cell>
        </row>
        <row r="783">
          <cell r="D783" t="str">
            <v>AR40LA1200 - Integridad &amp; Corrosión</v>
          </cell>
        </row>
        <row r="784">
          <cell r="D784" t="str">
            <v>AR40LA2200 - Integridad &amp; Corrosión</v>
          </cell>
        </row>
        <row r="785">
          <cell r="D785" t="str">
            <v>AR41AC1200 - Integridad &amp; Corrosión</v>
          </cell>
        </row>
        <row r="786">
          <cell r="D786" t="str">
            <v>AR41AC2200 - Integridad &amp; Corrosión</v>
          </cell>
        </row>
        <row r="787">
          <cell r="D787" t="str">
            <v>AR41AC3200 - Integridad &amp; Corrosión</v>
          </cell>
        </row>
        <row r="788">
          <cell r="D788" t="str">
            <v>AR41AC4200 - Integridad &amp; Corrosión</v>
          </cell>
        </row>
        <row r="789">
          <cell r="D789" t="str">
            <v>AR41AC6200 - Integridad &amp; Corrosión</v>
          </cell>
        </row>
        <row r="790">
          <cell r="D790" t="str">
            <v>AR41AC7200 - Integridad &amp; Corrosión</v>
          </cell>
        </row>
        <row r="791">
          <cell r="D791" t="str">
            <v>AR41AC5200 - Integridad &amp; Corrosión</v>
          </cell>
        </row>
        <row r="792">
          <cell r="D792" t="str">
            <v>AR42AFZ200 - Integridad &amp; Corrosión</v>
          </cell>
        </row>
        <row r="793">
          <cell r="D793" t="str">
            <v>BO11CIZ200 - Integridad &amp; Corrosión</v>
          </cell>
        </row>
        <row r="794">
          <cell r="D794" t="str">
            <v>BO11CNZ200 - Integridad &amp; Corrosión</v>
          </cell>
        </row>
        <row r="795">
          <cell r="D795" t="str">
            <v>CL10CH1200 - Integridad &amp; Corrosión</v>
          </cell>
        </row>
        <row r="796">
          <cell r="D796" t="str">
            <v>CL10CC1200 - Integridad &amp; Corrosión</v>
          </cell>
        </row>
        <row r="797">
          <cell r="D797" t="str">
            <v>CL10CB1200 - Integridad &amp; Corrosión</v>
          </cell>
        </row>
        <row r="798">
          <cell r="D798" t="str">
            <v>AR10CDZ580 - Integridad y Procesos</v>
          </cell>
        </row>
        <row r="799">
          <cell r="D799" t="str">
            <v>AR10CK4580 - Integridad y Procesos</v>
          </cell>
        </row>
        <row r="800">
          <cell r="D800" t="str">
            <v>AR10CD1020 - Lineas de Cond. De Prod P/G/A</v>
          </cell>
        </row>
        <row r="801">
          <cell r="D801" t="str">
            <v>AR10CD2020 - Lineas de Cond. De Prod P/G/A</v>
          </cell>
        </row>
        <row r="802">
          <cell r="D802" t="str">
            <v>AR10CD3020 - Lineas de Cond. De Prod P/G/A</v>
          </cell>
        </row>
        <row r="803">
          <cell r="D803" t="str">
            <v>AR10CD5020 - Lineas de Cond. De Prod P/G/A</v>
          </cell>
        </row>
        <row r="804">
          <cell r="D804" t="str">
            <v>AR10CD7020 - Lineas de Cond. De Prod P/G/A</v>
          </cell>
        </row>
        <row r="805">
          <cell r="D805" t="str">
            <v>AR10CD8020 - Lineas de Cond. De Prod P/G/A</v>
          </cell>
        </row>
        <row r="806">
          <cell r="D806" t="str">
            <v>AR10CD9020 - Lineas de Cond. De Prod P/G/A</v>
          </cell>
        </row>
        <row r="807">
          <cell r="D807" t="str">
            <v>AR10CDP020 - Lineas de Cond. De Prod P/G/A</v>
          </cell>
        </row>
        <row r="808">
          <cell r="D808" t="str">
            <v>AR10CK4020 - Lineas de Cond. De Prod P/G/A</v>
          </cell>
        </row>
        <row r="809">
          <cell r="D809" t="str">
            <v>AR10ANZ020 - Lineas de Cond. De Prod P/G/A</v>
          </cell>
        </row>
        <row r="810">
          <cell r="D810" t="str">
            <v>AR10SNZ020 - Lineas de Cond. De Prod P/G/A</v>
          </cell>
        </row>
        <row r="811">
          <cell r="D811" t="str">
            <v>AR104NZ020 - Lineas de Cond. De Prod P/G/A</v>
          </cell>
        </row>
        <row r="812">
          <cell r="D812" t="str">
            <v>AR106NZ020 - Lineas de Cond. De Prod P/G/A</v>
          </cell>
        </row>
        <row r="813">
          <cell r="D813" t="str">
            <v>AR10BNZ020 - Lineas de Cond. De Prod P/G/A</v>
          </cell>
        </row>
        <row r="814">
          <cell r="D814" t="str">
            <v>AR40LE1020 - Lineas de Cond. De Prod P/G/A</v>
          </cell>
        </row>
        <row r="815">
          <cell r="D815" t="str">
            <v>AR40LE2020 - Lineas de Cond. De Prod P/G/A</v>
          </cell>
        </row>
        <row r="816">
          <cell r="D816" t="str">
            <v>AR10AE1020 - Lineas de Cond. De Prod P/G/A</v>
          </cell>
        </row>
        <row r="817">
          <cell r="D817" t="str">
            <v>AR10AE2020 - Lineas de Cond. De Prod P/G/A</v>
          </cell>
        </row>
        <row r="818">
          <cell r="D818" t="str">
            <v>AR10AE3020 - Lineas de Cond. De Prod P/G/A</v>
          </cell>
        </row>
        <row r="819">
          <cell r="D819" t="str">
            <v>AR10AE4020 - Lineas de Cond. De Prod P/G/A</v>
          </cell>
        </row>
        <row r="820">
          <cell r="D820" t="str">
            <v>AR10AE6020 - Lineas de Cond. De Prod P/G/A</v>
          </cell>
        </row>
        <row r="821">
          <cell r="D821" t="str">
            <v>AR10AE7020 - Lineas de Cond. De Prod P/G/A</v>
          </cell>
        </row>
        <row r="822">
          <cell r="D822" t="str">
            <v>AR10AE5020 - Lineas de Cond. De Prod P/G/A</v>
          </cell>
        </row>
        <row r="823">
          <cell r="D823" t="str">
            <v>AR10FEZ020 - Lineas de Cond. De Prod P/G/A</v>
          </cell>
        </row>
        <row r="824">
          <cell r="D824" t="str">
            <v>AR11CNZ020 - Lineas de Cond. De Prod P/G/A</v>
          </cell>
        </row>
        <row r="825">
          <cell r="D825" t="str">
            <v>AR40LA1020 - Lineas de Cond. De Prod P/G/A</v>
          </cell>
        </row>
        <row r="826">
          <cell r="D826" t="str">
            <v>AR40LA2020 - Lineas de Cond. De Prod P/G/A</v>
          </cell>
        </row>
        <row r="827">
          <cell r="D827" t="str">
            <v>AR41AC1020 - Lineas de Cond. De Prod P/G/A</v>
          </cell>
        </row>
        <row r="828">
          <cell r="D828" t="str">
            <v>AR41AC2020 - Lineas de Cond. De Prod P/G/A</v>
          </cell>
        </row>
        <row r="829">
          <cell r="D829" t="str">
            <v>AR41AC3020 - Lineas de Cond. De Prod P/G/A</v>
          </cell>
        </row>
        <row r="830">
          <cell r="D830" t="str">
            <v>AR41AC4020 - Lineas de Cond. De Prod P/G/A</v>
          </cell>
        </row>
        <row r="831">
          <cell r="D831" t="str">
            <v>AR41AC6020 - Lineas de Cond. De Prod P/G/A</v>
          </cell>
        </row>
        <row r="832">
          <cell r="D832" t="str">
            <v>AR41AC7020 - Lineas de Cond. De Prod P/G/A</v>
          </cell>
        </row>
        <row r="833">
          <cell r="D833" t="str">
            <v>AR41AC5020 - Lineas de Cond. De Prod P/G/A</v>
          </cell>
        </row>
        <row r="834">
          <cell r="D834" t="str">
            <v>AR42AFZ020 - Lineas de Cond. De Prod P/G/A</v>
          </cell>
        </row>
        <row r="835">
          <cell r="D835" t="str">
            <v>BO11CIZ020 - Lineas de Cond. De Prod P/G/A</v>
          </cell>
        </row>
        <row r="836">
          <cell r="D836" t="str">
            <v>BO11CNZ020 - Lineas de Cond. De Prod P/G/A</v>
          </cell>
        </row>
        <row r="837">
          <cell r="D837" t="str">
            <v>CL10CH1020 - Lineas de Cond. De Prod P/G/A</v>
          </cell>
        </row>
        <row r="838">
          <cell r="D838" t="str">
            <v>CL10CC1020 - Lineas de Cond. De Prod P/G/A</v>
          </cell>
        </row>
        <row r="839">
          <cell r="D839" t="str">
            <v>CL10CB1020 - Lineas de Cond. De Prod P/G/A</v>
          </cell>
        </row>
        <row r="840">
          <cell r="D840" t="str">
            <v>AR10APZ585 - Logística - Soporte y Ss. de negocios</v>
          </cell>
        </row>
        <row r="841">
          <cell r="D841" t="str">
            <v>AR10SRZ585 - Logística - Soporte y Ss. de negocios</v>
          </cell>
        </row>
        <row r="842">
          <cell r="D842" t="str">
            <v>AR10CDZ585 - Logística - Soporte y Ss. de negocios</v>
          </cell>
        </row>
        <row r="843">
          <cell r="D843" t="str">
            <v>AR10CK4585 - Logística - Soporte y Ss. de negocios</v>
          </cell>
        </row>
        <row r="844">
          <cell r="D844" t="str">
            <v>AR10ANZ585 - Logística - Soporte y Ss. de negocios</v>
          </cell>
        </row>
        <row r="845">
          <cell r="D845" t="str">
            <v>AR10SNZ585 - Logística - Soporte y Ss. de negocios</v>
          </cell>
        </row>
        <row r="846">
          <cell r="D846" t="str">
            <v>AR104NZ585 - Logística - Soporte y Ss. de negocios</v>
          </cell>
        </row>
        <row r="847">
          <cell r="D847" t="str">
            <v>AR106NZ585 - Logística - Soporte y Ss. de negocios</v>
          </cell>
        </row>
        <row r="848">
          <cell r="D848" t="str">
            <v>AR10BNZ585 - Logística - Soporte y Ss. de negocios</v>
          </cell>
        </row>
        <row r="849">
          <cell r="D849" t="str">
            <v>AR40LE2585 - Logística - Soporte y Ss. de negocios</v>
          </cell>
        </row>
        <row r="850">
          <cell r="D850" t="str">
            <v>AR10AEZ585 - Logística - Soporte y Ss. de negocios</v>
          </cell>
        </row>
        <row r="851">
          <cell r="D851" t="str">
            <v>AR10FEZ585 - Logística - Soporte y Ss. de negocios</v>
          </cell>
        </row>
        <row r="852">
          <cell r="D852" t="str">
            <v>AR10CEZ585 - Logística - Soporte y Ss. de negocios</v>
          </cell>
        </row>
        <row r="853">
          <cell r="D853" t="str">
            <v>AR10SEZ585 - Logística - Soporte y Ss. de negocios</v>
          </cell>
        </row>
        <row r="854">
          <cell r="D854" t="str">
            <v>AR10BAZ585 - Logística - Soporte y Ss. de negocios</v>
          </cell>
        </row>
        <row r="855">
          <cell r="D855" t="str">
            <v>AR11CAZ585 - Logística - Soporte y Ss. de negocios</v>
          </cell>
        </row>
        <row r="856">
          <cell r="D856" t="str">
            <v>AR11CAZ585 - Logística - Soporte y Ss. de negocios</v>
          </cell>
        </row>
        <row r="857">
          <cell r="D857" t="str">
            <v>AR11CNZ585 - Logística - Soporte y Ss. de negocios</v>
          </cell>
        </row>
        <row r="858">
          <cell r="D858" t="str">
            <v>AR11SAZ585 - Logística - Soporte y Ss. de negocios</v>
          </cell>
        </row>
        <row r="859">
          <cell r="D859" t="str">
            <v>AR12FUZ585 - Logística - Soporte y Ss. de negocios</v>
          </cell>
        </row>
        <row r="860">
          <cell r="D860" t="str">
            <v>AR12FMZ585 - Logística - Soporte y Ss. de negocios</v>
          </cell>
        </row>
        <row r="861">
          <cell r="D861" t="str">
            <v>AR13BSZ585 - Logística - Soporte y Ss. de negocios</v>
          </cell>
        </row>
        <row r="862">
          <cell r="D862" t="str">
            <v>AR40LA2585 - Logística - Soporte y Ss. de negocios</v>
          </cell>
        </row>
        <row r="863">
          <cell r="D863" t="str">
            <v>AR41ACZ585 - Logística - Soporte y Ss. de negocios</v>
          </cell>
        </row>
        <row r="864">
          <cell r="D864" t="str">
            <v>AR42AFZ585 - Logística - Soporte y Ss. de negocios</v>
          </cell>
        </row>
        <row r="865">
          <cell r="D865" t="str">
            <v>AR43GCZ585 - Logística - Soporte y Ss. de negocios</v>
          </cell>
        </row>
        <row r="866">
          <cell r="D866" t="str">
            <v>AR44GSZ585 - Logística - Soporte y Ss. de negocios</v>
          </cell>
        </row>
        <row r="867">
          <cell r="D867" t="str">
            <v>BO10OGZ585 - Logística - Soporte y Ss. de negocios</v>
          </cell>
        </row>
        <row r="868">
          <cell r="D868" t="str">
            <v>BO11CIZ585 - Logística - Soporte y Ss. de negocios</v>
          </cell>
        </row>
        <row r="869">
          <cell r="D869" t="str">
            <v>BO11CNZ585 - Logística - Soporte y Ss. de negocios</v>
          </cell>
        </row>
        <row r="870">
          <cell r="D870" t="str">
            <v>CL10CH1585 - Logística - Soporte y Ss. de negocios</v>
          </cell>
        </row>
        <row r="871">
          <cell r="D871" t="str">
            <v>CL10CC1585 - Logística - Soporte y Ss. de negocios</v>
          </cell>
        </row>
        <row r="872">
          <cell r="D872" t="str">
            <v>CL10CB1585 - Logística - Soporte y Ss. de negocios</v>
          </cell>
        </row>
        <row r="873">
          <cell r="D873" t="str">
            <v>AR10CDZ590 - Mantenimiento</v>
          </cell>
        </row>
        <row r="874">
          <cell r="D874" t="str">
            <v>AR10CK4590 - Mantenimiento</v>
          </cell>
        </row>
        <row r="875">
          <cell r="D875" t="str">
            <v>AR10CD1220 - Mantenimiento AIB</v>
          </cell>
        </row>
        <row r="876">
          <cell r="D876" t="str">
            <v>AR10CD2220 - Mantenimiento AIB</v>
          </cell>
        </row>
        <row r="877">
          <cell r="D877" t="str">
            <v>AR10CD3220 - Mantenimiento AIB</v>
          </cell>
        </row>
        <row r="878">
          <cell r="D878" t="str">
            <v>AR10CD5220 - Mantenimiento AIB</v>
          </cell>
        </row>
        <row r="879">
          <cell r="D879" t="str">
            <v>AR10CD7220 - Mantenimiento AIB</v>
          </cell>
        </row>
        <row r="880">
          <cell r="D880" t="str">
            <v>AR10CD8220 - Mantenimiento AIB</v>
          </cell>
        </row>
        <row r="881">
          <cell r="D881" t="str">
            <v>AR10CD9220 - Mantenimiento AIB</v>
          </cell>
        </row>
        <row r="882">
          <cell r="D882" t="str">
            <v>AR10CK4220 - Mantenimiento AIB</v>
          </cell>
        </row>
        <row r="883">
          <cell r="D883" t="str">
            <v>AR10ANZ220 - Mantenimiento AIB</v>
          </cell>
        </row>
        <row r="884">
          <cell r="D884" t="str">
            <v>AR10SNZ220 - Mantenimiento AIB</v>
          </cell>
        </row>
        <row r="885">
          <cell r="D885" t="str">
            <v>AR104NZ220 - Mantenimiento AIB</v>
          </cell>
        </row>
        <row r="886">
          <cell r="D886" t="str">
            <v>AR106NZ220 - Mantenimiento AIB</v>
          </cell>
        </row>
        <row r="887">
          <cell r="D887" t="str">
            <v>AR10BNZ220 - Mantenimiento AIB</v>
          </cell>
        </row>
        <row r="888">
          <cell r="D888" t="str">
            <v>AR40LE1220 - Mantenimiento AIB</v>
          </cell>
        </row>
        <row r="889">
          <cell r="D889" t="str">
            <v>AR40LE2220 - Mantenimiento AIB</v>
          </cell>
        </row>
        <row r="890">
          <cell r="D890" t="str">
            <v>AR10AE1220 - Mantenimiento AIB</v>
          </cell>
        </row>
        <row r="891">
          <cell r="D891" t="str">
            <v>AR10AE2220 - Mantenimiento AIB</v>
          </cell>
        </row>
        <row r="892">
          <cell r="D892" t="str">
            <v>AR10AE3220 - Mantenimiento AIB</v>
          </cell>
        </row>
        <row r="893">
          <cell r="D893" t="str">
            <v>AR10AE4220 - Mantenimiento AIB</v>
          </cell>
        </row>
        <row r="894">
          <cell r="D894" t="str">
            <v>AR10AE6220 - Mantenimiento AIB</v>
          </cell>
        </row>
        <row r="895">
          <cell r="D895" t="str">
            <v>AR10AE7220 - Mantenimiento AIB</v>
          </cell>
        </row>
        <row r="896">
          <cell r="D896" t="str">
            <v>AR10AE5220 - Mantenimiento AIB</v>
          </cell>
        </row>
        <row r="897">
          <cell r="D897" t="str">
            <v>AR10FEZ220 - Mantenimiento AIB</v>
          </cell>
        </row>
        <row r="898">
          <cell r="D898" t="str">
            <v>AR11CNZ220 - Mantenimiento AIB</v>
          </cell>
        </row>
        <row r="899">
          <cell r="D899" t="str">
            <v>AR40LA1220 - Mantenimiento AIB</v>
          </cell>
        </row>
        <row r="900">
          <cell r="D900" t="str">
            <v>AR40LA2220 - Mantenimiento AIB</v>
          </cell>
        </row>
        <row r="901">
          <cell r="D901" t="str">
            <v>AR41AC1220 - Mantenimiento AIB</v>
          </cell>
        </row>
        <row r="902">
          <cell r="D902" t="str">
            <v>AR41AC2220 - Mantenimiento AIB</v>
          </cell>
        </row>
        <row r="903">
          <cell r="D903" t="str">
            <v>AR41AC3220 - Mantenimiento AIB</v>
          </cell>
        </row>
        <row r="904">
          <cell r="D904" t="str">
            <v>AR41AC4220 - Mantenimiento AIB</v>
          </cell>
        </row>
        <row r="905">
          <cell r="D905" t="str">
            <v>AR41AC6220 - Mantenimiento AIB</v>
          </cell>
        </row>
        <row r="906">
          <cell r="D906" t="str">
            <v>AR41AC7220 - Mantenimiento AIB</v>
          </cell>
        </row>
        <row r="907">
          <cell r="D907" t="str">
            <v>AR41AC5220 - Mantenimiento AIB</v>
          </cell>
        </row>
        <row r="908">
          <cell r="D908" t="str">
            <v>AR42AFZ220 - Mantenimiento AIB</v>
          </cell>
        </row>
        <row r="909">
          <cell r="D909" t="str">
            <v>BO11CIZ220 - Mantenimiento AIB</v>
          </cell>
        </row>
        <row r="910">
          <cell r="D910" t="str">
            <v>BO11CNZ220 - Mantenimiento AIB</v>
          </cell>
        </row>
        <row r="911">
          <cell r="D911" t="str">
            <v>CL10CH1220 - Mantenimiento AIB</v>
          </cell>
        </row>
        <row r="912">
          <cell r="D912" t="str">
            <v>CL10CC1220 - Mantenimiento AIB</v>
          </cell>
        </row>
        <row r="913">
          <cell r="D913" t="str">
            <v>CL10CB1220 - Mantenimiento AIB</v>
          </cell>
        </row>
        <row r="914">
          <cell r="D914" t="str">
            <v>AR10CD1210 - Mantenimiento Automatización</v>
          </cell>
        </row>
        <row r="915">
          <cell r="D915" t="str">
            <v>AR10CD2210 - Mantenimiento Automatización</v>
          </cell>
        </row>
        <row r="916">
          <cell r="D916" t="str">
            <v>AR10CD3210 - Mantenimiento Automatización</v>
          </cell>
        </row>
        <row r="917">
          <cell r="D917" t="str">
            <v>AR10CD5210 - Mantenimiento Automatización</v>
          </cell>
        </row>
        <row r="918">
          <cell r="D918" t="str">
            <v>AR10CD7210 - Mantenimiento Automatización</v>
          </cell>
        </row>
        <row r="919">
          <cell r="D919" t="str">
            <v>AR10CD8210 - Mantenimiento Automatización</v>
          </cell>
        </row>
        <row r="920">
          <cell r="D920" t="str">
            <v>AR10CD9210 - Mantenimiento Automatización</v>
          </cell>
        </row>
        <row r="921">
          <cell r="D921" t="str">
            <v>AR10CDE210 - Mantenimiento Automatización</v>
          </cell>
        </row>
        <row r="922">
          <cell r="D922" t="str">
            <v>AR10CDP210 - Mantenimiento Automatización</v>
          </cell>
        </row>
        <row r="923">
          <cell r="D923" t="str">
            <v>AR10CK4210 - Mantenimiento Automatización</v>
          </cell>
        </row>
        <row r="924">
          <cell r="D924" t="str">
            <v>AR10ANZ210 - Mantenimiento Automatización</v>
          </cell>
        </row>
        <row r="925">
          <cell r="D925" t="str">
            <v>AR10SNZ210 - Mantenimiento Automatización</v>
          </cell>
        </row>
        <row r="926">
          <cell r="D926" t="str">
            <v>AR104NZ210 - Mantenimiento Automatización</v>
          </cell>
        </row>
        <row r="927">
          <cell r="D927" t="str">
            <v>AR106NZ210 - Mantenimiento Automatización</v>
          </cell>
        </row>
        <row r="928">
          <cell r="D928" t="str">
            <v>AR10BNZ210 - Mantenimiento Automatización</v>
          </cell>
        </row>
        <row r="929">
          <cell r="D929" t="str">
            <v>AR40LE1210 - Mantenimiento Automatización</v>
          </cell>
        </row>
        <row r="930">
          <cell r="D930" t="str">
            <v>AR40LE2210 - Mantenimiento Automatización</v>
          </cell>
        </row>
        <row r="931">
          <cell r="D931" t="str">
            <v>AR10AE1210 - Mantenimiento Automatización</v>
          </cell>
        </row>
        <row r="932">
          <cell r="D932" t="str">
            <v>AR10AE2210 - Mantenimiento Automatización</v>
          </cell>
        </row>
        <row r="933">
          <cell r="D933" t="str">
            <v>AR10AE3210 - Mantenimiento Automatización</v>
          </cell>
        </row>
        <row r="934">
          <cell r="D934" t="str">
            <v>AR10AE4210 - Mantenimiento Automatización</v>
          </cell>
        </row>
        <row r="935">
          <cell r="D935" t="str">
            <v>AR10AE6210 - Mantenimiento Automatización</v>
          </cell>
        </row>
        <row r="936">
          <cell r="D936" t="str">
            <v>AR10AE7210 - Mantenimiento Automatización</v>
          </cell>
        </row>
        <row r="937">
          <cell r="D937" t="str">
            <v>AR10AE5210 - Mantenimiento Automatización</v>
          </cell>
        </row>
        <row r="938">
          <cell r="D938" t="str">
            <v>AR10FEZ210 - Mantenimiento Automatización</v>
          </cell>
        </row>
        <row r="939">
          <cell r="D939" t="str">
            <v>AR11CNZ210 - Mantenimiento Automatización</v>
          </cell>
        </row>
        <row r="940">
          <cell r="D940" t="str">
            <v>AR40LA1210 - Mantenimiento Automatización</v>
          </cell>
        </row>
        <row r="941">
          <cell r="D941" t="str">
            <v>AR40LA2210 - Mantenimiento Automatización</v>
          </cell>
        </row>
        <row r="942">
          <cell r="D942" t="str">
            <v>AR41AC1210 - Mantenimiento Automatización</v>
          </cell>
        </row>
        <row r="943">
          <cell r="D943" t="str">
            <v>AR41AC2210 - Mantenimiento Automatización</v>
          </cell>
        </row>
        <row r="944">
          <cell r="D944" t="str">
            <v>AR41AC3210 - Mantenimiento Automatización</v>
          </cell>
        </row>
        <row r="945">
          <cell r="D945" t="str">
            <v>AR41AC4210 - Mantenimiento Automatización</v>
          </cell>
        </row>
        <row r="946">
          <cell r="D946" t="str">
            <v>AR41AC6210 - Mantenimiento Automatización</v>
          </cell>
        </row>
        <row r="947">
          <cell r="D947" t="str">
            <v>AR41AC7210 - Mantenimiento Automatización</v>
          </cell>
        </row>
        <row r="948">
          <cell r="D948" t="str">
            <v>AR41AC5210 - Mantenimiento Automatización</v>
          </cell>
        </row>
        <row r="949">
          <cell r="D949" t="str">
            <v>AR42AFZ210 - Mantenimiento Automatización</v>
          </cell>
        </row>
        <row r="950">
          <cell r="D950" t="str">
            <v>BO11CIZ210 - Mantenimiento Automatización</v>
          </cell>
        </row>
        <row r="951">
          <cell r="D951" t="str">
            <v>BO11CNZ210 - Mantenimiento Automatización</v>
          </cell>
        </row>
        <row r="952">
          <cell r="D952" t="str">
            <v>CL10CH1210 - Mantenimiento Automatización</v>
          </cell>
        </row>
        <row r="953">
          <cell r="D953" t="str">
            <v>CL10CC1210 - Mantenimiento Automatización</v>
          </cell>
        </row>
        <row r="954">
          <cell r="D954" t="str">
            <v>CL10CB1210 - Mantenimiento Automatización</v>
          </cell>
        </row>
        <row r="955">
          <cell r="D955" t="str">
            <v>AR10CD1270 - Mantenimiento de Ductos</v>
          </cell>
        </row>
        <row r="956">
          <cell r="D956" t="str">
            <v>AR10CD2270 - Mantenimiento de Ductos</v>
          </cell>
        </row>
        <row r="957">
          <cell r="D957" t="str">
            <v>AR10CD3270 - Mantenimiento de Ductos</v>
          </cell>
        </row>
        <row r="958">
          <cell r="D958" t="str">
            <v>AR10CD5270 - Mantenimiento de Ductos</v>
          </cell>
        </row>
        <row r="959">
          <cell r="D959" t="str">
            <v>AR10CD7270 - Mantenimiento de Ductos</v>
          </cell>
        </row>
        <row r="960">
          <cell r="D960" t="str">
            <v>AR10CD8270 - Mantenimiento de Ductos</v>
          </cell>
        </row>
        <row r="961">
          <cell r="D961" t="str">
            <v>AR10CD9270 - Mantenimiento de Ductos</v>
          </cell>
        </row>
        <row r="962">
          <cell r="D962" t="str">
            <v>AR10CDP270 - Mantenimiento de Ductos</v>
          </cell>
        </row>
        <row r="963">
          <cell r="D963" t="str">
            <v>AR10CK4270 - Mantenimiento de Ductos</v>
          </cell>
        </row>
        <row r="964">
          <cell r="D964" t="str">
            <v>AR10ANZ270 - Mantenimiento de Ductos</v>
          </cell>
        </row>
        <row r="965">
          <cell r="D965" t="str">
            <v>AR10SNZ270 - Mantenimiento de Ductos</v>
          </cell>
        </row>
        <row r="966">
          <cell r="D966" t="str">
            <v>AR104NZ270 - Mantenimiento de Ductos</v>
          </cell>
        </row>
        <row r="967">
          <cell r="D967" t="str">
            <v>AR106NZ270 - Mantenimiento de Ductos</v>
          </cell>
        </row>
        <row r="968">
          <cell r="D968" t="str">
            <v>AR10BNZ270 - Mantenimiento de Ductos</v>
          </cell>
        </row>
        <row r="969">
          <cell r="D969" t="str">
            <v>AR40LE1270 - Mantenimiento de Ductos</v>
          </cell>
        </row>
        <row r="970">
          <cell r="D970" t="str">
            <v>AR40LE2270 - Mantenimiento de Ductos</v>
          </cell>
        </row>
        <row r="971">
          <cell r="D971" t="str">
            <v>AR10AE1270 - Mantenimiento de Ductos</v>
          </cell>
        </row>
        <row r="972">
          <cell r="D972" t="str">
            <v>AR10AE2270 - Mantenimiento de Ductos</v>
          </cell>
        </row>
        <row r="973">
          <cell r="D973" t="str">
            <v>AR10AE3270 - Mantenimiento de Ductos</v>
          </cell>
        </row>
        <row r="974">
          <cell r="D974" t="str">
            <v>AR10AE4270 - Mantenimiento de Ductos</v>
          </cell>
        </row>
        <row r="975">
          <cell r="D975" t="str">
            <v>AR10AE6270 - Mantenimiento de Ductos</v>
          </cell>
        </row>
        <row r="976">
          <cell r="D976" t="str">
            <v>AR10AE7270 - Mantenimiento de Ductos</v>
          </cell>
        </row>
        <row r="977">
          <cell r="D977" t="str">
            <v>AR10AE5270 - Mantenimiento de Ductos</v>
          </cell>
        </row>
        <row r="978">
          <cell r="D978" t="str">
            <v>AR10FEZ270 - Mantenimiento de Ductos</v>
          </cell>
        </row>
        <row r="979">
          <cell r="D979" t="str">
            <v>AR11CNZ270 - Mantenimiento de Ductos</v>
          </cell>
        </row>
        <row r="980">
          <cell r="D980" t="str">
            <v>AR40LA1270 - Mantenimiento de Ductos</v>
          </cell>
        </row>
        <row r="981">
          <cell r="D981" t="str">
            <v>AR40LA2270 - Mantenimiento de Ductos</v>
          </cell>
        </row>
        <row r="982">
          <cell r="D982" t="str">
            <v>AR41AC1270 - Mantenimiento de Ductos</v>
          </cell>
        </row>
        <row r="983">
          <cell r="D983" t="str">
            <v>AR41AC2270 - Mantenimiento de Ductos</v>
          </cell>
        </row>
        <row r="984">
          <cell r="D984" t="str">
            <v>AR41AC3270 - Mantenimiento de Ductos</v>
          </cell>
        </row>
        <row r="985">
          <cell r="D985" t="str">
            <v>AR41AC4270 - Mantenimiento de Ductos</v>
          </cell>
        </row>
        <row r="986">
          <cell r="D986" t="str">
            <v>AR41AC6270 - Mantenimiento de Ductos</v>
          </cell>
        </row>
        <row r="987">
          <cell r="D987" t="str">
            <v>AR41AC7270 - Mantenimiento de Ductos</v>
          </cell>
        </row>
        <row r="988">
          <cell r="D988" t="str">
            <v>AR41AC5270 - Mantenimiento de Ductos</v>
          </cell>
        </row>
        <row r="989">
          <cell r="D989" t="str">
            <v>AR42AFZ270 - Mantenimiento de Ductos</v>
          </cell>
        </row>
        <row r="990">
          <cell r="D990" t="str">
            <v>BO11CIZ270 - Mantenimiento de Ductos</v>
          </cell>
        </row>
        <row r="991">
          <cell r="D991" t="str">
            <v>BO11CNZ270 - Mantenimiento de Ductos</v>
          </cell>
        </row>
        <row r="992">
          <cell r="D992" t="str">
            <v>CL10CH1270 - Mantenimiento de Ductos</v>
          </cell>
        </row>
        <row r="993">
          <cell r="D993" t="str">
            <v>CL10CC1270 - Mantenimiento de Ductos</v>
          </cell>
        </row>
        <row r="994">
          <cell r="D994" t="str">
            <v>CL10CB1270 - Mantenimiento de Ductos</v>
          </cell>
        </row>
        <row r="995">
          <cell r="D995" t="str">
            <v>AR10CD1280 - Mantenimiento de Otras plantas</v>
          </cell>
        </row>
        <row r="996">
          <cell r="D996" t="str">
            <v>AR10CD2280 - Mantenimiento de Otras plantas</v>
          </cell>
        </row>
        <row r="997">
          <cell r="D997" t="str">
            <v>AR10CD3280 - Mantenimiento de Otras plantas</v>
          </cell>
        </row>
        <row r="998">
          <cell r="D998" t="str">
            <v>AR10CD5280 - Mantenimiento de Otras plantas</v>
          </cell>
        </row>
        <row r="999">
          <cell r="D999" t="str">
            <v>AR10CD7280 - Mantenimiento de Otras plantas</v>
          </cell>
        </row>
        <row r="1000">
          <cell r="D1000" t="str">
            <v>AR10CD8280 - Mantenimiento de Otras plantas</v>
          </cell>
        </row>
        <row r="1001">
          <cell r="D1001" t="str">
            <v>AR10CD9280 - Mantenimiento de Otras plantas</v>
          </cell>
        </row>
        <row r="1002">
          <cell r="D1002" t="str">
            <v>AR10CDP280 - Mantenimiento de Otras plantas</v>
          </cell>
        </row>
        <row r="1003">
          <cell r="D1003" t="str">
            <v>AR10CK4280 - Mantenimiento de Otras plantas</v>
          </cell>
        </row>
        <row r="1004">
          <cell r="D1004" t="str">
            <v>AR10ANZ280 - Mantenimiento de Otras plantas</v>
          </cell>
        </row>
        <row r="1005">
          <cell r="D1005" t="str">
            <v>AR10SNZ280 - Mantenimiento de Otras plantas</v>
          </cell>
        </row>
        <row r="1006">
          <cell r="D1006" t="str">
            <v>AR104NZ280 - Mantenimiento de Otras plantas</v>
          </cell>
        </row>
        <row r="1007">
          <cell r="D1007" t="str">
            <v>AR106NZ280 - Mantenimiento de Otras plantas</v>
          </cell>
        </row>
        <row r="1008">
          <cell r="D1008" t="str">
            <v>AR10BNZ280 - Mantenimiento de Otras plantas</v>
          </cell>
        </row>
        <row r="1009">
          <cell r="D1009" t="str">
            <v>AR40LE1280 - Mantenimiento de Otras plantas</v>
          </cell>
        </row>
        <row r="1010">
          <cell r="D1010" t="str">
            <v>AR40LE2280 - Mantenimiento de Otras plantas</v>
          </cell>
        </row>
        <row r="1011">
          <cell r="D1011" t="str">
            <v>AR10AE1280 - Mantenimiento de Otras plantas</v>
          </cell>
        </row>
        <row r="1012">
          <cell r="D1012" t="str">
            <v>AR10AE2280 - Mantenimiento de Otras plantas</v>
          </cell>
        </row>
        <row r="1013">
          <cell r="D1013" t="str">
            <v>AR10AE3280 - Mantenimiento de Otras plantas</v>
          </cell>
        </row>
        <row r="1014">
          <cell r="D1014" t="str">
            <v>AR10AE4280 - Mantenimiento de Otras plantas</v>
          </cell>
        </row>
        <row r="1015">
          <cell r="D1015" t="str">
            <v>AR10AE6280 - Mantenimiento de Otras plantas</v>
          </cell>
        </row>
        <row r="1016">
          <cell r="D1016" t="str">
            <v>AR10AE7280 - Mantenimiento de Otras plantas</v>
          </cell>
        </row>
        <row r="1017">
          <cell r="D1017" t="str">
            <v>AR10AE5280 - Mantenimiento de Otras plantas</v>
          </cell>
        </row>
        <row r="1018">
          <cell r="D1018" t="str">
            <v>AR10FEZ280 - Mantenimiento de Otras plantas</v>
          </cell>
        </row>
        <row r="1019">
          <cell r="D1019" t="str">
            <v>AR11CNZ280 - Mantenimiento de Otras plantas</v>
          </cell>
        </row>
        <row r="1020">
          <cell r="D1020" t="str">
            <v>AR40LA1280 - Mantenimiento de Otras plantas</v>
          </cell>
        </row>
        <row r="1021">
          <cell r="D1021" t="str">
            <v>AR40LA2280 - Mantenimiento de Otras plantas</v>
          </cell>
        </row>
        <row r="1022">
          <cell r="D1022" t="str">
            <v>AR41AC1280 - Mantenimiento de Otras plantas</v>
          </cell>
        </row>
        <row r="1023">
          <cell r="D1023" t="str">
            <v>AR41AC2280 - Mantenimiento de Otras plantas</v>
          </cell>
        </row>
        <row r="1024">
          <cell r="D1024" t="str">
            <v>AR41AC3280 - Mantenimiento de Otras plantas</v>
          </cell>
        </row>
        <row r="1025">
          <cell r="D1025" t="str">
            <v>AR41AC4280 - Mantenimiento de Otras plantas</v>
          </cell>
        </row>
        <row r="1026">
          <cell r="D1026" t="str">
            <v>AR41AC6280 - Mantenimiento de Otras plantas</v>
          </cell>
        </row>
        <row r="1027">
          <cell r="D1027" t="str">
            <v>AR41AC7280 - Mantenimiento de Otras plantas</v>
          </cell>
        </row>
        <row r="1028">
          <cell r="D1028" t="str">
            <v>AR41AC5280 - Mantenimiento de Otras plantas</v>
          </cell>
        </row>
        <row r="1029">
          <cell r="D1029" t="str">
            <v>AR42AFZ280 - Mantenimiento de Otras plantas</v>
          </cell>
        </row>
        <row r="1030">
          <cell r="D1030" t="str">
            <v>BO11CIZ280 - Mantenimiento de Otras plantas</v>
          </cell>
        </row>
        <row r="1031">
          <cell r="D1031" t="str">
            <v>BO11CNZ280 - Mantenimiento de Otras plantas</v>
          </cell>
        </row>
        <row r="1032">
          <cell r="D1032" t="str">
            <v>CL10CH1280 - Mantenimiento de Otras plantas</v>
          </cell>
        </row>
        <row r="1033">
          <cell r="D1033" t="str">
            <v>CL10CC1280 - Mantenimiento de Otras plantas</v>
          </cell>
        </row>
        <row r="1034">
          <cell r="D1034" t="str">
            <v>CL10CB1280 - Mantenimiento de Otras plantas</v>
          </cell>
        </row>
        <row r="1035">
          <cell r="D1035" t="str">
            <v>AR10CD1290 - Mantenimiento Distribución Eléctrica</v>
          </cell>
        </row>
        <row r="1036">
          <cell r="D1036" t="str">
            <v>AR10CD2290 - Mantenimiento Distribución Eléctrica</v>
          </cell>
        </row>
        <row r="1037">
          <cell r="D1037" t="str">
            <v>AR10CD3290 - Mantenimiento Distribución Eléctrica</v>
          </cell>
        </row>
        <row r="1038">
          <cell r="D1038" t="str">
            <v>AR10CD5290 - Mantenimiento Distribución Eléctrica</v>
          </cell>
        </row>
        <row r="1039">
          <cell r="D1039" t="str">
            <v>AR10CD7290 - Mantenimiento Distribución Eléctrica</v>
          </cell>
        </row>
        <row r="1040">
          <cell r="D1040" t="str">
            <v>AR10CD8290 - Mantenimiento Distribución Eléctrica</v>
          </cell>
        </row>
        <row r="1041">
          <cell r="D1041" t="str">
            <v>AR10CD9290 - Mantenimiento Distribución Eléctrica</v>
          </cell>
        </row>
        <row r="1042">
          <cell r="D1042" t="str">
            <v>AR10CDE290 - Mantenimiento Distribución Eléctrica</v>
          </cell>
        </row>
        <row r="1043">
          <cell r="D1043" t="str">
            <v>AR10CK4290 - Mantenimiento Distribución Eléctrica</v>
          </cell>
        </row>
        <row r="1044">
          <cell r="D1044" t="str">
            <v>AR10ANZ290 - Mantenimiento Distribución Eléctrica</v>
          </cell>
        </row>
        <row r="1045">
          <cell r="D1045" t="str">
            <v>AR10SNZ290 - Mantenimiento Distribución Eléctrica</v>
          </cell>
        </row>
        <row r="1046">
          <cell r="D1046" t="str">
            <v>AR104NZ290 - Mantenimiento Distribución Eléctrica</v>
          </cell>
        </row>
        <row r="1047">
          <cell r="D1047" t="str">
            <v>AR106NZ290 - Mantenimiento Distribución Eléctrica</v>
          </cell>
        </row>
        <row r="1048">
          <cell r="D1048" t="str">
            <v>AR10BNZ290 - Mantenimiento Distribución Eléctrica</v>
          </cell>
        </row>
        <row r="1049">
          <cell r="D1049" t="str">
            <v>AR40LE1290 - Mantenimiento Distribución Eléctrica</v>
          </cell>
        </row>
        <row r="1050">
          <cell r="D1050" t="str">
            <v>AR40LE2290 - Mantenimiento Distribución Eléctrica</v>
          </cell>
        </row>
        <row r="1051">
          <cell r="D1051" t="str">
            <v>AR10AE1290 - Mantenimiento Distribución Eléctrica</v>
          </cell>
        </row>
        <row r="1052">
          <cell r="D1052" t="str">
            <v>AR10AE2290 - Mantenimiento Distribución Eléctrica</v>
          </cell>
        </row>
        <row r="1053">
          <cell r="D1053" t="str">
            <v>AR10AE3290 - Mantenimiento Distribución Eléctrica</v>
          </cell>
        </row>
        <row r="1054">
          <cell r="D1054" t="str">
            <v>AR10AE4290 - Mantenimiento Distribución Eléctrica</v>
          </cell>
        </row>
        <row r="1055">
          <cell r="D1055" t="str">
            <v>AR10AE6290 - Mantenimiento Distribución Eléctrica</v>
          </cell>
        </row>
        <row r="1056">
          <cell r="D1056" t="str">
            <v>AR10AE7290 - Mantenimiento Distribución Eléctrica</v>
          </cell>
        </row>
        <row r="1057">
          <cell r="D1057" t="str">
            <v>AR10AE5290 - Mantenimiento Distribución Eléctrica</v>
          </cell>
        </row>
        <row r="1058">
          <cell r="D1058" t="str">
            <v>AR10FEZ290 - Mantenimiento Distribución Eléctrica</v>
          </cell>
        </row>
        <row r="1059">
          <cell r="D1059" t="str">
            <v>AR11CNZ290 - Mantenimiento Distribución Eléctrica</v>
          </cell>
        </row>
        <row r="1060">
          <cell r="D1060" t="str">
            <v>AR40LA1290 - Mantenimiento Distribución Eléctrica</v>
          </cell>
        </row>
        <row r="1061">
          <cell r="D1061" t="str">
            <v>AR40LA2290 - Mantenimiento Distribución Eléctrica</v>
          </cell>
        </row>
        <row r="1062">
          <cell r="D1062" t="str">
            <v>AR41AC1290 - Mantenimiento Distribución Eléctrica</v>
          </cell>
        </row>
        <row r="1063">
          <cell r="D1063" t="str">
            <v>AR41AC2290 - Mantenimiento Distribución Eléctrica</v>
          </cell>
        </row>
        <row r="1064">
          <cell r="D1064" t="str">
            <v>AR41AC3290 - Mantenimiento Distribución Eléctrica</v>
          </cell>
        </row>
        <row r="1065">
          <cell r="D1065" t="str">
            <v>AR41AC4290 - Mantenimiento Distribución Eléctrica</v>
          </cell>
        </row>
        <row r="1066">
          <cell r="D1066" t="str">
            <v>AR41AC6290 - Mantenimiento Distribución Eléctrica</v>
          </cell>
        </row>
        <row r="1067">
          <cell r="D1067" t="str">
            <v>AR41AC7290 - Mantenimiento Distribución Eléctrica</v>
          </cell>
        </row>
        <row r="1068">
          <cell r="D1068" t="str">
            <v>AR41AC5290 - Mantenimiento Distribución Eléctrica</v>
          </cell>
        </row>
        <row r="1069">
          <cell r="D1069" t="str">
            <v>AR42AFZ290 - Mantenimiento Distribución Eléctrica</v>
          </cell>
        </row>
        <row r="1070">
          <cell r="D1070" t="str">
            <v>BO11CIZ290 - Mantenimiento Distribución Eléctrica</v>
          </cell>
        </row>
        <row r="1071">
          <cell r="D1071" t="str">
            <v>BO11CNZ290 - Mantenimiento Distribución Eléctrica</v>
          </cell>
        </row>
        <row r="1072">
          <cell r="D1072" t="str">
            <v>CL10CH1290 - Mantenimiento Distribución Eléctrica</v>
          </cell>
        </row>
        <row r="1073">
          <cell r="D1073" t="str">
            <v>CL10CC1290 - Mantenimiento Distribución Eléctrica</v>
          </cell>
        </row>
        <row r="1074">
          <cell r="D1074" t="str">
            <v>CL10CB1290 - Mantenimiento Distribución Eléctrica</v>
          </cell>
        </row>
        <row r="1075">
          <cell r="D1075" t="str">
            <v>AR10CD1300 - Mantenimiento Generación Eléctrica</v>
          </cell>
        </row>
        <row r="1076">
          <cell r="D1076" t="str">
            <v>AR10CD2300 - Mantenimiento Generación Eléctrica</v>
          </cell>
        </row>
        <row r="1077">
          <cell r="D1077" t="str">
            <v>AR10CD3300 - Mantenimiento Generación Eléctrica</v>
          </cell>
        </row>
        <row r="1078">
          <cell r="D1078" t="str">
            <v>AR10CD5300 - Mantenimiento Generación Eléctrica</v>
          </cell>
        </row>
        <row r="1079">
          <cell r="D1079" t="str">
            <v>AR10CD7300 - Mantenimiento Generación Eléctrica</v>
          </cell>
        </row>
        <row r="1080">
          <cell r="D1080" t="str">
            <v>AR10CD8300 - Mantenimiento Generación Eléctrica</v>
          </cell>
        </row>
        <row r="1081">
          <cell r="D1081" t="str">
            <v>AR10CD9300 - Mantenimiento Generación Eléctrica</v>
          </cell>
        </row>
        <row r="1082">
          <cell r="D1082" t="str">
            <v>AR10CDE300 - Mantenimiento Generación Eléctrica</v>
          </cell>
        </row>
        <row r="1083">
          <cell r="D1083" t="str">
            <v>AR10CK4300 - Mantenimiento Generación Eléctrica</v>
          </cell>
        </row>
        <row r="1084">
          <cell r="D1084" t="str">
            <v>AR10ANZ300 - Mantenimiento Generación Eléctrica</v>
          </cell>
        </row>
        <row r="1085">
          <cell r="D1085" t="str">
            <v>AR10SNZ300 - Mantenimiento Generación Eléctrica</v>
          </cell>
        </row>
        <row r="1086">
          <cell r="D1086" t="str">
            <v>AR104NZ300 - Mantenimiento Generación Eléctrica</v>
          </cell>
        </row>
        <row r="1087">
          <cell r="D1087" t="str">
            <v>AR106NZ300 - Mantenimiento Generación Eléctrica</v>
          </cell>
        </row>
        <row r="1088">
          <cell r="D1088" t="str">
            <v>AR10BNZ300 - Mantenimiento Generación Eléctrica</v>
          </cell>
        </row>
        <row r="1089">
          <cell r="D1089" t="str">
            <v>AR40LE1300 - Mantenimiento Generación Eléctrica</v>
          </cell>
        </row>
        <row r="1090">
          <cell r="D1090" t="str">
            <v>AR40LE2300 - Mantenimiento Generación Eléctrica</v>
          </cell>
        </row>
        <row r="1091">
          <cell r="D1091" t="str">
            <v>AR10AE1300 - Mantenimiento Generación Eléctrica</v>
          </cell>
        </row>
        <row r="1092">
          <cell r="D1092" t="str">
            <v>AR10AE2300 - Mantenimiento Generación Eléctrica</v>
          </cell>
        </row>
        <row r="1093">
          <cell r="D1093" t="str">
            <v>AR10AE3300 - Mantenimiento Generación Eléctrica</v>
          </cell>
        </row>
        <row r="1094">
          <cell r="D1094" t="str">
            <v>AR10AE4300 - Mantenimiento Generación Eléctrica</v>
          </cell>
        </row>
        <row r="1095">
          <cell r="D1095" t="str">
            <v>AR10AE6300 - Mantenimiento Generación Eléctrica</v>
          </cell>
        </row>
        <row r="1096">
          <cell r="D1096" t="str">
            <v>AR10AE7300 - Mantenimiento Generación Eléctrica</v>
          </cell>
        </row>
        <row r="1097">
          <cell r="D1097" t="str">
            <v>AR10AE5300 - Mantenimiento Generación Eléctrica</v>
          </cell>
        </row>
        <row r="1098">
          <cell r="D1098" t="str">
            <v>AR10FEZ300 - Mantenimiento Generación Eléctrica</v>
          </cell>
        </row>
        <row r="1099">
          <cell r="D1099" t="str">
            <v>AR11CNZ300 - Mantenimiento Generación Eléctrica</v>
          </cell>
        </row>
        <row r="1100">
          <cell r="D1100" t="str">
            <v>AR40LA1300 - Mantenimiento Generación Eléctrica</v>
          </cell>
        </row>
        <row r="1101">
          <cell r="D1101" t="str">
            <v>AR40LA2300 - Mantenimiento Generación Eléctrica</v>
          </cell>
        </row>
        <row r="1102">
          <cell r="D1102" t="str">
            <v>AR41AC1300 - Mantenimiento Generación Eléctrica</v>
          </cell>
        </row>
        <row r="1103">
          <cell r="D1103" t="str">
            <v>AR41AC2300 - Mantenimiento Generación Eléctrica</v>
          </cell>
        </row>
        <row r="1104">
          <cell r="D1104" t="str">
            <v>AR41AC3300 - Mantenimiento Generación Eléctrica</v>
          </cell>
        </row>
        <row r="1105">
          <cell r="D1105" t="str">
            <v>AR41AC4300 - Mantenimiento Generación Eléctrica</v>
          </cell>
        </row>
        <row r="1106">
          <cell r="D1106" t="str">
            <v>AR41AC6300 - Mantenimiento Generación Eléctrica</v>
          </cell>
        </row>
        <row r="1107">
          <cell r="D1107" t="str">
            <v>AR41AC7300 - Mantenimiento Generación Eléctrica</v>
          </cell>
        </row>
        <row r="1108">
          <cell r="D1108" t="str">
            <v>AR41AC5300 - Mantenimiento Generación Eléctrica</v>
          </cell>
        </row>
        <row r="1109">
          <cell r="D1109" t="str">
            <v>AR42AFZ300 - Mantenimiento Generación Eléctrica</v>
          </cell>
        </row>
        <row r="1110">
          <cell r="D1110" t="str">
            <v>BO11CIZ300 - Mantenimiento Generación Eléctrica</v>
          </cell>
        </row>
        <row r="1111">
          <cell r="D1111" t="str">
            <v>BO11CNZ300 - Mantenimiento Generación Eléctrica</v>
          </cell>
        </row>
        <row r="1112">
          <cell r="D1112" t="str">
            <v>CL10CH1300 - Mantenimiento Generación Eléctrica</v>
          </cell>
        </row>
        <row r="1113">
          <cell r="D1113" t="str">
            <v>CL10CC1300 - Mantenimiento Generación Eléctrica</v>
          </cell>
        </row>
        <row r="1114">
          <cell r="D1114" t="str">
            <v>CL10CB1300 - Mantenimiento Generación Eléctrica</v>
          </cell>
        </row>
        <row r="1115">
          <cell r="D1115" t="str">
            <v>AR10CD1240 - Mantenimiento PIAS</v>
          </cell>
        </row>
        <row r="1116">
          <cell r="D1116" t="str">
            <v>AR10CD2240 - Mantenimiento PIAS</v>
          </cell>
        </row>
        <row r="1117">
          <cell r="D1117" t="str">
            <v>AR10CD3240 - Mantenimiento PIAS</v>
          </cell>
        </row>
        <row r="1118">
          <cell r="D1118" t="str">
            <v>AR10CD5240 - Mantenimiento PIAS</v>
          </cell>
        </row>
        <row r="1119">
          <cell r="D1119" t="str">
            <v>AR10CD7240 - Mantenimiento PIAS</v>
          </cell>
        </row>
        <row r="1120">
          <cell r="D1120" t="str">
            <v>AR10CD8240 - Mantenimiento PIAS</v>
          </cell>
        </row>
        <row r="1121">
          <cell r="D1121" t="str">
            <v>AR10CD9240 - Mantenimiento PIAS</v>
          </cell>
        </row>
        <row r="1122">
          <cell r="D1122" t="str">
            <v>AR10CK4240 - Mantenimiento PIAS</v>
          </cell>
        </row>
        <row r="1123">
          <cell r="D1123" t="str">
            <v>AR10ANZ240 - Mantenimiento PIAS</v>
          </cell>
        </row>
        <row r="1124">
          <cell r="D1124" t="str">
            <v>AR10SNZ240 - Mantenimiento PIAS</v>
          </cell>
        </row>
        <row r="1125">
          <cell r="D1125" t="str">
            <v>AR104NZ240 - Mantenimiento PIAS</v>
          </cell>
        </row>
        <row r="1126">
          <cell r="D1126" t="str">
            <v>AR106NZ240 - Mantenimiento PIAS</v>
          </cell>
        </row>
        <row r="1127">
          <cell r="D1127" t="str">
            <v>AR10BNZ240 - Mantenimiento PIAS</v>
          </cell>
        </row>
        <row r="1128">
          <cell r="D1128" t="str">
            <v>AR40LE1240 - Mantenimiento PIAS</v>
          </cell>
        </row>
        <row r="1129">
          <cell r="D1129" t="str">
            <v>AR40LE2240 - Mantenimiento PIAS</v>
          </cell>
        </row>
        <row r="1130">
          <cell r="D1130" t="str">
            <v>AR10AE1240 - Mantenimiento PIAS</v>
          </cell>
        </row>
        <row r="1131">
          <cell r="D1131" t="str">
            <v>AR10AE2240 - Mantenimiento PIAS</v>
          </cell>
        </row>
        <row r="1132">
          <cell r="D1132" t="str">
            <v>AR10AE3240 - Mantenimiento PIAS</v>
          </cell>
        </row>
        <row r="1133">
          <cell r="D1133" t="str">
            <v>AR10AE4240 - Mantenimiento PIAS</v>
          </cell>
        </row>
        <row r="1134">
          <cell r="D1134" t="str">
            <v>AR10AE6240 - Mantenimiento PIAS</v>
          </cell>
        </row>
        <row r="1135">
          <cell r="D1135" t="str">
            <v>AR10AE7240 - Mantenimiento PIAS</v>
          </cell>
        </row>
        <row r="1136">
          <cell r="D1136" t="str">
            <v>AR10AE5240 - Mantenimiento PIAS</v>
          </cell>
        </row>
        <row r="1137">
          <cell r="D1137" t="str">
            <v>AR10FEZ240 - Mantenimiento PIAS</v>
          </cell>
        </row>
        <row r="1138">
          <cell r="D1138" t="str">
            <v>AR11CNZ240 - Mantenimiento PIAS</v>
          </cell>
        </row>
        <row r="1139">
          <cell r="D1139" t="str">
            <v>AR40LA1240 - Mantenimiento PIAS</v>
          </cell>
        </row>
        <row r="1140">
          <cell r="D1140" t="str">
            <v>AR40LA2240 - Mantenimiento PIAS</v>
          </cell>
        </row>
        <row r="1141">
          <cell r="D1141" t="str">
            <v>AR41AC1240 - Mantenimiento PIAS</v>
          </cell>
        </row>
        <row r="1142">
          <cell r="D1142" t="str">
            <v>AR41AC2240 - Mantenimiento PIAS</v>
          </cell>
        </row>
        <row r="1143">
          <cell r="D1143" t="str">
            <v>AR41AC3240 - Mantenimiento PIAS</v>
          </cell>
        </row>
        <row r="1144">
          <cell r="D1144" t="str">
            <v>AR41AC4240 - Mantenimiento PIAS</v>
          </cell>
        </row>
        <row r="1145">
          <cell r="D1145" t="str">
            <v>AR41AC6240 - Mantenimiento PIAS</v>
          </cell>
        </row>
        <row r="1146">
          <cell r="D1146" t="str">
            <v>AR41AC7240 - Mantenimiento PIAS</v>
          </cell>
        </row>
        <row r="1147">
          <cell r="D1147" t="str">
            <v>AR41AC5240 - Mantenimiento PIAS</v>
          </cell>
        </row>
        <row r="1148">
          <cell r="D1148" t="str">
            <v>AR42AFZ240 - Mantenimiento PIAS</v>
          </cell>
        </row>
        <row r="1149">
          <cell r="D1149" t="str">
            <v>BO11CIZ240 - Mantenimiento PIAS</v>
          </cell>
        </row>
        <row r="1150">
          <cell r="D1150" t="str">
            <v>BO11CNZ240 - Mantenimiento PIAS</v>
          </cell>
        </row>
        <row r="1151">
          <cell r="D1151" t="str">
            <v>CL10CH1240 - Mantenimiento PIAS</v>
          </cell>
        </row>
        <row r="1152">
          <cell r="D1152" t="str">
            <v>CL10CC1240 - Mantenimiento PIAS</v>
          </cell>
        </row>
        <row r="1153">
          <cell r="D1153" t="str">
            <v>CL10CB1240 - Mantenimiento PIAS</v>
          </cell>
        </row>
        <row r="1154">
          <cell r="D1154" t="str">
            <v>AR10CD1250 - Mantenimiento Plantas Compresión</v>
          </cell>
        </row>
        <row r="1155">
          <cell r="D1155" t="str">
            <v>AR10CD2250 - Mantenimiento Plantas Compresión</v>
          </cell>
        </row>
        <row r="1156">
          <cell r="D1156" t="str">
            <v>AR10CD3250 - Mantenimiento Plantas Compresión</v>
          </cell>
        </row>
        <row r="1157">
          <cell r="D1157" t="str">
            <v>AR10CD5250 - Mantenimiento Plantas Compresión</v>
          </cell>
        </row>
        <row r="1158">
          <cell r="D1158" t="str">
            <v>AR10CD7250 - Mantenimiento Plantas Compresión</v>
          </cell>
        </row>
        <row r="1159">
          <cell r="D1159" t="str">
            <v>AR10CD8250 - Mantenimiento Plantas Compresión</v>
          </cell>
        </row>
        <row r="1160">
          <cell r="D1160" t="str">
            <v>AR10CD9250 - Mantenimiento Plantas Compresión</v>
          </cell>
        </row>
        <row r="1161">
          <cell r="D1161" t="str">
            <v>AR10CDP250 - Mantenimiento Plantas Compresión</v>
          </cell>
        </row>
        <row r="1162">
          <cell r="D1162" t="str">
            <v>AR10CK4250 - Mantenimiento Plantas Compresión</v>
          </cell>
        </row>
        <row r="1163">
          <cell r="D1163" t="str">
            <v>AR10ANZ250 - Mantenimiento Plantas Compresión</v>
          </cell>
        </row>
        <row r="1164">
          <cell r="D1164" t="str">
            <v>AR10SNZ250 - Mantenimiento Plantas Compresión</v>
          </cell>
        </row>
        <row r="1165">
          <cell r="D1165" t="str">
            <v>AR104NZ250 - Mantenimiento Plantas Compresión</v>
          </cell>
        </row>
        <row r="1166">
          <cell r="D1166" t="str">
            <v>AR106NZ250 - Mantenimiento Plantas Compresión</v>
          </cell>
        </row>
        <row r="1167">
          <cell r="D1167" t="str">
            <v>AR10BNZ250 - Mantenimiento Plantas Compresión</v>
          </cell>
        </row>
        <row r="1168">
          <cell r="D1168" t="str">
            <v>AR40LE1250 - Mantenimiento Plantas Compresión</v>
          </cell>
        </row>
        <row r="1169">
          <cell r="D1169" t="str">
            <v>AR40LE2250 - Mantenimiento Plantas Compresión</v>
          </cell>
        </row>
        <row r="1170">
          <cell r="D1170" t="str">
            <v>AR10AE1250 - Mantenimiento Plantas Compresión</v>
          </cell>
        </row>
        <row r="1171">
          <cell r="D1171" t="str">
            <v>AR10AE2250 - Mantenimiento Plantas Compresión</v>
          </cell>
        </row>
        <row r="1172">
          <cell r="D1172" t="str">
            <v>AR10AE3250 - Mantenimiento Plantas Compresión</v>
          </cell>
        </row>
        <row r="1173">
          <cell r="D1173" t="str">
            <v>AR10AE4250 - Mantenimiento Plantas Compresión</v>
          </cell>
        </row>
        <row r="1174">
          <cell r="D1174" t="str">
            <v>AR10AE6250 - Mantenimiento Plantas Compresión</v>
          </cell>
        </row>
        <row r="1175">
          <cell r="D1175" t="str">
            <v>AR10AE7250 - Mantenimiento Plantas Compresión</v>
          </cell>
        </row>
        <row r="1176">
          <cell r="D1176" t="str">
            <v>AR10AE5250 - Mantenimiento Plantas Compresión</v>
          </cell>
        </row>
        <row r="1177">
          <cell r="D1177" t="str">
            <v>AR10FEZ250 - Mantenimiento Plantas Compresión</v>
          </cell>
        </row>
        <row r="1178">
          <cell r="D1178" t="str">
            <v>AR11CNZ250 - Mantenimiento Plantas Compresión</v>
          </cell>
        </row>
        <row r="1179">
          <cell r="D1179" t="str">
            <v>AR40LA1250 - Mantenimiento Plantas Compresión</v>
          </cell>
        </row>
        <row r="1180">
          <cell r="D1180" t="str">
            <v>AR40LA2250 - Mantenimiento Plantas Compresión</v>
          </cell>
        </row>
        <row r="1181">
          <cell r="D1181" t="str">
            <v>AR41AC1250 - Mantenimiento Plantas Compresión</v>
          </cell>
        </row>
        <row r="1182">
          <cell r="D1182" t="str">
            <v>AR41AC2250 - Mantenimiento Plantas Compresión</v>
          </cell>
        </row>
        <row r="1183">
          <cell r="D1183" t="str">
            <v>AR41AC3250 - Mantenimiento Plantas Compresión</v>
          </cell>
        </row>
        <row r="1184">
          <cell r="D1184" t="str">
            <v>AR41AC4250 - Mantenimiento Plantas Compresión</v>
          </cell>
        </row>
        <row r="1185">
          <cell r="D1185" t="str">
            <v>AR41AC6250 - Mantenimiento Plantas Compresión</v>
          </cell>
        </row>
        <row r="1186">
          <cell r="D1186" t="str">
            <v>AR41AC7250 - Mantenimiento Plantas Compresión</v>
          </cell>
        </row>
        <row r="1187">
          <cell r="D1187" t="str">
            <v>AR41AC5250 - Mantenimiento Plantas Compresión</v>
          </cell>
        </row>
        <row r="1188">
          <cell r="D1188" t="str">
            <v>AR42AFZ250 - Mantenimiento Plantas Compresión</v>
          </cell>
        </row>
        <row r="1189">
          <cell r="D1189" t="str">
            <v>BO11CIZ250 - Mantenimiento Plantas Compresión</v>
          </cell>
        </row>
        <row r="1190">
          <cell r="D1190" t="str">
            <v>BO11CNZ250 - Mantenimiento Plantas Compresión</v>
          </cell>
        </row>
        <row r="1191">
          <cell r="D1191" t="str">
            <v>CL10CH1250 - Mantenimiento Plantas Compresión</v>
          </cell>
        </row>
        <row r="1192">
          <cell r="D1192" t="str">
            <v>CL10CC1250 - Mantenimiento Plantas Compresión</v>
          </cell>
        </row>
        <row r="1193">
          <cell r="D1193" t="str">
            <v>CL10CB1250 - Mantenimiento Plantas Compresión</v>
          </cell>
        </row>
        <row r="1194">
          <cell r="D1194" t="str">
            <v>AR10CD1230 - Mantenimiento Plantas Tratamiento</v>
          </cell>
        </row>
        <row r="1195">
          <cell r="D1195" t="str">
            <v>AR10CD2230 - Mantenimiento Plantas Tratamiento</v>
          </cell>
        </row>
        <row r="1196">
          <cell r="D1196" t="str">
            <v>AR10CD3230 - Mantenimiento Plantas Tratamiento</v>
          </cell>
        </row>
        <row r="1197">
          <cell r="D1197" t="str">
            <v>AR10CD5230 - Mantenimiento Plantas Tratamiento</v>
          </cell>
        </row>
        <row r="1198">
          <cell r="D1198" t="str">
            <v>AR10CD7230 - Mantenimiento Plantas Tratamiento</v>
          </cell>
        </row>
        <row r="1199">
          <cell r="D1199" t="str">
            <v>AR10CD8230 - Mantenimiento Plantas Tratamiento</v>
          </cell>
        </row>
        <row r="1200">
          <cell r="D1200" t="str">
            <v>AR10CD9230 - Mantenimiento Plantas Tratamiento</v>
          </cell>
        </row>
        <row r="1201">
          <cell r="D1201" t="str">
            <v>AR10CDP230 - Mantenimiento Plantas Tratamiento</v>
          </cell>
        </row>
        <row r="1202">
          <cell r="D1202" t="str">
            <v>AR10CK4230 - Mantenimiento Plantas Tratamiento</v>
          </cell>
        </row>
        <row r="1203">
          <cell r="D1203" t="str">
            <v>AR10ANZ230 - Mantenimiento Plantas Tratamiento</v>
          </cell>
        </row>
        <row r="1204">
          <cell r="D1204" t="str">
            <v>AR10SNZ230 - Mantenimiento Plantas Tratamiento</v>
          </cell>
        </row>
        <row r="1205">
          <cell r="D1205" t="str">
            <v>AR104NZ230 - Mantenimiento Plantas Tratamiento</v>
          </cell>
        </row>
        <row r="1206">
          <cell r="D1206" t="str">
            <v>AR106NZ230 - Mantenimiento Plantas Tratamiento</v>
          </cell>
        </row>
        <row r="1207">
          <cell r="D1207" t="str">
            <v>AR10BNZ230 - Mantenimiento Plantas Tratamiento</v>
          </cell>
        </row>
        <row r="1208">
          <cell r="D1208" t="str">
            <v>AR40LE1230 - Mantenimiento Plantas Tratamiento</v>
          </cell>
        </row>
        <row r="1209">
          <cell r="D1209" t="str">
            <v>AR40LE2230 - Mantenimiento Plantas Tratamiento</v>
          </cell>
        </row>
        <row r="1210">
          <cell r="D1210" t="str">
            <v>AR10AE1230 - Mantenimiento Plantas Tratamiento</v>
          </cell>
        </row>
        <row r="1211">
          <cell r="D1211" t="str">
            <v>AR10AE2230 - Mantenimiento Plantas Tratamiento</v>
          </cell>
        </row>
        <row r="1212">
          <cell r="D1212" t="str">
            <v>AR10AE3230 - Mantenimiento Plantas Tratamiento</v>
          </cell>
        </row>
        <row r="1213">
          <cell r="D1213" t="str">
            <v>AR10AE4230 - Mantenimiento Plantas Tratamiento</v>
          </cell>
        </row>
        <row r="1214">
          <cell r="D1214" t="str">
            <v>AR10AE6230 - Mantenimiento Plantas Tratamiento</v>
          </cell>
        </row>
        <row r="1215">
          <cell r="D1215" t="str">
            <v>AR10AE7230 - Mantenimiento Plantas Tratamiento</v>
          </cell>
        </row>
        <row r="1216">
          <cell r="D1216" t="str">
            <v>AR10AE5230 - Mantenimiento Plantas Tratamiento</v>
          </cell>
        </row>
        <row r="1217">
          <cell r="D1217" t="str">
            <v>AR10FEZ230 - Mantenimiento Plantas Tratamiento</v>
          </cell>
        </row>
        <row r="1218">
          <cell r="D1218" t="str">
            <v>AR11CNZ230 - Mantenimiento Plantas Tratamiento</v>
          </cell>
        </row>
        <row r="1219">
          <cell r="D1219" t="str">
            <v>AR40LA1230 - Mantenimiento Plantas Tratamiento</v>
          </cell>
        </row>
        <row r="1220">
          <cell r="D1220" t="str">
            <v>AR40LA2230 - Mantenimiento Plantas Tratamiento</v>
          </cell>
        </row>
        <row r="1221">
          <cell r="D1221" t="str">
            <v>AR41AC1230 - Mantenimiento Plantas Tratamiento</v>
          </cell>
        </row>
        <row r="1222">
          <cell r="D1222" t="str">
            <v>AR41AC2230 - Mantenimiento Plantas Tratamiento</v>
          </cell>
        </row>
        <row r="1223">
          <cell r="D1223" t="str">
            <v>AR41AC3230 - Mantenimiento Plantas Tratamiento</v>
          </cell>
        </row>
        <row r="1224">
          <cell r="D1224" t="str">
            <v>AR41AC4230 - Mantenimiento Plantas Tratamiento</v>
          </cell>
        </row>
        <row r="1225">
          <cell r="D1225" t="str">
            <v>AR41AC6230 - Mantenimiento Plantas Tratamiento</v>
          </cell>
        </row>
        <row r="1226">
          <cell r="D1226" t="str">
            <v>AR41AC7230 - Mantenimiento Plantas Tratamiento</v>
          </cell>
        </row>
        <row r="1227">
          <cell r="D1227" t="str">
            <v>AR41AC5230 - Mantenimiento Plantas Tratamiento</v>
          </cell>
        </row>
        <row r="1228">
          <cell r="D1228" t="str">
            <v>AR42AFZ230 - Mantenimiento Plantas Tratamiento</v>
          </cell>
        </row>
        <row r="1229">
          <cell r="D1229" t="str">
            <v>BO11CIZ230 - Mantenimiento Plantas Tratamiento</v>
          </cell>
        </row>
        <row r="1230">
          <cell r="D1230" t="str">
            <v>BO11CNZ230 - Mantenimiento Plantas Tratamiento</v>
          </cell>
        </row>
        <row r="1231">
          <cell r="D1231" t="str">
            <v>CL10CH1230 - Mantenimiento Plantas Tratamiento</v>
          </cell>
        </row>
        <row r="1232">
          <cell r="D1232" t="str">
            <v>CL10CC1230 - Mantenimiento Plantas Tratamiento</v>
          </cell>
        </row>
        <row r="1233">
          <cell r="D1233" t="str">
            <v>CL10CB1230 - Mantenimiento Plantas Tratamiento</v>
          </cell>
        </row>
        <row r="1234">
          <cell r="D1234" t="str">
            <v>AR10CD1260 - Mantenimiento Vehiculos</v>
          </cell>
        </row>
        <row r="1235">
          <cell r="D1235" t="str">
            <v>AR10CD2260 - Mantenimiento Vehiculos</v>
          </cell>
        </row>
        <row r="1236">
          <cell r="D1236" t="str">
            <v>AR10CD3260 - Mantenimiento Vehiculos</v>
          </cell>
        </row>
        <row r="1237">
          <cell r="D1237" t="str">
            <v>AR10CD5260 - Mantenimiento Vehiculos</v>
          </cell>
        </row>
        <row r="1238">
          <cell r="D1238" t="str">
            <v>AR10CD7260 - Mantenimiento Vehiculos</v>
          </cell>
        </row>
        <row r="1239">
          <cell r="D1239" t="str">
            <v>AR10CD8260 - Mantenimiento Vehiculos</v>
          </cell>
        </row>
        <row r="1240">
          <cell r="D1240" t="str">
            <v>AR10CD9260 - Mantenimiento Vehiculos</v>
          </cell>
        </row>
        <row r="1241">
          <cell r="D1241" t="str">
            <v>AR10CDP260 - Mantenimiento Vehiculos</v>
          </cell>
        </row>
        <row r="1242">
          <cell r="D1242" t="str">
            <v>AR10CK4260 - Mantenimiento Vehiculos</v>
          </cell>
        </row>
        <row r="1243">
          <cell r="D1243" t="str">
            <v>AR10ANZ260 - Mantenimiento Vehiculos</v>
          </cell>
        </row>
        <row r="1244">
          <cell r="D1244" t="str">
            <v>AR10SNZ260 - Mantenimiento Vehiculos</v>
          </cell>
        </row>
        <row r="1245">
          <cell r="D1245" t="str">
            <v>AR104NZ260 - Mantenimiento Vehiculos</v>
          </cell>
        </row>
        <row r="1246">
          <cell r="D1246" t="str">
            <v>AR106NZ260 - Mantenimiento Vehiculos</v>
          </cell>
        </row>
        <row r="1247">
          <cell r="D1247" t="str">
            <v>AR10BNZ260 - Mantenimiento Vehiculos</v>
          </cell>
        </row>
        <row r="1248">
          <cell r="D1248" t="str">
            <v>AR40LE1260 - Mantenimiento Vehiculos</v>
          </cell>
        </row>
        <row r="1249">
          <cell r="D1249" t="str">
            <v>AR40LE2260 - Mantenimiento Vehiculos</v>
          </cell>
        </row>
        <row r="1250">
          <cell r="D1250" t="str">
            <v>AR10AE1260 - Mantenimiento Vehiculos</v>
          </cell>
        </row>
        <row r="1251">
          <cell r="D1251" t="str">
            <v>AR10AE2260 - Mantenimiento Vehiculos</v>
          </cell>
        </row>
        <row r="1252">
          <cell r="D1252" t="str">
            <v>AR10AE3260 - Mantenimiento Vehiculos</v>
          </cell>
        </row>
        <row r="1253">
          <cell r="D1253" t="str">
            <v>AR10AE4260 - Mantenimiento Vehiculos</v>
          </cell>
        </row>
        <row r="1254">
          <cell r="D1254" t="str">
            <v>AR10AE6260 - Mantenimiento Vehiculos</v>
          </cell>
        </row>
        <row r="1255">
          <cell r="D1255" t="str">
            <v>AR10AE7260 - Mantenimiento Vehiculos</v>
          </cell>
        </row>
        <row r="1256">
          <cell r="D1256" t="str">
            <v>AR10AE5260 - Mantenimiento Vehiculos</v>
          </cell>
        </row>
        <row r="1257">
          <cell r="D1257" t="str">
            <v>AR10FEZ260 - Mantenimiento Vehiculos</v>
          </cell>
        </row>
        <row r="1258">
          <cell r="D1258" t="str">
            <v>AR11CNZ260 - Mantenimiento Vehiculos</v>
          </cell>
        </row>
        <row r="1259">
          <cell r="D1259" t="str">
            <v>AR40LA1260 - Mantenimiento Vehiculos</v>
          </cell>
        </row>
        <row r="1260">
          <cell r="D1260" t="str">
            <v>AR40LA2260 - Mantenimiento Vehiculos</v>
          </cell>
        </row>
        <row r="1261">
          <cell r="D1261" t="str">
            <v>AR41AC1260 - Mantenimiento Vehiculos</v>
          </cell>
        </row>
        <row r="1262">
          <cell r="D1262" t="str">
            <v>AR41AC2260 - Mantenimiento Vehiculos</v>
          </cell>
        </row>
        <row r="1263">
          <cell r="D1263" t="str">
            <v>AR41AC3260 - Mantenimiento Vehiculos</v>
          </cell>
        </row>
        <row r="1264">
          <cell r="D1264" t="str">
            <v>AR41AC4260 - Mantenimiento Vehiculos</v>
          </cell>
        </row>
        <row r="1265">
          <cell r="D1265" t="str">
            <v>AR41AC6260 - Mantenimiento Vehiculos</v>
          </cell>
        </row>
        <row r="1266">
          <cell r="D1266" t="str">
            <v>AR41AC7260 - Mantenimiento Vehiculos</v>
          </cell>
        </row>
        <row r="1267">
          <cell r="D1267" t="str">
            <v>AR41AC5260 - Mantenimiento Vehiculos</v>
          </cell>
        </row>
        <row r="1268">
          <cell r="D1268" t="str">
            <v>AR42AFZ260 - Mantenimiento Vehiculos</v>
          </cell>
        </row>
        <row r="1269">
          <cell r="D1269" t="str">
            <v>BO11CIZ260 - Mantenimiento Vehiculos</v>
          </cell>
        </row>
        <row r="1270">
          <cell r="D1270" t="str">
            <v>BO11CNZ260 - Mantenimiento Vehiculos</v>
          </cell>
        </row>
        <row r="1271">
          <cell r="D1271" t="str">
            <v>CL10CH1260 - Mantenimiento Vehiculos</v>
          </cell>
        </row>
        <row r="1272">
          <cell r="D1272" t="str">
            <v>CL10CC1260 - Mantenimiento Vehiculos</v>
          </cell>
        </row>
        <row r="1273">
          <cell r="D1273" t="str">
            <v>CL10CB1260 - Mantenimiento Vehiculos</v>
          </cell>
        </row>
        <row r="1274">
          <cell r="D1274" t="str">
            <v>AR10APZ595 - Medio Ambiente</v>
          </cell>
        </row>
        <row r="1275">
          <cell r="D1275" t="str">
            <v>AR10SRZ595 - Medio Ambiente</v>
          </cell>
        </row>
        <row r="1276">
          <cell r="D1276" t="str">
            <v>AR1040Z595 - Medio Ambiente</v>
          </cell>
        </row>
        <row r="1277">
          <cell r="D1277" t="str">
            <v>AR1046Z595 - Medio Ambiente</v>
          </cell>
        </row>
        <row r="1278">
          <cell r="D1278" t="str">
            <v>AR10BCZ595 - Medio Ambiente</v>
          </cell>
        </row>
        <row r="1279">
          <cell r="D1279" t="str">
            <v>AR10CDZ595 - Medio Ambiente</v>
          </cell>
        </row>
        <row r="1280">
          <cell r="D1280" t="str">
            <v>AR10CK4595 - Medio Ambiente</v>
          </cell>
        </row>
        <row r="1281">
          <cell r="D1281" t="str">
            <v>AR10ANZ595 - Medio Ambiente</v>
          </cell>
        </row>
        <row r="1282">
          <cell r="D1282" t="str">
            <v>AR10SNZ595 - Medio Ambiente</v>
          </cell>
        </row>
        <row r="1283">
          <cell r="D1283" t="str">
            <v>AR104NZ595 - Medio Ambiente</v>
          </cell>
        </row>
        <row r="1284">
          <cell r="D1284" t="str">
            <v>AR106NZ595 - Medio Ambiente</v>
          </cell>
        </row>
        <row r="1285">
          <cell r="D1285" t="str">
            <v>AR10BNZ595 - Medio Ambiente</v>
          </cell>
        </row>
        <row r="1286">
          <cell r="D1286" t="str">
            <v>AR40LE2595 - Medio Ambiente</v>
          </cell>
        </row>
        <row r="1287">
          <cell r="D1287" t="str">
            <v>AR10AEZ595 - Medio Ambiente</v>
          </cell>
        </row>
        <row r="1288">
          <cell r="D1288" t="str">
            <v>AR10FEZ595 - Medio Ambiente</v>
          </cell>
        </row>
        <row r="1289">
          <cell r="D1289" t="str">
            <v>AR10BAZ595 - Medio Ambiente</v>
          </cell>
        </row>
        <row r="1290">
          <cell r="D1290" t="str">
            <v>AR11CNZ595 - Medio Ambiente</v>
          </cell>
        </row>
        <row r="1291">
          <cell r="D1291" t="str">
            <v>AR11SAZ595 - Medio Ambiente</v>
          </cell>
        </row>
        <row r="1292">
          <cell r="D1292" t="str">
            <v>AR12FUZ595 - Medio Ambiente</v>
          </cell>
        </row>
        <row r="1293">
          <cell r="D1293" t="str">
            <v>AR12FMZ595 - Medio Ambiente</v>
          </cell>
        </row>
        <row r="1294">
          <cell r="D1294" t="str">
            <v>AR13BSZ595 - Medio Ambiente</v>
          </cell>
        </row>
        <row r="1295">
          <cell r="D1295" t="str">
            <v>AR40LA2595 - Medio Ambiente</v>
          </cell>
        </row>
        <row r="1296">
          <cell r="D1296" t="str">
            <v>AR41ACZ595 - Medio Ambiente</v>
          </cell>
        </row>
        <row r="1297">
          <cell r="D1297" t="str">
            <v>AR42AFZ595 - Medio Ambiente</v>
          </cell>
        </row>
        <row r="1298">
          <cell r="D1298" t="str">
            <v>CL10CH1595 - Medio Ambiente</v>
          </cell>
        </row>
        <row r="1299">
          <cell r="D1299" t="str">
            <v>CL10CC1595 - Medio Ambiente</v>
          </cell>
        </row>
        <row r="1300">
          <cell r="D1300" t="str">
            <v>CL10CB1595 - Medio Ambiente</v>
          </cell>
        </row>
        <row r="1301">
          <cell r="D1301" t="str">
            <v>AR10APZ850 - Oil</v>
          </cell>
        </row>
        <row r="1302">
          <cell r="D1302" t="str">
            <v>AR10SRZ850 - Oil</v>
          </cell>
        </row>
        <row r="1303">
          <cell r="D1303" t="str">
            <v>AR11CAZ850 - Oil</v>
          </cell>
        </row>
        <row r="1304">
          <cell r="D1304" t="str">
            <v>AR10LAZ850 - Oil Transportation</v>
          </cell>
        </row>
        <row r="1305">
          <cell r="D1305" t="str">
            <v>AR10ACZ850 - Oil Transportation</v>
          </cell>
        </row>
        <row r="1306">
          <cell r="D1306" t="str">
            <v>AR10GCZ850 - Oil Transportation</v>
          </cell>
        </row>
        <row r="1307">
          <cell r="D1307" t="str">
            <v>AR10GSZ850 - Oil Transportation</v>
          </cell>
        </row>
        <row r="1308">
          <cell r="D1308" t="str">
            <v>AR10CD1850 - Oil Transportation</v>
          </cell>
        </row>
        <row r="1309">
          <cell r="D1309" t="str">
            <v>AR10CD2850 - Oil Transportation</v>
          </cell>
        </row>
        <row r="1310">
          <cell r="D1310" t="str">
            <v>AR10CD3850 - Oil Transportation</v>
          </cell>
        </row>
        <row r="1311">
          <cell r="D1311" t="str">
            <v>AR10CD5850 - Oil Transportation</v>
          </cell>
        </row>
        <row r="1312">
          <cell r="D1312" t="str">
            <v>AR10CD7850 - Oil Transportation</v>
          </cell>
        </row>
        <row r="1313">
          <cell r="D1313" t="str">
            <v>AR10CD8850 - Oil Transportation</v>
          </cell>
        </row>
        <row r="1314">
          <cell r="D1314" t="str">
            <v>AR10CD9850 - Oil Transportation</v>
          </cell>
        </row>
        <row r="1315">
          <cell r="D1315" t="str">
            <v>AR10CDZ850 - Oil Transportation</v>
          </cell>
        </row>
        <row r="1316">
          <cell r="D1316" t="str">
            <v>AR10CK4850 - Oil Transportation</v>
          </cell>
        </row>
        <row r="1317">
          <cell r="D1317" t="str">
            <v>AR10ANZ850 - Oil Transportation</v>
          </cell>
        </row>
        <row r="1318">
          <cell r="D1318" t="str">
            <v>AR10SNZ850 - Oil Transportation</v>
          </cell>
        </row>
        <row r="1319">
          <cell r="D1319" t="str">
            <v>AR40LE2850 - Oil Transportation</v>
          </cell>
        </row>
        <row r="1320">
          <cell r="D1320" t="str">
            <v>AR10AEZ850 - Oil Transportation</v>
          </cell>
        </row>
        <row r="1321">
          <cell r="D1321" t="str">
            <v>AR11CNZ850 - Oil Transportation</v>
          </cell>
        </row>
        <row r="1322">
          <cell r="D1322" t="str">
            <v>AR11SAZ850 - Oil Transportation</v>
          </cell>
        </row>
        <row r="1323">
          <cell r="D1323" t="str">
            <v>AR12FUZ850 - Oil Transportation</v>
          </cell>
        </row>
        <row r="1324">
          <cell r="D1324" t="str">
            <v>AR12FMZ850 - Oil Transportation</v>
          </cell>
        </row>
        <row r="1325">
          <cell r="D1325" t="str">
            <v>AR40LA2850 - Oil Transportation</v>
          </cell>
        </row>
        <row r="1326">
          <cell r="D1326" t="str">
            <v>AR41ACZ850 - Oil Transportation</v>
          </cell>
        </row>
        <row r="1327">
          <cell r="D1327" t="str">
            <v>CL10CH1850 - Oil Transportation</v>
          </cell>
        </row>
        <row r="1328">
          <cell r="D1328" t="str">
            <v>CL10CC1850 - Oil Transportation</v>
          </cell>
        </row>
        <row r="1329">
          <cell r="D1329" t="str">
            <v>CL10CB1850 - Oil Transportation</v>
          </cell>
        </row>
        <row r="1330">
          <cell r="D1330" t="str">
            <v>AR10APZ657 - Op., Tecnal, Seg y Microinformatica</v>
          </cell>
        </row>
        <row r="1331">
          <cell r="D1331" t="str">
            <v>AR10SRZ657 - Op., Tecnal, Seg y Microinformatica</v>
          </cell>
        </row>
        <row r="1332">
          <cell r="D1332" t="str">
            <v>AR1040Z657 - Op., Tecnal, Seg y Microinformatica</v>
          </cell>
        </row>
        <row r="1333">
          <cell r="D1333" t="str">
            <v>AR1046Z657 - Op., Tecnal, Seg y Microinformatica</v>
          </cell>
        </row>
        <row r="1334">
          <cell r="D1334" t="str">
            <v>AR10BCZ657 - Op., Tecnal, Seg y Microinformatica</v>
          </cell>
        </row>
        <row r="1335">
          <cell r="D1335" t="str">
            <v>AR40LE2657 - Op., Tecnal, Seg y Microinformatica</v>
          </cell>
        </row>
        <row r="1336">
          <cell r="D1336" t="str">
            <v>AR10AEZ657 - Op., Tecnal, Seg y Microinformatica</v>
          </cell>
        </row>
        <row r="1337">
          <cell r="D1337" t="str">
            <v>AR10FEZ657 - Op., Tecnal, Seg y Microinformatica</v>
          </cell>
        </row>
        <row r="1338">
          <cell r="D1338" t="str">
            <v>AR10CEZ657 - Op., Tecnal, Seg y Microinformatica</v>
          </cell>
        </row>
        <row r="1339">
          <cell r="D1339" t="str">
            <v>AR10SEZ657 - Op., Tecnal, Seg y Microinformatica</v>
          </cell>
        </row>
        <row r="1340">
          <cell r="D1340" t="str">
            <v>AR10BAZ657 - Op., Tecnal, Seg y Microinformatica</v>
          </cell>
        </row>
        <row r="1341">
          <cell r="D1341" t="str">
            <v>AR11CAZ657 - Op., Tecnal, Seg y Microinformatica</v>
          </cell>
        </row>
        <row r="1342">
          <cell r="D1342" t="str">
            <v>AR12FUZ657 - Op., Tecnal, Seg y Microinformatica</v>
          </cell>
        </row>
        <row r="1343">
          <cell r="D1343" t="str">
            <v>AR12FMZ657 - Op., Tecnal, Seg y Microinformatica</v>
          </cell>
        </row>
        <row r="1344">
          <cell r="D1344" t="str">
            <v>AR13BSZ657 - Op., Tecnal, Seg y Microinformatica</v>
          </cell>
        </row>
        <row r="1345">
          <cell r="D1345" t="str">
            <v>AR40LA2657 - Op., Tecnal, Seg y Microinformatica</v>
          </cell>
        </row>
        <row r="1346">
          <cell r="D1346" t="str">
            <v>AR41ACZ657 - Op., Tecnal, Seg y Microinformatica</v>
          </cell>
        </row>
        <row r="1347">
          <cell r="D1347" t="str">
            <v>AR42AFZ657 - Op., Tecnal, Seg y Microinformatica</v>
          </cell>
        </row>
        <row r="1348">
          <cell r="D1348" t="str">
            <v>AR43GCZ657 - Op., Tecnal, Seg y Microinformatica</v>
          </cell>
        </row>
        <row r="1349">
          <cell r="D1349" t="str">
            <v>AR44GSZ657 - Op., Tecnal, Seg y Microinformatica</v>
          </cell>
        </row>
        <row r="1350">
          <cell r="D1350" t="str">
            <v>BO10OGZ657 - Op., Tecnal, Seg y Microinformatica</v>
          </cell>
        </row>
        <row r="1351">
          <cell r="D1351" t="str">
            <v>BO11CIZ657 - Op., Tecnal, Seg y Microinformatica</v>
          </cell>
        </row>
        <row r="1352">
          <cell r="D1352" t="str">
            <v>BO11CNZ657 - Op., Tecnal, Seg y Microinformatica</v>
          </cell>
        </row>
        <row r="1353">
          <cell r="D1353" t="str">
            <v>CL10CH1657 - Op., Tecnal, Seg y Microinformatica</v>
          </cell>
        </row>
        <row r="1354">
          <cell r="D1354" t="str">
            <v>CL10CC1657 - Op., Tecnal, Seg y Microinformatica</v>
          </cell>
        </row>
        <row r="1355">
          <cell r="D1355" t="str">
            <v>CL10CB1657 - Op., Tecnal, Seg y Microinformatica</v>
          </cell>
        </row>
        <row r="1356">
          <cell r="D1356" t="str">
            <v>AR10ANZ000 - Operación del distrito</v>
          </cell>
        </row>
        <row r="1357">
          <cell r="D1357" t="str">
            <v>AR10SNZ000 - Operación del distrito</v>
          </cell>
        </row>
        <row r="1358">
          <cell r="D1358" t="str">
            <v>AR104NZ000 - Operación del distrito</v>
          </cell>
        </row>
        <row r="1359">
          <cell r="D1359" t="str">
            <v>AR106NZ000 - Operación del distrito</v>
          </cell>
        </row>
        <row r="1360">
          <cell r="D1360" t="str">
            <v>AR10BNZ000 - Operación del distrito</v>
          </cell>
        </row>
        <row r="1361">
          <cell r="D1361" t="str">
            <v>AR11CNZ000 - Operación del distrito</v>
          </cell>
        </row>
        <row r="1362">
          <cell r="D1362" t="str">
            <v>AR10CDZ600 - Operaciones de Petróleo</v>
          </cell>
        </row>
        <row r="1363">
          <cell r="D1363" t="str">
            <v>AR10CK4600 - Operaciones de Petróleo</v>
          </cell>
        </row>
        <row r="1364">
          <cell r="D1364" t="str">
            <v>AR10AEZ600 - Operaciones de Petróleo</v>
          </cell>
        </row>
        <row r="1365">
          <cell r="D1365" t="str">
            <v>AR41ACZ600 - Operaciones de Petróleo</v>
          </cell>
        </row>
        <row r="1366">
          <cell r="D1366" t="str">
            <v>AR10CD1150 - PCP</v>
          </cell>
        </row>
        <row r="1367">
          <cell r="D1367" t="str">
            <v>AR10CD2150 - PCP</v>
          </cell>
        </row>
        <row r="1368">
          <cell r="D1368" t="str">
            <v>AR10CD3150 - PCP</v>
          </cell>
        </row>
        <row r="1369">
          <cell r="D1369" t="str">
            <v>AR10CD5150 - PCP</v>
          </cell>
        </row>
        <row r="1370">
          <cell r="D1370" t="str">
            <v>AR10CD7150 - PCP</v>
          </cell>
        </row>
        <row r="1371">
          <cell r="D1371" t="str">
            <v>AR10CD8150 - PCP</v>
          </cell>
        </row>
        <row r="1372">
          <cell r="D1372" t="str">
            <v>AR10CD9150 - PCP</v>
          </cell>
        </row>
        <row r="1373">
          <cell r="D1373" t="str">
            <v>AR10CK4150 - PCP</v>
          </cell>
        </row>
        <row r="1374">
          <cell r="D1374" t="str">
            <v>AR10ANZ150 - PCP</v>
          </cell>
        </row>
        <row r="1375">
          <cell r="D1375" t="str">
            <v>AR10SNZ150 - PCP</v>
          </cell>
        </row>
        <row r="1376">
          <cell r="D1376" t="str">
            <v>AR104NZ150 - PCP</v>
          </cell>
        </row>
        <row r="1377">
          <cell r="D1377" t="str">
            <v>AR106NZ150 - PCP</v>
          </cell>
        </row>
        <row r="1378">
          <cell r="D1378" t="str">
            <v>AR10BNZ150 - PCP</v>
          </cell>
        </row>
        <row r="1379">
          <cell r="D1379" t="str">
            <v>AR40LE1150 - PCP</v>
          </cell>
        </row>
        <row r="1380">
          <cell r="D1380" t="str">
            <v>AR40LE2150 - PCP</v>
          </cell>
        </row>
        <row r="1381">
          <cell r="D1381" t="str">
            <v>AR10AE1150 - PCP</v>
          </cell>
        </row>
        <row r="1382">
          <cell r="D1382" t="str">
            <v>AR10AE2150 - PCP</v>
          </cell>
        </row>
        <row r="1383">
          <cell r="D1383" t="str">
            <v>AR10AE3150 - PCP</v>
          </cell>
        </row>
        <row r="1384">
          <cell r="D1384" t="str">
            <v>AR10AE4150 - PCP</v>
          </cell>
        </row>
        <row r="1385">
          <cell r="D1385" t="str">
            <v>AR10AE5150 - PCP</v>
          </cell>
        </row>
        <row r="1386">
          <cell r="D1386" t="str">
            <v>AR10FEZ150 - PCP</v>
          </cell>
        </row>
        <row r="1387">
          <cell r="D1387" t="str">
            <v>AR11CNZ150 - PCP</v>
          </cell>
        </row>
        <row r="1388">
          <cell r="D1388" t="str">
            <v>AR40LA1150 - PCP</v>
          </cell>
        </row>
        <row r="1389">
          <cell r="D1389" t="str">
            <v>AR40LA2150 - PCP</v>
          </cell>
        </row>
        <row r="1390">
          <cell r="D1390" t="str">
            <v>AR41AC1150 - PCP</v>
          </cell>
        </row>
        <row r="1391">
          <cell r="D1391" t="str">
            <v>AR41AC2150 - PCP</v>
          </cell>
        </row>
        <row r="1392">
          <cell r="D1392" t="str">
            <v>AR41AC3150 - PCP</v>
          </cell>
        </row>
        <row r="1393">
          <cell r="D1393" t="str">
            <v>AR41AC4150 - PCP</v>
          </cell>
        </row>
        <row r="1394">
          <cell r="D1394" t="str">
            <v>AR41AC5150 - PCP</v>
          </cell>
        </row>
        <row r="1395">
          <cell r="D1395" t="str">
            <v>AR42AFZ150 - PCP</v>
          </cell>
        </row>
        <row r="1396">
          <cell r="D1396" t="str">
            <v>BO11CIZ150 - PCP</v>
          </cell>
        </row>
        <row r="1397">
          <cell r="D1397" t="str">
            <v>BO11CNZ150 - PCP</v>
          </cell>
        </row>
        <row r="1398">
          <cell r="D1398" t="str">
            <v>CL10CH1150 - PCP</v>
          </cell>
        </row>
        <row r="1399">
          <cell r="D1399" t="str">
            <v>CL10CC1150 - PCP</v>
          </cell>
        </row>
        <row r="1400">
          <cell r="D1400" t="str">
            <v>CL10CB1150 - PCP</v>
          </cell>
        </row>
        <row r="1401">
          <cell r="D1401" t="str">
            <v>AR10APZ685 - Perforación</v>
          </cell>
        </row>
        <row r="1402">
          <cell r="D1402" t="str">
            <v>AR10SRZ685 - Perforación</v>
          </cell>
        </row>
        <row r="1403">
          <cell r="D1403" t="str">
            <v>AR1040Z685 - Perforación</v>
          </cell>
        </row>
        <row r="1404">
          <cell r="D1404" t="str">
            <v>AR1046Z685 - Perforación</v>
          </cell>
        </row>
        <row r="1405">
          <cell r="D1405" t="str">
            <v>AR10BCZ685 - Perforación</v>
          </cell>
        </row>
        <row r="1406">
          <cell r="D1406" t="str">
            <v>AR10ANZ680 - Perforación</v>
          </cell>
        </row>
        <row r="1407">
          <cell r="D1407" t="str">
            <v>AR10SNZ680 - Perforación</v>
          </cell>
        </row>
        <row r="1408">
          <cell r="D1408" t="str">
            <v>AR104NZ680 - Perforación</v>
          </cell>
        </row>
        <row r="1409">
          <cell r="D1409" t="str">
            <v>AR106NZ680 - Perforación</v>
          </cell>
        </row>
        <row r="1410">
          <cell r="D1410" t="str">
            <v>AR10BNZ680 - Perforación</v>
          </cell>
        </row>
        <row r="1411">
          <cell r="D1411" t="str">
            <v>AR40LE2685 - Perforación</v>
          </cell>
        </row>
        <row r="1412">
          <cell r="D1412" t="str">
            <v>AR10AEZ685 - Perforación</v>
          </cell>
        </row>
        <row r="1413">
          <cell r="D1413" t="str">
            <v>AR10FEZ685 - Perforación</v>
          </cell>
        </row>
        <row r="1414">
          <cell r="D1414" t="str">
            <v>AR10CEZ685 - Perforación</v>
          </cell>
        </row>
        <row r="1415">
          <cell r="D1415" t="str">
            <v>AR10SEZ685 - Perforación</v>
          </cell>
        </row>
        <row r="1416">
          <cell r="D1416" t="str">
            <v>AR10BAZ685 - Perforación</v>
          </cell>
        </row>
        <row r="1417">
          <cell r="D1417" t="str">
            <v>AR11CAZ685 - Perforación</v>
          </cell>
        </row>
        <row r="1418">
          <cell r="D1418" t="str">
            <v>AR11CNZ680 - Perforación</v>
          </cell>
        </row>
        <row r="1419">
          <cell r="D1419" t="str">
            <v>AR11SAZ680 - Perforación</v>
          </cell>
        </row>
        <row r="1420">
          <cell r="D1420" t="str">
            <v>AR12FUZ685 - Perforación</v>
          </cell>
        </row>
        <row r="1421">
          <cell r="D1421" t="str">
            <v>AR12FMZ685 - Perforación</v>
          </cell>
        </row>
        <row r="1422">
          <cell r="D1422" t="str">
            <v>AR13BSZ685 - Perforación</v>
          </cell>
        </row>
        <row r="1423">
          <cell r="D1423" t="str">
            <v>AR40LA2685 - Perforación</v>
          </cell>
        </row>
        <row r="1424">
          <cell r="D1424" t="str">
            <v>AR41ACZ685 - Perforación</v>
          </cell>
        </row>
        <row r="1425">
          <cell r="D1425" t="str">
            <v>AR42AFZ685 - Perforación</v>
          </cell>
        </row>
        <row r="1426">
          <cell r="D1426" t="str">
            <v>AR43GCZ685 - Perforación</v>
          </cell>
        </row>
        <row r="1427">
          <cell r="D1427" t="str">
            <v>AR44GSZ685 - Perforación</v>
          </cell>
        </row>
        <row r="1428">
          <cell r="D1428" t="str">
            <v>BO10OGZ685 - Perforación</v>
          </cell>
        </row>
        <row r="1429">
          <cell r="D1429" t="str">
            <v>BO11CIZ685 - Perforación</v>
          </cell>
        </row>
        <row r="1430">
          <cell r="D1430" t="str">
            <v>BO11CNZ685 - Perforación</v>
          </cell>
        </row>
        <row r="1431">
          <cell r="D1431" t="str">
            <v>CL10CH1685 - Perforación</v>
          </cell>
        </row>
        <row r="1432">
          <cell r="D1432" t="str">
            <v>CL10CC1685 - Perforación</v>
          </cell>
        </row>
        <row r="1433">
          <cell r="D1433" t="str">
            <v>CL10CB1685 - Perforación</v>
          </cell>
        </row>
        <row r="1434">
          <cell r="D1434" t="str">
            <v>AR10APZ605 - Perforacion y Completación</v>
          </cell>
        </row>
        <row r="1435">
          <cell r="D1435" t="str">
            <v>AR10SRZ605 - Perforacion y Completación</v>
          </cell>
        </row>
        <row r="1436">
          <cell r="D1436" t="str">
            <v>AR1040Z605 - Perforacion y Completación</v>
          </cell>
        </row>
        <row r="1437">
          <cell r="D1437" t="str">
            <v>AR1046Z605 - Perforacion y Completación</v>
          </cell>
        </row>
        <row r="1438">
          <cell r="D1438" t="str">
            <v>AR10BCZ605 - Perforacion y Completación</v>
          </cell>
        </row>
        <row r="1439">
          <cell r="D1439" t="str">
            <v>AR10CDZ605 - Perforacion y Completación</v>
          </cell>
        </row>
        <row r="1440">
          <cell r="D1440" t="str">
            <v>AR10CK4605 - Perforacion y Completación</v>
          </cell>
        </row>
        <row r="1441">
          <cell r="D1441" t="str">
            <v>AR40LE2605 - Perforacion y Completación</v>
          </cell>
        </row>
        <row r="1442">
          <cell r="D1442" t="str">
            <v>AR10AEZ605 - Perforacion y Completación</v>
          </cell>
        </row>
        <row r="1443">
          <cell r="D1443" t="str">
            <v>AR10FEZ605 - Perforacion y Completación</v>
          </cell>
        </row>
        <row r="1444">
          <cell r="D1444" t="str">
            <v>AR10CEZ605 - Perforacion y Completación</v>
          </cell>
        </row>
        <row r="1445">
          <cell r="D1445" t="str">
            <v>AR10SEZ605 - Perforacion y Completación</v>
          </cell>
        </row>
        <row r="1446">
          <cell r="D1446" t="str">
            <v>AR11CAZ605 - Perforacion y Completación</v>
          </cell>
        </row>
        <row r="1447">
          <cell r="D1447" t="str">
            <v>AR40LA2605 - Perforacion y Completación</v>
          </cell>
        </row>
        <row r="1448">
          <cell r="D1448" t="str">
            <v>AR41ACZ605 - Perforacion y Completación</v>
          </cell>
        </row>
        <row r="1449">
          <cell r="D1449" t="str">
            <v>AR42AFZ605 - Perforacion y Completación</v>
          </cell>
        </row>
        <row r="1450">
          <cell r="D1450" t="str">
            <v>AR43GCZ605 - Perforacion y Completación</v>
          </cell>
        </row>
        <row r="1451">
          <cell r="D1451" t="str">
            <v>AR44GSZ605 - Perforacion y Completación</v>
          </cell>
        </row>
        <row r="1452">
          <cell r="D1452" t="str">
            <v>BO10OGZ605 - Perforacion y Completación</v>
          </cell>
        </row>
        <row r="1453">
          <cell r="D1453" t="str">
            <v>BO11CIZ605 - Perforacion y Completación</v>
          </cell>
        </row>
        <row r="1454">
          <cell r="D1454" t="str">
            <v>BO11CNZ605 - Perforacion y Completación</v>
          </cell>
        </row>
        <row r="1455">
          <cell r="D1455" t="str">
            <v>CL10CH1605 - Perforacion y Completación</v>
          </cell>
        </row>
        <row r="1456">
          <cell r="D1456" t="str">
            <v>CL10CC1605 - Perforacion y Completación</v>
          </cell>
        </row>
        <row r="1457">
          <cell r="D1457" t="str">
            <v>CL10CB1605 - Perforacion y Completación</v>
          </cell>
        </row>
        <row r="1458">
          <cell r="D1458" t="str">
            <v>AR10APZ610 - Planeam. Econ. &amp; Ev. Negocios</v>
          </cell>
        </row>
        <row r="1459">
          <cell r="D1459" t="str">
            <v>AR10SRZ610 - Planeam. Econ. &amp; Ev. Negocios</v>
          </cell>
        </row>
        <row r="1460">
          <cell r="D1460" t="str">
            <v>AR1040Z610 - Planeam. Econ. &amp; Ev. Negocios</v>
          </cell>
        </row>
        <row r="1461">
          <cell r="D1461" t="str">
            <v>AR1046Z610 - Planeam. Econ. &amp; Ev. Negocios</v>
          </cell>
        </row>
        <row r="1462">
          <cell r="D1462" t="str">
            <v>AR10BCZ610 - Planeam. Econ. &amp; Ev. Negocios</v>
          </cell>
        </row>
        <row r="1463">
          <cell r="D1463" t="str">
            <v>AR10CDZ610 - Planeam. Econ. &amp; Ev. Negocios</v>
          </cell>
        </row>
        <row r="1464">
          <cell r="D1464" t="str">
            <v>AR10CK4610 - Planeam. Econ. &amp; Ev. Negocios</v>
          </cell>
        </row>
        <row r="1465">
          <cell r="D1465" t="str">
            <v>AR10ANZ610 - Planeam. Econ. &amp; Ev. Negocios</v>
          </cell>
        </row>
        <row r="1466">
          <cell r="D1466" t="str">
            <v>AR10SNZ610 - Planeam. Econ. &amp; Ev. Negocios</v>
          </cell>
        </row>
        <row r="1467">
          <cell r="D1467" t="str">
            <v>AR104NZ610 - Planeam. Econ. &amp; Ev. Negocios</v>
          </cell>
        </row>
        <row r="1468">
          <cell r="D1468" t="str">
            <v>AR106NZ610 - Planeam. Econ. &amp; Ev. Negocios</v>
          </cell>
        </row>
        <row r="1469">
          <cell r="D1469" t="str">
            <v>AR10BNZ610 - Planeam. Econ. &amp; Ev. Negocios</v>
          </cell>
        </row>
        <row r="1470">
          <cell r="D1470" t="str">
            <v>AR40LE2610 - Planeam. Econ. &amp; Ev. Negocios</v>
          </cell>
        </row>
        <row r="1471">
          <cell r="D1471" t="str">
            <v>AR10AEZ610 - Planeam. Econ. &amp; Ev. Negocios</v>
          </cell>
        </row>
        <row r="1472">
          <cell r="D1472" t="str">
            <v>AR10FEZ610 - Planeam. Econ. &amp; Ev. Negocios</v>
          </cell>
        </row>
        <row r="1473">
          <cell r="D1473" t="str">
            <v>AR10CEZ610 - Planeam. Econ. &amp; Ev. Negocios</v>
          </cell>
        </row>
        <row r="1474">
          <cell r="D1474" t="str">
            <v>AR10SEZ610 - Planeam. Econ. &amp; Ev. Negocios</v>
          </cell>
        </row>
        <row r="1475">
          <cell r="D1475" t="str">
            <v>AR10BAZ610 - Planeam. Econ. &amp; Ev. Negocios</v>
          </cell>
        </row>
        <row r="1476">
          <cell r="D1476" t="str">
            <v>AR11CAZ610 - Planeam. Econ. &amp; Ev. Negocios</v>
          </cell>
        </row>
        <row r="1477">
          <cell r="D1477" t="str">
            <v>AR11CNZ610 - Planeam. Econ. &amp; Ev. Negocios</v>
          </cell>
        </row>
        <row r="1478">
          <cell r="D1478" t="str">
            <v>AR11SAZ610 - Planeam. Econ. &amp; Ev. Negocios</v>
          </cell>
        </row>
        <row r="1479">
          <cell r="D1479" t="str">
            <v>AR12FUZ610 - Planeam. Econ. &amp; Ev. Negocios</v>
          </cell>
        </row>
        <row r="1480">
          <cell r="D1480" t="str">
            <v>AR12FMZ610 - Planeam. Econ. &amp; Ev. Negocios</v>
          </cell>
        </row>
        <row r="1481">
          <cell r="D1481" t="str">
            <v>AR13BSZ610 - Planeam. Econ. &amp; Ev. Negocios</v>
          </cell>
        </row>
        <row r="1482">
          <cell r="D1482" t="str">
            <v>AR40LA2610 - Planeam. Econ. &amp; Ev. Negocios</v>
          </cell>
        </row>
        <row r="1483">
          <cell r="D1483" t="str">
            <v>AR41ACZ610 - Planeam. Econ. &amp; Ev. Negocios</v>
          </cell>
        </row>
        <row r="1484">
          <cell r="D1484" t="str">
            <v>AR42AFZ610 - Planeam. Econ. &amp; Ev. Negocios</v>
          </cell>
        </row>
        <row r="1485">
          <cell r="D1485" t="str">
            <v>AR43GCZ610 - Planeam. Econ. &amp; Ev. Negocios</v>
          </cell>
        </row>
        <row r="1486">
          <cell r="D1486" t="str">
            <v>AR44GSZ610 - Planeam. Econ. &amp; Ev. Negocios</v>
          </cell>
        </row>
        <row r="1487">
          <cell r="D1487" t="str">
            <v>BO10OGZ610 - Planeam. Econ. &amp; Ev. Negocios</v>
          </cell>
        </row>
        <row r="1488">
          <cell r="D1488" t="str">
            <v>BO11CIZ610 - Planeam. Econ. &amp; Ev. Negocios</v>
          </cell>
        </row>
        <row r="1489">
          <cell r="D1489" t="str">
            <v>BO11CNZ610 - Planeam. Econ. &amp; Ev. Negocios</v>
          </cell>
        </row>
        <row r="1490">
          <cell r="D1490" t="str">
            <v>CL10CH1610 - Planeam. Econ. &amp; Ev. Negocios</v>
          </cell>
        </row>
        <row r="1491">
          <cell r="D1491" t="str">
            <v>CL10CC1610 - Planeam. Econ. &amp; Ev. Negocios</v>
          </cell>
        </row>
        <row r="1492">
          <cell r="D1492" t="str">
            <v>CL10CB1610 - Planeam. Econ. &amp; Ev. Negocios</v>
          </cell>
        </row>
        <row r="1493">
          <cell r="D1493" t="str">
            <v>AR10CD1170 - Plunger lift</v>
          </cell>
        </row>
        <row r="1494">
          <cell r="D1494" t="str">
            <v>AR10CD2170 - Plunger lift</v>
          </cell>
        </row>
        <row r="1495">
          <cell r="D1495" t="str">
            <v>AR10CD3170 - Plunger lift</v>
          </cell>
        </row>
        <row r="1496">
          <cell r="D1496" t="str">
            <v>AR10CD5170 - Plunger lift</v>
          </cell>
        </row>
        <row r="1497">
          <cell r="D1497" t="str">
            <v>AR10CD7170 - Plunger lift</v>
          </cell>
        </row>
        <row r="1498">
          <cell r="D1498" t="str">
            <v>AR10CD8170 - Plunger lift</v>
          </cell>
        </row>
        <row r="1499">
          <cell r="D1499" t="str">
            <v>AR10CD9170 - Plunger lift</v>
          </cell>
        </row>
        <row r="1500">
          <cell r="D1500" t="str">
            <v>AR10CK4170 - Plunger lift</v>
          </cell>
        </row>
        <row r="1501">
          <cell r="D1501" t="str">
            <v>AR10ANZ170 - Plunger lift</v>
          </cell>
        </row>
        <row r="1502">
          <cell r="D1502" t="str">
            <v>AR10SNZ170 - Plunger lift</v>
          </cell>
        </row>
        <row r="1503">
          <cell r="D1503" t="str">
            <v>AR104NZ170 - Plunger lift</v>
          </cell>
        </row>
        <row r="1504">
          <cell r="D1504" t="str">
            <v>AR106NZ170 - Plunger lift</v>
          </cell>
        </row>
        <row r="1505">
          <cell r="D1505" t="str">
            <v>AR10BNZ170 - Plunger lift</v>
          </cell>
        </row>
        <row r="1506">
          <cell r="D1506" t="str">
            <v>AR40LE1170 - Plunger lift</v>
          </cell>
        </row>
        <row r="1507">
          <cell r="D1507" t="str">
            <v>AR40LE2170 - Plunger lift</v>
          </cell>
        </row>
        <row r="1508">
          <cell r="D1508" t="str">
            <v>AR10AE1170 - Plunger lift</v>
          </cell>
        </row>
        <row r="1509">
          <cell r="D1509" t="str">
            <v>AR10AE2170 - Plunger lift</v>
          </cell>
        </row>
        <row r="1510">
          <cell r="D1510" t="str">
            <v>AR10AE3170 - Plunger lift</v>
          </cell>
        </row>
        <row r="1511">
          <cell r="D1511" t="str">
            <v>AR10AE4170 - Plunger lift</v>
          </cell>
        </row>
        <row r="1512">
          <cell r="D1512" t="str">
            <v>AR10AE5170 - Plunger lift</v>
          </cell>
        </row>
        <row r="1513">
          <cell r="D1513" t="str">
            <v>AR10FEZ170 - Plunger lift</v>
          </cell>
        </row>
        <row r="1514">
          <cell r="D1514" t="str">
            <v>AR11CNZ170 - Plunger lift</v>
          </cell>
        </row>
        <row r="1515">
          <cell r="D1515" t="str">
            <v>AR40LA1170 - Plunger lift</v>
          </cell>
        </row>
        <row r="1516">
          <cell r="D1516" t="str">
            <v>AR40LA2170 - Plunger lift</v>
          </cell>
        </row>
        <row r="1517">
          <cell r="D1517" t="str">
            <v>AR41AC1170 - Plunger lift</v>
          </cell>
        </row>
        <row r="1518">
          <cell r="D1518" t="str">
            <v>AR41AC2170 - Plunger lift</v>
          </cell>
        </row>
        <row r="1519">
          <cell r="D1519" t="str">
            <v>AR41AC3170 - Plunger lift</v>
          </cell>
        </row>
        <row r="1520">
          <cell r="D1520" t="str">
            <v>AR41AC4170 - Plunger lift</v>
          </cell>
        </row>
        <row r="1521">
          <cell r="D1521" t="str">
            <v>AR41AC5170 - Plunger lift</v>
          </cell>
        </row>
        <row r="1522">
          <cell r="D1522" t="str">
            <v>AR42AFZ170 - Plunger lift</v>
          </cell>
        </row>
        <row r="1523">
          <cell r="D1523" t="str">
            <v>BO11CIZ170 - Plunger lift</v>
          </cell>
        </row>
        <row r="1524">
          <cell r="D1524" t="str">
            <v>BO11CNZ170 - Plunger lift</v>
          </cell>
        </row>
        <row r="1525">
          <cell r="D1525" t="str">
            <v>CL10CH1170 - Plunger lift</v>
          </cell>
        </row>
        <row r="1526">
          <cell r="D1526" t="str">
            <v>CL10CC1170 - Plunger lift</v>
          </cell>
        </row>
        <row r="1527">
          <cell r="D1527" t="str">
            <v>CL10CB1170 - Plunger lift</v>
          </cell>
        </row>
        <row r="1528">
          <cell r="D1528" t="str">
            <v>AR10CDZ615 - Prensa</v>
          </cell>
        </row>
        <row r="1529">
          <cell r="D1529" t="str">
            <v>AR10CK4615 - Prensa</v>
          </cell>
        </row>
        <row r="1530">
          <cell r="D1530" t="str">
            <v>AR40LE2615 - Prensa</v>
          </cell>
        </row>
        <row r="1531">
          <cell r="D1531" t="str">
            <v>AR10AEZ615 - Prensa</v>
          </cell>
        </row>
        <row r="1532">
          <cell r="D1532" t="str">
            <v>AR10FEZ615 - Prensa</v>
          </cell>
        </row>
        <row r="1533">
          <cell r="D1533" t="str">
            <v>AR10CEZ615 - Prensa</v>
          </cell>
        </row>
        <row r="1534">
          <cell r="D1534" t="str">
            <v>AR10SEZ615 - Prensa</v>
          </cell>
        </row>
        <row r="1535">
          <cell r="D1535" t="str">
            <v>AR11CAZ615 - Prensa</v>
          </cell>
        </row>
        <row r="1536">
          <cell r="D1536" t="str">
            <v>AR40LA2615 - Prensa</v>
          </cell>
        </row>
        <row r="1537">
          <cell r="D1537" t="str">
            <v>AR41ACZ615 - Prensa</v>
          </cell>
        </row>
        <row r="1538">
          <cell r="D1538" t="str">
            <v>AR42AFZ615 - Prensa</v>
          </cell>
        </row>
        <row r="1539">
          <cell r="D1539" t="str">
            <v>AR43GCZ615 - Prensa</v>
          </cell>
        </row>
        <row r="1540">
          <cell r="D1540" t="str">
            <v>AR44GSZ615 - Prensa</v>
          </cell>
        </row>
        <row r="1541">
          <cell r="D1541" t="str">
            <v>BO10OGZ615 - Prensa</v>
          </cell>
        </row>
        <row r="1542">
          <cell r="D1542" t="str">
            <v>BO11CIZ615 - Prensa</v>
          </cell>
        </row>
        <row r="1543">
          <cell r="D1543" t="str">
            <v>BO11CNZ615 - Prensa</v>
          </cell>
        </row>
        <row r="1544">
          <cell r="D1544" t="str">
            <v>CL10CH1615 - Prensa</v>
          </cell>
        </row>
        <row r="1545">
          <cell r="D1545" t="str">
            <v>CL10CC1615 - Prensa</v>
          </cell>
        </row>
        <row r="1546">
          <cell r="D1546" t="str">
            <v>CL10CB1615 - Prensa</v>
          </cell>
        </row>
        <row r="1547">
          <cell r="D1547" t="str">
            <v>AR10CD1000 - Programación y operación gral. Distrito</v>
          </cell>
        </row>
        <row r="1548">
          <cell r="D1548" t="str">
            <v>AR10CD2000 - Programación y operación gral. Distrito</v>
          </cell>
        </row>
        <row r="1549">
          <cell r="D1549" t="str">
            <v>AR10CD3000 - Programación y operación gral. Distrito</v>
          </cell>
        </row>
        <row r="1550">
          <cell r="D1550" t="str">
            <v>AR10CD5000 - Programación y operación gral. Distrito</v>
          </cell>
        </row>
        <row r="1551">
          <cell r="D1551" t="str">
            <v>AR10CD7000 - Programación y operación gral. Distrito</v>
          </cell>
        </row>
        <row r="1552">
          <cell r="D1552" t="str">
            <v>AR10CD8000 - Programación y operación gral. Distrito</v>
          </cell>
        </row>
        <row r="1553">
          <cell r="D1553" t="str">
            <v>AR10CD9000 - Programación y operación gral. Distrito</v>
          </cell>
        </row>
        <row r="1554">
          <cell r="D1554" t="str">
            <v>AR10CDE000 - Programación y operación gral. Distrito</v>
          </cell>
        </row>
        <row r="1555">
          <cell r="D1555" t="str">
            <v>AR10CDP000 - Programación y operación gral. Distrito</v>
          </cell>
        </row>
        <row r="1556">
          <cell r="D1556" t="str">
            <v>AR10CDZ000 - Programación y operación gral. Distrito</v>
          </cell>
        </row>
        <row r="1557">
          <cell r="D1557" t="str">
            <v>AR10CK4000 - Programación y operación gral. Distrito</v>
          </cell>
        </row>
        <row r="1558">
          <cell r="D1558" t="str">
            <v>AR40LE1000 - Programación y operación gral. Distrito</v>
          </cell>
        </row>
        <row r="1559">
          <cell r="D1559" t="str">
            <v>AR40LE2000 - Programación y operación gral. Distrito</v>
          </cell>
        </row>
        <row r="1560">
          <cell r="D1560" t="str">
            <v>AR40LE2000 - Programación y operación gral. Distrito</v>
          </cell>
        </row>
        <row r="1561">
          <cell r="D1561" t="str">
            <v>AR10AE1000 - Programación y operación gral. Distrito</v>
          </cell>
        </row>
        <row r="1562">
          <cell r="D1562" t="str">
            <v>AR10AE2000 - Programación y operación gral. Distrito</v>
          </cell>
        </row>
        <row r="1563">
          <cell r="D1563" t="str">
            <v>AR10AE3000 - Programación y operación gral. Distrito</v>
          </cell>
        </row>
        <row r="1564">
          <cell r="D1564" t="str">
            <v>AR10AE4000 - Programación y operación gral. Distrito</v>
          </cell>
        </row>
        <row r="1565">
          <cell r="D1565" t="str">
            <v>AR10AE5000 - Programación y operación gral. Distrito</v>
          </cell>
        </row>
        <row r="1566">
          <cell r="D1566" t="str">
            <v>AR10FEZ000 - Programación y operación gral. Distrito</v>
          </cell>
        </row>
        <row r="1567">
          <cell r="D1567" t="str">
            <v>AR40LA1000 - Programación y operación gral. Distrito</v>
          </cell>
        </row>
        <row r="1568">
          <cell r="D1568" t="str">
            <v>AR40LA2000 - Programación y operación gral. Distrito</v>
          </cell>
        </row>
        <row r="1569">
          <cell r="D1569" t="str">
            <v>AR40LA2000 - Programación y operación gral. Distrito</v>
          </cell>
        </row>
        <row r="1570">
          <cell r="D1570" t="str">
            <v>AR41AC1000 - Programación y operación gral. Distrito</v>
          </cell>
        </row>
        <row r="1571">
          <cell r="D1571" t="str">
            <v>AR41AC2000 - Programación y operación gral. Distrito</v>
          </cell>
        </row>
        <row r="1572">
          <cell r="D1572" t="str">
            <v>AR41AC3000 - Programación y operación gral. Distrito</v>
          </cell>
        </row>
        <row r="1573">
          <cell r="D1573" t="str">
            <v>AR41AC4000 - Programación y operación gral. Distrito</v>
          </cell>
        </row>
        <row r="1574">
          <cell r="D1574" t="str">
            <v>AR41AC5000 - Programación y operación gral. Distrito</v>
          </cell>
        </row>
        <row r="1575">
          <cell r="D1575" t="str">
            <v>AR42AFZ000 - Programación y operación gral. Distrito</v>
          </cell>
        </row>
        <row r="1576">
          <cell r="D1576" t="str">
            <v>BO11CIZ000 - Programación y operación gral. Distrito</v>
          </cell>
        </row>
        <row r="1577">
          <cell r="D1577" t="str">
            <v>BO11CNZ000 - Programación y operación gral. Distrito</v>
          </cell>
        </row>
        <row r="1578">
          <cell r="D1578" t="str">
            <v>CL10CH1000 - Programación y operación gral. Distrito</v>
          </cell>
        </row>
        <row r="1579">
          <cell r="D1579" t="str">
            <v>CL10CC1000 - Programación y operación gral. Distrito</v>
          </cell>
        </row>
        <row r="1580">
          <cell r="D1580" t="str">
            <v>CL10CB1000 - Programación y operación gral. Distrito</v>
          </cell>
        </row>
        <row r="1581">
          <cell r="D1581" t="str">
            <v>AR10CDZ620 - Proyectos y Obras (GPI)</v>
          </cell>
        </row>
        <row r="1582">
          <cell r="D1582" t="str">
            <v>AR10CK4620 - Proyectos y Obras (GPI)</v>
          </cell>
        </row>
        <row r="1583">
          <cell r="D1583" t="str">
            <v>AR10CDZ625 - Recursos Humanos</v>
          </cell>
        </row>
        <row r="1584">
          <cell r="D1584" t="str">
            <v>AR10CK4625 - Recursos Humanos</v>
          </cell>
        </row>
        <row r="1585">
          <cell r="D1585" t="str">
            <v>AR10ANZ625 - Recursos Humanos</v>
          </cell>
        </row>
        <row r="1586">
          <cell r="D1586" t="str">
            <v>AR10SNZ625 - Recursos Humanos</v>
          </cell>
        </row>
        <row r="1587">
          <cell r="D1587" t="str">
            <v>AR104NZ625 - Recursos Humanos</v>
          </cell>
        </row>
        <row r="1588">
          <cell r="D1588" t="str">
            <v>AR106NZ625 - Recursos Humanos</v>
          </cell>
        </row>
        <row r="1589">
          <cell r="D1589" t="str">
            <v>AR10BNZ625 - Recursos Humanos</v>
          </cell>
        </row>
        <row r="1590">
          <cell r="D1590" t="str">
            <v>AR40LE2625 - Recursos Humanos</v>
          </cell>
        </row>
        <row r="1591">
          <cell r="D1591" t="str">
            <v>AR10AEZ625 - Recursos Humanos</v>
          </cell>
        </row>
        <row r="1592">
          <cell r="D1592" t="str">
            <v>AR10FEZ625 - Recursos Humanos</v>
          </cell>
        </row>
        <row r="1593">
          <cell r="D1593" t="str">
            <v>AR10CEZ625 - Recursos Humanos</v>
          </cell>
        </row>
        <row r="1594">
          <cell r="D1594" t="str">
            <v>AR10SEZ625 - Recursos Humanos</v>
          </cell>
        </row>
        <row r="1595">
          <cell r="D1595" t="str">
            <v>AR10BAZ625 - Recursos Humanos</v>
          </cell>
        </row>
        <row r="1596">
          <cell r="D1596" t="str">
            <v>AR11CAZ625 - Recursos Humanos</v>
          </cell>
        </row>
        <row r="1597">
          <cell r="D1597" t="str">
            <v>AR11CNZ625 - Recursos Humanos</v>
          </cell>
        </row>
        <row r="1598">
          <cell r="D1598" t="str">
            <v>AR11SAZ625 - Recursos Humanos</v>
          </cell>
        </row>
        <row r="1599">
          <cell r="D1599" t="str">
            <v>AR40LA2625 - Recursos Humanos</v>
          </cell>
        </row>
        <row r="1600">
          <cell r="D1600" t="str">
            <v>AR41ACZ625 - Recursos Humanos</v>
          </cell>
        </row>
        <row r="1601">
          <cell r="D1601" t="str">
            <v>AR42AFZ625 - Recursos Humanos</v>
          </cell>
        </row>
        <row r="1602">
          <cell r="D1602" t="str">
            <v>AR43GCZ625 - Recursos Humanos</v>
          </cell>
        </row>
        <row r="1603">
          <cell r="D1603" t="str">
            <v>AR44GSZ625 - Recursos Humanos</v>
          </cell>
        </row>
        <row r="1604">
          <cell r="D1604" t="str">
            <v>BO10OGZ625 - Recursos Humanos</v>
          </cell>
        </row>
        <row r="1605">
          <cell r="D1605" t="str">
            <v>BO11CIZ625 - Recursos Humanos</v>
          </cell>
        </row>
        <row r="1606">
          <cell r="D1606" t="str">
            <v>BO11CNZ625 - Recursos Humanos</v>
          </cell>
        </row>
        <row r="1607">
          <cell r="D1607" t="str">
            <v>CL10CH1625 - Recursos Humanos</v>
          </cell>
        </row>
        <row r="1608">
          <cell r="D1608" t="str">
            <v>CL10CC1625 - Recursos Humanos</v>
          </cell>
        </row>
        <row r="1609">
          <cell r="D1609" t="str">
            <v>CL10CB1625 - Recursos Humanos</v>
          </cell>
        </row>
        <row r="1610">
          <cell r="D1610" t="str">
            <v>AR10CDZ630 - Relaciones Laborales</v>
          </cell>
        </row>
        <row r="1611">
          <cell r="D1611" t="str">
            <v>AR10CK4630 - Relaciones Laborales</v>
          </cell>
        </row>
        <row r="1612">
          <cell r="D1612" t="str">
            <v>AR40LE2630 - Relaciones Laborales</v>
          </cell>
        </row>
        <row r="1613">
          <cell r="D1613" t="str">
            <v>AR10AEZ630 - Relaciones Laborales</v>
          </cell>
        </row>
        <row r="1614">
          <cell r="D1614" t="str">
            <v>AR10FEZ630 - Relaciones Laborales</v>
          </cell>
        </row>
        <row r="1615">
          <cell r="D1615" t="str">
            <v>AR10CEZ630 - Relaciones Laborales</v>
          </cell>
        </row>
        <row r="1616">
          <cell r="D1616" t="str">
            <v>AR10SEZ630 - Relaciones Laborales</v>
          </cell>
        </row>
        <row r="1617">
          <cell r="D1617" t="str">
            <v>AR10BAZ630 - Relaciones Laborales</v>
          </cell>
        </row>
        <row r="1618">
          <cell r="D1618" t="str">
            <v>AR11CAZ630 - Relaciones Laborales</v>
          </cell>
        </row>
        <row r="1619">
          <cell r="D1619" t="str">
            <v>AR40LA2630 - Relaciones Laborales</v>
          </cell>
        </row>
        <row r="1620">
          <cell r="D1620" t="str">
            <v>AR41ACZ630 - Relaciones Laborales</v>
          </cell>
        </row>
        <row r="1621">
          <cell r="D1621" t="str">
            <v>AR42AFZ630 - Relaciones Laborales</v>
          </cell>
        </row>
        <row r="1622">
          <cell r="D1622" t="str">
            <v>AR43GCZ630 - Relaciones Laborales</v>
          </cell>
        </row>
        <row r="1623">
          <cell r="D1623" t="str">
            <v>AR44GSZ630 - Relaciones Laborales</v>
          </cell>
        </row>
        <row r="1624">
          <cell r="D1624" t="str">
            <v>BO10OGZ630 - Relaciones Laborales</v>
          </cell>
        </row>
        <row r="1625">
          <cell r="D1625" t="str">
            <v>BO11CIZ630 - Relaciones Laborales</v>
          </cell>
        </row>
        <row r="1626">
          <cell r="D1626" t="str">
            <v>BO11CNZ630 - Relaciones Laborales</v>
          </cell>
        </row>
        <row r="1627">
          <cell r="D1627" t="str">
            <v>CL10CH1630 - Relaciones Laborales</v>
          </cell>
        </row>
        <row r="1628">
          <cell r="D1628" t="str">
            <v>CL10CC1630 - Relaciones Laborales</v>
          </cell>
        </row>
        <row r="1629">
          <cell r="D1629" t="str">
            <v>CL10CB1630 - Relaciones Laborales</v>
          </cell>
        </row>
        <row r="1630">
          <cell r="D1630" t="str">
            <v>AR10CD1800 - Remediación ambiental</v>
          </cell>
        </row>
        <row r="1631">
          <cell r="D1631" t="str">
            <v>AR10CD2800 - Remediación ambiental</v>
          </cell>
        </row>
        <row r="1632">
          <cell r="D1632" t="str">
            <v>AR10CD3800 - Remediación ambiental</v>
          </cell>
        </row>
        <row r="1633">
          <cell r="D1633" t="str">
            <v>AR10CD5800 - Remediación ambiental</v>
          </cell>
        </row>
        <row r="1634">
          <cell r="D1634" t="str">
            <v>AR10CD7800 - Remediación ambiental</v>
          </cell>
        </row>
        <row r="1635">
          <cell r="D1635" t="str">
            <v>AR10CD8800 - Remediación ambiental</v>
          </cell>
        </row>
        <row r="1636">
          <cell r="D1636" t="str">
            <v>AR10CD9800 - Remediación ambiental</v>
          </cell>
        </row>
        <row r="1637">
          <cell r="D1637" t="str">
            <v>AR10CDE800 - Remediación ambiental</v>
          </cell>
        </row>
        <row r="1638">
          <cell r="D1638" t="str">
            <v>AR10CDP800 - Remediación ambiental</v>
          </cell>
        </row>
        <row r="1639">
          <cell r="D1639" t="str">
            <v>AR10CDZ800 - Remediación ambiental</v>
          </cell>
        </row>
        <row r="1640">
          <cell r="D1640" t="str">
            <v>AR10CK4800 - Remediación ambiental</v>
          </cell>
        </row>
        <row r="1641">
          <cell r="D1641" t="str">
            <v>AR10ANZ800 - Remediación ambiental</v>
          </cell>
        </row>
        <row r="1642">
          <cell r="D1642" t="str">
            <v>AR10SNZ800 - Remediación ambiental</v>
          </cell>
        </row>
        <row r="1643">
          <cell r="D1643" t="str">
            <v>AR10SNZ800 - Remediación ambiental</v>
          </cell>
        </row>
        <row r="1644">
          <cell r="D1644" t="str">
            <v>AR106NZ800 - Remediación ambiental</v>
          </cell>
        </row>
        <row r="1645">
          <cell r="D1645" t="str">
            <v>AR10BNZ800 - Remediación ambiental</v>
          </cell>
        </row>
        <row r="1646">
          <cell r="D1646" t="str">
            <v>AR40LE1800 - Remediación ambiental</v>
          </cell>
        </row>
        <row r="1647">
          <cell r="D1647" t="str">
            <v>AR40LE2800 - Remediación ambiental</v>
          </cell>
        </row>
        <row r="1648">
          <cell r="D1648" t="str">
            <v>AR40LE2800 - Remediación ambiental</v>
          </cell>
        </row>
        <row r="1649">
          <cell r="D1649" t="str">
            <v>AR10AE1800 - Remediación ambiental</v>
          </cell>
        </row>
        <row r="1650">
          <cell r="D1650" t="str">
            <v>AR10AE2800 - Remediación ambiental</v>
          </cell>
        </row>
        <row r="1651">
          <cell r="D1651" t="str">
            <v>AR10AE3800 - Remediación ambiental</v>
          </cell>
        </row>
        <row r="1652">
          <cell r="D1652" t="str">
            <v>AR10AE4800 - Remediación ambiental</v>
          </cell>
        </row>
        <row r="1653">
          <cell r="D1653" t="str">
            <v>AR10AE6800 - Remediación ambiental</v>
          </cell>
        </row>
        <row r="1654">
          <cell r="D1654" t="str">
            <v>AR10AE7800 - Remediación ambiental</v>
          </cell>
        </row>
        <row r="1655">
          <cell r="D1655" t="str">
            <v>AR10AE5800 - Remediación ambiental</v>
          </cell>
        </row>
        <row r="1656">
          <cell r="D1656" t="str">
            <v>AR10AEZ800 - Remediación ambiental</v>
          </cell>
        </row>
        <row r="1657">
          <cell r="D1657" t="str">
            <v>AR10CEZ800 - Remediación ambiental</v>
          </cell>
        </row>
        <row r="1658">
          <cell r="D1658" t="str">
            <v>AR10SEZ800 - Remediación ambiental</v>
          </cell>
        </row>
        <row r="1659">
          <cell r="D1659" t="str">
            <v>AR11CNZ800 - Remediación ambiental</v>
          </cell>
        </row>
        <row r="1660">
          <cell r="D1660" t="str">
            <v>AR11SAZ800 - Remediación ambiental</v>
          </cell>
        </row>
        <row r="1661">
          <cell r="D1661" t="str">
            <v>AR13BSZ800 - Remediación ambiental</v>
          </cell>
        </row>
        <row r="1662">
          <cell r="D1662" t="str">
            <v>AR40LA1800 - Remediación ambiental</v>
          </cell>
        </row>
        <row r="1663">
          <cell r="D1663" t="str">
            <v>AR40LA2800 - Remediación ambiental</v>
          </cell>
        </row>
        <row r="1664">
          <cell r="D1664" t="str">
            <v>AR40LA2800 - Remediación ambiental</v>
          </cell>
        </row>
        <row r="1665">
          <cell r="D1665" t="str">
            <v>AR41AC1800 - Remediación ambiental</v>
          </cell>
        </row>
        <row r="1666">
          <cell r="D1666" t="str">
            <v>AR41AC2800 - Remediación ambiental</v>
          </cell>
        </row>
        <row r="1667">
          <cell r="D1667" t="str">
            <v>AR41AC3800 - Remediación ambiental</v>
          </cell>
        </row>
        <row r="1668">
          <cell r="D1668" t="str">
            <v>AR41AC4800 - Remediación ambiental</v>
          </cell>
        </row>
        <row r="1669">
          <cell r="D1669" t="str">
            <v>AR41AC6800 - Remediación ambiental</v>
          </cell>
        </row>
        <row r="1670">
          <cell r="D1670" t="str">
            <v>AR41AC7800 - Remediación ambiental</v>
          </cell>
        </row>
        <row r="1671">
          <cell r="D1671" t="str">
            <v>AR41AC5800 - Remediación ambiental</v>
          </cell>
        </row>
        <row r="1672">
          <cell r="D1672" t="str">
            <v>AR41ACZ800 - Remediación ambiental</v>
          </cell>
        </row>
        <row r="1673">
          <cell r="D1673" t="str">
            <v>AR43GCZ800 - Remediación ambiental</v>
          </cell>
        </row>
        <row r="1674">
          <cell r="D1674" t="str">
            <v>AR44GSZ800 - Remediación ambiental</v>
          </cell>
        </row>
        <row r="1675">
          <cell r="D1675" t="str">
            <v>BO11CIZ800 - Remediación ambiental</v>
          </cell>
        </row>
        <row r="1676">
          <cell r="D1676" t="str">
            <v>BO11CNZ800 - Remediación ambiental</v>
          </cell>
        </row>
        <row r="1677">
          <cell r="D1677" t="str">
            <v>CL10CH1800 - Remediación ambiental</v>
          </cell>
        </row>
        <row r="1678">
          <cell r="D1678" t="str">
            <v>CL10CC1800 - Remediación ambiental</v>
          </cell>
        </row>
        <row r="1679">
          <cell r="D1679" t="str">
            <v>CL10CB1800 - Remediación ambiental</v>
          </cell>
        </row>
        <row r="1680">
          <cell r="D1680" t="str">
            <v>AR10CD1120 - Servicios a pozos inyectores</v>
          </cell>
        </row>
        <row r="1681">
          <cell r="D1681" t="str">
            <v>AR10CD2120 - Servicios a pozos inyectores</v>
          </cell>
        </row>
        <row r="1682">
          <cell r="D1682" t="str">
            <v>AR10CD3120 - Servicios a pozos inyectores</v>
          </cell>
        </row>
        <row r="1683">
          <cell r="D1683" t="str">
            <v>AR10CD5120 - Servicios a pozos inyectores</v>
          </cell>
        </row>
        <row r="1684">
          <cell r="D1684" t="str">
            <v>AR10CD7120 - Servicios a pozos inyectores</v>
          </cell>
        </row>
        <row r="1685">
          <cell r="D1685" t="str">
            <v>AR10CD8120 - Servicios a pozos inyectores</v>
          </cell>
        </row>
        <row r="1686">
          <cell r="D1686" t="str">
            <v>AR10CD9120 - Servicios a pozos inyectores</v>
          </cell>
        </row>
        <row r="1687">
          <cell r="D1687" t="str">
            <v>AR10CK4120 - Servicios a pozos inyectores</v>
          </cell>
        </row>
        <row r="1688">
          <cell r="D1688" t="str">
            <v>AR10ANZ120 - Servicios a pozos inyectores</v>
          </cell>
        </row>
        <row r="1689">
          <cell r="D1689" t="str">
            <v>AR10SNZ120 - Servicios a pozos inyectores</v>
          </cell>
        </row>
        <row r="1690">
          <cell r="D1690" t="str">
            <v>AR104NZ120 - Servicios a pozos inyectores</v>
          </cell>
        </row>
        <row r="1691">
          <cell r="D1691" t="str">
            <v>AR106NZ120 - Servicios a pozos inyectores</v>
          </cell>
        </row>
        <row r="1692">
          <cell r="D1692" t="str">
            <v>AR10BNZ120 - Servicios a pozos inyectores</v>
          </cell>
        </row>
        <row r="1693">
          <cell r="D1693" t="str">
            <v>AR40LE1120 - Servicios a pozos inyectores</v>
          </cell>
        </row>
        <row r="1694">
          <cell r="D1694" t="str">
            <v>AR40LE2120 - Servicios a pozos inyectores</v>
          </cell>
        </row>
        <row r="1695">
          <cell r="D1695" t="str">
            <v>AR10AE1120 - Servicios a pozos inyectores</v>
          </cell>
        </row>
        <row r="1696">
          <cell r="D1696" t="str">
            <v>AR10AE2120 - Servicios a pozos inyectores</v>
          </cell>
        </row>
        <row r="1697">
          <cell r="D1697" t="str">
            <v>AR10AE3120 - Servicios a pozos inyectores</v>
          </cell>
        </row>
        <row r="1698">
          <cell r="D1698" t="str">
            <v>AR10AE4120 - Servicios a pozos inyectores</v>
          </cell>
        </row>
        <row r="1699">
          <cell r="D1699" t="str">
            <v>AR10AE5120 - Servicios a pozos inyectores</v>
          </cell>
        </row>
        <row r="1700">
          <cell r="D1700" t="str">
            <v>AR10FEZ120 - Servicios a pozos inyectores</v>
          </cell>
        </row>
        <row r="1701">
          <cell r="D1701" t="str">
            <v>AR11CNZ120 - Servicios a pozos inyectores</v>
          </cell>
        </row>
        <row r="1702">
          <cell r="D1702" t="str">
            <v>AR40LA1120 - Servicios a pozos inyectores</v>
          </cell>
        </row>
        <row r="1703">
          <cell r="D1703" t="str">
            <v>AR40LA2120 - Servicios a pozos inyectores</v>
          </cell>
        </row>
        <row r="1704">
          <cell r="D1704" t="str">
            <v>AR41AC1120 - Servicios a pozos inyectores</v>
          </cell>
        </row>
        <row r="1705">
          <cell r="D1705" t="str">
            <v>AR41AC2120 - Servicios a pozos inyectores</v>
          </cell>
        </row>
        <row r="1706">
          <cell r="D1706" t="str">
            <v>AR41AC3120 - Servicios a pozos inyectores</v>
          </cell>
        </row>
        <row r="1707">
          <cell r="D1707" t="str">
            <v>AR41AC4120 - Servicios a pozos inyectores</v>
          </cell>
        </row>
        <row r="1708">
          <cell r="D1708" t="str">
            <v>AR41AC5120 - Servicios a pozos inyectores</v>
          </cell>
        </row>
        <row r="1709">
          <cell r="D1709" t="str">
            <v>AR42AFZ120 - Servicios a pozos inyectores</v>
          </cell>
        </row>
        <row r="1710">
          <cell r="D1710" t="str">
            <v>BO11CIZ120 - Servicios a pozos inyectores</v>
          </cell>
        </row>
        <row r="1711">
          <cell r="D1711" t="str">
            <v>BO11CNZ120 - Servicios a pozos inyectores</v>
          </cell>
        </row>
        <row r="1712">
          <cell r="D1712" t="str">
            <v>CL10CH1120 - Servicios a pozos inyectores</v>
          </cell>
        </row>
        <row r="1713">
          <cell r="D1713" t="str">
            <v>CL10CC1120 - Servicios a pozos inyectores</v>
          </cell>
        </row>
        <row r="1714">
          <cell r="D1714" t="str">
            <v>CL10CB1120 - Servicios a pozos inyectores</v>
          </cell>
        </row>
        <row r="1715">
          <cell r="D1715" t="str">
            <v>AR10CD1110 - Servicios a pozos productores</v>
          </cell>
        </row>
        <row r="1716">
          <cell r="D1716" t="str">
            <v>AR10CD2110 - Servicios a pozos productores</v>
          </cell>
        </row>
        <row r="1717">
          <cell r="D1717" t="str">
            <v>AR10CD3110 - Servicios a pozos productores</v>
          </cell>
        </row>
        <row r="1718">
          <cell r="D1718" t="str">
            <v>AR10CD5110 - Servicios a pozos productores</v>
          </cell>
        </row>
        <row r="1719">
          <cell r="D1719" t="str">
            <v>AR10CD7110 - Servicios a pozos productores</v>
          </cell>
        </row>
        <row r="1720">
          <cell r="D1720" t="str">
            <v>AR10CD8110 - Servicios a pozos productores</v>
          </cell>
        </row>
        <row r="1721">
          <cell r="D1721" t="str">
            <v>AR10CD9110 - Servicios a pozos productores</v>
          </cell>
        </row>
        <row r="1722">
          <cell r="D1722" t="str">
            <v>AR10CK4110 - Servicios a pozos productores</v>
          </cell>
        </row>
        <row r="1723">
          <cell r="D1723" t="str">
            <v>AR10ANZ110 - Servicios a pozos productores</v>
          </cell>
        </row>
        <row r="1724">
          <cell r="D1724" t="str">
            <v>AR10SNZ110 - Servicios a pozos productores</v>
          </cell>
        </row>
        <row r="1725">
          <cell r="D1725" t="str">
            <v>AR104NZ110 - Servicios a pozos productores</v>
          </cell>
        </row>
        <row r="1726">
          <cell r="D1726" t="str">
            <v>AR106NZ110 - Servicios a pozos productores</v>
          </cell>
        </row>
        <row r="1727">
          <cell r="D1727" t="str">
            <v>AR10BNZ110 - Servicios a pozos productores</v>
          </cell>
        </row>
        <row r="1728">
          <cell r="D1728" t="str">
            <v>AR40LE1110 - Servicios a pozos productores</v>
          </cell>
        </row>
        <row r="1729">
          <cell r="D1729" t="str">
            <v>AR40LE2110 - Servicios a pozos productores</v>
          </cell>
        </row>
        <row r="1730">
          <cell r="D1730" t="str">
            <v>AR10AE1110 - Servicios a pozos productores</v>
          </cell>
        </row>
        <row r="1731">
          <cell r="D1731" t="str">
            <v>AR10AE2110 - Servicios a pozos productores</v>
          </cell>
        </row>
        <row r="1732">
          <cell r="D1732" t="str">
            <v>AR10AE3110 - Servicios a pozos productores</v>
          </cell>
        </row>
        <row r="1733">
          <cell r="D1733" t="str">
            <v>AR10AE4110 - Servicios a pozos productores</v>
          </cell>
        </row>
        <row r="1734">
          <cell r="D1734" t="str">
            <v>AR10AE5110 - Servicios a pozos productores</v>
          </cell>
        </row>
        <row r="1735">
          <cell r="D1735" t="str">
            <v>AR10FEZ110 - Servicios a pozos productores</v>
          </cell>
        </row>
        <row r="1736">
          <cell r="D1736" t="str">
            <v>AR11CNZ110 - Servicios a pozos productores</v>
          </cell>
        </row>
        <row r="1737">
          <cell r="D1737" t="str">
            <v>AR40LA1110 - Servicios a pozos productores</v>
          </cell>
        </row>
        <row r="1738">
          <cell r="D1738" t="str">
            <v>AR40LA2110 - Servicios a pozos productores</v>
          </cell>
        </row>
        <row r="1739">
          <cell r="D1739" t="str">
            <v>AR41AC1110 - Servicios a pozos productores</v>
          </cell>
        </row>
        <row r="1740">
          <cell r="D1740" t="str">
            <v>AR41AC2110 - Servicios a pozos productores</v>
          </cell>
        </row>
        <row r="1741">
          <cell r="D1741" t="str">
            <v>AR41AC3110 - Servicios a pozos productores</v>
          </cell>
        </row>
        <row r="1742">
          <cell r="D1742" t="str">
            <v>AR41AC4110 - Servicios a pozos productores</v>
          </cell>
        </row>
        <row r="1743">
          <cell r="D1743" t="str">
            <v>AR41AC5110 - Servicios a pozos productores</v>
          </cell>
        </row>
        <row r="1744">
          <cell r="D1744" t="str">
            <v>AR42AFZ110 - Servicios a pozos productores</v>
          </cell>
        </row>
        <row r="1745">
          <cell r="D1745" t="str">
            <v>BO11CIZ110 - Servicios a pozos productores</v>
          </cell>
        </row>
        <row r="1746">
          <cell r="D1746" t="str">
            <v>BO11CNZ110 - Servicios a pozos productores</v>
          </cell>
        </row>
        <row r="1747">
          <cell r="D1747" t="str">
            <v>CL10CH1110 - Servicios a pozos productores</v>
          </cell>
        </row>
        <row r="1748">
          <cell r="D1748" t="str">
            <v>CL10CC1110 - Servicios a pozos productores</v>
          </cell>
        </row>
        <row r="1749">
          <cell r="D1749" t="str">
            <v>CL10CB1110 - Servicios a pozos productores</v>
          </cell>
        </row>
        <row r="1750">
          <cell r="D1750" t="str">
            <v>AR10CDZ650 - Servicios De Pozos</v>
          </cell>
        </row>
        <row r="1751">
          <cell r="D1751" t="str">
            <v>AR10CK4650 - Servicios De Pozos</v>
          </cell>
        </row>
        <row r="1752">
          <cell r="D1752" t="str">
            <v>AR10CD1410 - Servicios logísticos</v>
          </cell>
        </row>
        <row r="1753">
          <cell r="D1753" t="str">
            <v>AR10CD2410 - Servicios logísticos</v>
          </cell>
        </row>
        <row r="1754">
          <cell r="D1754" t="str">
            <v>AR10CD3410 - Servicios logísticos</v>
          </cell>
        </row>
        <row r="1755">
          <cell r="D1755" t="str">
            <v>AR10CD5410 - Servicios logísticos</v>
          </cell>
        </row>
        <row r="1756">
          <cell r="D1756" t="str">
            <v>AR10CD7410 - Servicios logísticos</v>
          </cell>
        </row>
        <row r="1757">
          <cell r="D1757" t="str">
            <v>AR10CD8410 - Servicios logísticos</v>
          </cell>
        </row>
        <row r="1758">
          <cell r="D1758" t="str">
            <v>AR10CD9410 - Servicios logísticos</v>
          </cell>
        </row>
        <row r="1759">
          <cell r="D1759" t="str">
            <v>AR10CDE410 - Servicios logísticos</v>
          </cell>
        </row>
        <row r="1760">
          <cell r="D1760" t="str">
            <v>AR10CDP410 - Servicios logísticos</v>
          </cell>
        </row>
        <row r="1761">
          <cell r="D1761" t="str">
            <v>AR10CDZ410 - Servicios logísticos</v>
          </cell>
        </row>
        <row r="1762">
          <cell r="D1762" t="str">
            <v>AR10CK4410 - Servicios logísticos</v>
          </cell>
        </row>
        <row r="1763">
          <cell r="D1763" t="str">
            <v>AR10ANZ410 - Servicios logísticos</v>
          </cell>
        </row>
        <row r="1764">
          <cell r="D1764" t="str">
            <v>AR10SNZ410 - Servicios logísticos</v>
          </cell>
        </row>
        <row r="1765">
          <cell r="D1765" t="str">
            <v>AR104NZ410 - Servicios logísticos</v>
          </cell>
        </row>
        <row r="1766">
          <cell r="D1766" t="str">
            <v>AR106NZ410 - Servicios logísticos</v>
          </cell>
        </row>
        <row r="1767">
          <cell r="D1767" t="str">
            <v>AR10BNZ410 - Servicios logísticos</v>
          </cell>
        </row>
        <row r="1768">
          <cell r="D1768" t="str">
            <v>AR40LE1410 - Servicios logísticos</v>
          </cell>
        </row>
        <row r="1769">
          <cell r="D1769" t="str">
            <v>AR40LE2410 - Servicios logísticos</v>
          </cell>
        </row>
        <row r="1770">
          <cell r="D1770" t="str">
            <v>AR40LE2410 - Servicios logísticos</v>
          </cell>
        </row>
        <row r="1771">
          <cell r="D1771" t="str">
            <v>AR10AE1410 - Servicios logísticos</v>
          </cell>
        </row>
        <row r="1772">
          <cell r="D1772" t="str">
            <v>AR10AE2410 - Servicios logísticos</v>
          </cell>
        </row>
        <row r="1773">
          <cell r="D1773" t="str">
            <v>AR10AE3410 - Servicios logísticos</v>
          </cell>
        </row>
        <row r="1774">
          <cell r="D1774" t="str">
            <v>AR10AE4410 - Servicios logísticos</v>
          </cell>
        </row>
        <row r="1775">
          <cell r="D1775" t="str">
            <v>AR10AE6410 - Servicios logísticos</v>
          </cell>
        </row>
        <row r="1776">
          <cell r="D1776" t="str">
            <v>AR10AE7410 - Servicios logísticos</v>
          </cell>
        </row>
        <row r="1777">
          <cell r="D1777" t="str">
            <v>AR10AE5410 - Servicios logísticos</v>
          </cell>
        </row>
        <row r="1778">
          <cell r="D1778" t="str">
            <v>AR10AEZ410 - Servicios logísticos</v>
          </cell>
        </row>
        <row r="1779">
          <cell r="D1779" t="str">
            <v>AR10FEZ410 - Servicios logísticos</v>
          </cell>
        </row>
        <row r="1780">
          <cell r="D1780" t="str">
            <v>AR11CNZ410 - Servicios logísticos</v>
          </cell>
        </row>
        <row r="1781">
          <cell r="D1781" t="str">
            <v>AR40LA1410 - Servicios logísticos</v>
          </cell>
        </row>
        <row r="1782">
          <cell r="D1782" t="str">
            <v>AR40LA2410 - Servicios logísticos</v>
          </cell>
        </row>
        <row r="1783">
          <cell r="D1783" t="str">
            <v>AR40LA2410 - Servicios logísticos</v>
          </cell>
        </row>
        <row r="1784">
          <cell r="D1784" t="str">
            <v>AR41AC1410 - Servicios logísticos</v>
          </cell>
        </row>
        <row r="1785">
          <cell r="D1785" t="str">
            <v>AR41AC2410 - Servicios logísticos</v>
          </cell>
        </row>
        <row r="1786">
          <cell r="D1786" t="str">
            <v>AR41AC3410 - Servicios logísticos</v>
          </cell>
        </row>
        <row r="1787">
          <cell r="D1787" t="str">
            <v>AR41AC4410 - Servicios logísticos</v>
          </cell>
        </row>
        <row r="1788">
          <cell r="D1788" t="str">
            <v>AR41AC6410 - Servicios logísticos</v>
          </cell>
        </row>
        <row r="1789">
          <cell r="D1789" t="str">
            <v>AR41AC7410 - Servicios logísticos</v>
          </cell>
        </row>
        <row r="1790">
          <cell r="D1790" t="str">
            <v>AR41AC5410 - Servicios logísticos</v>
          </cell>
        </row>
        <row r="1791">
          <cell r="D1791" t="str">
            <v>AR41ACZ410 - Servicios logísticos</v>
          </cell>
        </row>
        <row r="1792">
          <cell r="D1792" t="str">
            <v>AR42AFZ410 - Servicios logísticos</v>
          </cell>
        </row>
        <row r="1793">
          <cell r="D1793" t="str">
            <v>BO11CIZ410 - Servicios logísticos</v>
          </cell>
        </row>
        <row r="1794">
          <cell r="D1794" t="str">
            <v>BO11CNZ410 - Servicios logísticos</v>
          </cell>
        </row>
        <row r="1795">
          <cell r="D1795" t="str">
            <v>CL10CH1410 - Servicios logísticos</v>
          </cell>
        </row>
        <row r="1796">
          <cell r="D1796" t="str">
            <v>CL10CC1410 - Servicios logísticos</v>
          </cell>
        </row>
        <row r="1797">
          <cell r="D1797" t="str">
            <v>CL10CB1410 - Servicios logísticos</v>
          </cell>
        </row>
        <row r="1798">
          <cell r="D1798" t="str">
            <v>AR10APZ655 - Telecomunicaciones</v>
          </cell>
        </row>
        <row r="1799">
          <cell r="D1799" t="str">
            <v>AR10SRZ655 - Telecomunicaciones</v>
          </cell>
        </row>
        <row r="1800">
          <cell r="D1800" t="str">
            <v>AR1040Z655 - Telecomunicaciones</v>
          </cell>
        </row>
        <row r="1801">
          <cell r="D1801" t="str">
            <v>AR1046Z655 - Telecomunicaciones</v>
          </cell>
        </row>
        <row r="1802">
          <cell r="D1802" t="str">
            <v>AR10BCZ655 - Telecomunicaciones</v>
          </cell>
        </row>
        <row r="1803">
          <cell r="D1803" t="str">
            <v>AR10CDZ655 - Telecomunicaciones</v>
          </cell>
        </row>
        <row r="1804">
          <cell r="D1804" t="str">
            <v>AR10CK4655 - Telecomunicaciones</v>
          </cell>
        </row>
        <row r="1805">
          <cell r="D1805" t="str">
            <v>AR40LE2655 - Telecomunicaciones</v>
          </cell>
        </row>
        <row r="1806">
          <cell r="D1806" t="str">
            <v>AR10AEZ655 - Telecomunicaciones</v>
          </cell>
        </row>
        <row r="1807">
          <cell r="D1807" t="str">
            <v>AR10FEZ655 - Telecomunicaciones</v>
          </cell>
        </row>
        <row r="1808">
          <cell r="D1808" t="str">
            <v>AR10CEZ655 - Telecomunicaciones</v>
          </cell>
        </row>
        <row r="1809">
          <cell r="D1809" t="str">
            <v>AR10SEZ655 - Telecomunicaciones</v>
          </cell>
        </row>
        <row r="1810">
          <cell r="D1810" t="str">
            <v>AR10BAZ655 - Telecomunicaciones</v>
          </cell>
        </row>
        <row r="1811">
          <cell r="D1811" t="str">
            <v>AR11CAZ655 - Telecomunicaciones</v>
          </cell>
        </row>
        <row r="1812">
          <cell r="D1812" t="str">
            <v>AR40LA2655 - Telecomunicaciones</v>
          </cell>
        </row>
        <row r="1813">
          <cell r="D1813" t="str">
            <v>AR41ACZ655 - Telecomunicaciones</v>
          </cell>
        </row>
        <row r="1814">
          <cell r="D1814" t="str">
            <v>AR42AFZ655 - Telecomunicaciones</v>
          </cell>
        </row>
        <row r="1815">
          <cell r="D1815" t="str">
            <v>AR43GCZ655 - Telecomunicaciones</v>
          </cell>
        </row>
        <row r="1816">
          <cell r="D1816" t="str">
            <v>AR44GSZ655 - Telecomunicaciones</v>
          </cell>
        </row>
        <row r="1817">
          <cell r="D1817" t="str">
            <v>BO10OGZ655 - Telecomunicaciones</v>
          </cell>
        </row>
        <row r="1818">
          <cell r="D1818" t="str">
            <v>BO11CIZ655 - Telecomunicaciones</v>
          </cell>
        </row>
        <row r="1819">
          <cell r="D1819" t="str">
            <v>BO11CNZ655 - Telecomunicaciones</v>
          </cell>
        </row>
        <row r="1820">
          <cell r="D1820" t="str">
            <v>CL10CH1655 - Telecomunicaciones</v>
          </cell>
        </row>
        <row r="1821">
          <cell r="D1821" t="str">
            <v>CL10CC1655 - Telecomunicaciones</v>
          </cell>
        </row>
        <row r="1822">
          <cell r="D1822" t="str">
            <v>CL10CB1655 - Telecomunicaciones</v>
          </cell>
        </row>
        <row r="1823">
          <cell r="D1823" t="str">
            <v>AR40LE2670 - VP de Operaciones de Gas</v>
          </cell>
        </row>
        <row r="1824">
          <cell r="D1824" t="str">
            <v>AR10AEZ670 - VP de Operaciones de Gas</v>
          </cell>
        </row>
        <row r="1825">
          <cell r="D1825" t="str">
            <v>AR10FEZ670 - VP de Operaciones de Gas</v>
          </cell>
        </row>
        <row r="1826">
          <cell r="D1826" t="str">
            <v>AR10CEZ670 - VP de Operaciones de Gas</v>
          </cell>
        </row>
        <row r="1827">
          <cell r="D1827" t="str">
            <v>AR10SEZ670 - VP de Operaciones de Gas</v>
          </cell>
        </row>
        <row r="1828">
          <cell r="D1828" t="str">
            <v>AR10BAZ670 - VP de Operaciones de Gas</v>
          </cell>
        </row>
        <row r="1829">
          <cell r="D1829" t="str">
            <v>AR11CAZ670 - VP de Operaciones de Gas</v>
          </cell>
        </row>
        <row r="1830">
          <cell r="D1830" t="str">
            <v>AR40LA2670 - VP de Operaciones de Gas</v>
          </cell>
        </row>
        <row r="1831">
          <cell r="D1831" t="str">
            <v>AR41ACZ670 - VP de Operaciones de Gas</v>
          </cell>
        </row>
        <row r="1832">
          <cell r="D1832" t="str">
            <v>AR42AFZ670 - VP de Operaciones de Gas</v>
          </cell>
        </row>
        <row r="1833">
          <cell r="D1833" t="str">
            <v>AR43GCZ670 - VP de Operaciones de Gas</v>
          </cell>
        </row>
        <row r="1834">
          <cell r="D1834" t="str">
            <v>AR44GSZ670 - VP de Operaciones de Gas</v>
          </cell>
        </row>
        <row r="1835">
          <cell r="D1835" t="str">
            <v>BO10OGZ670 - VP de Operaciones de Gas</v>
          </cell>
        </row>
        <row r="1836">
          <cell r="D1836" t="str">
            <v>BO11CIZ670 - VP de Operaciones de Gas</v>
          </cell>
        </row>
        <row r="1837">
          <cell r="D1837" t="str">
            <v>BO11CNZ670 - VP de Operaciones de Gas</v>
          </cell>
        </row>
        <row r="1838">
          <cell r="D1838" t="str">
            <v>CL10CH1670 - VP de Operaciones de Gas</v>
          </cell>
        </row>
        <row r="1839">
          <cell r="D1839" t="str">
            <v>CL10CC1670 - VP de Operaciones de Gas</v>
          </cell>
        </row>
        <row r="1840">
          <cell r="D1840" t="str">
            <v>CL10CB1670 - VP de Operaciones de Gas</v>
          </cell>
        </row>
        <row r="1841">
          <cell r="D1841" t="str">
            <v>AR10BAZ680 - VP desarrollo de Negocios</v>
          </cell>
        </row>
        <row r="1842">
          <cell r="D1842" t="str">
            <v>AR10BAZ745 - VP Op. Offshore</v>
          </cell>
        </row>
      </sheetData>
      <sheetData sheetId="8"/>
      <sheetData sheetId="9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A"/>
      <sheetName val="CHART"/>
      <sheetName val="WO 1"/>
      <sheetName val="WO 2"/>
      <sheetName val="TI 1"/>
      <sheetName val="Datos"/>
      <sheetName val="Production"/>
      <sheetName val="Planilla"/>
      <sheetName val="Output"/>
      <sheetName val="Sens"/>
      <sheetName val="Instructivo"/>
    </sheetNames>
    <sheetDataSet>
      <sheetData sheetId="0" refreshError="1"/>
      <sheetData sheetId="1" refreshError="1"/>
      <sheetData sheetId="2" refreshError="1">
        <row r="53">
          <cell r="Q53">
            <v>2.9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>
        <row r="8">
          <cell r="BG8">
            <v>59.900348735632186</v>
          </cell>
          <cell r="BH8">
            <v>9.9999999999999995E-7</v>
          </cell>
        </row>
        <row r="9">
          <cell r="B9">
            <v>1</v>
          </cell>
          <cell r="C9">
            <v>12</v>
          </cell>
          <cell r="BG9">
            <v>0</v>
          </cell>
          <cell r="BH9">
            <v>0</v>
          </cell>
          <cell r="BI9">
            <v>0</v>
          </cell>
          <cell r="BJ9">
            <v>1.3541754761615554</v>
          </cell>
          <cell r="BK9">
            <v>0</v>
          </cell>
          <cell r="BL9">
            <v>0</v>
          </cell>
          <cell r="BM9">
            <v>0</v>
          </cell>
        </row>
        <row r="10">
          <cell r="B10">
            <v>2</v>
          </cell>
          <cell r="C10">
            <v>12</v>
          </cell>
          <cell r="BG10">
            <v>0</v>
          </cell>
          <cell r="BH10">
            <v>0</v>
          </cell>
          <cell r="BI10">
            <v>0</v>
          </cell>
          <cell r="BJ10">
            <v>1.0210576139694219</v>
          </cell>
          <cell r="BK10">
            <v>0</v>
          </cell>
          <cell r="BL10">
            <v>0</v>
          </cell>
          <cell r="BM10">
            <v>0</v>
          </cell>
        </row>
        <row r="11">
          <cell r="B11">
            <v>3</v>
          </cell>
          <cell r="C11">
            <v>12</v>
          </cell>
          <cell r="BG11">
            <v>0</v>
          </cell>
          <cell r="BH11">
            <v>0</v>
          </cell>
          <cell r="BI11">
            <v>0</v>
          </cell>
          <cell r="BJ11">
            <v>0.80124098557855672</v>
          </cell>
          <cell r="BK11">
            <v>0</v>
          </cell>
          <cell r="BL11">
            <v>0</v>
          </cell>
          <cell r="BM11">
            <v>0</v>
          </cell>
        </row>
        <row r="12">
          <cell r="B12">
            <v>4</v>
          </cell>
          <cell r="C12">
            <v>12</v>
          </cell>
          <cell r="BG12">
            <v>0</v>
          </cell>
          <cell r="BH12">
            <v>0</v>
          </cell>
          <cell r="BI12">
            <v>0</v>
          </cell>
          <cell r="BJ12">
            <v>0.62874720112524696</v>
          </cell>
          <cell r="BK12">
            <v>0</v>
          </cell>
          <cell r="BL12">
            <v>0</v>
          </cell>
          <cell r="BM12">
            <v>0</v>
          </cell>
        </row>
        <row r="13">
          <cell r="B13">
            <v>5</v>
          </cell>
          <cell r="C13">
            <v>12</v>
          </cell>
          <cell r="BG13">
            <v>0</v>
          </cell>
          <cell r="BH13">
            <v>0</v>
          </cell>
          <cell r="BI13">
            <v>0</v>
          </cell>
          <cell r="BJ13">
            <v>0.49338844372442914</v>
          </cell>
          <cell r="BK13">
            <v>0</v>
          </cell>
          <cell r="BL13">
            <v>0</v>
          </cell>
          <cell r="BM13">
            <v>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RESUMEN INV EXPLORA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Budget 2000 Vs. Fct 8+4 "/>
      <sheetName val="RESUMEN PROD"/>
      <sheetName val="PROD TOTAL"/>
      <sheetName val="PROD DIA Y MES"/>
      <sheetName val="PRECIOS GAS"/>
      <sheetName val="PRECIOS OIL"/>
      <sheetName val="CASHFL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">
          <cell r="N1" t="str">
            <v>U$S 000</v>
          </cell>
        </row>
        <row r="2">
          <cell r="A2" t="str">
            <v>INVESTMENT AND DEVELOPMENT PLAN YEAR 2000</v>
          </cell>
        </row>
        <row r="3">
          <cell r="A3" t="str">
            <v>NEUQUEN OFFICE - BUDGET 2000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B14">
            <v>0</v>
          </cell>
          <cell r="C14">
            <v>0</v>
          </cell>
          <cell r="D14">
            <v>100</v>
          </cell>
          <cell r="E14">
            <v>100</v>
          </cell>
          <cell r="F14">
            <v>100</v>
          </cell>
          <cell r="G14">
            <v>100</v>
          </cell>
          <cell r="H14">
            <v>100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500</v>
          </cell>
        </row>
        <row r="15">
          <cell r="A15" t="str">
            <v xml:space="preserve">        Neuquén Base</v>
          </cell>
          <cell r="D15">
            <v>100</v>
          </cell>
          <cell r="E15">
            <v>100</v>
          </cell>
          <cell r="F15">
            <v>100</v>
          </cell>
          <cell r="G15">
            <v>100</v>
          </cell>
          <cell r="H15">
            <v>100</v>
          </cell>
          <cell r="N15">
            <v>500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Gasoline Line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19">
          <cell r="A19" t="str">
            <v xml:space="preserve">        Deferred</v>
          </cell>
          <cell r="N19">
            <v>0</v>
          </cell>
        </row>
        <row r="21">
          <cell r="A21" t="str">
            <v>Gas Project</v>
          </cell>
          <cell r="N21">
            <v>0</v>
          </cell>
        </row>
        <row r="23">
          <cell r="A23" t="str">
            <v>Gas Lift / Plunger Lift</v>
          </cell>
          <cell r="N23">
            <v>0</v>
          </cell>
        </row>
        <row r="24">
          <cell r="N24">
            <v>0</v>
          </cell>
        </row>
        <row r="26">
          <cell r="A26" t="str">
            <v>Vehicles</v>
          </cell>
          <cell r="D26">
            <v>36</v>
          </cell>
          <cell r="N26">
            <v>36</v>
          </cell>
        </row>
        <row r="27">
          <cell r="D27">
            <v>2</v>
          </cell>
          <cell r="N27">
            <v>2</v>
          </cell>
        </row>
        <row r="29">
          <cell r="A29" t="str">
            <v>Miscellaneous</v>
          </cell>
          <cell r="B29">
            <v>5.7</v>
          </cell>
          <cell r="C29">
            <v>43.5</v>
          </cell>
          <cell r="N29">
            <v>49.2</v>
          </cell>
        </row>
        <row r="30">
          <cell r="N30">
            <v>0</v>
          </cell>
        </row>
        <row r="31">
          <cell r="A31" t="str">
            <v>Total Capitalized</v>
          </cell>
          <cell r="B31">
            <v>5.7</v>
          </cell>
          <cell r="C31">
            <v>43.5</v>
          </cell>
          <cell r="D31">
            <v>136</v>
          </cell>
          <cell r="E31">
            <v>100</v>
          </cell>
          <cell r="F31">
            <v>100</v>
          </cell>
          <cell r="G31">
            <v>100</v>
          </cell>
          <cell r="H31">
            <v>100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585.20000000000005</v>
          </cell>
        </row>
        <row r="33">
          <cell r="A33" t="str">
            <v>Workovers</v>
          </cell>
          <cell r="N33">
            <v>0</v>
          </cell>
        </row>
        <row r="34">
          <cell r="N34">
            <v>0</v>
          </cell>
        </row>
        <row r="36">
          <cell r="A36" t="str">
            <v>Conversions &amp; Sel. Inyec.</v>
          </cell>
          <cell r="N36">
            <v>0</v>
          </cell>
        </row>
        <row r="37">
          <cell r="N37">
            <v>0</v>
          </cell>
        </row>
        <row r="39">
          <cell r="A39" t="str">
            <v>Water Disposal System</v>
          </cell>
          <cell r="N39">
            <v>0</v>
          </cell>
        </row>
        <row r="40">
          <cell r="N40">
            <v>0</v>
          </cell>
        </row>
        <row r="42">
          <cell r="A42" t="str">
            <v>Repair Oil &amp; Gas Line</v>
          </cell>
          <cell r="N42">
            <v>0</v>
          </cell>
        </row>
        <row r="44">
          <cell r="A44" t="str">
            <v>Core Analysis</v>
          </cell>
          <cell r="N44">
            <v>0</v>
          </cell>
        </row>
        <row r="46">
          <cell r="A46" t="str">
            <v>Testing</v>
          </cell>
          <cell r="N46">
            <v>0</v>
          </cell>
        </row>
        <row r="49">
          <cell r="A49" t="str">
            <v>Enviroment</v>
          </cell>
          <cell r="N49">
            <v>0</v>
          </cell>
        </row>
        <row r="52">
          <cell r="A52" t="str">
            <v>Road &amp; Dirt Works</v>
          </cell>
          <cell r="N52">
            <v>0</v>
          </cell>
        </row>
        <row r="54">
          <cell r="A54" t="str">
            <v>Miscellaneous Studies</v>
          </cell>
          <cell r="N54">
            <v>0</v>
          </cell>
        </row>
        <row r="56">
          <cell r="A56" t="str">
            <v>Miscellaneous</v>
          </cell>
          <cell r="N56">
            <v>0</v>
          </cell>
        </row>
        <row r="58">
          <cell r="A58" t="str">
            <v>Abandoned Well</v>
          </cell>
          <cell r="N58">
            <v>0</v>
          </cell>
        </row>
        <row r="60">
          <cell r="A60" t="str">
            <v>Total Non Capitalized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Total Investiments</v>
          </cell>
          <cell r="B61">
            <v>5.7</v>
          </cell>
          <cell r="C61">
            <v>43.5</v>
          </cell>
          <cell r="D61">
            <v>136</v>
          </cell>
          <cell r="E61">
            <v>100</v>
          </cell>
          <cell r="F61">
            <v>100</v>
          </cell>
          <cell r="G61">
            <v>100</v>
          </cell>
          <cell r="H61">
            <v>100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585.20000000000005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>
        <row r="3">
          <cell r="F3" t="str">
            <v>Seleccionar</v>
          </cell>
        </row>
        <row r="4">
          <cell r="F4" t="str">
            <v>X</v>
          </cell>
        </row>
        <row r="5">
          <cell r="F5" t="str">
            <v>Sin cobertura</v>
          </cell>
        </row>
        <row r="6">
          <cell r="F6" t="str">
            <v>Otro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Cobertura"/>
      <sheetName val="Aspectos Financieros"/>
      <sheetName val="Competencia"/>
      <sheetName val="Preguntas Directas"/>
      <sheetName val="Proveedores-Insumos"/>
    </sheetNames>
    <sheetDataSet>
      <sheetData sheetId="0"/>
      <sheetData sheetId="1"/>
      <sheetData sheetId="2">
        <row r="12">
          <cell r="K12" t="str">
            <v>X</v>
          </cell>
        </row>
        <row r="13">
          <cell r="K13" t="str">
            <v>Sin Cobertura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EF. C"/>
      <sheetName val="COEF_ C"/>
      <sheetName val="Informe"/>
      <sheetName val="AREA100"/>
      <sheetName val="AREA200"/>
      <sheetName val="AREA300"/>
      <sheetName val="AREA400"/>
      <sheetName val="AREA600"/>
      <sheetName val="AREA700"/>
      <sheetName val="AREA900"/>
      <sheetName val="AREA1000"/>
      <sheetName val="AREA1100"/>
      <sheetName val="AREA1200"/>
      <sheetName val="AREA1300"/>
      <sheetName val="AREA1400"/>
      <sheetName val="AREA1500"/>
      <sheetName val="AREA1600"/>
      <sheetName val="instrumentos"/>
      <sheetName val="PPIO."/>
      <sheetName val="Hoja1"/>
      <sheetName val="EQUIPOS"/>
      <sheetName val="PLANTA DE ALCOHOL"/>
      <sheetName val="INSTRUMENTOS DE SERVICIO"/>
      <sheetName val="CLORINADOR, ABLANDADOR Y CALENT"/>
      <sheetName val="Caratula"/>
      <sheetName val="Graficos LRP"/>
      <sheetName val="PE 2005-2009"/>
      <sheetName val="COEF__C"/>
      <sheetName val="COEF__C1"/>
      <sheetName val="Base"/>
      <sheetName val="Sheet 2"/>
    </sheetNames>
    <sheetDataSet>
      <sheetData sheetId="0" refreshError="1">
        <row r="5">
          <cell r="A5">
            <v>1.01</v>
          </cell>
          <cell r="B5">
            <v>317</v>
          </cell>
        </row>
        <row r="6">
          <cell r="A6">
            <v>1.02</v>
          </cell>
          <cell r="B6">
            <v>318</v>
          </cell>
        </row>
        <row r="7">
          <cell r="A7">
            <v>1.03</v>
          </cell>
          <cell r="B7">
            <v>319</v>
          </cell>
        </row>
        <row r="8">
          <cell r="A8">
            <v>1.04</v>
          </cell>
          <cell r="B8">
            <v>320</v>
          </cell>
        </row>
        <row r="9">
          <cell r="A9">
            <v>1.05</v>
          </cell>
          <cell r="B9">
            <v>321</v>
          </cell>
        </row>
        <row r="10">
          <cell r="A10">
            <v>1.06</v>
          </cell>
          <cell r="B10">
            <v>322</v>
          </cell>
        </row>
        <row r="11">
          <cell r="A11">
            <v>1.07</v>
          </cell>
          <cell r="B11">
            <v>323</v>
          </cell>
        </row>
        <row r="12">
          <cell r="A12">
            <v>1.08</v>
          </cell>
          <cell r="B12">
            <v>325</v>
          </cell>
        </row>
        <row r="13">
          <cell r="A13">
            <v>1.0900000000000001</v>
          </cell>
          <cell r="B13">
            <v>326</v>
          </cell>
        </row>
        <row r="14">
          <cell r="A14">
            <v>1.1000000000000001</v>
          </cell>
          <cell r="B14">
            <v>327</v>
          </cell>
        </row>
        <row r="15">
          <cell r="A15">
            <v>1.1100000000000001</v>
          </cell>
          <cell r="B15">
            <v>328</v>
          </cell>
        </row>
        <row r="16">
          <cell r="A16">
            <v>1.1200000000000001</v>
          </cell>
          <cell r="B16">
            <v>329</v>
          </cell>
        </row>
        <row r="17">
          <cell r="A17">
            <v>1.1299999999999999</v>
          </cell>
          <cell r="B17">
            <v>330</v>
          </cell>
        </row>
        <row r="18">
          <cell r="A18">
            <v>1.1399999999999999</v>
          </cell>
          <cell r="B18">
            <v>331</v>
          </cell>
        </row>
        <row r="19">
          <cell r="A19">
            <v>1.1499999999999999</v>
          </cell>
          <cell r="B19">
            <v>332</v>
          </cell>
        </row>
        <row r="20">
          <cell r="A20">
            <v>1.1599999999999999</v>
          </cell>
          <cell r="B20">
            <v>333</v>
          </cell>
        </row>
        <row r="21">
          <cell r="A21">
            <v>1.17</v>
          </cell>
          <cell r="B21">
            <v>334</v>
          </cell>
        </row>
        <row r="22">
          <cell r="A22">
            <v>1.18</v>
          </cell>
          <cell r="B22">
            <v>335</v>
          </cell>
        </row>
        <row r="23">
          <cell r="A23">
            <v>1.19</v>
          </cell>
          <cell r="B23">
            <v>336</v>
          </cell>
        </row>
        <row r="24">
          <cell r="A24">
            <v>1.2</v>
          </cell>
          <cell r="B24">
            <v>337</v>
          </cell>
        </row>
        <row r="25">
          <cell r="A25">
            <v>1.21</v>
          </cell>
          <cell r="B25">
            <v>338</v>
          </cell>
        </row>
        <row r="26">
          <cell r="A26">
            <v>1.22</v>
          </cell>
          <cell r="B26">
            <v>339</v>
          </cell>
        </row>
        <row r="27">
          <cell r="A27">
            <v>1.23</v>
          </cell>
          <cell r="B27">
            <v>340</v>
          </cell>
        </row>
        <row r="28">
          <cell r="A28">
            <v>1.24</v>
          </cell>
          <cell r="B28">
            <v>341</v>
          </cell>
        </row>
        <row r="29">
          <cell r="A29">
            <v>1.25</v>
          </cell>
          <cell r="B29">
            <v>342</v>
          </cell>
        </row>
        <row r="30">
          <cell r="A30">
            <v>1.26</v>
          </cell>
          <cell r="B30">
            <v>343</v>
          </cell>
        </row>
        <row r="31">
          <cell r="A31">
            <v>1.27</v>
          </cell>
          <cell r="B31">
            <v>344</v>
          </cell>
        </row>
        <row r="32">
          <cell r="A32">
            <v>1.28</v>
          </cell>
          <cell r="B32">
            <v>345</v>
          </cell>
        </row>
        <row r="33">
          <cell r="A33">
            <v>1.29</v>
          </cell>
          <cell r="B33">
            <v>346</v>
          </cell>
        </row>
        <row r="34">
          <cell r="A34">
            <v>1.3</v>
          </cell>
          <cell r="B34">
            <v>347</v>
          </cell>
        </row>
        <row r="35">
          <cell r="A35">
            <v>1.31</v>
          </cell>
          <cell r="B35">
            <v>348</v>
          </cell>
        </row>
        <row r="36">
          <cell r="A36">
            <v>1.32</v>
          </cell>
          <cell r="B36">
            <v>349</v>
          </cell>
        </row>
        <row r="37">
          <cell r="A37">
            <v>1.33</v>
          </cell>
          <cell r="B37">
            <v>350</v>
          </cell>
        </row>
        <row r="38">
          <cell r="A38">
            <v>1.34</v>
          </cell>
          <cell r="B38">
            <v>351</v>
          </cell>
        </row>
        <row r="39">
          <cell r="A39">
            <v>1.35</v>
          </cell>
          <cell r="B39">
            <v>352</v>
          </cell>
        </row>
        <row r="40">
          <cell r="A40">
            <v>1.36</v>
          </cell>
          <cell r="B40">
            <v>353</v>
          </cell>
        </row>
        <row r="41">
          <cell r="A41">
            <v>1.37</v>
          </cell>
          <cell r="B41">
            <v>353</v>
          </cell>
        </row>
        <row r="42">
          <cell r="A42">
            <v>1.38</v>
          </cell>
          <cell r="B42">
            <v>354</v>
          </cell>
        </row>
        <row r="43">
          <cell r="A43">
            <v>1.39</v>
          </cell>
          <cell r="B43">
            <v>355</v>
          </cell>
        </row>
        <row r="44">
          <cell r="A44">
            <v>1.4</v>
          </cell>
          <cell r="B44">
            <v>356</v>
          </cell>
        </row>
        <row r="45">
          <cell r="A45">
            <v>1.41</v>
          </cell>
          <cell r="B45">
            <v>357</v>
          </cell>
        </row>
        <row r="46">
          <cell r="A46">
            <v>1.42</v>
          </cell>
          <cell r="B46">
            <v>358</v>
          </cell>
        </row>
        <row r="47">
          <cell r="A47">
            <v>1.43</v>
          </cell>
          <cell r="B47">
            <v>359</v>
          </cell>
        </row>
        <row r="48">
          <cell r="A48">
            <v>1.44</v>
          </cell>
          <cell r="B48">
            <v>360</v>
          </cell>
        </row>
        <row r="49">
          <cell r="A49">
            <v>1.45</v>
          </cell>
          <cell r="B49">
            <v>360</v>
          </cell>
        </row>
        <row r="50">
          <cell r="A50">
            <v>1.46</v>
          </cell>
          <cell r="B50">
            <v>361</v>
          </cell>
        </row>
        <row r="51">
          <cell r="A51">
            <v>1.47</v>
          </cell>
          <cell r="B51">
            <v>362</v>
          </cell>
        </row>
        <row r="52">
          <cell r="A52">
            <v>1.48</v>
          </cell>
          <cell r="B52">
            <v>363</v>
          </cell>
        </row>
        <row r="53">
          <cell r="A53">
            <v>1.49</v>
          </cell>
          <cell r="B53">
            <v>364</v>
          </cell>
        </row>
        <row r="54">
          <cell r="A54">
            <v>1.5</v>
          </cell>
          <cell r="B54">
            <v>365</v>
          </cell>
        </row>
        <row r="55">
          <cell r="A55">
            <v>1.51</v>
          </cell>
          <cell r="B55">
            <v>365</v>
          </cell>
        </row>
        <row r="56">
          <cell r="A56">
            <v>1.52</v>
          </cell>
          <cell r="B56">
            <v>366</v>
          </cell>
        </row>
        <row r="57">
          <cell r="A57">
            <v>1.53</v>
          </cell>
          <cell r="B57">
            <v>367</v>
          </cell>
        </row>
        <row r="58">
          <cell r="A58">
            <v>1.54</v>
          </cell>
          <cell r="B58">
            <v>368</v>
          </cell>
        </row>
        <row r="59">
          <cell r="A59">
            <v>1.55</v>
          </cell>
          <cell r="B59">
            <v>369</v>
          </cell>
        </row>
        <row r="60">
          <cell r="A60">
            <v>1.56</v>
          </cell>
          <cell r="B60">
            <v>369</v>
          </cell>
        </row>
        <row r="61">
          <cell r="A61">
            <v>1.57</v>
          </cell>
          <cell r="B61">
            <v>370</v>
          </cell>
        </row>
        <row r="62">
          <cell r="A62">
            <v>1.58</v>
          </cell>
          <cell r="B62">
            <v>371</v>
          </cell>
        </row>
        <row r="63">
          <cell r="A63">
            <v>1.59</v>
          </cell>
          <cell r="B63">
            <v>372</v>
          </cell>
        </row>
        <row r="64">
          <cell r="A64">
            <v>1.6</v>
          </cell>
          <cell r="B64">
            <v>373</v>
          </cell>
        </row>
        <row r="65">
          <cell r="A65">
            <v>1.61</v>
          </cell>
          <cell r="B65">
            <v>373</v>
          </cell>
        </row>
        <row r="66">
          <cell r="A66">
            <v>1.62</v>
          </cell>
          <cell r="B66">
            <v>374</v>
          </cell>
        </row>
        <row r="67">
          <cell r="A67">
            <v>1.63</v>
          </cell>
          <cell r="B67">
            <v>375</v>
          </cell>
        </row>
        <row r="68">
          <cell r="A68">
            <v>1.64</v>
          </cell>
          <cell r="B68">
            <v>376</v>
          </cell>
        </row>
        <row r="69">
          <cell r="A69">
            <v>1.65</v>
          </cell>
          <cell r="B69">
            <v>376</v>
          </cell>
        </row>
        <row r="70">
          <cell r="A70">
            <v>1.66</v>
          </cell>
          <cell r="B70">
            <v>377</v>
          </cell>
        </row>
        <row r="71">
          <cell r="A71">
            <v>1.67</v>
          </cell>
          <cell r="B71">
            <v>378</v>
          </cell>
        </row>
        <row r="72">
          <cell r="A72">
            <v>1.68</v>
          </cell>
          <cell r="B72">
            <v>379</v>
          </cell>
        </row>
        <row r="73">
          <cell r="A73">
            <v>1.69</v>
          </cell>
          <cell r="B73">
            <v>379</v>
          </cell>
        </row>
        <row r="74">
          <cell r="A74">
            <v>1.7</v>
          </cell>
          <cell r="B74">
            <v>380</v>
          </cell>
        </row>
        <row r="75">
          <cell r="A75">
            <v>1.71</v>
          </cell>
          <cell r="B75">
            <v>381</v>
          </cell>
        </row>
        <row r="76">
          <cell r="A76">
            <v>1.72</v>
          </cell>
          <cell r="B76">
            <v>382</v>
          </cell>
        </row>
        <row r="77">
          <cell r="A77">
            <v>1.73</v>
          </cell>
          <cell r="B77">
            <v>382</v>
          </cell>
        </row>
        <row r="78">
          <cell r="A78">
            <v>1.74</v>
          </cell>
          <cell r="B78">
            <v>383</v>
          </cell>
        </row>
        <row r="79">
          <cell r="A79">
            <v>1.75</v>
          </cell>
          <cell r="B79">
            <v>384</v>
          </cell>
        </row>
        <row r="80">
          <cell r="A80">
            <v>1.76</v>
          </cell>
          <cell r="B80">
            <v>384</v>
          </cell>
        </row>
        <row r="81">
          <cell r="A81">
            <v>1.77</v>
          </cell>
          <cell r="B81">
            <v>385</v>
          </cell>
        </row>
        <row r="82">
          <cell r="A82">
            <v>1.78</v>
          </cell>
          <cell r="B82">
            <v>386</v>
          </cell>
        </row>
        <row r="83">
          <cell r="A83">
            <v>1.79</v>
          </cell>
          <cell r="B83">
            <v>386</v>
          </cell>
        </row>
        <row r="84">
          <cell r="A84">
            <v>1.8</v>
          </cell>
          <cell r="B84">
            <v>387</v>
          </cell>
        </row>
        <row r="85">
          <cell r="A85">
            <v>1.81</v>
          </cell>
          <cell r="B85">
            <v>388</v>
          </cell>
        </row>
        <row r="86">
          <cell r="A86">
            <v>1.82</v>
          </cell>
          <cell r="B86">
            <v>389</v>
          </cell>
        </row>
        <row r="87">
          <cell r="A87">
            <v>1.83</v>
          </cell>
          <cell r="B87">
            <v>389</v>
          </cell>
        </row>
        <row r="88">
          <cell r="A88">
            <v>1.84</v>
          </cell>
          <cell r="B88">
            <v>390</v>
          </cell>
        </row>
        <row r="89">
          <cell r="A89">
            <v>1.85</v>
          </cell>
          <cell r="B89">
            <v>391</v>
          </cell>
        </row>
        <row r="90">
          <cell r="A90">
            <v>1.86</v>
          </cell>
          <cell r="B90">
            <v>391</v>
          </cell>
        </row>
        <row r="91">
          <cell r="A91">
            <v>1.87</v>
          </cell>
          <cell r="B91">
            <v>392</v>
          </cell>
        </row>
        <row r="92">
          <cell r="A92">
            <v>1.88</v>
          </cell>
          <cell r="B92">
            <v>393</v>
          </cell>
        </row>
        <row r="93">
          <cell r="A93">
            <v>1.89</v>
          </cell>
          <cell r="B93">
            <v>393</v>
          </cell>
        </row>
        <row r="94">
          <cell r="A94">
            <v>1.9</v>
          </cell>
          <cell r="B94">
            <v>394</v>
          </cell>
        </row>
        <row r="95">
          <cell r="A95">
            <v>1.91</v>
          </cell>
          <cell r="B95">
            <v>395</v>
          </cell>
        </row>
        <row r="96">
          <cell r="A96">
            <v>1.92</v>
          </cell>
          <cell r="B96">
            <v>395</v>
          </cell>
        </row>
        <row r="97">
          <cell r="A97">
            <v>1.93</v>
          </cell>
          <cell r="B97">
            <v>396</v>
          </cell>
        </row>
        <row r="98">
          <cell r="A98">
            <v>1.94</v>
          </cell>
          <cell r="B98">
            <v>397</v>
          </cell>
        </row>
        <row r="99">
          <cell r="A99">
            <v>1.95</v>
          </cell>
          <cell r="B99">
            <v>397</v>
          </cell>
        </row>
        <row r="100">
          <cell r="A100">
            <v>1.96</v>
          </cell>
          <cell r="B100">
            <v>398</v>
          </cell>
        </row>
        <row r="101">
          <cell r="A101">
            <v>1.97</v>
          </cell>
          <cell r="B101">
            <v>398</v>
          </cell>
        </row>
        <row r="102">
          <cell r="A102">
            <v>1.98</v>
          </cell>
          <cell r="B102">
            <v>399</v>
          </cell>
        </row>
        <row r="103">
          <cell r="A103">
            <v>1.99</v>
          </cell>
          <cell r="B103">
            <v>400</v>
          </cell>
        </row>
        <row r="104">
          <cell r="A104">
            <v>2</v>
          </cell>
          <cell r="B104">
            <v>400</v>
          </cell>
        </row>
      </sheetData>
      <sheetData sheetId="1">
        <row r="5">
          <cell r="A5">
            <v>1.01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Proveedores"/>
      <sheetName val="Info financiera"/>
      <sheetName val="Facturación Tottus"/>
      <sheetName val="Maquinaria"/>
      <sheetName val="Hoja1"/>
      <sheetName val="Preguntas Directas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Seleccionar tipo de servicio</v>
          </cell>
          <cell r="B1" t="str">
            <v>Seleccionar tipo de Cliente</v>
          </cell>
          <cell r="D1" t="str">
            <v>seleccionar</v>
          </cell>
          <cell r="E1" t="str">
            <v>Seleccionar tipo máquina</v>
          </cell>
          <cell r="F1" t="str">
            <v>Seleccionar modalidad</v>
          </cell>
          <cell r="G1" t="str">
            <v>Seleccionar Región</v>
          </cell>
          <cell r="H1" t="str">
            <v>Seleccionar</v>
          </cell>
        </row>
        <row r="2">
          <cell r="A2" t="str">
            <v>1.- Servicio de Aseo y mantención de limpieza (contrato vigente)</v>
          </cell>
          <cell r="B2" t="str">
            <v>Centro comercial</v>
          </cell>
          <cell r="D2" t="str">
            <v>si</v>
          </cell>
          <cell r="E2" t="str">
            <v>Abrillantadora Alta Velocidad Baterías</v>
          </cell>
          <cell r="F2" t="str">
            <v>Arriendo</v>
          </cell>
          <cell r="G2" t="str">
            <v>II Antofagasta</v>
          </cell>
          <cell r="H2" t="str">
            <v>Telefónico</v>
          </cell>
        </row>
        <row r="3">
          <cell r="A3" t="str">
            <v>2.- Servicios especiales de aseo (vidrios en altura, escalas mecánicas, etc.)</v>
          </cell>
          <cell r="B3" t="str">
            <v>Multitienda</v>
          </cell>
          <cell r="D3" t="str">
            <v>no</v>
          </cell>
          <cell r="E3" t="str">
            <v>Abrillantadora Baja Velocidad Eléctrica</v>
          </cell>
          <cell r="F3" t="str">
            <v>Leasing</v>
          </cell>
          <cell r="G3" t="str">
            <v>V Valparaíso</v>
          </cell>
          <cell r="H3" t="str">
            <v>Web</v>
          </cell>
        </row>
        <row r="4">
          <cell r="A4" t="str">
            <v>3.- Ambos  (1 y 2)</v>
          </cell>
          <cell r="B4" t="str">
            <v>Supermercado</v>
          </cell>
          <cell r="E4" t="str">
            <v>Aspiradora Polvo Agua</v>
          </cell>
          <cell r="F4" t="str">
            <v>Otro</v>
          </cell>
          <cell r="G4" t="str">
            <v>VI Libertador Gral. Bernardo O'Higgins</v>
          </cell>
          <cell r="H4" t="str">
            <v>Otro</v>
          </cell>
        </row>
        <row r="5">
          <cell r="A5" t="str">
            <v xml:space="preserve">4.- Otros </v>
          </cell>
          <cell r="E5" t="str">
            <v>Abrillantadora Alta Velocidad Eléctrica</v>
          </cell>
          <cell r="F5" t="str">
            <v xml:space="preserve">Propia </v>
          </cell>
          <cell r="G5" t="str">
            <v>XIII Región Metropolitana (RM)</v>
          </cell>
        </row>
        <row r="6">
          <cell r="E6" t="str">
            <v>Vacuolavadora Hombre Caminando</v>
          </cell>
        </row>
        <row r="7">
          <cell r="E7" t="str">
            <v>Vacuolavadora Hombre a Bordo</v>
          </cell>
        </row>
        <row r="8">
          <cell r="E8" t="str">
            <v>Lavadora Abrillantadora</v>
          </cell>
        </row>
        <row r="9">
          <cell r="E9" t="str">
            <v>Abrillantadora Alta Velocidad Gas</v>
          </cell>
        </row>
        <row r="10">
          <cell r="E10" t="str">
            <v xml:space="preserve">Barredora Aspiradora  Hombre Caminando </v>
          </cell>
        </row>
        <row r="11">
          <cell r="E11" t="str">
            <v>Barredora Aspiradora Hombre a Bordo</v>
          </cell>
        </row>
        <row r="12">
          <cell r="E12" t="str">
            <v>Barredora de calle</v>
          </cell>
        </row>
        <row r="13">
          <cell r="E13" t="str">
            <v>Lavadora Escalera Mecánica</v>
          </cell>
        </row>
        <row r="14">
          <cell r="E14" t="str">
            <v>Otra</v>
          </cell>
        </row>
      </sheetData>
      <sheetData sheetId="7"/>
      <sheetData sheetId="8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agregado total"/>
      <sheetName val="Desagregado por item"/>
      <sheetName val="Historico de Aumentos"/>
      <sheetName val="Cuadro de Resultados"/>
      <sheetName val="Preciario"/>
      <sheetName val="Estructura ACTUAL EE"/>
      <sheetName val="Personal FASP EE"/>
      <sheetName val="RRHH"/>
      <sheetName val="Analisis Ingresos"/>
      <sheetName val="Supervisores"/>
      <sheetName val="Estructura ACTUAL"/>
      <sheetName val="Propuestas (no tocar)"/>
      <sheetName val="Personal FASP"/>
      <sheetName val="Personal FC"/>
      <sheetName val="EPP y Vestuario"/>
      <sheetName val="Vehículos"/>
      <sheetName val="Gastos Varios"/>
      <sheetName val="sin efec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501 Base"/>
      <sheetName val="501"/>
      <sheetName val="501 Aclara"/>
      <sheetName val="Pasaje Budget Plus"/>
    </sheetNames>
    <sheetDataSet>
      <sheetData sheetId="0" refreshError="1">
        <row r="4">
          <cell r="D4">
            <v>3</v>
          </cell>
        </row>
        <row r="5">
          <cell r="D5">
            <v>3</v>
          </cell>
        </row>
        <row r="6">
          <cell r="D6">
            <v>3</v>
          </cell>
        </row>
        <row r="7">
          <cell r="D7">
            <v>3</v>
          </cell>
        </row>
        <row r="8">
          <cell r="D8">
            <v>3</v>
          </cell>
        </row>
        <row r="9">
          <cell r="D9">
            <v>3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</v>
          </cell>
        </row>
        <row r="13">
          <cell r="D13">
            <v>3</v>
          </cell>
        </row>
        <row r="14">
          <cell r="D14">
            <v>3</v>
          </cell>
        </row>
        <row r="15">
          <cell r="D15">
            <v>3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BROS"/>
    </sheetNames>
    <sheetDataSet>
      <sheetData sheetId="0">
        <row r="2">
          <cell r="A2" t="str">
            <v>CUENTA OBJETO</v>
          </cell>
          <cell r="B2" t="str">
            <v>Rubro</v>
          </cell>
        </row>
        <row r="3">
          <cell r="A3" t="str">
            <v>5281</v>
          </cell>
          <cell r="B3" t="str">
            <v>04 - Sueldos y Cargas Sociales</v>
          </cell>
        </row>
        <row r="4">
          <cell r="A4" t="str">
            <v>5281</v>
          </cell>
          <cell r="B4" t="str">
            <v>04 - Sueldos y Cargas Sociales</v>
          </cell>
        </row>
        <row r="5">
          <cell r="A5" t="str">
            <v>5281</v>
          </cell>
          <cell r="B5" t="str">
            <v>04 - Sueldos y Cargas Sociales</v>
          </cell>
        </row>
        <row r="6">
          <cell r="A6" t="str">
            <v>5281</v>
          </cell>
          <cell r="B6" t="str">
            <v>04 - Sueldos y Cargas Sociales</v>
          </cell>
        </row>
        <row r="7">
          <cell r="A7" t="str">
            <v>5281</v>
          </cell>
          <cell r="B7" t="str">
            <v>04 - Sueldos y Cargas Sociales</v>
          </cell>
        </row>
        <row r="8">
          <cell r="A8" t="str">
            <v>5281</v>
          </cell>
          <cell r="B8" t="str">
            <v>04 - Sueldos y Cargas Sociales</v>
          </cell>
        </row>
        <row r="9">
          <cell r="A9" t="str">
            <v>5281</v>
          </cell>
          <cell r="B9" t="str">
            <v>04 - Sueldos y Cargas Sociales</v>
          </cell>
        </row>
        <row r="10">
          <cell r="A10" t="str">
            <v>5281</v>
          </cell>
          <cell r="B10" t="str">
            <v>04 - Sueldos y Cargas Sociales</v>
          </cell>
        </row>
        <row r="11">
          <cell r="A11" t="str">
            <v>5321</v>
          </cell>
          <cell r="B11" t="str">
            <v>04 - Sueldos y Cargas Sociales</v>
          </cell>
        </row>
        <row r="12">
          <cell r="A12" t="str">
            <v>5321</v>
          </cell>
          <cell r="B12" t="str">
            <v>04 - Sueldos y Cargas Sociales</v>
          </cell>
        </row>
        <row r="13">
          <cell r="A13" t="str">
            <v>5321</v>
          </cell>
          <cell r="B13" t="str">
            <v>04 - Sueldos y Cargas Sociales</v>
          </cell>
        </row>
        <row r="14">
          <cell r="A14" t="str">
            <v>5321</v>
          </cell>
          <cell r="B14" t="str">
            <v>04 - Sueldos y Cargas Sociales</v>
          </cell>
        </row>
        <row r="15">
          <cell r="A15" t="str">
            <v>5321</v>
          </cell>
          <cell r="B15" t="str">
            <v>04 - Sueldos y Cargas Sociales</v>
          </cell>
        </row>
        <row r="16">
          <cell r="A16" t="str">
            <v>5321</v>
          </cell>
          <cell r="B16" t="str">
            <v>04 - Sueldos y Cargas Sociales</v>
          </cell>
        </row>
        <row r="17">
          <cell r="A17" t="str">
            <v>5321</v>
          </cell>
          <cell r="B17" t="str">
            <v>04 - Sueldos y Cargas Sociales</v>
          </cell>
        </row>
        <row r="18">
          <cell r="A18" t="str">
            <v>5321</v>
          </cell>
          <cell r="B18" t="str">
            <v>04 - Sueldos y Cargas Sociales</v>
          </cell>
        </row>
        <row r="19">
          <cell r="A19" t="str">
            <v>5432</v>
          </cell>
          <cell r="B19" t="str">
            <v>04 - Sueldos y Cargas Sociales</v>
          </cell>
        </row>
        <row r="20">
          <cell r="A20" t="str">
            <v>5432</v>
          </cell>
          <cell r="B20" t="str">
            <v>04 - Sueldos y Cargas Sociales</v>
          </cell>
        </row>
        <row r="21">
          <cell r="A21" t="str">
            <v>5432</v>
          </cell>
          <cell r="B21" t="str">
            <v>04 - Sueldos y Cargas Sociales</v>
          </cell>
        </row>
        <row r="22">
          <cell r="A22" t="str">
            <v>5432</v>
          </cell>
          <cell r="B22" t="str">
            <v>04 - Sueldos y Cargas Sociales</v>
          </cell>
        </row>
        <row r="23">
          <cell r="A23" t="str">
            <v>5432</v>
          </cell>
          <cell r="B23" t="str">
            <v>04 - Sueldos y Cargas Sociales</v>
          </cell>
        </row>
        <row r="24">
          <cell r="A24" t="str">
            <v>5432</v>
          </cell>
          <cell r="B24" t="str">
            <v>04 - Sueldos y Cargas Sociales</v>
          </cell>
        </row>
        <row r="25">
          <cell r="A25" t="str">
            <v>5432</v>
          </cell>
          <cell r="B25" t="str">
            <v>04 - Sueldos y Cargas Sociales</v>
          </cell>
        </row>
        <row r="26">
          <cell r="A26" t="str">
            <v>5432</v>
          </cell>
          <cell r="B26" t="str">
            <v>04 - Sueldos y Cargas Sociales</v>
          </cell>
        </row>
        <row r="27">
          <cell r="A27" t="str">
            <v>5435</v>
          </cell>
          <cell r="B27" t="str">
            <v>04 - Sueldos y Cargas Sociales</v>
          </cell>
        </row>
        <row r="28">
          <cell r="A28" t="str">
            <v>5435</v>
          </cell>
          <cell r="B28" t="str">
            <v>04 - Sueldos y Cargas Sociales</v>
          </cell>
        </row>
        <row r="29">
          <cell r="A29" t="str">
            <v>5435</v>
          </cell>
          <cell r="B29" t="str">
            <v>04 - Sueldos y Cargas Sociales</v>
          </cell>
        </row>
        <row r="30">
          <cell r="A30" t="str">
            <v>5435</v>
          </cell>
          <cell r="B30" t="str">
            <v>04 - Sueldos y Cargas Sociales</v>
          </cell>
        </row>
        <row r="31">
          <cell r="A31" t="str">
            <v>5435</v>
          </cell>
          <cell r="B31" t="str">
            <v>04 - Sueldos y Cargas Sociales</v>
          </cell>
        </row>
        <row r="32">
          <cell r="A32" t="str">
            <v>5435</v>
          </cell>
          <cell r="B32" t="str">
            <v>04 - Sueldos y Cargas Sociales</v>
          </cell>
        </row>
        <row r="33">
          <cell r="A33" t="str">
            <v>5435</v>
          </cell>
          <cell r="B33" t="str">
            <v>04 - Sueldos y Cargas Sociales</v>
          </cell>
        </row>
        <row r="34">
          <cell r="A34" t="str">
            <v>5435</v>
          </cell>
          <cell r="B34" t="str">
            <v>04 - Sueldos y Cargas Sociales</v>
          </cell>
        </row>
        <row r="35">
          <cell r="A35" t="str">
            <v>5451</v>
          </cell>
          <cell r="B35" t="str">
            <v>04 - Sueldos y Cargas Sociales</v>
          </cell>
        </row>
        <row r="36">
          <cell r="A36" t="str">
            <v>5451</v>
          </cell>
          <cell r="B36" t="str">
            <v>04 - Sueldos y Cargas Sociales</v>
          </cell>
        </row>
        <row r="37">
          <cell r="A37" t="str">
            <v>5451</v>
          </cell>
          <cell r="B37" t="str">
            <v>04 - Sueldos y Cargas Sociales</v>
          </cell>
        </row>
        <row r="38">
          <cell r="A38" t="str">
            <v>5451</v>
          </cell>
          <cell r="B38" t="str">
            <v>04 - Sueldos y Cargas Sociales</v>
          </cell>
        </row>
        <row r="39">
          <cell r="A39" t="str">
            <v>5451</v>
          </cell>
          <cell r="B39" t="str">
            <v>04 - Sueldos y Cargas Sociales</v>
          </cell>
        </row>
        <row r="40">
          <cell r="A40" t="str">
            <v>5451</v>
          </cell>
          <cell r="B40" t="str">
            <v>04 - Sueldos y Cargas Sociales</v>
          </cell>
        </row>
        <row r="41">
          <cell r="A41" t="str">
            <v>5451</v>
          </cell>
          <cell r="B41" t="str">
            <v>04 - Sueldos y Cargas Sociales</v>
          </cell>
        </row>
        <row r="42">
          <cell r="A42" t="str">
            <v>5451</v>
          </cell>
          <cell r="B42" t="str">
            <v>04 - Sueldos y Cargas Sociales</v>
          </cell>
        </row>
        <row r="43">
          <cell r="A43" t="str">
            <v>5452</v>
          </cell>
          <cell r="B43" t="str">
            <v>04 - Sueldos y Cargas Sociales</v>
          </cell>
        </row>
        <row r="44">
          <cell r="A44" t="str">
            <v>5452</v>
          </cell>
          <cell r="B44" t="str">
            <v>04 - Sueldos y Cargas Sociales</v>
          </cell>
        </row>
        <row r="45">
          <cell r="A45" t="str">
            <v>5452</v>
          </cell>
          <cell r="B45" t="str">
            <v>04 - Sueldos y Cargas Sociales</v>
          </cell>
        </row>
        <row r="46">
          <cell r="A46" t="str">
            <v>5452</v>
          </cell>
          <cell r="B46" t="str">
            <v>04 - Sueldos y Cargas Sociales</v>
          </cell>
        </row>
        <row r="47">
          <cell r="A47" t="str">
            <v>5452</v>
          </cell>
          <cell r="B47" t="str">
            <v>04 - Sueldos y Cargas Sociales</v>
          </cell>
        </row>
        <row r="48">
          <cell r="A48" t="str">
            <v>5452</v>
          </cell>
          <cell r="B48" t="str">
            <v>04 - Sueldos y Cargas Sociales</v>
          </cell>
        </row>
        <row r="49">
          <cell r="A49" t="str">
            <v>5452</v>
          </cell>
          <cell r="B49" t="str">
            <v>04 - Sueldos y Cargas Sociales</v>
          </cell>
        </row>
        <row r="50">
          <cell r="A50" t="str">
            <v>5452</v>
          </cell>
          <cell r="B50" t="str">
            <v>04 - Sueldos y Cargas Sociales</v>
          </cell>
        </row>
        <row r="51">
          <cell r="A51" t="str">
            <v>5453</v>
          </cell>
          <cell r="B51" t="str">
            <v>04 - Sueldos y Cargas Sociales</v>
          </cell>
        </row>
        <row r="52">
          <cell r="A52" t="str">
            <v>5453</v>
          </cell>
          <cell r="B52" t="str">
            <v>04 - Sueldos y Cargas Sociales</v>
          </cell>
        </row>
        <row r="53">
          <cell r="A53" t="str">
            <v>5453</v>
          </cell>
          <cell r="B53" t="str">
            <v>04 - Sueldos y Cargas Sociales</v>
          </cell>
        </row>
        <row r="54">
          <cell r="A54" t="str">
            <v>5453</v>
          </cell>
          <cell r="B54" t="str">
            <v>04 - Sueldos y Cargas Sociales</v>
          </cell>
        </row>
        <row r="55">
          <cell r="A55" t="str">
            <v>5453</v>
          </cell>
          <cell r="B55" t="str">
            <v>04 - Sueldos y Cargas Sociales</v>
          </cell>
        </row>
        <row r="56">
          <cell r="A56" t="str">
            <v>5453</v>
          </cell>
          <cell r="B56" t="str">
            <v>04 - Sueldos y Cargas Sociales</v>
          </cell>
        </row>
        <row r="57">
          <cell r="A57" t="str">
            <v>5453</v>
          </cell>
          <cell r="B57" t="str">
            <v>04 - Sueldos y Cargas Sociales</v>
          </cell>
        </row>
        <row r="58">
          <cell r="A58" t="str">
            <v>5453</v>
          </cell>
          <cell r="B58" t="str">
            <v>04 - Sueldos y Cargas Sociales</v>
          </cell>
        </row>
        <row r="59">
          <cell r="A59" t="str">
            <v>5521</v>
          </cell>
          <cell r="B59" t="str">
            <v>04 - Sueldos y Cargas Sociales</v>
          </cell>
        </row>
        <row r="60">
          <cell r="A60" t="str">
            <v>5521</v>
          </cell>
          <cell r="B60" t="str">
            <v>04 - Sueldos y Cargas Sociales</v>
          </cell>
        </row>
        <row r="61">
          <cell r="A61" t="str">
            <v>5521</v>
          </cell>
          <cell r="B61" t="str">
            <v>04 - Sueldos y Cargas Sociales</v>
          </cell>
        </row>
        <row r="62">
          <cell r="A62" t="str">
            <v>5521</v>
          </cell>
          <cell r="B62" t="str">
            <v>04 - Sueldos y Cargas Sociales</v>
          </cell>
        </row>
        <row r="63">
          <cell r="A63" t="str">
            <v>5521</v>
          </cell>
          <cell r="B63" t="str">
            <v>04 - Sueldos y Cargas Sociales</v>
          </cell>
        </row>
        <row r="64">
          <cell r="A64" t="str">
            <v>5521</v>
          </cell>
          <cell r="B64" t="str">
            <v>04 - Sueldos y Cargas Sociales</v>
          </cell>
        </row>
        <row r="65">
          <cell r="A65" t="str">
            <v>5521</v>
          </cell>
          <cell r="B65" t="str">
            <v>04 - Sueldos y Cargas Sociales</v>
          </cell>
        </row>
        <row r="66">
          <cell r="A66" t="str">
            <v>5521</v>
          </cell>
          <cell r="B66" t="str">
            <v>04 - Sueldos y Cargas Sociales</v>
          </cell>
        </row>
        <row r="67">
          <cell r="A67" t="str">
            <v>5521</v>
          </cell>
          <cell r="B67" t="str">
            <v>04 - Sueldos y Cargas Sociales</v>
          </cell>
        </row>
        <row r="68">
          <cell r="A68" t="str">
            <v>5527</v>
          </cell>
          <cell r="B68" t="str">
            <v>04 - Sueldos y Cargas Sociales</v>
          </cell>
        </row>
        <row r="69">
          <cell r="A69" t="str">
            <v>5527</v>
          </cell>
          <cell r="B69" t="str">
            <v>04 - Sueldos y Cargas Sociales</v>
          </cell>
        </row>
        <row r="70">
          <cell r="A70" t="str">
            <v>5527</v>
          </cell>
          <cell r="B70" t="str">
            <v>04 - Sueldos y Cargas Sociales</v>
          </cell>
        </row>
        <row r="71">
          <cell r="A71" t="str">
            <v>5527</v>
          </cell>
          <cell r="B71" t="str">
            <v>04 - Sueldos y Cargas Sociales</v>
          </cell>
        </row>
        <row r="72">
          <cell r="A72" t="str">
            <v>5527</v>
          </cell>
          <cell r="B72" t="str">
            <v>04 - Sueldos y Cargas Sociales</v>
          </cell>
        </row>
        <row r="73">
          <cell r="A73" t="str">
            <v>5527</v>
          </cell>
          <cell r="B73" t="str">
            <v>04 - Sueldos y Cargas Sociales</v>
          </cell>
        </row>
        <row r="74">
          <cell r="A74" t="str">
            <v>5527</v>
          </cell>
          <cell r="B74" t="str">
            <v>04 - Sueldos y Cargas Sociales</v>
          </cell>
        </row>
        <row r="75">
          <cell r="A75" t="str">
            <v>5527</v>
          </cell>
          <cell r="B75" t="str">
            <v>04 - Sueldos y Cargas Sociales</v>
          </cell>
        </row>
        <row r="76">
          <cell r="A76" t="str">
            <v>5527</v>
          </cell>
          <cell r="B76" t="str">
            <v>04 - Sueldos y Cargas Sociales</v>
          </cell>
        </row>
        <row r="77">
          <cell r="A77" t="str">
            <v>5534.02</v>
          </cell>
          <cell r="B77" t="str">
            <v>11 - Otros Gastos</v>
          </cell>
        </row>
        <row r="78">
          <cell r="A78" t="str">
            <v>5534.02</v>
          </cell>
          <cell r="B78" t="str">
            <v>04 - Sueldos y Cargas Sociales</v>
          </cell>
        </row>
        <row r="79">
          <cell r="A79" t="str">
            <v>5534.02</v>
          </cell>
          <cell r="B79" t="str">
            <v>04 - Sueldos y Cargas Sociales</v>
          </cell>
        </row>
        <row r="80">
          <cell r="A80" t="str">
            <v>5534.02</v>
          </cell>
          <cell r="B80" t="str">
            <v>04 - Sueldos y Cargas Sociales</v>
          </cell>
        </row>
        <row r="81">
          <cell r="A81" t="str">
            <v>5534.02</v>
          </cell>
          <cell r="B81" t="str">
            <v>04 - Sueldos y Cargas Sociales</v>
          </cell>
        </row>
        <row r="82">
          <cell r="A82" t="str">
            <v>5535</v>
          </cell>
          <cell r="B82" t="str">
            <v>04 - Sueldos y Cargas Sociales</v>
          </cell>
        </row>
        <row r="83">
          <cell r="A83" t="str">
            <v>5535</v>
          </cell>
          <cell r="B83" t="str">
            <v>04 - Sueldos y Cargas Sociales</v>
          </cell>
        </row>
        <row r="84">
          <cell r="A84" t="str">
            <v>5535</v>
          </cell>
          <cell r="B84" t="str">
            <v>04 - Sueldos y Cargas Sociales</v>
          </cell>
        </row>
        <row r="85">
          <cell r="A85" t="str">
            <v>5535</v>
          </cell>
          <cell r="B85" t="str">
            <v>04 - Sueldos y Cargas Sociales</v>
          </cell>
        </row>
        <row r="86">
          <cell r="A86" t="str">
            <v>5535</v>
          </cell>
          <cell r="B86" t="str">
            <v>04 - Sueldos y Cargas Sociales</v>
          </cell>
        </row>
        <row r="87">
          <cell r="A87" t="str">
            <v>5536</v>
          </cell>
          <cell r="B87" t="str">
            <v>04 - Sueldos y Cargas Sociales</v>
          </cell>
        </row>
        <row r="88">
          <cell r="A88" t="str">
            <v>5537</v>
          </cell>
          <cell r="B88" t="str">
            <v>04 - Sueldos y Cargas Sociales</v>
          </cell>
        </row>
        <row r="89">
          <cell r="A89" t="str">
            <v>5537</v>
          </cell>
          <cell r="B89" t="str">
            <v>04 - Sueldos y Cargas Sociales</v>
          </cell>
        </row>
        <row r="90">
          <cell r="A90" t="str">
            <v>5537</v>
          </cell>
          <cell r="B90" t="str">
            <v>04 - Sueldos y Cargas Sociales</v>
          </cell>
        </row>
        <row r="91">
          <cell r="A91" t="str">
            <v>5537</v>
          </cell>
          <cell r="B91" t="str">
            <v>04 - Sueldos y Cargas Sociales</v>
          </cell>
        </row>
        <row r="92">
          <cell r="A92" t="str">
            <v>5537</v>
          </cell>
          <cell r="B92" t="str">
            <v>04 - Sueldos y Cargas Sociales</v>
          </cell>
        </row>
        <row r="93">
          <cell r="A93" t="str">
            <v>5537</v>
          </cell>
          <cell r="B93" t="str">
            <v>04 - Sueldos y Cargas Sociales</v>
          </cell>
        </row>
        <row r="94">
          <cell r="A94" t="str">
            <v>5537</v>
          </cell>
          <cell r="B94" t="str">
            <v>04 - Sueldos y Cargas Sociales</v>
          </cell>
        </row>
        <row r="95">
          <cell r="A95" t="str">
            <v>5537</v>
          </cell>
          <cell r="B95" t="str">
            <v>04 - Sueldos y Cargas Sociales</v>
          </cell>
        </row>
        <row r="96">
          <cell r="A96" t="str">
            <v>5537</v>
          </cell>
          <cell r="B96" t="str">
            <v>04 - Sueldos y Cargas Sociales</v>
          </cell>
        </row>
        <row r="97">
          <cell r="A97" t="str">
            <v>5537</v>
          </cell>
          <cell r="B97" t="str">
            <v>04 - Sueldos y Cargas Sociales</v>
          </cell>
        </row>
        <row r="98">
          <cell r="A98" t="str">
            <v>5538</v>
          </cell>
          <cell r="B98" t="str">
            <v>04 - Sueldos y Cargas Sociales</v>
          </cell>
        </row>
        <row r="99">
          <cell r="A99" t="str">
            <v>5539</v>
          </cell>
          <cell r="B99" t="str">
            <v>04 - Sueldos y Cargas Sociales</v>
          </cell>
        </row>
        <row r="100">
          <cell r="A100" t="str">
            <v>5539</v>
          </cell>
          <cell r="B100" t="str">
            <v>04 - Sueldos y Cargas Sociales</v>
          </cell>
        </row>
        <row r="101">
          <cell r="A101" t="str">
            <v>5539</v>
          </cell>
          <cell r="B101" t="str">
            <v>04 - Sueldos y Cargas Sociales</v>
          </cell>
        </row>
        <row r="102">
          <cell r="A102" t="str">
            <v>5539</v>
          </cell>
          <cell r="B102" t="str">
            <v>04 - Sueldos y Cargas Sociales</v>
          </cell>
        </row>
        <row r="103">
          <cell r="A103" t="str">
            <v>5539</v>
          </cell>
          <cell r="B103" t="str">
            <v>04 - Sueldos y Cargas Sociales</v>
          </cell>
        </row>
        <row r="104">
          <cell r="A104" t="str">
            <v>5539</v>
          </cell>
          <cell r="B104" t="str">
            <v>04 - Sueldos y Cargas Sociales</v>
          </cell>
        </row>
        <row r="105">
          <cell r="A105" t="str">
            <v>5539</v>
          </cell>
          <cell r="B105" t="str">
            <v>04 - Sueldos y Cargas Sociales</v>
          </cell>
        </row>
        <row r="106">
          <cell r="A106" t="str">
            <v>5539</v>
          </cell>
          <cell r="B106" t="str">
            <v>04 - Sueldos y Cargas Sociales</v>
          </cell>
        </row>
        <row r="107">
          <cell r="A107" t="str">
            <v>5540</v>
          </cell>
          <cell r="B107" t="str">
            <v>04 - Sueldos y Cargas Sociales</v>
          </cell>
        </row>
        <row r="108">
          <cell r="A108" t="str">
            <v>5540</v>
          </cell>
          <cell r="B108" t="str">
            <v>04 - Sueldos y Cargas Sociales</v>
          </cell>
        </row>
        <row r="109">
          <cell r="A109" t="str">
            <v>5540</v>
          </cell>
          <cell r="B109" t="str">
            <v>04 - Sueldos y Cargas Sociales</v>
          </cell>
        </row>
        <row r="110">
          <cell r="A110" t="str">
            <v>5540</v>
          </cell>
          <cell r="B110" t="str">
            <v>04 - Sueldos y Cargas Sociales</v>
          </cell>
        </row>
        <row r="111">
          <cell r="A111" t="str">
            <v>5540</v>
          </cell>
          <cell r="B111" t="str">
            <v>04 - Sueldos y Cargas Sociales</v>
          </cell>
        </row>
        <row r="112">
          <cell r="A112" t="str">
            <v>5540</v>
          </cell>
          <cell r="B112" t="str">
            <v>04 - Sueldos y Cargas Sociales</v>
          </cell>
        </row>
        <row r="113">
          <cell r="A113" t="str">
            <v>5540</v>
          </cell>
          <cell r="B113" t="str">
            <v>04 - Sueldos y Cargas Sociales</v>
          </cell>
        </row>
        <row r="114">
          <cell r="A114" t="str">
            <v>5540</v>
          </cell>
          <cell r="B114" t="str">
            <v>04 - Sueldos y Cargas Sociales</v>
          </cell>
        </row>
        <row r="115">
          <cell r="A115" t="str">
            <v>5541</v>
          </cell>
          <cell r="B115" t="str">
            <v>11 - Otros Gastos</v>
          </cell>
        </row>
        <row r="116">
          <cell r="A116" t="str">
            <v>5542</v>
          </cell>
          <cell r="B116" t="str">
            <v>11 - Otros Gastos</v>
          </cell>
        </row>
        <row r="117">
          <cell r="A117" t="str">
            <v>5542</v>
          </cell>
          <cell r="B117" t="str">
            <v>11 - Otros Gastos</v>
          </cell>
        </row>
        <row r="118">
          <cell r="A118" t="str">
            <v>5542</v>
          </cell>
          <cell r="B118" t="str">
            <v>04 - Sueldos y Cargas Sociales</v>
          </cell>
        </row>
        <row r="119">
          <cell r="A119" t="str">
            <v>5542</v>
          </cell>
          <cell r="B119" t="str">
            <v>04 - Sueldos y Cargas Sociales</v>
          </cell>
        </row>
        <row r="120">
          <cell r="A120" t="str">
            <v>5542</v>
          </cell>
          <cell r="B120" t="str">
            <v>04 - Sueldos y Cargas Sociales</v>
          </cell>
        </row>
        <row r="121">
          <cell r="A121" t="str">
            <v>5542</v>
          </cell>
          <cell r="B121" t="str">
            <v>11 - Otros Gastos</v>
          </cell>
        </row>
        <row r="122">
          <cell r="A122" t="str">
            <v>5542</v>
          </cell>
          <cell r="B122" t="str">
            <v>11 - Otros Gastos</v>
          </cell>
        </row>
        <row r="123">
          <cell r="A123" t="str">
            <v>5542</v>
          </cell>
          <cell r="B123" t="str">
            <v>04 - Sueldos y Cargas Sociales</v>
          </cell>
        </row>
        <row r="124">
          <cell r="A124" t="str">
            <v>5542</v>
          </cell>
          <cell r="B124" t="str">
            <v>04 - Sueldos y Cargas Sociales</v>
          </cell>
        </row>
        <row r="125">
          <cell r="A125" t="str">
            <v>5542</v>
          </cell>
          <cell r="B125" t="str">
            <v>04 - Sueldos y Cargas Sociales</v>
          </cell>
        </row>
        <row r="126">
          <cell r="A126" t="str">
            <v>5542</v>
          </cell>
          <cell r="B126" t="str">
            <v>11 - Otros Gastos</v>
          </cell>
        </row>
        <row r="127">
          <cell r="A127" t="str">
            <v>5582</v>
          </cell>
          <cell r="B127" t="str">
            <v>11 - Otros Gastos</v>
          </cell>
        </row>
        <row r="128">
          <cell r="A128" t="str">
            <v>5583</v>
          </cell>
          <cell r="B128" t="str">
            <v>11 - Otros Gastos</v>
          </cell>
        </row>
        <row r="129">
          <cell r="A129" t="str">
            <v>5586</v>
          </cell>
          <cell r="B129" t="str">
            <v>11 - Otros Gastos</v>
          </cell>
        </row>
        <row r="130">
          <cell r="A130" t="str">
            <v>5587</v>
          </cell>
          <cell r="B130" t="str">
            <v>11 - Otros Gastos</v>
          </cell>
        </row>
        <row r="131">
          <cell r="A131" t="str">
            <v>5803</v>
          </cell>
          <cell r="B131" t="str">
            <v>11 - Otros Gastos</v>
          </cell>
        </row>
        <row r="132">
          <cell r="A132" t="str">
            <v>5803</v>
          </cell>
          <cell r="B132" t="str">
            <v>11 - Otros Gastos</v>
          </cell>
        </row>
        <row r="133">
          <cell r="A133" t="str">
            <v>5803</v>
          </cell>
          <cell r="B133" t="str">
            <v>11 - Otros Gastos</v>
          </cell>
        </row>
        <row r="134">
          <cell r="A134" t="str">
            <v>5803</v>
          </cell>
          <cell r="B134" t="str">
            <v>11 - Otros Gastos</v>
          </cell>
        </row>
        <row r="135">
          <cell r="A135" t="str">
            <v>5803</v>
          </cell>
          <cell r="B135" t="str">
            <v>11 - Otros Gastos</v>
          </cell>
        </row>
        <row r="136">
          <cell r="A136" t="str">
            <v>5804</v>
          </cell>
          <cell r="B136" t="str">
            <v>11 - Otros Gastos</v>
          </cell>
        </row>
        <row r="137">
          <cell r="A137" t="str">
            <v>5854</v>
          </cell>
          <cell r="B137" t="str">
            <v>08 - Pulling y Mediciones</v>
          </cell>
        </row>
        <row r="138">
          <cell r="A138" t="str">
            <v>5854</v>
          </cell>
          <cell r="B138" t="str">
            <v>08 - Pulling y Mediciones</v>
          </cell>
        </row>
        <row r="139">
          <cell r="A139" t="str">
            <v>5854</v>
          </cell>
          <cell r="B139" t="str">
            <v>08 - Pulling y Mediciones</v>
          </cell>
        </row>
        <row r="140">
          <cell r="A140" t="str">
            <v>5855</v>
          </cell>
          <cell r="B140" t="str">
            <v>08 - Pulling y Mediciones</v>
          </cell>
        </row>
        <row r="141">
          <cell r="A141" t="str">
            <v>5855</v>
          </cell>
          <cell r="B141" t="str">
            <v>08 - Pulling y Mediciones</v>
          </cell>
        </row>
        <row r="142">
          <cell r="A142" t="str">
            <v>5857</v>
          </cell>
          <cell r="B142" t="str">
            <v>08 - Pulling y Mediciones</v>
          </cell>
        </row>
        <row r="143">
          <cell r="A143" t="str">
            <v>5857</v>
          </cell>
          <cell r="B143" t="str">
            <v>08 - Pulling y Mediciones</v>
          </cell>
        </row>
        <row r="144">
          <cell r="A144" t="str">
            <v>5857</v>
          </cell>
          <cell r="B144" t="str">
            <v>08 - Pulling y Mediciones</v>
          </cell>
        </row>
        <row r="145">
          <cell r="A145" t="str">
            <v>5857.001</v>
          </cell>
          <cell r="B145" t="str">
            <v>08 - Pulling y Mediciones</v>
          </cell>
        </row>
        <row r="146">
          <cell r="A146" t="str">
            <v>5858</v>
          </cell>
          <cell r="B146" t="str">
            <v>08 - Pulling y Mediciones</v>
          </cell>
        </row>
        <row r="147">
          <cell r="A147" t="str">
            <v>5858</v>
          </cell>
          <cell r="B147" t="str">
            <v>08 - Pulling y Mediciones</v>
          </cell>
        </row>
        <row r="148">
          <cell r="A148" t="str">
            <v>5858</v>
          </cell>
          <cell r="B148" t="str">
            <v>08 - Pulling y Mediciones</v>
          </cell>
        </row>
        <row r="149">
          <cell r="A149" t="str">
            <v>5858</v>
          </cell>
          <cell r="B149" t="str">
            <v>08 - Pulling y Mediciones</v>
          </cell>
        </row>
        <row r="150">
          <cell r="A150" t="str">
            <v>5858</v>
          </cell>
          <cell r="B150" t="str">
            <v>08 - Pulling y Mediciones</v>
          </cell>
        </row>
        <row r="151">
          <cell r="A151" t="str">
            <v>5858.001</v>
          </cell>
          <cell r="B151" t="str">
            <v>08 - Pulling y Mediciones</v>
          </cell>
        </row>
        <row r="152">
          <cell r="A152" t="str">
            <v>5858.001</v>
          </cell>
          <cell r="B152" t="str">
            <v>08 - Pulling y Mediciones</v>
          </cell>
        </row>
        <row r="153">
          <cell r="A153" t="str">
            <v>5858.001</v>
          </cell>
          <cell r="B153" t="str">
            <v>08 - Pulling y Mediciones</v>
          </cell>
        </row>
        <row r="154">
          <cell r="A154" t="str">
            <v>5859</v>
          </cell>
          <cell r="B154" t="str">
            <v>08 - Pulling y Mediciones</v>
          </cell>
        </row>
        <row r="155">
          <cell r="A155" t="str">
            <v>5859</v>
          </cell>
          <cell r="B155" t="str">
            <v>08 - Pulling y Mediciones</v>
          </cell>
        </row>
        <row r="156">
          <cell r="A156" t="str">
            <v>5859</v>
          </cell>
          <cell r="B156" t="str">
            <v>08 - Pulling y Mediciones</v>
          </cell>
        </row>
        <row r="157">
          <cell r="A157" t="str">
            <v>5859</v>
          </cell>
          <cell r="B157" t="str">
            <v>08 - Pulling y Mediciones</v>
          </cell>
        </row>
        <row r="158">
          <cell r="A158" t="str">
            <v>5859.001</v>
          </cell>
          <cell r="B158" t="str">
            <v>08 - Pulling y Mediciones</v>
          </cell>
        </row>
        <row r="159">
          <cell r="A159" t="str">
            <v>5859.001</v>
          </cell>
          <cell r="B159" t="str">
            <v>08 - Pulling y Mediciones</v>
          </cell>
        </row>
        <row r="160">
          <cell r="A160" t="str">
            <v>5859.001</v>
          </cell>
          <cell r="B160" t="str">
            <v>08 - Pulling y Mediciones</v>
          </cell>
        </row>
        <row r="161">
          <cell r="A161" t="str">
            <v>5860</v>
          </cell>
          <cell r="B161" t="str">
            <v>08 - Pulling y Mediciones</v>
          </cell>
        </row>
        <row r="162">
          <cell r="A162" t="str">
            <v>5860</v>
          </cell>
          <cell r="B162" t="str">
            <v>08 - Pulling y Mediciones</v>
          </cell>
        </row>
        <row r="163">
          <cell r="A163" t="str">
            <v>5860</v>
          </cell>
          <cell r="B163" t="str">
            <v>08 - Pulling y Mediciones</v>
          </cell>
        </row>
        <row r="164">
          <cell r="A164" t="str">
            <v>5860</v>
          </cell>
          <cell r="B164" t="str">
            <v>08 - Pulling y Mediciones</v>
          </cell>
        </row>
        <row r="165">
          <cell r="A165" t="str">
            <v>5860</v>
          </cell>
          <cell r="B165" t="str">
            <v>08 - Pulling y Mediciones</v>
          </cell>
        </row>
        <row r="166">
          <cell r="A166" t="str">
            <v>5861</v>
          </cell>
          <cell r="B166" t="str">
            <v>08 - Pulling y Mediciones</v>
          </cell>
        </row>
        <row r="167">
          <cell r="A167" t="str">
            <v>5861.001</v>
          </cell>
          <cell r="B167" t="str">
            <v>08 - Pulling y Mediciones</v>
          </cell>
        </row>
        <row r="168">
          <cell r="A168" t="str">
            <v>5862</v>
          </cell>
          <cell r="B168" t="str">
            <v>08 - Pulling y Mediciones</v>
          </cell>
        </row>
        <row r="169">
          <cell r="A169" t="str">
            <v>5862</v>
          </cell>
          <cell r="B169" t="str">
            <v>08 - Pulling y Mediciones</v>
          </cell>
        </row>
        <row r="170">
          <cell r="A170" t="str">
            <v>5862</v>
          </cell>
          <cell r="B170" t="str">
            <v>08 - Pulling y Mediciones</v>
          </cell>
        </row>
        <row r="171">
          <cell r="A171" t="str">
            <v>5862</v>
          </cell>
          <cell r="B171" t="str">
            <v>08 - Pulling y Mediciones</v>
          </cell>
        </row>
        <row r="172">
          <cell r="A172" t="str">
            <v>5862.001</v>
          </cell>
          <cell r="B172" t="str">
            <v>08 - Pulling y Mediciones</v>
          </cell>
        </row>
        <row r="173">
          <cell r="A173" t="str">
            <v>5862.001</v>
          </cell>
          <cell r="B173" t="str">
            <v>08 - Pulling y Mediciones</v>
          </cell>
        </row>
        <row r="174">
          <cell r="A174" t="str">
            <v>5864</v>
          </cell>
          <cell r="B174" t="str">
            <v>07 - Otros Materiales</v>
          </cell>
        </row>
        <row r="175">
          <cell r="A175" t="str">
            <v>5864</v>
          </cell>
          <cell r="B175" t="str">
            <v>07 - Otros Materiales</v>
          </cell>
        </row>
        <row r="176">
          <cell r="A176" t="str">
            <v>5864</v>
          </cell>
          <cell r="B176" t="str">
            <v>07 - Otros Materiales</v>
          </cell>
        </row>
        <row r="177">
          <cell r="A177" t="str">
            <v>5865</v>
          </cell>
          <cell r="B177" t="str">
            <v>07 - Otros Materiales</v>
          </cell>
        </row>
        <row r="178">
          <cell r="A178" t="str">
            <v>5865</v>
          </cell>
          <cell r="B178" t="str">
            <v>07 - Otros Materiales</v>
          </cell>
        </row>
        <row r="179">
          <cell r="A179" t="str">
            <v>5866</v>
          </cell>
          <cell r="B179" t="str">
            <v>08 - Pulling y Mediciones</v>
          </cell>
        </row>
        <row r="180">
          <cell r="A180" t="str">
            <v>5866</v>
          </cell>
          <cell r="B180" t="str">
            <v>08 - Pulling y Mediciones</v>
          </cell>
        </row>
        <row r="181">
          <cell r="A181" t="str">
            <v>5866</v>
          </cell>
          <cell r="B181" t="str">
            <v>08 - Pulling y Mediciones</v>
          </cell>
        </row>
        <row r="182">
          <cell r="A182" t="str">
            <v>5866</v>
          </cell>
          <cell r="B182" t="str">
            <v>08 - Pulling y Mediciones</v>
          </cell>
        </row>
        <row r="183">
          <cell r="A183" t="str">
            <v>5867</v>
          </cell>
          <cell r="B183" t="str">
            <v>08 - Pulling y Mediciones</v>
          </cell>
        </row>
        <row r="184">
          <cell r="A184" t="str">
            <v>5867</v>
          </cell>
          <cell r="B184" t="str">
            <v>08 - Pulling y Mediciones</v>
          </cell>
        </row>
        <row r="185">
          <cell r="A185" t="str">
            <v>5867</v>
          </cell>
          <cell r="B185" t="str">
            <v>08 - Pulling y Mediciones</v>
          </cell>
        </row>
        <row r="186">
          <cell r="A186" t="str">
            <v>5869</v>
          </cell>
          <cell r="B186" t="str">
            <v>08 - Pulling y Mediciones</v>
          </cell>
        </row>
        <row r="187">
          <cell r="A187" t="str">
            <v>5869</v>
          </cell>
          <cell r="B187" t="str">
            <v>08 - Pulling y Mediciones</v>
          </cell>
        </row>
        <row r="188">
          <cell r="A188" t="str">
            <v>5869</v>
          </cell>
          <cell r="B188" t="str">
            <v>08 - Pulling y Mediciones</v>
          </cell>
        </row>
        <row r="189">
          <cell r="A189" t="str">
            <v>5869</v>
          </cell>
          <cell r="B189" t="str">
            <v>08 - Pulling y Mediciones</v>
          </cell>
        </row>
        <row r="190">
          <cell r="A190" t="str">
            <v>5873</v>
          </cell>
          <cell r="B190" t="str">
            <v>07 - Otros Materiales</v>
          </cell>
        </row>
        <row r="191">
          <cell r="A191" t="str">
            <v>5873</v>
          </cell>
          <cell r="B191" t="str">
            <v>07 - Otros Materiales</v>
          </cell>
        </row>
        <row r="192">
          <cell r="A192" t="str">
            <v>5873.001</v>
          </cell>
          <cell r="B192" t="str">
            <v>07 - Otros Materiales</v>
          </cell>
        </row>
        <row r="193">
          <cell r="A193" t="str">
            <v>5874</v>
          </cell>
          <cell r="B193" t="str">
            <v>07 - Otros Materiales</v>
          </cell>
        </row>
        <row r="194">
          <cell r="A194" t="str">
            <v>5874</v>
          </cell>
          <cell r="B194" t="str">
            <v>07 - Otros Materiales</v>
          </cell>
        </row>
        <row r="195">
          <cell r="A195" t="str">
            <v>5874.001</v>
          </cell>
          <cell r="B195" t="str">
            <v>07 - Otros Materiales</v>
          </cell>
        </row>
        <row r="196">
          <cell r="A196" t="str">
            <v>5876</v>
          </cell>
          <cell r="B196" t="str">
            <v>07 - Otros Materiales</v>
          </cell>
        </row>
        <row r="197">
          <cell r="A197" t="str">
            <v>5876</v>
          </cell>
          <cell r="B197" t="str">
            <v>07 - Otros Materiales</v>
          </cell>
        </row>
        <row r="198">
          <cell r="A198" t="str">
            <v>5876.001</v>
          </cell>
          <cell r="B198" t="str">
            <v>07 - Otros Materiales</v>
          </cell>
        </row>
        <row r="199">
          <cell r="A199" t="str">
            <v>5876.001</v>
          </cell>
          <cell r="B199" t="str">
            <v>07 - Otros Materiales</v>
          </cell>
        </row>
        <row r="200">
          <cell r="A200" t="str">
            <v>6004</v>
          </cell>
          <cell r="B200" t="str">
            <v>02 - Contratistas</v>
          </cell>
        </row>
        <row r="201">
          <cell r="A201" t="str">
            <v>6004</v>
          </cell>
          <cell r="B201" t="str">
            <v>02 - Contratistas</v>
          </cell>
        </row>
        <row r="202">
          <cell r="A202" t="str">
            <v>6063</v>
          </cell>
          <cell r="B202" t="str">
            <v>07 - Otros Materiales</v>
          </cell>
        </row>
        <row r="203">
          <cell r="A203" t="str">
            <v>6065</v>
          </cell>
          <cell r="B203" t="str">
            <v>01 - Consumo de Energía/Gas</v>
          </cell>
        </row>
        <row r="204">
          <cell r="A204" t="str">
            <v>6065</v>
          </cell>
          <cell r="B204" t="str">
            <v>01 - Consumo de Energía/Gas</v>
          </cell>
        </row>
        <row r="205">
          <cell r="A205" t="str">
            <v>6065</v>
          </cell>
          <cell r="B205" t="str">
            <v>01 - Consumo de Energía/Gas</v>
          </cell>
        </row>
        <row r="206">
          <cell r="A206" t="str">
            <v>6065</v>
          </cell>
          <cell r="B206" t="str">
            <v>01 - Consumo de Energía/Gas</v>
          </cell>
        </row>
        <row r="207">
          <cell r="A207" t="str">
            <v>6065</v>
          </cell>
          <cell r="B207" t="str">
            <v>01 - Consumo de Energía/Gas</v>
          </cell>
        </row>
        <row r="208">
          <cell r="A208" t="str">
            <v>6065</v>
          </cell>
          <cell r="B208" t="str">
            <v>01 - Consumo de Energía/Gas</v>
          </cell>
        </row>
        <row r="209">
          <cell r="A209" t="str">
            <v>6065</v>
          </cell>
          <cell r="B209" t="str">
            <v>01 - Consumo de Energía/Gas</v>
          </cell>
        </row>
        <row r="210">
          <cell r="A210" t="str">
            <v>6065</v>
          </cell>
          <cell r="B210" t="str">
            <v>01 - Consumo de Energía/Gas</v>
          </cell>
        </row>
        <row r="211">
          <cell r="A211" t="str">
            <v>6065</v>
          </cell>
          <cell r="B211" t="str">
            <v>01 - Consumo de Energía/Gas</v>
          </cell>
        </row>
        <row r="212">
          <cell r="A212" t="str">
            <v>6065</v>
          </cell>
          <cell r="B212" t="str">
            <v>01 - Consumo de Energía/Gas</v>
          </cell>
        </row>
        <row r="213">
          <cell r="A213" t="str">
            <v>6065</v>
          </cell>
          <cell r="B213" t="str">
            <v>01 - Consumo de Energía/Gas</v>
          </cell>
        </row>
        <row r="214">
          <cell r="A214" t="str">
            <v>6065</v>
          </cell>
          <cell r="B214" t="str">
            <v>01 - Consumo de Energía/Gas</v>
          </cell>
        </row>
        <row r="215">
          <cell r="A215" t="str">
            <v>6065</v>
          </cell>
          <cell r="B215" t="str">
            <v>01 - Consumo de Energía/Gas</v>
          </cell>
        </row>
        <row r="216">
          <cell r="A216" t="str">
            <v>6065</v>
          </cell>
          <cell r="B216" t="str">
            <v>01 - Consumo de Energía/Gas</v>
          </cell>
        </row>
        <row r="217">
          <cell r="A217" t="str">
            <v>6066</v>
          </cell>
          <cell r="B217" t="str">
            <v>01 - Consumo de Energía/Gas</v>
          </cell>
        </row>
        <row r="218">
          <cell r="A218" t="str">
            <v>6066</v>
          </cell>
          <cell r="B218" t="str">
            <v>01 - Consumo de Energía/Gas</v>
          </cell>
        </row>
        <row r="219">
          <cell r="A219" t="str">
            <v>6066</v>
          </cell>
          <cell r="B219" t="str">
            <v>01 - Consumo de Energía/Gas</v>
          </cell>
        </row>
        <row r="220">
          <cell r="A220" t="str">
            <v>6066</v>
          </cell>
          <cell r="B220" t="str">
            <v>01 - Consumo de Energía/Gas</v>
          </cell>
        </row>
        <row r="221">
          <cell r="A221" t="str">
            <v>6068</v>
          </cell>
          <cell r="B221" t="str">
            <v>07 - Otros Materiales</v>
          </cell>
        </row>
        <row r="222">
          <cell r="A222" t="str">
            <v>6070</v>
          </cell>
          <cell r="B222" t="str">
            <v>07 - Otros Materiales</v>
          </cell>
        </row>
        <row r="223">
          <cell r="A223" t="str">
            <v>6070</v>
          </cell>
          <cell r="B223" t="str">
            <v>07 - Otros Materiales</v>
          </cell>
        </row>
        <row r="224">
          <cell r="A224" t="str">
            <v>6070</v>
          </cell>
          <cell r="B224" t="str">
            <v>07 - Otros Materiales</v>
          </cell>
        </row>
        <row r="225">
          <cell r="A225" t="str">
            <v>6122</v>
          </cell>
          <cell r="B225" t="str">
            <v>07 - Otros Materiales</v>
          </cell>
        </row>
        <row r="226">
          <cell r="A226" t="str">
            <v>6122</v>
          </cell>
          <cell r="B226" t="str">
            <v>07 - Otros Materiales</v>
          </cell>
        </row>
        <row r="227">
          <cell r="A227" t="str">
            <v>6122</v>
          </cell>
          <cell r="B227" t="str">
            <v>07 - Otros Materiales</v>
          </cell>
        </row>
        <row r="228">
          <cell r="A228" t="str">
            <v>6122</v>
          </cell>
          <cell r="B228" t="str">
            <v>07 - Otros Materiales</v>
          </cell>
        </row>
        <row r="229">
          <cell r="A229" t="str">
            <v>6122</v>
          </cell>
          <cell r="B229" t="str">
            <v>07 - Otros Materiales</v>
          </cell>
        </row>
        <row r="230">
          <cell r="A230" t="str">
            <v>6124</v>
          </cell>
          <cell r="B230" t="str">
            <v>07 - Otros Materiales</v>
          </cell>
        </row>
        <row r="231">
          <cell r="A231" t="str">
            <v>6124</v>
          </cell>
          <cell r="B231" t="str">
            <v>07 - Otros Materiales</v>
          </cell>
        </row>
        <row r="232">
          <cell r="A232" t="str">
            <v>6124</v>
          </cell>
          <cell r="B232" t="str">
            <v>07 - Otros Materiales</v>
          </cell>
        </row>
        <row r="233">
          <cell r="A233" t="str">
            <v>6125</v>
          </cell>
          <cell r="B233" t="str">
            <v>07 - Otros Materiales</v>
          </cell>
        </row>
        <row r="234">
          <cell r="A234" t="str">
            <v>6125</v>
          </cell>
          <cell r="B234" t="str">
            <v>07 - Otros Materiales</v>
          </cell>
        </row>
        <row r="235">
          <cell r="A235" t="str">
            <v>6126</v>
          </cell>
          <cell r="B235" t="str">
            <v>07 - Otros Materiales</v>
          </cell>
        </row>
        <row r="236">
          <cell r="A236" t="str">
            <v>6126</v>
          </cell>
          <cell r="B236" t="str">
            <v>07 - Otros Materiales</v>
          </cell>
        </row>
        <row r="237">
          <cell r="A237" t="str">
            <v>6127</v>
          </cell>
          <cell r="B237" t="str">
            <v>07 - Otros Materiales</v>
          </cell>
        </row>
        <row r="238">
          <cell r="A238" t="str">
            <v>6128</v>
          </cell>
          <cell r="B238" t="str">
            <v>07 - Otros Materiales</v>
          </cell>
        </row>
        <row r="239">
          <cell r="A239" t="str">
            <v>6128</v>
          </cell>
          <cell r="B239" t="str">
            <v>07 - Otros Materiales</v>
          </cell>
        </row>
        <row r="240">
          <cell r="A240" t="str">
            <v>6129</v>
          </cell>
          <cell r="B240" t="str">
            <v>07 - Otros Materiales</v>
          </cell>
        </row>
        <row r="241">
          <cell r="A241" t="str">
            <v>6129</v>
          </cell>
          <cell r="B241" t="str">
            <v>07 - Otros Materiales</v>
          </cell>
        </row>
        <row r="242">
          <cell r="A242" t="str">
            <v>6129</v>
          </cell>
          <cell r="B242" t="str">
            <v>07 - Otros Materiales</v>
          </cell>
        </row>
        <row r="243">
          <cell r="A243" t="str">
            <v>6129</v>
          </cell>
          <cell r="B243" t="str">
            <v>07 - Otros Materiales</v>
          </cell>
        </row>
        <row r="244">
          <cell r="A244" t="str">
            <v>6129</v>
          </cell>
          <cell r="B244" t="str">
            <v>07 - Otros Materiales</v>
          </cell>
        </row>
        <row r="245">
          <cell r="A245" t="str">
            <v>6129</v>
          </cell>
          <cell r="B245" t="str">
            <v>07 - Otros Materiales</v>
          </cell>
        </row>
        <row r="246">
          <cell r="A246" t="str">
            <v>6129</v>
          </cell>
          <cell r="B246" t="str">
            <v>07 - Otros Materiales</v>
          </cell>
        </row>
        <row r="247">
          <cell r="A247" t="str">
            <v>6129</v>
          </cell>
          <cell r="B247" t="str">
            <v>07 - Otros Materiales</v>
          </cell>
        </row>
        <row r="248">
          <cell r="A248" t="str">
            <v>6129</v>
          </cell>
          <cell r="B248" t="str">
            <v>07 - Otros Materiales</v>
          </cell>
        </row>
        <row r="249">
          <cell r="A249" t="str">
            <v>6129</v>
          </cell>
          <cell r="B249" t="str">
            <v>07 - Otros Materiales</v>
          </cell>
        </row>
        <row r="250">
          <cell r="A250" t="str">
            <v>6130</v>
          </cell>
          <cell r="B250" t="str">
            <v>07 - Otros Materiales</v>
          </cell>
        </row>
        <row r="251">
          <cell r="A251" t="str">
            <v>6130</v>
          </cell>
          <cell r="B251" t="str">
            <v>07 - Otros Materiales</v>
          </cell>
        </row>
        <row r="252">
          <cell r="A252" t="str">
            <v>6130</v>
          </cell>
          <cell r="B252" t="str">
            <v>07 - Otros Materiales</v>
          </cell>
        </row>
        <row r="253">
          <cell r="A253" t="str">
            <v>6130</v>
          </cell>
          <cell r="B253" t="str">
            <v>07 - Otros Materiales</v>
          </cell>
        </row>
        <row r="254">
          <cell r="A254" t="str">
            <v>6130</v>
          </cell>
          <cell r="B254" t="str">
            <v>07 - Otros Materiales</v>
          </cell>
        </row>
        <row r="255">
          <cell r="A255" t="str">
            <v>6130</v>
          </cell>
          <cell r="B255" t="str">
            <v>07 - Otros Materiales</v>
          </cell>
        </row>
        <row r="256">
          <cell r="A256" t="str">
            <v>6130</v>
          </cell>
          <cell r="B256" t="str">
            <v>07 - Otros Materiales</v>
          </cell>
        </row>
        <row r="257">
          <cell r="A257" t="str">
            <v>6130</v>
          </cell>
          <cell r="B257" t="str">
            <v>07 - Otros Materiales</v>
          </cell>
        </row>
        <row r="258">
          <cell r="A258" t="str">
            <v>6131</v>
          </cell>
          <cell r="B258" t="str">
            <v>07 - Otros Materiales</v>
          </cell>
        </row>
        <row r="259">
          <cell r="A259" t="str">
            <v>6131</v>
          </cell>
          <cell r="B259" t="str">
            <v>07 - Otros Materiales</v>
          </cell>
        </row>
        <row r="260">
          <cell r="A260" t="str">
            <v>6131.001</v>
          </cell>
          <cell r="B260" t="str">
            <v>07 - Otros Materiales</v>
          </cell>
        </row>
        <row r="261">
          <cell r="A261" t="str">
            <v>6131.001</v>
          </cell>
          <cell r="B261" t="str">
            <v>07 - Otros Materiales</v>
          </cell>
        </row>
        <row r="262">
          <cell r="A262" t="str">
            <v>6131.001</v>
          </cell>
          <cell r="B262" t="str">
            <v>07 - Otros Materiales</v>
          </cell>
        </row>
        <row r="263">
          <cell r="A263" t="str">
            <v>6131.001</v>
          </cell>
          <cell r="B263" t="str">
            <v>07 - Otros Materiales</v>
          </cell>
        </row>
        <row r="264">
          <cell r="A264" t="str">
            <v>6132</v>
          </cell>
          <cell r="B264" t="str">
            <v>07 - Otros Materiales</v>
          </cell>
        </row>
        <row r="265">
          <cell r="A265" t="str">
            <v>6132</v>
          </cell>
          <cell r="B265" t="str">
            <v>07 - Otros Materiales</v>
          </cell>
        </row>
        <row r="266">
          <cell r="A266" t="str">
            <v>6132</v>
          </cell>
          <cell r="B266" t="str">
            <v>07 - Otros Materiales</v>
          </cell>
        </row>
        <row r="267">
          <cell r="A267" t="str">
            <v>6133</v>
          </cell>
          <cell r="B267" t="str">
            <v>07 - Otros Materiales</v>
          </cell>
        </row>
        <row r="268">
          <cell r="A268" t="str">
            <v>6133</v>
          </cell>
          <cell r="B268" t="str">
            <v>07 - Otros Materiales</v>
          </cell>
        </row>
        <row r="269">
          <cell r="A269" t="str">
            <v>6133</v>
          </cell>
          <cell r="B269" t="str">
            <v>07 - Otros Materiales</v>
          </cell>
        </row>
        <row r="270">
          <cell r="A270" t="str">
            <v>6133.001</v>
          </cell>
          <cell r="B270" t="str">
            <v>07 - Otros Materiales</v>
          </cell>
        </row>
        <row r="271">
          <cell r="A271" t="str">
            <v>6135</v>
          </cell>
          <cell r="B271" t="str">
            <v>07 - Otros Materiales</v>
          </cell>
        </row>
        <row r="272">
          <cell r="A272" t="str">
            <v>6135</v>
          </cell>
          <cell r="B272" t="str">
            <v>07 - Otros Materiales</v>
          </cell>
        </row>
        <row r="273">
          <cell r="A273" t="str">
            <v>6135</v>
          </cell>
          <cell r="B273" t="str">
            <v>07 - Otros Materiales</v>
          </cell>
        </row>
        <row r="274">
          <cell r="A274" t="str">
            <v>6135</v>
          </cell>
          <cell r="B274" t="str">
            <v>07 - Otros Materiales</v>
          </cell>
        </row>
        <row r="275">
          <cell r="A275" t="str">
            <v>6135</v>
          </cell>
          <cell r="B275" t="str">
            <v>07 - Otros Materiales</v>
          </cell>
        </row>
        <row r="276">
          <cell r="A276" t="str">
            <v>6135.001</v>
          </cell>
          <cell r="B276" t="str">
            <v>07 - Otros Materiales</v>
          </cell>
        </row>
        <row r="277">
          <cell r="A277" t="str">
            <v>6136</v>
          </cell>
          <cell r="B277" t="str">
            <v>07 - Otros Materiales</v>
          </cell>
        </row>
        <row r="278">
          <cell r="A278" t="str">
            <v>6136</v>
          </cell>
          <cell r="B278" t="str">
            <v>07 - Otros Materiales</v>
          </cell>
        </row>
        <row r="279">
          <cell r="A279" t="str">
            <v>6136</v>
          </cell>
          <cell r="B279" t="str">
            <v>07 - Otros Materiales</v>
          </cell>
        </row>
        <row r="280">
          <cell r="A280" t="str">
            <v>6136.001</v>
          </cell>
          <cell r="B280" t="str">
            <v>07 - Otros Materiales</v>
          </cell>
        </row>
        <row r="281">
          <cell r="A281" t="str">
            <v>6136.001</v>
          </cell>
          <cell r="B281" t="str">
            <v>07 - Otros Materiales</v>
          </cell>
        </row>
        <row r="282">
          <cell r="A282" t="str">
            <v>6137</v>
          </cell>
          <cell r="B282" t="str">
            <v>07 - Otros Materiales</v>
          </cell>
        </row>
        <row r="283">
          <cell r="A283" t="str">
            <v>6137</v>
          </cell>
          <cell r="B283" t="str">
            <v>07 - Otros Materiales</v>
          </cell>
        </row>
        <row r="284">
          <cell r="A284" t="str">
            <v>6138</v>
          </cell>
          <cell r="B284" t="str">
            <v>07 - Otros Materiales</v>
          </cell>
        </row>
        <row r="285">
          <cell r="A285" t="str">
            <v>6138</v>
          </cell>
          <cell r="B285" t="str">
            <v>07 - Otros Materiales</v>
          </cell>
        </row>
        <row r="286">
          <cell r="A286" t="str">
            <v>6138.001</v>
          </cell>
          <cell r="B286" t="str">
            <v>07 - Otros Materiales</v>
          </cell>
        </row>
        <row r="287">
          <cell r="A287" t="str">
            <v>6141</v>
          </cell>
          <cell r="B287" t="str">
            <v>07 - Otros Materiales</v>
          </cell>
        </row>
        <row r="288">
          <cell r="A288" t="str">
            <v>6141</v>
          </cell>
          <cell r="B288" t="str">
            <v>07 - Otros Materiales</v>
          </cell>
        </row>
        <row r="289">
          <cell r="A289" t="str">
            <v>6141</v>
          </cell>
          <cell r="B289" t="str">
            <v>07 - Otros Materiales</v>
          </cell>
        </row>
        <row r="290">
          <cell r="A290" t="str">
            <v>6142</v>
          </cell>
          <cell r="B290" t="str">
            <v>07 - Otros Materiales</v>
          </cell>
        </row>
        <row r="291">
          <cell r="A291" t="str">
            <v>6142</v>
          </cell>
          <cell r="B291" t="str">
            <v>07 - Otros Materiales</v>
          </cell>
        </row>
        <row r="292">
          <cell r="A292" t="str">
            <v>6142</v>
          </cell>
          <cell r="B292" t="str">
            <v>07 - Otros Materiales</v>
          </cell>
        </row>
        <row r="293">
          <cell r="A293" t="str">
            <v>6142</v>
          </cell>
          <cell r="B293" t="str">
            <v>07 - Otros Materiales</v>
          </cell>
        </row>
        <row r="294">
          <cell r="A294" t="str">
            <v>6143</v>
          </cell>
          <cell r="B294" t="str">
            <v>11 - Otros Gastos</v>
          </cell>
        </row>
        <row r="295">
          <cell r="A295" t="str">
            <v>6144</v>
          </cell>
          <cell r="B295" t="str">
            <v>07 - Otros Materiales</v>
          </cell>
        </row>
        <row r="296">
          <cell r="A296" t="str">
            <v>6145</v>
          </cell>
          <cell r="B296" t="str">
            <v>07 - Otros Materiales</v>
          </cell>
        </row>
        <row r="297">
          <cell r="A297" t="str">
            <v>6145</v>
          </cell>
          <cell r="B297" t="str">
            <v>07 - Otros Materiales</v>
          </cell>
        </row>
        <row r="298">
          <cell r="A298" t="str">
            <v>6145</v>
          </cell>
          <cell r="B298" t="str">
            <v>07 - Otros Materiales</v>
          </cell>
        </row>
        <row r="299">
          <cell r="A299" t="str">
            <v>6145</v>
          </cell>
          <cell r="B299" t="str">
            <v>07 - Otros Materiales</v>
          </cell>
        </row>
        <row r="300">
          <cell r="A300" t="str">
            <v>6145</v>
          </cell>
          <cell r="B300" t="str">
            <v>07 - Otros Materiales</v>
          </cell>
        </row>
        <row r="301">
          <cell r="A301" t="str">
            <v>6145</v>
          </cell>
          <cell r="B301" t="str">
            <v>07 - Otros Materiales</v>
          </cell>
        </row>
        <row r="302">
          <cell r="A302" t="str">
            <v>6145</v>
          </cell>
          <cell r="B302" t="str">
            <v>07 - Otros Materiales</v>
          </cell>
        </row>
        <row r="303">
          <cell r="A303" t="str">
            <v>6149.001</v>
          </cell>
          <cell r="B303" t="str">
            <v>05 - Productos Químicos</v>
          </cell>
        </row>
        <row r="304">
          <cell r="A304" t="str">
            <v>6149.001</v>
          </cell>
          <cell r="B304" t="str">
            <v>05 - Productos Químicos</v>
          </cell>
        </row>
        <row r="305">
          <cell r="A305" t="str">
            <v>6149.001</v>
          </cell>
          <cell r="B305" t="str">
            <v>05 - Productos Químicos</v>
          </cell>
        </row>
        <row r="306">
          <cell r="A306" t="str">
            <v>6149.001</v>
          </cell>
          <cell r="B306" t="str">
            <v>05 - Productos Químicos</v>
          </cell>
        </row>
        <row r="307">
          <cell r="A307" t="str">
            <v>6149.001</v>
          </cell>
          <cell r="B307" t="str">
            <v>05 - Productos Químicos</v>
          </cell>
        </row>
        <row r="308">
          <cell r="A308" t="str">
            <v>6150</v>
          </cell>
          <cell r="B308" t="str">
            <v>05 - Productos Químicos</v>
          </cell>
        </row>
        <row r="309">
          <cell r="A309" t="str">
            <v>6150</v>
          </cell>
          <cell r="B309" t="str">
            <v>05 - Productos Químicos</v>
          </cell>
        </row>
        <row r="310">
          <cell r="A310" t="str">
            <v>6150.001</v>
          </cell>
          <cell r="B310" t="str">
            <v>05 - Productos Químicos</v>
          </cell>
        </row>
        <row r="311">
          <cell r="A311" t="str">
            <v>6150.001</v>
          </cell>
          <cell r="B311" t="str">
            <v>05 - Productos Químicos</v>
          </cell>
        </row>
        <row r="312">
          <cell r="A312" t="str">
            <v>6150.001</v>
          </cell>
          <cell r="B312" t="str">
            <v>05 - Productos Químicos</v>
          </cell>
        </row>
        <row r="313">
          <cell r="A313" t="str">
            <v>6151</v>
          </cell>
          <cell r="B313" t="str">
            <v>05 - Productos Químicos</v>
          </cell>
        </row>
        <row r="314">
          <cell r="A314" t="str">
            <v>6151</v>
          </cell>
          <cell r="B314" t="str">
            <v>05 - Productos Químicos</v>
          </cell>
        </row>
        <row r="315">
          <cell r="A315" t="str">
            <v>6151.001</v>
          </cell>
          <cell r="B315" t="str">
            <v>05 - Productos Químicos</v>
          </cell>
        </row>
        <row r="316">
          <cell r="A316" t="str">
            <v>6155</v>
          </cell>
          <cell r="B316" t="str">
            <v>07 - Otros Materiales</v>
          </cell>
        </row>
        <row r="317">
          <cell r="A317" t="str">
            <v>6156</v>
          </cell>
          <cell r="B317" t="str">
            <v>04 - Sueldos y Cargas Sociales</v>
          </cell>
        </row>
        <row r="318">
          <cell r="A318" t="str">
            <v>6156</v>
          </cell>
          <cell r="B318" t="str">
            <v>04 - Sueldos y Cargas Sociales</v>
          </cell>
        </row>
        <row r="319">
          <cell r="A319" t="str">
            <v>6156</v>
          </cell>
          <cell r="B319" t="str">
            <v>04 - Sueldos y Cargas Sociales</v>
          </cell>
        </row>
        <row r="320">
          <cell r="A320" t="str">
            <v>6156</v>
          </cell>
          <cell r="B320" t="str">
            <v>04 - Sueldos y Cargas Sociales</v>
          </cell>
        </row>
        <row r="321">
          <cell r="A321" t="str">
            <v>6156</v>
          </cell>
          <cell r="B321" t="str">
            <v>04 - Sueldos y Cargas Sociales</v>
          </cell>
        </row>
        <row r="322">
          <cell r="A322" t="str">
            <v>6156</v>
          </cell>
          <cell r="B322" t="str">
            <v>04 - Sueldos y Cargas Sociales</v>
          </cell>
        </row>
        <row r="323">
          <cell r="A323" t="str">
            <v>6156</v>
          </cell>
          <cell r="B323" t="str">
            <v>04 - Sueldos y Cargas Sociales</v>
          </cell>
        </row>
        <row r="324">
          <cell r="A324" t="str">
            <v>6156</v>
          </cell>
          <cell r="B324" t="str">
            <v>04 - Sueldos y Cargas Sociales</v>
          </cell>
        </row>
        <row r="325">
          <cell r="A325" t="str">
            <v>6157</v>
          </cell>
          <cell r="B325" t="str">
            <v>07 - Otros Materiales</v>
          </cell>
        </row>
        <row r="326">
          <cell r="A326" t="str">
            <v>6157</v>
          </cell>
          <cell r="B326" t="str">
            <v>07 - Otros Materiales</v>
          </cell>
        </row>
        <row r="327">
          <cell r="A327" t="str">
            <v>6157</v>
          </cell>
          <cell r="B327" t="str">
            <v>07 - Otros Materiales</v>
          </cell>
        </row>
        <row r="328">
          <cell r="A328" t="str">
            <v>6157</v>
          </cell>
          <cell r="B328" t="str">
            <v>07 - Otros Materiales</v>
          </cell>
        </row>
        <row r="329">
          <cell r="A329" t="str">
            <v>6157.001</v>
          </cell>
          <cell r="B329" t="str">
            <v>07 - Otros Materiales</v>
          </cell>
        </row>
        <row r="330">
          <cell r="A330" t="str">
            <v>6161</v>
          </cell>
          <cell r="B330" t="str">
            <v>07 - Otros Materiales</v>
          </cell>
        </row>
        <row r="331">
          <cell r="A331" t="str">
            <v>6161</v>
          </cell>
          <cell r="B331" t="str">
            <v>07 - Otros Materiales</v>
          </cell>
        </row>
        <row r="332">
          <cell r="A332" t="str">
            <v>6161</v>
          </cell>
          <cell r="B332" t="str">
            <v>07 - Otros Materiales</v>
          </cell>
        </row>
        <row r="333">
          <cell r="A333" t="str">
            <v>6161</v>
          </cell>
          <cell r="B333" t="str">
            <v>07 - Otros Materiales</v>
          </cell>
        </row>
        <row r="334">
          <cell r="A334" t="str">
            <v>6161</v>
          </cell>
          <cell r="B334" t="str">
            <v>07 - Otros Materiales</v>
          </cell>
        </row>
        <row r="335">
          <cell r="A335" t="str">
            <v>6162</v>
          </cell>
          <cell r="B335" t="str">
            <v>07 - Otros Materiales</v>
          </cell>
        </row>
        <row r="336">
          <cell r="A336" t="str">
            <v>6163.001</v>
          </cell>
          <cell r="B336" t="str">
            <v>07 - Otros Materiales</v>
          </cell>
        </row>
        <row r="337">
          <cell r="A337" t="str">
            <v>6163.001</v>
          </cell>
          <cell r="B337" t="str">
            <v>07 - Otros Materiales</v>
          </cell>
        </row>
        <row r="338">
          <cell r="A338" t="str">
            <v>6163.001</v>
          </cell>
          <cell r="B338" t="str">
            <v>07 - Otros Materiales</v>
          </cell>
        </row>
        <row r="339">
          <cell r="A339" t="str">
            <v>6163.001</v>
          </cell>
          <cell r="B339" t="str">
            <v>07 - Otros Materiales</v>
          </cell>
        </row>
        <row r="340">
          <cell r="A340" t="str">
            <v>6244</v>
          </cell>
          <cell r="B340" t="str">
            <v>07 - Otros Materiales</v>
          </cell>
        </row>
        <row r="341">
          <cell r="A341" t="str">
            <v>6244</v>
          </cell>
          <cell r="B341" t="str">
            <v>07 - Otros Materiales</v>
          </cell>
        </row>
        <row r="342">
          <cell r="A342" t="str">
            <v>6244</v>
          </cell>
          <cell r="B342" t="str">
            <v>07 - Otros Materiales</v>
          </cell>
        </row>
        <row r="343">
          <cell r="A343" t="str">
            <v>6244</v>
          </cell>
          <cell r="B343" t="str">
            <v>07 - Otros Materiales</v>
          </cell>
        </row>
        <row r="344">
          <cell r="A344" t="str">
            <v>6244</v>
          </cell>
          <cell r="B344" t="str">
            <v>07 - Otros Materiales</v>
          </cell>
        </row>
        <row r="345">
          <cell r="A345" t="str">
            <v>6244</v>
          </cell>
          <cell r="B345" t="str">
            <v>07 - Otros Materiales</v>
          </cell>
        </row>
        <row r="346">
          <cell r="A346" t="str">
            <v>6244</v>
          </cell>
          <cell r="B346" t="str">
            <v>07 - Otros Materiales</v>
          </cell>
        </row>
        <row r="347">
          <cell r="A347" t="str">
            <v>6244</v>
          </cell>
          <cell r="B347" t="str">
            <v>07 - Otros Materiales</v>
          </cell>
        </row>
        <row r="348">
          <cell r="A348" t="str">
            <v>6244</v>
          </cell>
          <cell r="B348" t="str">
            <v>07 - Otros Materiales</v>
          </cell>
        </row>
        <row r="349">
          <cell r="A349" t="str">
            <v>6244</v>
          </cell>
          <cell r="B349" t="str">
            <v>07 - Otros Materiales</v>
          </cell>
        </row>
        <row r="350">
          <cell r="A350" t="str">
            <v>6244</v>
          </cell>
          <cell r="B350" t="str">
            <v>07 - Otros Materiales</v>
          </cell>
        </row>
        <row r="351">
          <cell r="A351" t="str">
            <v>6249</v>
          </cell>
          <cell r="B351" t="str">
            <v>07 - Otros Materiales</v>
          </cell>
        </row>
        <row r="352">
          <cell r="A352" t="str">
            <v>6285.001</v>
          </cell>
          <cell r="B352" t="str">
            <v>05 - Productos Químicos</v>
          </cell>
        </row>
        <row r="353">
          <cell r="A353" t="str">
            <v>6285.001</v>
          </cell>
          <cell r="B353" t="str">
            <v>05 - Productos Químicos</v>
          </cell>
        </row>
        <row r="354">
          <cell r="A354" t="str">
            <v>6285.001</v>
          </cell>
          <cell r="B354" t="str">
            <v>05 - Productos Químicos</v>
          </cell>
        </row>
        <row r="355">
          <cell r="A355" t="str">
            <v>6405</v>
          </cell>
          <cell r="B355" t="str">
            <v>11 - Otros Gastos</v>
          </cell>
        </row>
        <row r="356">
          <cell r="A356" t="str">
            <v>6406</v>
          </cell>
          <cell r="B356" t="str">
            <v>11 - Otros Gastos</v>
          </cell>
        </row>
        <row r="357">
          <cell r="A357" t="str">
            <v>6407</v>
          </cell>
          <cell r="B357" t="str">
            <v>11 - Otros Gastos</v>
          </cell>
        </row>
        <row r="358">
          <cell r="A358" t="str">
            <v>6407</v>
          </cell>
          <cell r="B358" t="str">
            <v>11 - Otros Gastos</v>
          </cell>
        </row>
        <row r="359">
          <cell r="A359" t="str">
            <v>6407</v>
          </cell>
          <cell r="B359" t="str">
            <v>11 - Otros Gastos</v>
          </cell>
        </row>
        <row r="360">
          <cell r="A360" t="str">
            <v>6409</v>
          </cell>
          <cell r="B360" t="str">
            <v>11 - Otros Gastos</v>
          </cell>
        </row>
        <row r="361">
          <cell r="A361" t="str">
            <v>6412</v>
          </cell>
          <cell r="B361" t="str">
            <v>11 - Otros Gastos</v>
          </cell>
        </row>
        <row r="362">
          <cell r="A362" t="str">
            <v>6441</v>
          </cell>
          <cell r="B362" t="str">
            <v>11 - Otros Gastos</v>
          </cell>
        </row>
        <row r="363">
          <cell r="A363" t="str">
            <v>6492</v>
          </cell>
          <cell r="B363" t="str">
            <v>11 - Otros Gastos</v>
          </cell>
        </row>
        <row r="364">
          <cell r="A364" t="str">
            <v>6541</v>
          </cell>
          <cell r="B364" t="str">
            <v>11 - Otros Gastos</v>
          </cell>
        </row>
        <row r="365">
          <cell r="A365" t="str">
            <v>6543</v>
          </cell>
          <cell r="B365" t="str">
            <v>11 - Otros Gastos</v>
          </cell>
        </row>
        <row r="366">
          <cell r="A366" t="str">
            <v>6543</v>
          </cell>
          <cell r="B366" t="str">
            <v>11 - Otros Gastos</v>
          </cell>
        </row>
        <row r="367">
          <cell r="A367" t="str">
            <v>6543</v>
          </cell>
          <cell r="B367" t="str">
            <v>04 - Sueldos y Cargas Sociales</v>
          </cell>
        </row>
        <row r="368">
          <cell r="A368" t="str">
            <v>6543</v>
          </cell>
          <cell r="B368" t="str">
            <v>04 - Sueldos y Cargas Sociales</v>
          </cell>
        </row>
        <row r="369">
          <cell r="A369" t="str">
            <v>6543</v>
          </cell>
          <cell r="B369" t="str">
            <v>11 - Otros Gastos</v>
          </cell>
        </row>
        <row r="370">
          <cell r="A370" t="str">
            <v>6545</v>
          </cell>
          <cell r="B370" t="str">
            <v>11 - Otros Gastos</v>
          </cell>
        </row>
        <row r="371">
          <cell r="A371" t="str">
            <v>6545</v>
          </cell>
          <cell r="B371" t="str">
            <v>11 - Otros Gastos</v>
          </cell>
        </row>
        <row r="372">
          <cell r="A372" t="str">
            <v>6545</v>
          </cell>
          <cell r="B372" t="str">
            <v>11 - Otros Gastos</v>
          </cell>
        </row>
        <row r="373">
          <cell r="A373" t="str">
            <v>6545</v>
          </cell>
          <cell r="B373" t="str">
            <v>11 - Otros Gastos</v>
          </cell>
        </row>
        <row r="374">
          <cell r="A374" t="str">
            <v>6545</v>
          </cell>
          <cell r="B374" t="str">
            <v>11 - Otros Gastos</v>
          </cell>
        </row>
        <row r="375">
          <cell r="A375" t="str">
            <v>6545</v>
          </cell>
          <cell r="B375" t="str">
            <v>11 - Otros Gastos</v>
          </cell>
        </row>
        <row r="376">
          <cell r="A376" t="str">
            <v>6545</v>
          </cell>
          <cell r="B376" t="str">
            <v>11 - Otros Gastos</v>
          </cell>
        </row>
        <row r="377">
          <cell r="A377" t="str">
            <v>6545</v>
          </cell>
          <cell r="B377" t="str">
            <v>11 - Otros Gastos</v>
          </cell>
        </row>
        <row r="378">
          <cell r="A378" t="str">
            <v>6546</v>
          </cell>
          <cell r="B378" t="str">
            <v>03 - Contratos Especiales</v>
          </cell>
        </row>
        <row r="379">
          <cell r="A379" t="str">
            <v>6546</v>
          </cell>
          <cell r="B379" t="str">
            <v>03 - Contratos Especiales</v>
          </cell>
        </row>
        <row r="380">
          <cell r="A380" t="str">
            <v>6546</v>
          </cell>
          <cell r="B380" t="str">
            <v>03 - Contratos Especiales</v>
          </cell>
        </row>
        <row r="381">
          <cell r="A381" t="str">
            <v>6546</v>
          </cell>
          <cell r="B381" t="str">
            <v>03 - Contratos Especiales</v>
          </cell>
        </row>
        <row r="382">
          <cell r="A382" t="str">
            <v>6546</v>
          </cell>
          <cell r="B382" t="str">
            <v>03 - Contratos Especiales</v>
          </cell>
        </row>
        <row r="383">
          <cell r="A383" t="str">
            <v>6546</v>
          </cell>
          <cell r="B383" t="str">
            <v>03 - Contratos Especiales</v>
          </cell>
        </row>
        <row r="384">
          <cell r="A384" t="str">
            <v>6546</v>
          </cell>
          <cell r="B384" t="str">
            <v>03 - Contratos Especiales</v>
          </cell>
        </row>
        <row r="385">
          <cell r="A385" t="str">
            <v>6546</v>
          </cell>
          <cell r="B385" t="str">
            <v>03 - Contratos Especiales</v>
          </cell>
        </row>
        <row r="386">
          <cell r="A386" t="str">
            <v>6546</v>
          </cell>
          <cell r="B386" t="str">
            <v>03 - Contratos Especiales</v>
          </cell>
        </row>
        <row r="387">
          <cell r="A387" t="str">
            <v>6546.001</v>
          </cell>
          <cell r="B387" t="str">
            <v>03 - Contratos Especiales</v>
          </cell>
        </row>
        <row r="388">
          <cell r="A388" t="str">
            <v>6546.001</v>
          </cell>
          <cell r="B388" t="str">
            <v>03 - Contratos Especiales</v>
          </cell>
        </row>
        <row r="389">
          <cell r="A389" t="str">
            <v>6546.001</v>
          </cell>
          <cell r="B389" t="str">
            <v>03 - Contratos Especiales</v>
          </cell>
        </row>
        <row r="390">
          <cell r="A390" t="str">
            <v>6546.001</v>
          </cell>
          <cell r="B390" t="str">
            <v>03 - Contratos Especiales</v>
          </cell>
        </row>
        <row r="391">
          <cell r="A391" t="str">
            <v>6546.001</v>
          </cell>
          <cell r="B391" t="str">
            <v>03 - Contratos Especiales</v>
          </cell>
        </row>
        <row r="392">
          <cell r="A392" t="str">
            <v>6546.002</v>
          </cell>
          <cell r="B392" t="str">
            <v>03 - Contratos Especiales</v>
          </cell>
        </row>
        <row r="393">
          <cell r="A393" t="str">
            <v>6546.002</v>
          </cell>
          <cell r="B393" t="str">
            <v>03 - Contratos Especiales</v>
          </cell>
        </row>
        <row r="394">
          <cell r="A394" t="str">
            <v>6546.002</v>
          </cell>
          <cell r="B394" t="str">
            <v>03 - Contratos Especiales</v>
          </cell>
        </row>
        <row r="395">
          <cell r="A395" t="str">
            <v>6546.002</v>
          </cell>
          <cell r="B395" t="str">
            <v>03 - Contratos Especiales</v>
          </cell>
        </row>
        <row r="396">
          <cell r="A396" t="str">
            <v>6546.002</v>
          </cell>
          <cell r="B396" t="str">
            <v>03 - Contratos Especiales</v>
          </cell>
        </row>
        <row r="397">
          <cell r="A397" t="str">
            <v>6546.003</v>
          </cell>
          <cell r="B397" t="str">
            <v>03 - Contratos Especiales</v>
          </cell>
        </row>
        <row r="398">
          <cell r="A398" t="str">
            <v>6546.003</v>
          </cell>
          <cell r="B398" t="str">
            <v>03 - Contratos Especiales</v>
          </cell>
        </row>
        <row r="399">
          <cell r="A399" t="str">
            <v>6546.004</v>
          </cell>
          <cell r="B399" t="str">
            <v>03 - Contratos Especiales</v>
          </cell>
        </row>
        <row r="400">
          <cell r="A400" t="str">
            <v>6546.004</v>
          </cell>
          <cell r="B400" t="str">
            <v>03 - Contratos Especiales</v>
          </cell>
        </row>
        <row r="401">
          <cell r="A401" t="str">
            <v>6546.004</v>
          </cell>
          <cell r="B401" t="str">
            <v>03 - Contratos Especiales</v>
          </cell>
        </row>
        <row r="402">
          <cell r="A402" t="str">
            <v>6546.004</v>
          </cell>
          <cell r="B402" t="str">
            <v>03 - Contratos Especiales</v>
          </cell>
        </row>
        <row r="403">
          <cell r="A403" t="str">
            <v>6549</v>
          </cell>
          <cell r="B403" t="str">
            <v>11 - Otros Gastos</v>
          </cell>
        </row>
        <row r="404">
          <cell r="A404" t="str">
            <v>6550</v>
          </cell>
          <cell r="B404" t="str">
            <v>02 - Contratistas</v>
          </cell>
        </row>
        <row r="405">
          <cell r="A405" t="str">
            <v>6550</v>
          </cell>
          <cell r="B405" t="str">
            <v>02 - Contratistas</v>
          </cell>
        </row>
        <row r="406">
          <cell r="A406" t="str">
            <v>6550</v>
          </cell>
          <cell r="B406" t="str">
            <v>02 - Contratistas</v>
          </cell>
        </row>
        <row r="407">
          <cell r="A407" t="str">
            <v>6550</v>
          </cell>
          <cell r="B407" t="str">
            <v>02 - Contratistas</v>
          </cell>
        </row>
        <row r="408">
          <cell r="A408" t="str">
            <v>6550</v>
          </cell>
          <cell r="B408" t="str">
            <v>02 - Contratistas</v>
          </cell>
        </row>
        <row r="409">
          <cell r="A409" t="str">
            <v>6550</v>
          </cell>
          <cell r="B409" t="str">
            <v>02 - Contratistas</v>
          </cell>
        </row>
        <row r="410">
          <cell r="A410" t="str">
            <v>6550</v>
          </cell>
          <cell r="B410" t="str">
            <v>02 - Contratistas</v>
          </cell>
        </row>
        <row r="411">
          <cell r="A411" t="str">
            <v>6550</v>
          </cell>
          <cell r="B411" t="str">
            <v>02 - Contratistas</v>
          </cell>
        </row>
        <row r="412">
          <cell r="A412" t="str">
            <v>6550</v>
          </cell>
          <cell r="B412" t="str">
            <v>02 - Contratistas</v>
          </cell>
        </row>
        <row r="413">
          <cell r="A413" t="str">
            <v>6550</v>
          </cell>
          <cell r="B413" t="str">
            <v>02 - Contratistas</v>
          </cell>
        </row>
        <row r="414">
          <cell r="A414" t="str">
            <v>6550</v>
          </cell>
          <cell r="B414" t="str">
            <v>02 - Contratistas</v>
          </cell>
        </row>
        <row r="415">
          <cell r="A415" t="str">
            <v>6551</v>
          </cell>
          <cell r="B415" t="str">
            <v>11 - Otros Gastos</v>
          </cell>
        </row>
        <row r="416">
          <cell r="A416" t="str">
            <v>6551</v>
          </cell>
          <cell r="B416" t="str">
            <v>11 - Otros Gastos</v>
          </cell>
        </row>
        <row r="417">
          <cell r="A417" t="str">
            <v>6551</v>
          </cell>
          <cell r="B417" t="str">
            <v>11 - Otros Gastos</v>
          </cell>
        </row>
        <row r="418">
          <cell r="A418" t="str">
            <v>6551.001</v>
          </cell>
          <cell r="B418" t="str">
            <v>11 - Otros Gastos</v>
          </cell>
        </row>
        <row r="419">
          <cell r="A419" t="str">
            <v>6551.001</v>
          </cell>
          <cell r="B419" t="str">
            <v>11 - Otros Gastos</v>
          </cell>
        </row>
        <row r="420">
          <cell r="A420" t="str">
            <v>6551.001</v>
          </cell>
          <cell r="B420" t="str">
            <v>11 - Otros Gastos</v>
          </cell>
        </row>
        <row r="421">
          <cell r="A421" t="str">
            <v>6551.001</v>
          </cell>
          <cell r="B421" t="str">
            <v>11 - Otros Gastos</v>
          </cell>
        </row>
        <row r="422">
          <cell r="A422" t="str">
            <v>6553</v>
          </cell>
          <cell r="B422" t="str">
            <v>02 - Contratistas</v>
          </cell>
        </row>
        <row r="423">
          <cell r="A423" t="str">
            <v>6553</v>
          </cell>
          <cell r="B423" t="str">
            <v>02 - Contratistas</v>
          </cell>
        </row>
        <row r="424">
          <cell r="A424" t="str">
            <v>6553</v>
          </cell>
          <cell r="B424" t="str">
            <v>02 - Contratistas</v>
          </cell>
        </row>
        <row r="425">
          <cell r="A425" t="str">
            <v>6553</v>
          </cell>
          <cell r="B425" t="str">
            <v>02 - Contratistas</v>
          </cell>
        </row>
        <row r="426">
          <cell r="A426" t="str">
            <v>6553</v>
          </cell>
          <cell r="B426" t="str">
            <v>02 - Contratistas</v>
          </cell>
        </row>
        <row r="427">
          <cell r="A427" t="str">
            <v>6553</v>
          </cell>
          <cell r="B427" t="str">
            <v>02 - Contratistas</v>
          </cell>
        </row>
        <row r="428">
          <cell r="A428" t="str">
            <v>6553</v>
          </cell>
          <cell r="B428" t="str">
            <v>02 - Contratistas</v>
          </cell>
        </row>
        <row r="429">
          <cell r="A429" t="str">
            <v>6553</v>
          </cell>
          <cell r="B429" t="str">
            <v>02 - Contratistas</v>
          </cell>
        </row>
        <row r="430">
          <cell r="A430" t="str">
            <v>6553</v>
          </cell>
          <cell r="B430" t="str">
            <v>02 - Contratistas</v>
          </cell>
        </row>
        <row r="431">
          <cell r="A431" t="str">
            <v>6553</v>
          </cell>
          <cell r="B431" t="str">
            <v>02 - Contratistas</v>
          </cell>
        </row>
        <row r="432">
          <cell r="A432" t="str">
            <v>6553</v>
          </cell>
          <cell r="B432" t="str">
            <v>02 - Contratistas</v>
          </cell>
        </row>
        <row r="433">
          <cell r="A433" t="str">
            <v>6554</v>
          </cell>
          <cell r="B433" t="str">
            <v>02 - Contratistas</v>
          </cell>
        </row>
        <row r="434">
          <cell r="A434" t="str">
            <v>6554</v>
          </cell>
          <cell r="B434" t="str">
            <v>02 - Contratistas</v>
          </cell>
        </row>
        <row r="435">
          <cell r="A435" t="str">
            <v>6554</v>
          </cell>
          <cell r="B435" t="str">
            <v>02 - Contratistas</v>
          </cell>
        </row>
        <row r="436">
          <cell r="A436" t="str">
            <v>6554</v>
          </cell>
          <cell r="B436" t="str">
            <v>02 - Contratistas</v>
          </cell>
        </row>
        <row r="437">
          <cell r="A437" t="str">
            <v>6554</v>
          </cell>
          <cell r="B437" t="str">
            <v>02 - Contratistas</v>
          </cell>
        </row>
        <row r="438">
          <cell r="A438" t="str">
            <v>6554</v>
          </cell>
          <cell r="B438" t="str">
            <v>02 - Contratistas</v>
          </cell>
        </row>
        <row r="439">
          <cell r="A439" t="str">
            <v>6554</v>
          </cell>
          <cell r="B439" t="str">
            <v>02 - Contratistas</v>
          </cell>
        </row>
        <row r="440">
          <cell r="A440" t="str">
            <v>6554</v>
          </cell>
          <cell r="B440" t="str">
            <v>02 - Contratistas</v>
          </cell>
        </row>
        <row r="441">
          <cell r="A441" t="str">
            <v>6554</v>
          </cell>
          <cell r="B441" t="str">
            <v>02 - Contratistas</v>
          </cell>
        </row>
        <row r="442">
          <cell r="A442" t="str">
            <v>6554</v>
          </cell>
          <cell r="B442" t="str">
            <v>02 - Contratistas</v>
          </cell>
        </row>
        <row r="443">
          <cell r="A443" t="str">
            <v>6554</v>
          </cell>
          <cell r="B443" t="str">
            <v>02 - Contratistas</v>
          </cell>
        </row>
        <row r="444">
          <cell r="A444" t="str">
            <v>6554</v>
          </cell>
          <cell r="B444" t="str">
            <v>02 - Contratistas</v>
          </cell>
        </row>
        <row r="445">
          <cell r="A445" t="str">
            <v>6554</v>
          </cell>
          <cell r="B445" t="str">
            <v>02 - Contratistas</v>
          </cell>
        </row>
        <row r="446">
          <cell r="A446" t="str">
            <v>6554</v>
          </cell>
          <cell r="B446" t="str">
            <v>02 - Contratistas</v>
          </cell>
        </row>
        <row r="447">
          <cell r="A447" t="str">
            <v>6554</v>
          </cell>
          <cell r="B447" t="str">
            <v>02 - Contratistas</v>
          </cell>
        </row>
        <row r="448">
          <cell r="A448" t="str">
            <v>6554</v>
          </cell>
          <cell r="B448" t="str">
            <v>02 - Contratistas</v>
          </cell>
        </row>
        <row r="449">
          <cell r="A449" t="str">
            <v>6554</v>
          </cell>
          <cell r="B449" t="str">
            <v>02 - Contratistas</v>
          </cell>
        </row>
        <row r="450">
          <cell r="A450" t="str">
            <v>6554</v>
          </cell>
          <cell r="B450" t="str">
            <v>02 - Contratistas</v>
          </cell>
        </row>
        <row r="451">
          <cell r="A451" t="str">
            <v>6554</v>
          </cell>
          <cell r="B451" t="str">
            <v>02 - Contratistas</v>
          </cell>
        </row>
        <row r="452">
          <cell r="A452" t="str">
            <v>6554</v>
          </cell>
          <cell r="B452" t="str">
            <v>02 - Contratistas</v>
          </cell>
        </row>
        <row r="453">
          <cell r="A453" t="str">
            <v>6554</v>
          </cell>
          <cell r="B453" t="str">
            <v>02 - Contratistas</v>
          </cell>
        </row>
        <row r="454">
          <cell r="A454" t="str">
            <v>6554</v>
          </cell>
          <cell r="B454" t="str">
            <v>02 - Contratistas</v>
          </cell>
        </row>
        <row r="455">
          <cell r="A455" t="str">
            <v>6554</v>
          </cell>
          <cell r="B455" t="str">
            <v>02 - Contratistas</v>
          </cell>
        </row>
        <row r="456">
          <cell r="A456" t="str">
            <v>6554</v>
          </cell>
          <cell r="B456" t="str">
            <v>02 - Contratistas</v>
          </cell>
        </row>
        <row r="457">
          <cell r="A457" t="str">
            <v>6555</v>
          </cell>
          <cell r="B457" t="str">
            <v>02 - Contratistas</v>
          </cell>
        </row>
        <row r="458">
          <cell r="A458" t="str">
            <v>6555</v>
          </cell>
          <cell r="B458" t="str">
            <v>02 - Contratistas</v>
          </cell>
        </row>
        <row r="459">
          <cell r="A459" t="str">
            <v>6555</v>
          </cell>
          <cell r="B459" t="str">
            <v>02 - Contratistas</v>
          </cell>
        </row>
        <row r="460">
          <cell r="A460" t="str">
            <v>6555</v>
          </cell>
          <cell r="B460" t="str">
            <v>02 - Contratistas</v>
          </cell>
        </row>
        <row r="461">
          <cell r="A461" t="str">
            <v>6555</v>
          </cell>
          <cell r="B461" t="str">
            <v>02 - Contratistas</v>
          </cell>
        </row>
        <row r="462">
          <cell r="A462" t="str">
            <v>6555</v>
          </cell>
          <cell r="B462" t="str">
            <v>02 - Contratistas</v>
          </cell>
        </row>
        <row r="463">
          <cell r="A463" t="str">
            <v>6555</v>
          </cell>
          <cell r="B463" t="str">
            <v>02 - Contratistas</v>
          </cell>
        </row>
        <row r="464">
          <cell r="A464" t="str">
            <v>6555</v>
          </cell>
          <cell r="B464" t="str">
            <v>02 - Contratistas</v>
          </cell>
        </row>
        <row r="465">
          <cell r="A465" t="str">
            <v>6555</v>
          </cell>
          <cell r="B465" t="str">
            <v>02 - Contratistas</v>
          </cell>
        </row>
        <row r="466">
          <cell r="A466" t="str">
            <v>6555</v>
          </cell>
          <cell r="B466" t="str">
            <v>02 - Contratistas</v>
          </cell>
        </row>
        <row r="467">
          <cell r="A467" t="str">
            <v>6555</v>
          </cell>
          <cell r="B467" t="str">
            <v>02 - Contratistas</v>
          </cell>
        </row>
        <row r="468">
          <cell r="A468" t="str">
            <v>6562</v>
          </cell>
          <cell r="B468" t="str">
            <v>02 - Contratistas</v>
          </cell>
        </row>
        <row r="469">
          <cell r="A469" t="str">
            <v>6562</v>
          </cell>
          <cell r="B469" t="str">
            <v>02 - Contratistas</v>
          </cell>
        </row>
        <row r="470">
          <cell r="A470" t="str">
            <v>6562</v>
          </cell>
          <cell r="B470" t="str">
            <v>03 - Contratos Especiales</v>
          </cell>
        </row>
        <row r="471">
          <cell r="A471" t="str">
            <v>6562</v>
          </cell>
          <cell r="B471" t="str">
            <v>02 - Contratistas</v>
          </cell>
        </row>
        <row r="472">
          <cell r="A472" t="str">
            <v>6562</v>
          </cell>
          <cell r="B472" t="str">
            <v>02 - Contratistas</v>
          </cell>
        </row>
        <row r="473">
          <cell r="A473" t="str">
            <v>6562</v>
          </cell>
          <cell r="B473" t="str">
            <v>03 - Contratos Especiales</v>
          </cell>
        </row>
        <row r="474">
          <cell r="A474" t="str">
            <v>6562</v>
          </cell>
          <cell r="B474" t="str">
            <v>03 - Contratos Especiales</v>
          </cell>
        </row>
        <row r="475">
          <cell r="A475" t="str">
            <v>6562</v>
          </cell>
          <cell r="B475" t="str">
            <v>02 - Contratistas</v>
          </cell>
        </row>
        <row r="476">
          <cell r="A476" t="str">
            <v>6562</v>
          </cell>
          <cell r="B476" t="str">
            <v>03 - Contratos Especiales</v>
          </cell>
        </row>
        <row r="477">
          <cell r="A477" t="str">
            <v>6562</v>
          </cell>
          <cell r="B477" t="str">
            <v>02 - Contratistas</v>
          </cell>
        </row>
        <row r="478">
          <cell r="A478" t="str">
            <v>6562</v>
          </cell>
          <cell r="B478" t="str">
            <v>02 - Contratistas</v>
          </cell>
        </row>
        <row r="479">
          <cell r="A479" t="str">
            <v>6562</v>
          </cell>
          <cell r="B479" t="str">
            <v>02 - Contratistas</v>
          </cell>
        </row>
        <row r="480">
          <cell r="A480" t="str">
            <v>6562</v>
          </cell>
          <cell r="B480" t="str">
            <v>02 - Contratistas</v>
          </cell>
        </row>
        <row r="481">
          <cell r="A481" t="str">
            <v>6562</v>
          </cell>
          <cell r="B481" t="str">
            <v>03 - Contratos Especiales</v>
          </cell>
        </row>
        <row r="482">
          <cell r="A482" t="str">
            <v>6562</v>
          </cell>
          <cell r="B482" t="str">
            <v>02 - Contratistas</v>
          </cell>
        </row>
        <row r="483">
          <cell r="A483" t="str">
            <v>6563</v>
          </cell>
          <cell r="B483" t="str">
            <v>02 - Contratistas</v>
          </cell>
        </row>
        <row r="484">
          <cell r="A484" t="str">
            <v>6563</v>
          </cell>
          <cell r="B484" t="str">
            <v>02 - Contratistas</v>
          </cell>
        </row>
        <row r="485">
          <cell r="A485" t="str">
            <v>6563</v>
          </cell>
          <cell r="B485" t="str">
            <v>02 - Contratistas</v>
          </cell>
        </row>
        <row r="486">
          <cell r="A486" t="str">
            <v>6563</v>
          </cell>
          <cell r="B486" t="str">
            <v>02 - Contratistas</v>
          </cell>
        </row>
        <row r="487">
          <cell r="A487" t="str">
            <v>6563</v>
          </cell>
          <cell r="B487" t="str">
            <v>02 - Contratistas</v>
          </cell>
        </row>
        <row r="488">
          <cell r="A488" t="str">
            <v>6563</v>
          </cell>
          <cell r="B488" t="str">
            <v>02 - Contratistas</v>
          </cell>
        </row>
        <row r="489">
          <cell r="A489" t="str">
            <v>6563</v>
          </cell>
          <cell r="B489" t="str">
            <v>02 - Contratistas</v>
          </cell>
        </row>
        <row r="490">
          <cell r="A490" t="str">
            <v>6563</v>
          </cell>
          <cell r="B490" t="str">
            <v>02 - Contratistas</v>
          </cell>
        </row>
        <row r="491">
          <cell r="A491" t="str">
            <v>6566</v>
          </cell>
          <cell r="B491" t="str">
            <v>02 - Contratistas</v>
          </cell>
        </row>
        <row r="492">
          <cell r="A492" t="str">
            <v>6662</v>
          </cell>
          <cell r="B492" t="str">
            <v>11 - Otros Gastos</v>
          </cell>
        </row>
        <row r="493">
          <cell r="A493" t="str">
            <v>6683</v>
          </cell>
          <cell r="B493" t="str">
            <v>11 - Otros Gastos</v>
          </cell>
        </row>
        <row r="494">
          <cell r="A494" t="str">
            <v>6683</v>
          </cell>
          <cell r="B494" t="str">
            <v>11 - Otros Gastos</v>
          </cell>
        </row>
        <row r="495">
          <cell r="A495" t="str">
            <v>6705</v>
          </cell>
          <cell r="B495" t="str">
            <v>11 - Otros Gastos</v>
          </cell>
        </row>
        <row r="496">
          <cell r="A496" t="str">
            <v>6728</v>
          </cell>
          <cell r="B496" t="str">
            <v>11 - Otros Gastos</v>
          </cell>
        </row>
        <row r="497">
          <cell r="A497" t="str">
            <v>6729</v>
          </cell>
          <cell r="B497" t="str">
            <v>11 - Otros Gastos</v>
          </cell>
        </row>
        <row r="498">
          <cell r="A498" t="str">
            <v>6751</v>
          </cell>
          <cell r="B498" t="str">
            <v>11 - Otros Gastos</v>
          </cell>
        </row>
        <row r="499">
          <cell r="A499" t="str">
            <v>6752</v>
          </cell>
          <cell r="B499" t="str">
            <v>11 - Otros Gastos</v>
          </cell>
        </row>
        <row r="500">
          <cell r="A500" t="str">
            <v>6754</v>
          </cell>
          <cell r="B500" t="str">
            <v>11 - Otros Gastos</v>
          </cell>
        </row>
        <row r="501">
          <cell r="A501" t="str">
            <v>6754</v>
          </cell>
          <cell r="B501" t="str">
            <v>11 - Otros Gastos</v>
          </cell>
        </row>
        <row r="502">
          <cell r="A502" t="str">
            <v>6754</v>
          </cell>
          <cell r="B502" t="str">
            <v>11 - Otros Gastos</v>
          </cell>
        </row>
        <row r="503">
          <cell r="A503" t="str">
            <v>6754</v>
          </cell>
          <cell r="B503" t="str">
            <v>11 - Otros Gastos</v>
          </cell>
        </row>
        <row r="504">
          <cell r="A504" t="str">
            <v>6754</v>
          </cell>
          <cell r="B504" t="str">
            <v>11 - Otros Gastos</v>
          </cell>
        </row>
        <row r="505">
          <cell r="A505" t="str">
            <v>6754</v>
          </cell>
          <cell r="B505" t="str">
            <v>11 - Otros Gastos</v>
          </cell>
        </row>
        <row r="506">
          <cell r="A506" t="str">
            <v>6755</v>
          </cell>
          <cell r="B506" t="str">
            <v>11 - Otros Gastos</v>
          </cell>
        </row>
        <row r="507">
          <cell r="A507" t="str">
            <v>6755</v>
          </cell>
          <cell r="B507" t="str">
            <v>11 - Otros Gastos</v>
          </cell>
        </row>
        <row r="508">
          <cell r="A508" t="str">
            <v>6755</v>
          </cell>
          <cell r="B508" t="str">
            <v>11 - Otros Gastos</v>
          </cell>
        </row>
        <row r="509">
          <cell r="A509" t="str">
            <v>6755</v>
          </cell>
          <cell r="B509" t="str">
            <v>11 - Otros Gastos</v>
          </cell>
        </row>
        <row r="510">
          <cell r="A510" t="str">
            <v>6755</v>
          </cell>
          <cell r="B510" t="str">
            <v>11 - Otros Gastos</v>
          </cell>
        </row>
        <row r="511">
          <cell r="A511" t="str">
            <v>6755</v>
          </cell>
          <cell r="B511" t="str">
            <v>11 - Otros Gastos</v>
          </cell>
        </row>
        <row r="512">
          <cell r="A512" t="str">
            <v>6755</v>
          </cell>
          <cell r="B512" t="str">
            <v>11 - Otros Gastos</v>
          </cell>
        </row>
        <row r="513">
          <cell r="A513" t="str">
            <v>6756</v>
          </cell>
          <cell r="B513" t="str">
            <v>11 - Otros Gastos</v>
          </cell>
        </row>
        <row r="514">
          <cell r="A514" t="str">
            <v>6756</v>
          </cell>
          <cell r="B514" t="str">
            <v>11 - Otros Gastos</v>
          </cell>
        </row>
        <row r="515">
          <cell r="A515" t="str">
            <v>6756</v>
          </cell>
          <cell r="B515" t="str">
            <v>11 - Otros Gastos</v>
          </cell>
        </row>
        <row r="516">
          <cell r="A516" t="str">
            <v>6757</v>
          </cell>
          <cell r="B516" t="str">
            <v>11 - Otros Gastos</v>
          </cell>
        </row>
        <row r="517">
          <cell r="A517" t="str">
            <v>6760</v>
          </cell>
          <cell r="B517" t="str">
            <v>11 - Otros Gastos</v>
          </cell>
        </row>
        <row r="518">
          <cell r="A518" t="str">
            <v>6761</v>
          </cell>
          <cell r="B518" t="str">
            <v>11 - Otros Gastos</v>
          </cell>
        </row>
        <row r="519">
          <cell r="A519" t="str">
            <v>6762</v>
          </cell>
          <cell r="B519" t="str">
            <v>04 - Sueldos y Cargas Sociales</v>
          </cell>
        </row>
        <row r="520">
          <cell r="A520" t="str">
            <v>6762</v>
          </cell>
          <cell r="B520" t="str">
            <v>04 - Sueldos y Cargas Sociales</v>
          </cell>
        </row>
        <row r="521">
          <cell r="A521" t="str">
            <v>6762</v>
          </cell>
          <cell r="B521" t="str">
            <v>04 - Sueldos y Cargas Sociales</v>
          </cell>
        </row>
        <row r="522">
          <cell r="A522" t="str">
            <v>6762</v>
          </cell>
          <cell r="B522" t="str">
            <v>04 - Sueldos y Cargas Sociales</v>
          </cell>
        </row>
        <row r="523">
          <cell r="A523" t="str">
            <v>6762</v>
          </cell>
          <cell r="B523" t="str">
            <v>04 - Sueldos y Cargas Sociales</v>
          </cell>
        </row>
        <row r="524">
          <cell r="A524" t="str">
            <v>6762</v>
          </cell>
          <cell r="B524" t="str">
            <v>04 - Sueldos y Cargas Sociales</v>
          </cell>
        </row>
        <row r="525">
          <cell r="A525" t="str">
            <v>6762</v>
          </cell>
          <cell r="B525" t="str">
            <v>04 - Sueldos y Cargas Sociales</v>
          </cell>
        </row>
        <row r="526">
          <cell r="A526" t="str">
            <v>6762</v>
          </cell>
          <cell r="B526" t="str">
            <v>04 - Sueldos y Cargas Sociales</v>
          </cell>
        </row>
        <row r="527">
          <cell r="A527" t="str">
            <v>6762</v>
          </cell>
          <cell r="B527" t="str">
            <v>04 - Sueldos y Cargas Sociales</v>
          </cell>
        </row>
        <row r="528">
          <cell r="A528" t="str">
            <v>6763</v>
          </cell>
          <cell r="B528" t="str">
            <v>11 - Otros Gastos</v>
          </cell>
        </row>
        <row r="529">
          <cell r="A529" t="str">
            <v>6763</v>
          </cell>
          <cell r="B529" t="str">
            <v>11 - Otros Gastos</v>
          </cell>
        </row>
        <row r="530">
          <cell r="A530" t="str">
            <v>6763</v>
          </cell>
          <cell r="B530" t="str">
            <v>11 - Otros Gastos</v>
          </cell>
        </row>
        <row r="531">
          <cell r="A531" t="str">
            <v>6763</v>
          </cell>
          <cell r="B531" t="str">
            <v>11 - Otros Gastos</v>
          </cell>
        </row>
        <row r="532">
          <cell r="A532" t="str">
            <v>6763</v>
          </cell>
          <cell r="B532" t="str">
            <v>11 - Otros Gastos</v>
          </cell>
        </row>
        <row r="533">
          <cell r="A533" t="str">
            <v>6763</v>
          </cell>
          <cell r="B533" t="str">
            <v>11 - Otros Gastos</v>
          </cell>
        </row>
        <row r="534">
          <cell r="A534" t="str">
            <v>6763</v>
          </cell>
          <cell r="B534" t="str">
            <v>11 - Otros Gastos</v>
          </cell>
        </row>
        <row r="535">
          <cell r="A535" t="str">
            <v>6763</v>
          </cell>
          <cell r="B535" t="str">
            <v>11 - Otros Gastos</v>
          </cell>
        </row>
        <row r="536">
          <cell r="A536" t="str">
            <v>6763</v>
          </cell>
          <cell r="B536" t="str">
            <v>11 - Otros Gastos</v>
          </cell>
        </row>
        <row r="537">
          <cell r="A537" t="str">
            <v>6763</v>
          </cell>
          <cell r="B537" t="str">
            <v>11 - Otros Gastos</v>
          </cell>
        </row>
        <row r="538">
          <cell r="A538" t="str">
            <v>6763</v>
          </cell>
          <cell r="B538" t="str">
            <v>11 - Otros Gastos</v>
          </cell>
        </row>
        <row r="539">
          <cell r="A539" t="str">
            <v>6763</v>
          </cell>
          <cell r="B539" t="str">
            <v>11 - Otros Gastos</v>
          </cell>
        </row>
        <row r="540">
          <cell r="A540" t="str">
            <v>6763.001</v>
          </cell>
          <cell r="B540" t="str">
            <v>11 - Otros Gastos</v>
          </cell>
        </row>
        <row r="541">
          <cell r="A541" t="str">
            <v>6764</v>
          </cell>
          <cell r="B541" t="str">
            <v>11 - Otros Gastos</v>
          </cell>
        </row>
        <row r="542">
          <cell r="A542" t="str">
            <v>6765</v>
          </cell>
          <cell r="B542" t="str">
            <v>11 - Otros Gastos</v>
          </cell>
        </row>
        <row r="543">
          <cell r="A543" t="str">
            <v>6765</v>
          </cell>
          <cell r="B543" t="str">
            <v>11 - Otros Gastos</v>
          </cell>
        </row>
        <row r="544">
          <cell r="A544" t="str">
            <v>6767</v>
          </cell>
          <cell r="B544" t="str">
            <v>11 - Otros Gastos</v>
          </cell>
        </row>
        <row r="545">
          <cell r="A545" t="str">
            <v>6768</v>
          </cell>
          <cell r="B545" t="str">
            <v>11 - Otros Gastos</v>
          </cell>
        </row>
        <row r="546">
          <cell r="A546" t="str">
            <v>6769</v>
          </cell>
          <cell r="B546" t="str">
            <v>11 - Otros Gastos</v>
          </cell>
        </row>
        <row r="547">
          <cell r="A547" t="str">
            <v>6769</v>
          </cell>
          <cell r="B547" t="str">
            <v>11 - Otros Gastos</v>
          </cell>
        </row>
        <row r="548">
          <cell r="A548" t="str">
            <v>6770</v>
          </cell>
          <cell r="B548" t="str">
            <v>14 - Compromiso Reducción</v>
          </cell>
        </row>
        <row r="549">
          <cell r="A549" t="str">
            <v>7022</v>
          </cell>
          <cell r="B549" t="str">
            <v>11 - Otros Gastos</v>
          </cell>
        </row>
        <row r="550">
          <cell r="A550" t="str">
            <v>7022</v>
          </cell>
          <cell r="B550" t="str">
            <v>11 - Otros Gastos</v>
          </cell>
        </row>
        <row r="551">
          <cell r="A551" t="str">
            <v>7045</v>
          </cell>
          <cell r="B551" t="str">
            <v>02 - Contratistas</v>
          </cell>
        </row>
        <row r="552">
          <cell r="A552" t="str">
            <v>7046</v>
          </cell>
          <cell r="B552" t="str">
            <v>02 - Contratistas</v>
          </cell>
        </row>
        <row r="553">
          <cell r="A553" t="str">
            <v>7093</v>
          </cell>
          <cell r="B553" t="str">
            <v>11 - Otros Gastos</v>
          </cell>
        </row>
        <row r="554">
          <cell r="A554" t="str">
            <v>7093</v>
          </cell>
          <cell r="B554" t="str">
            <v>11 - Otros Gastos</v>
          </cell>
        </row>
        <row r="555">
          <cell r="A555" t="str">
            <v>7201</v>
          </cell>
          <cell r="B555" t="str">
            <v>11 - Otros Gastos</v>
          </cell>
        </row>
        <row r="556">
          <cell r="A556" t="str">
            <v>7203</v>
          </cell>
          <cell r="B556" t="str">
            <v>11 - Otros Gastos</v>
          </cell>
        </row>
        <row r="557">
          <cell r="A557" t="str">
            <v>7204</v>
          </cell>
          <cell r="B557" t="str">
            <v>11 - Otros Gastos</v>
          </cell>
        </row>
        <row r="558">
          <cell r="A558" t="str">
            <v>7205</v>
          </cell>
          <cell r="B558" t="str">
            <v>11 - Otros Gastos</v>
          </cell>
        </row>
        <row r="559">
          <cell r="A559" t="str">
            <v>7205</v>
          </cell>
          <cell r="B559" t="str">
            <v>11 - Otros Gastos</v>
          </cell>
        </row>
        <row r="560">
          <cell r="A560" t="str">
            <v>7206</v>
          </cell>
          <cell r="B560" t="str">
            <v>11 - Otros Gastos</v>
          </cell>
        </row>
        <row r="561">
          <cell r="A561" t="str">
            <v>7207</v>
          </cell>
          <cell r="B561" t="str">
            <v>11 - Otros Gastos</v>
          </cell>
        </row>
        <row r="562">
          <cell r="A562" t="str">
            <v>9652</v>
          </cell>
          <cell r="B562" t="str">
            <v>04 - Sueldos y Cargas Sociales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PQB"/>
      <sheetName val="API"/>
      <sheetName val="MF"/>
      <sheetName val="Obra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Cód. Cliente</v>
          </cell>
          <cell r="B1" t="str">
            <v>Descripción</v>
          </cell>
        </row>
        <row r="2">
          <cell r="A2">
            <v>1</v>
          </cell>
          <cell r="B2" t="str">
            <v>YPF</v>
          </cell>
        </row>
        <row r="3">
          <cell r="A3">
            <v>4</v>
          </cell>
          <cell r="B3" t="str">
            <v>Petrobras</v>
          </cell>
        </row>
        <row r="4">
          <cell r="A4">
            <v>22</v>
          </cell>
          <cell r="B4" t="str">
            <v>PUESTO H.U.T.E.</v>
          </cell>
        </row>
        <row r="5">
          <cell r="A5">
            <v>30</v>
          </cell>
          <cell r="B5" t="str">
            <v>PAE</v>
          </cell>
        </row>
        <row r="6">
          <cell r="A6">
            <v>35</v>
          </cell>
          <cell r="B6" t="str">
            <v>Pluspetrol</v>
          </cell>
        </row>
        <row r="7">
          <cell r="A7">
            <v>36</v>
          </cell>
          <cell r="B7" t="str">
            <v>Chevron</v>
          </cell>
        </row>
        <row r="8">
          <cell r="A8">
            <v>43</v>
          </cell>
          <cell r="B8" t="str">
            <v>San Jorge</v>
          </cell>
        </row>
        <row r="9">
          <cell r="A9">
            <v>48</v>
          </cell>
          <cell r="B9" t="str">
            <v>Tecpetrol</v>
          </cell>
        </row>
        <row r="10">
          <cell r="A10">
            <v>52</v>
          </cell>
          <cell r="B10" t="str">
            <v>Total San Roque</v>
          </cell>
        </row>
        <row r="11">
          <cell r="A11">
            <v>53</v>
          </cell>
          <cell r="B11" t="str">
            <v>Total A.Pichana</v>
          </cell>
        </row>
        <row r="12">
          <cell r="A12">
            <v>59</v>
          </cell>
          <cell r="B12" t="str">
            <v>Tecpetrol</v>
          </cell>
        </row>
        <row r="13">
          <cell r="A13">
            <v>114</v>
          </cell>
          <cell r="B13" t="str">
            <v>Apache</v>
          </cell>
        </row>
        <row r="14">
          <cell r="A14">
            <v>460</v>
          </cell>
          <cell r="B14" t="str">
            <v>MEDANITO</v>
          </cell>
        </row>
        <row r="15">
          <cell r="A15">
            <v>553</v>
          </cell>
          <cell r="B15" t="str">
            <v>Petrobras SCH</v>
          </cell>
        </row>
        <row r="16">
          <cell r="A16">
            <v>569</v>
          </cell>
          <cell r="B16" t="str">
            <v>Chevron</v>
          </cell>
        </row>
        <row r="17">
          <cell r="A17">
            <v>676</v>
          </cell>
          <cell r="B17" t="str">
            <v>Petrobras ADLA</v>
          </cell>
        </row>
        <row r="18">
          <cell r="A18">
            <v>744</v>
          </cell>
          <cell r="B18" t="str">
            <v>CIC Resourses</v>
          </cell>
        </row>
        <row r="19">
          <cell r="A19">
            <v>773</v>
          </cell>
          <cell r="B19" t="str">
            <v>CRI Holding - soc minas</v>
          </cell>
        </row>
        <row r="20">
          <cell r="A20">
            <v>776</v>
          </cell>
          <cell r="B20" t="str">
            <v>Energial UTE</v>
          </cell>
        </row>
        <row r="21">
          <cell r="A21">
            <v>786</v>
          </cell>
          <cell r="B21" t="str">
            <v>Interenergy</v>
          </cell>
        </row>
        <row r="22">
          <cell r="A22">
            <v>791</v>
          </cell>
          <cell r="B22" t="str">
            <v>Petrolífera</v>
          </cell>
        </row>
        <row r="23">
          <cell r="A23">
            <v>875</v>
          </cell>
          <cell r="B23" t="str">
            <v>ROCH</v>
          </cell>
        </row>
        <row r="24">
          <cell r="A24">
            <v>918</v>
          </cell>
          <cell r="B24" t="str">
            <v>PCP OIL TOOLS</v>
          </cell>
        </row>
        <row r="25">
          <cell r="A25">
            <v>935</v>
          </cell>
          <cell r="B25" t="str">
            <v>Medanito SA Cañuelas</v>
          </cell>
        </row>
        <row r="26">
          <cell r="A26">
            <v>940</v>
          </cell>
          <cell r="B26" t="str">
            <v>ROCH-COIRON</v>
          </cell>
        </row>
        <row r="27">
          <cell r="A27">
            <v>975</v>
          </cell>
          <cell r="B27" t="str">
            <v>GNN ENERGIAL UTE</v>
          </cell>
        </row>
        <row r="28">
          <cell r="A28">
            <v>994</v>
          </cell>
          <cell r="B28" t="str">
            <v>ENARSA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</sheetNames>
    <sheetDataSet>
      <sheetData sheetId="0" refreshError="1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Gte Gral</v>
          </cell>
          <cell r="E7">
            <v>62</v>
          </cell>
          <cell r="F7">
            <v>12766</v>
          </cell>
          <cell r="G7">
            <v>0</v>
          </cell>
          <cell r="H7">
            <v>4.75</v>
          </cell>
          <cell r="I7">
            <v>60587</v>
          </cell>
          <cell r="J7">
            <v>226545</v>
          </cell>
          <cell r="K7">
            <v>116638</v>
          </cell>
          <cell r="L7">
            <v>37941</v>
          </cell>
          <cell r="M7">
            <v>154579</v>
          </cell>
          <cell r="N7" t="str">
            <v>Brasil . Rio de Janeiro</v>
          </cell>
          <cell r="O7">
            <v>0.15</v>
          </cell>
          <cell r="P7">
            <v>15130</v>
          </cell>
          <cell r="Q7">
            <v>5167</v>
          </cell>
          <cell r="R7">
            <v>0.1</v>
          </cell>
          <cell r="S7">
            <v>14024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34321</v>
          </cell>
          <cell r="Y7">
            <v>53909</v>
          </cell>
          <cell r="Z7">
            <v>188900</v>
          </cell>
          <cell r="AA7">
            <v>280454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Gte. Admin.</v>
          </cell>
          <cell r="E8">
            <v>57</v>
          </cell>
          <cell r="F8">
            <v>4500</v>
          </cell>
          <cell r="G8">
            <v>0</v>
          </cell>
          <cell r="H8">
            <v>2</v>
          </cell>
          <cell r="I8">
            <v>9000</v>
          </cell>
          <cell r="J8">
            <v>67500</v>
          </cell>
          <cell r="K8">
            <v>45221</v>
          </cell>
          <cell r="L8">
            <v>7073</v>
          </cell>
          <cell r="M8">
            <v>52294</v>
          </cell>
          <cell r="N8" t="str">
            <v>Brasil . Rio de Janeiro</v>
          </cell>
          <cell r="O8">
            <v>0.15</v>
          </cell>
          <cell r="P8">
            <v>8775</v>
          </cell>
          <cell r="Q8">
            <v>1350</v>
          </cell>
          <cell r="R8">
            <v>0.1</v>
          </cell>
          <cell r="S8">
            <v>5850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15975</v>
          </cell>
          <cell r="Y8">
            <v>22992</v>
          </cell>
          <cell r="Z8">
            <v>68269</v>
          </cell>
          <cell r="AA8">
            <v>90492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Gte. Gral.</v>
          </cell>
          <cell r="E9">
            <v>60</v>
          </cell>
          <cell r="F9">
            <v>8833</v>
          </cell>
          <cell r="G9">
            <v>0</v>
          </cell>
          <cell r="H9">
            <v>7.6</v>
          </cell>
          <cell r="I9">
            <v>65500</v>
          </cell>
          <cell r="J9">
            <v>180329</v>
          </cell>
          <cell r="K9">
            <v>84435</v>
          </cell>
          <cell r="L9">
            <v>41973</v>
          </cell>
          <cell r="M9">
            <v>126408</v>
          </cell>
          <cell r="N9" t="str">
            <v>Bolivia - Sta. Cruz de la Sierra</v>
          </cell>
          <cell r="O9">
            <v>0.15</v>
          </cell>
          <cell r="P9">
            <v>17224</v>
          </cell>
          <cell r="Q9">
            <v>9825</v>
          </cell>
          <cell r="R9">
            <v>0.15</v>
          </cell>
          <cell r="S9">
            <v>17224</v>
          </cell>
          <cell r="T9">
            <v>0</v>
          </cell>
          <cell r="U9">
            <v>65074</v>
          </cell>
          <cell r="V9">
            <v>0</v>
          </cell>
          <cell r="W9">
            <v>0</v>
          </cell>
          <cell r="X9">
            <v>109347</v>
          </cell>
          <cell r="Y9">
            <v>172210</v>
          </cell>
          <cell r="Z9">
            <v>235755</v>
          </cell>
          <cell r="AA9">
            <v>352539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Controller</v>
          </cell>
          <cell r="E10">
            <v>58</v>
          </cell>
          <cell r="F10">
            <v>7194</v>
          </cell>
          <cell r="G10">
            <v>0</v>
          </cell>
          <cell r="H10">
            <v>0</v>
          </cell>
          <cell r="I10">
            <v>0</v>
          </cell>
          <cell r="J10">
            <v>93522</v>
          </cell>
          <cell r="K10">
            <v>70095</v>
          </cell>
          <cell r="L10">
            <v>0</v>
          </cell>
          <cell r="M10">
            <v>70095</v>
          </cell>
          <cell r="N10" t="str">
            <v>Bolivia - Sta. Cruz de la Sierra</v>
          </cell>
          <cell r="O10">
            <v>0.15</v>
          </cell>
          <cell r="P10">
            <v>14028</v>
          </cell>
          <cell r="Q10">
            <v>0</v>
          </cell>
          <cell r="R10">
            <v>0.15</v>
          </cell>
          <cell r="S10">
            <v>14028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28056</v>
          </cell>
          <cell r="Y10">
            <v>41415</v>
          </cell>
          <cell r="Z10">
            <v>98151</v>
          </cell>
          <cell r="AA10">
            <v>134937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Gte. Admin.</v>
          </cell>
          <cell r="E11">
            <v>57</v>
          </cell>
          <cell r="F11">
            <v>4550</v>
          </cell>
          <cell r="G11">
            <v>0</v>
          </cell>
          <cell r="H11">
            <v>3</v>
          </cell>
          <cell r="I11">
            <v>13650</v>
          </cell>
          <cell r="J11">
            <v>72800</v>
          </cell>
          <cell r="K11">
            <v>44955</v>
          </cell>
          <cell r="L11">
            <v>10491</v>
          </cell>
          <cell r="M11">
            <v>55446</v>
          </cell>
          <cell r="N11" t="str">
            <v>Bolivia - Sta. Cruz de la Sierra</v>
          </cell>
          <cell r="O11">
            <v>0.15</v>
          </cell>
          <cell r="P11">
            <v>8873</v>
          </cell>
          <cell r="Q11">
            <v>2048</v>
          </cell>
          <cell r="R11">
            <v>0.15</v>
          </cell>
          <cell r="S11">
            <v>8873</v>
          </cell>
          <cell r="T11">
            <v>0</v>
          </cell>
          <cell r="U11">
            <v>33778</v>
          </cell>
          <cell r="V11">
            <v>0</v>
          </cell>
          <cell r="W11">
            <v>0</v>
          </cell>
          <cell r="X11">
            <v>53572</v>
          </cell>
          <cell r="Y11">
            <v>81270</v>
          </cell>
          <cell r="Z11">
            <v>109018</v>
          </cell>
          <cell r="AA11">
            <v>154070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Profecional SR.</v>
          </cell>
          <cell r="E12">
            <v>56</v>
          </cell>
          <cell r="F12">
            <v>4000</v>
          </cell>
          <cell r="G12">
            <v>0</v>
          </cell>
          <cell r="H12">
            <v>3</v>
          </cell>
          <cell r="I12">
            <v>12000</v>
          </cell>
          <cell r="J12">
            <v>64000</v>
          </cell>
          <cell r="K12">
            <v>40328</v>
          </cell>
          <cell r="L12">
            <v>9423</v>
          </cell>
          <cell r="M12">
            <v>49751</v>
          </cell>
          <cell r="N12" t="str">
            <v>Perú - Talara</v>
          </cell>
          <cell r="O12">
            <v>0.15</v>
          </cell>
          <cell r="P12">
            <v>7800</v>
          </cell>
          <cell r="Q12">
            <v>1800</v>
          </cell>
          <cell r="R12">
            <v>0.4</v>
          </cell>
          <cell r="S12">
            <v>20800</v>
          </cell>
          <cell r="T12">
            <v>0</v>
          </cell>
          <cell r="U12">
            <v>32722</v>
          </cell>
          <cell r="V12">
            <v>0</v>
          </cell>
          <cell r="W12">
            <v>0</v>
          </cell>
          <cell r="X12">
            <v>63122</v>
          </cell>
          <cell r="Y12">
            <v>95836</v>
          </cell>
          <cell r="Z12">
            <v>112873</v>
          </cell>
          <cell r="AA12">
            <v>159836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Profecional Principal</v>
          </cell>
          <cell r="E13">
            <v>57</v>
          </cell>
          <cell r="F13">
            <v>4620</v>
          </cell>
          <cell r="G13">
            <v>270</v>
          </cell>
          <cell r="H13">
            <v>3</v>
          </cell>
          <cell r="I13">
            <v>13860</v>
          </cell>
          <cell r="J13">
            <v>77430</v>
          </cell>
          <cell r="K13">
            <v>47530</v>
          </cell>
          <cell r="L13">
            <v>9772</v>
          </cell>
          <cell r="M13">
            <v>57302</v>
          </cell>
          <cell r="N13" t="str">
            <v>Perú - Talara</v>
          </cell>
          <cell r="O13">
            <v>0.15</v>
          </cell>
          <cell r="P13">
            <v>9536</v>
          </cell>
          <cell r="Q13">
            <v>2079</v>
          </cell>
          <cell r="R13">
            <v>0.4</v>
          </cell>
          <cell r="S13">
            <v>25428</v>
          </cell>
          <cell r="T13">
            <v>0</v>
          </cell>
          <cell r="U13">
            <v>25727</v>
          </cell>
          <cell r="V13">
            <v>0</v>
          </cell>
          <cell r="W13">
            <v>0</v>
          </cell>
          <cell r="X13">
            <v>62770</v>
          </cell>
          <cell r="Y13">
            <v>93975</v>
          </cell>
          <cell r="Z13">
            <v>120072</v>
          </cell>
          <cell r="AA13">
            <v>171405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Gte. Adm. y Fin. Regional</v>
          </cell>
          <cell r="E14">
            <v>60</v>
          </cell>
          <cell r="F14">
            <v>8400</v>
          </cell>
          <cell r="G14">
            <v>0</v>
          </cell>
          <cell r="H14">
            <v>4</v>
          </cell>
          <cell r="I14">
            <v>33600</v>
          </cell>
          <cell r="J14">
            <v>142800</v>
          </cell>
          <cell r="K14">
            <v>80264</v>
          </cell>
          <cell r="L14">
            <v>21643</v>
          </cell>
          <cell r="M14">
            <v>101907</v>
          </cell>
          <cell r="N14" t="str">
            <v>Ecuador - Quito</v>
          </cell>
          <cell r="O14">
            <v>0.15</v>
          </cell>
          <cell r="P14">
            <v>16380</v>
          </cell>
          <cell r="Q14">
            <v>5040</v>
          </cell>
          <cell r="R14">
            <v>0.15</v>
          </cell>
          <cell r="S14">
            <v>16380</v>
          </cell>
          <cell r="T14">
            <v>0</v>
          </cell>
          <cell r="U14">
            <v>40517</v>
          </cell>
          <cell r="V14">
            <v>0</v>
          </cell>
          <cell r="W14">
            <v>0</v>
          </cell>
          <cell r="X14">
            <v>78317</v>
          </cell>
          <cell r="Y14">
            <v>124306</v>
          </cell>
          <cell r="Z14">
            <v>180224</v>
          </cell>
          <cell r="AA14">
            <v>267106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Lider Equipo SR.</v>
          </cell>
          <cell r="E15">
            <v>58</v>
          </cell>
          <cell r="F15">
            <v>5039</v>
          </cell>
          <cell r="G15">
            <v>0</v>
          </cell>
          <cell r="H15">
            <v>3</v>
          </cell>
          <cell r="I15">
            <v>15117</v>
          </cell>
          <cell r="J15">
            <v>80624</v>
          </cell>
          <cell r="K15">
            <v>49443</v>
          </cell>
          <cell r="L15">
            <v>10647</v>
          </cell>
          <cell r="M15">
            <v>60090</v>
          </cell>
          <cell r="N15" t="str">
            <v>Perú - Talara</v>
          </cell>
          <cell r="O15">
            <v>0.15</v>
          </cell>
          <cell r="P15">
            <v>9826</v>
          </cell>
          <cell r="Q15">
            <v>2268</v>
          </cell>
          <cell r="R15">
            <v>0.4</v>
          </cell>
          <cell r="S15">
            <v>26203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38297</v>
          </cell>
          <cell r="Y15">
            <v>55113</v>
          </cell>
          <cell r="Z15">
            <v>98387</v>
          </cell>
          <cell r="AA15">
            <v>135737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Jefe Contratos</v>
          </cell>
          <cell r="E16">
            <v>57</v>
          </cell>
          <cell r="F16">
            <v>4400</v>
          </cell>
          <cell r="G16">
            <v>530</v>
          </cell>
          <cell r="H16">
            <v>3</v>
          </cell>
          <cell r="I16">
            <v>14790</v>
          </cell>
          <cell r="J16">
            <v>78880</v>
          </cell>
          <cell r="K16">
            <v>48775</v>
          </cell>
          <cell r="L16">
            <v>10300</v>
          </cell>
          <cell r="M16">
            <v>59075</v>
          </cell>
          <cell r="N16" t="str">
            <v>Ecuador - Quito</v>
          </cell>
          <cell r="O16">
            <v>0.15</v>
          </cell>
          <cell r="P16">
            <v>9614</v>
          </cell>
          <cell r="Q16">
            <v>2219</v>
          </cell>
          <cell r="R16">
            <v>0.15</v>
          </cell>
          <cell r="S16">
            <v>9614</v>
          </cell>
          <cell r="T16">
            <v>0</v>
          </cell>
          <cell r="U16">
            <v>32884</v>
          </cell>
          <cell r="V16">
            <v>0</v>
          </cell>
          <cell r="W16">
            <v>0</v>
          </cell>
          <cell r="X16">
            <v>54331</v>
          </cell>
          <cell r="Y16">
            <v>81611</v>
          </cell>
          <cell r="Z16">
            <v>113406</v>
          </cell>
          <cell r="AA16">
            <v>160491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Gerente Yacimiento</v>
          </cell>
          <cell r="E17">
            <v>59</v>
          </cell>
          <cell r="F17">
            <v>6870</v>
          </cell>
          <cell r="G17">
            <v>0</v>
          </cell>
          <cell r="H17">
            <v>4</v>
          </cell>
          <cell r="I17">
            <v>27480</v>
          </cell>
          <cell r="J17">
            <v>116790</v>
          </cell>
          <cell r="K17">
            <v>67020</v>
          </cell>
          <cell r="L17">
            <v>18610</v>
          </cell>
          <cell r="M17">
            <v>85630</v>
          </cell>
          <cell r="N17" t="str">
            <v>Perú - Talara</v>
          </cell>
          <cell r="O17">
            <v>0.15</v>
          </cell>
          <cell r="P17">
            <v>13397</v>
          </cell>
          <cell r="Q17">
            <v>4122</v>
          </cell>
          <cell r="R17">
            <v>0.4</v>
          </cell>
          <cell r="S17">
            <v>35724</v>
          </cell>
          <cell r="T17">
            <v>0</v>
          </cell>
          <cell r="U17">
            <v>43534</v>
          </cell>
          <cell r="V17">
            <v>0</v>
          </cell>
          <cell r="W17">
            <v>0</v>
          </cell>
          <cell r="X17">
            <v>96777</v>
          </cell>
          <cell r="Y17">
            <v>153675</v>
          </cell>
          <cell r="Z17">
            <v>182407</v>
          </cell>
          <cell r="AA17">
            <v>270465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Gte. Abastec.</v>
          </cell>
          <cell r="E18">
            <v>57</v>
          </cell>
          <cell r="F18">
            <v>4925</v>
          </cell>
          <cell r="G18">
            <v>0</v>
          </cell>
          <cell r="H18">
            <v>3</v>
          </cell>
          <cell r="I18">
            <v>14775</v>
          </cell>
          <cell r="J18">
            <v>78800</v>
          </cell>
          <cell r="K18">
            <v>47458</v>
          </cell>
          <cell r="L18">
            <v>10571</v>
          </cell>
          <cell r="M18">
            <v>58029</v>
          </cell>
          <cell r="N18" t="str">
            <v>Perú - Talara</v>
          </cell>
          <cell r="O18">
            <v>0.15</v>
          </cell>
          <cell r="P18">
            <v>9604</v>
          </cell>
          <cell r="Q18">
            <v>2216</v>
          </cell>
          <cell r="R18">
            <v>0.4</v>
          </cell>
          <cell r="S18">
            <v>25610</v>
          </cell>
          <cell r="T18">
            <v>0</v>
          </cell>
          <cell r="U18">
            <v>26036</v>
          </cell>
          <cell r="V18">
            <v>0</v>
          </cell>
          <cell r="W18">
            <v>0</v>
          </cell>
          <cell r="X18">
            <v>63466</v>
          </cell>
          <cell r="Y18">
            <v>95124</v>
          </cell>
          <cell r="Z18">
            <v>121495</v>
          </cell>
          <cell r="AA18">
            <v>173924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Jefe Perforac.</v>
          </cell>
          <cell r="E19">
            <v>56</v>
          </cell>
          <cell r="F19">
            <v>4400</v>
          </cell>
          <cell r="G19">
            <v>0</v>
          </cell>
          <cell r="H19">
            <v>2</v>
          </cell>
          <cell r="I19">
            <v>8800</v>
          </cell>
          <cell r="J19">
            <v>66000</v>
          </cell>
          <cell r="K19">
            <v>43649</v>
          </cell>
          <cell r="L19">
            <v>6802</v>
          </cell>
          <cell r="M19">
            <v>50451</v>
          </cell>
          <cell r="N19" t="str">
            <v>Ecuador - Quito</v>
          </cell>
          <cell r="O19">
            <v>0.15</v>
          </cell>
          <cell r="P19">
            <v>8580</v>
          </cell>
          <cell r="Q19">
            <v>1320</v>
          </cell>
          <cell r="R19">
            <v>0.15</v>
          </cell>
          <cell r="S19">
            <v>8580</v>
          </cell>
          <cell r="T19">
            <v>0</v>
          </cell>
          <cell r="U19">
            <v>26307</v>
          </cell>
          <cell r="V19">
            <v>0</v>
          </cell>
          <cell r="W19">
            <v>0</v>
          </cell>
          <cell r="X19">
            <v>44787</v>
          </cell>
          <cell r="Y19">
            <v>65173</v>
          </cell>
          <cell r="Z19">
            <v>95238</v>
          </cell>
          <cell r="AA19">
            <v>131173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Lider Equipo SR.</v>
          </cell>
          <cell r="E20">
            <v>58</v>
          </cell>
          <cell r="F20">
            <v>5100</v>
          </cell>
          <cell r="G20">
            <v>0</v>
          </cell>
          <cell r="H20">
            <v>3</v>
          </cell>
          <cell r="I20">
            <v>15300</v>
          </cell>
          <cell r="J20">
            <v>81600</v>
          </cell>
          <cell r="K20">
            <v>50476</v>
          </cell>
          <cell r="L20">
            <v>10694</v>
          </cell>
          <cell r="M20">
            <v>61170</v>
          </cell>
          <cell r="N20" t="str">
            <v>Perú - Talara</v>
          </cell>
          <cell r="O20">
            <v>0.15</v>
          </cell>
          <cell r="P20">
            <v>9945</v>
          </cell>
          <cell r="Q20">
            <v>2295</v>
          </cell>
          <cell r="R20">
            <v>0.4</v>
          </cell>
          <cell r="S20">
            <v>26520</v>
          </cell>
          <cell r="T20">
            <v>0</v>
          </cell>
          <cell r="U20">
            <v>35397</v>
          </cell>
          <cell r="V20">
            <v>0</v>
          </cell>
          <cell r="W20">
            <v>0</v>
          </cell>
          <cell r="X20">
            <v>74157</v>
          </cell>
          <cell r="Y20">
            <v>112615</v>
          </cell>
          <cell r="Z20">
            <v>135327</v>
          </cell>
          <cell r="AA20">
            <v>194215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Profesional SR.</v>
          </cell>
          <cell r="E21">
            <v>56</v>
          </cell>
          <cell r="F21">
            <v>4045</v>
          </cell>
          <cell r="G21">
            <v>0</v>
          </cell>
          <cell r="H21">
            <v>0</v>
          </cell>
          <cell r="I21">
            <v>0</v>
          </cell>
          <cell r="J21">
            <v>52585</v>
          </cell>
          <cell r="K21">
            <v>40543</v>
          </cell>
          <cell r="L21">
            <v>0</v>
          </cell>
          <cell r="M21">
            <v>40543</v>
          </cell>
          <cell r="N21" t="str">
            <v>Perú - Talara</v>
          </cell>
          <cell r="O21">
            <v>0.15</v>
          </cell>
          <cell r="P21">
            <v>7888</v>
          </cell>
          <cell r="Q21">
            <v>0</v>
          </cell>
          <cell r="R21">
            <v>0.4</v>
          </cell>
          <cell r="S21">
            <v>21034</v>
          </cell>
          <cell r="T21">
            <v>0</v>
          </cell>
          <cell r="U21">
            <v>27633</v>
          </cell>
          <cell r="V21">
            <v>0</v>
          </cell>
          <cell r="W21">
            <v>0</v>
          </cell>
          <cell r="X21">
            <v>56555</v>
          </cell>
          <cell r="Y21">
            <v>81284</v>
          </cell>
          <cell r="Z21">
            <v>97098</v>
          </cell>
          <cell r="AA21">
            <v>133869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Profesional SR.</v>
          </cell>
          <cell r="E22">
            <v>56</v>
          </cell>
          <cell r="F22">
            <v>3900</v>
          </cell>
          <cell r="G22">
            <v>0</v>
          </cell>
          <cell r="H22">
            <v>0</v>
          </cell>
          <cell r="I22">
            <v>0</v>
          </cell>
          <cell r="J22">
            <v>50700</v>
          </cell>
          <cell r="K22">
            <v>39279</v>
          </cell>
          <cell r="L22">
            <v>0</v>
          </cell>
          <cell r="M22">
            <v>39279</v>
          </cell>
          <cell r="N22" t="str">
            <v>Perú - Talara</v>
          </cell>
          <cell r="O22">
            <v>0.15</v>
          </cell>
          <cell r="P22">
            <v>7605</v>
          </cell>
          <cell r="Q22">
            <v>0</v>
          </cell>
          <cell r="R22">
            <v>0.4</v>
          </cell>
          <cell r="S22">
            <v>20280</v>
          </cell>
          <cell r="T22">
            <v>0</v>
          </cell>
          <cell r="U22">
            <v>27012</v>
          </cell>
          <cell r="V22">
            <v>0</v>
          </cell>
          <cell r="W22">
            <v>0</v>
          </cell>
          <cell r="X22">
            <v>54897</v>
          </cell>
          <cell r="Y22">
            <v>78210</v>
          </cell>
          <cell r="Z22">
            <v>94176</v>
          </cell>
          <cell r="AA22">
            <v>128910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Profesional Principal</v>
          </cell>
          <cell r="E23">
            <v>57</v>
          </cell>
          <cell r="F23">
            <v>4850</v>
          </cell>
          <cell r="G23">
            <v>0</v>
          </cell>
          <cell r="H23">
            <v>3</v>
          </cell>
          <cell r="I23">
            <v>14550</v>
          </cell>
          <cell r="J23">
            <v>77600</v>
          </cell>
          <cell r="K23">
            <v>47974</v>
          </cell>
          <cell r="L23">
            <v>10116</v>
          </cell>
          <cell r="M23">
            <v>58090</v>
          </cell>
          <cell r="N23" t="str">
            <v>Perú - Talara</v>
          </cell>
          <cell r="O23">
            <v>0.15</v>
          </cell>
          <cell r="P23">
            <v>9458</v>
          </cell>
          <cell r="Q23">
            <v>2183</v>
          </cell>
          <cell r="R23">
            <v>0.4</v>
          </cell>
          <cell r="S23">
            <v>25220</v>
          </cell>
          <cell r="T23">
            <v>0</v>
          </cell>
          <cell r="U23">
            <v>38881</v>
          </cell>
          <cell r="V23">
            <v>0</v>
          </cell>
          <cell r="W23">
            <v>0</v>
          </cell>
          <cell r="X23">
            <v>75742</v>
          </cell>
          <cell r="Y23">
            <v>114315</v>
          </cell>
          <cell r="Z23">
            <v>133832</v>
          </cell>
          <cell r="AA23">
            <v>191915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Lider SR.</v>
          </cell>
          <cell r="E24">
            <v>55</v>
          </cell>
          <cell r="F24">
            <v>4400</v>
          </cell>
          <cell r="G24">
            <v>0</v>
          </cell>
          <cell r="H24">
            <v>0</v>
          </cell>
          <cell r="I24">
            <v>0</v>
          </cell>
          <cell r="J24">
            <v>57200</v>
          </cell>
          <cell r="K24">
            <v>43998</v>
          </cell>
          <cell r="L24">
            <v>0</v>
          </cell>
          <cell r="M24">
            <v>43998</v>
          </cell>
          <cell r="N24" t="str">
            <v>Perú - Talara</v>
          </cell>
          <cell r="O24">
            <v>0.15</v>
          </cell>
          <cell r="P24">
            <v>8580</v>
          </cell>
          <cell r="Q24">
            <v>0</v>
          </cell>
          <cell r="R24">
            <v>0.4</v>
          </cell>
          <cell r="S24">
            <v>22880</v>
          </cell>
          <cell r="T24">
            <v>0</v>
          </cell>
          <cell r="U24">
            <v>30738</v>
          </cell>
          <cell r="V24">
            <v>0</v>
          </cell>
          <cell r="W24">
            <v>0</v>
          </cell>
          <cell r="X24">
            <v>62198</v>
          </cell>
          <cell r="Y24">
            <v>89653</v>
          </cell>
          <cell r="Z24">
            <v>106196</v>
          </cell>
          <cell r="AA24">
            <v>146853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Coord. Reservorio</v>
          </cell>
          <cell r="E25">
            <v>59</v>
          </cell>
          <cell r="F25">
            <v>7290</v>
          </cell>
          <cell r="G25">
            <v>0</v>
          </cell>
          <cell r="H25">
            <v>4.18</v>
          </cell>
          <cell r="I25">
            <v>30460</v>
          </cell>
          <cell r="J25">
            <v>125230</v>
          </cell>
          <cell r="K25">
            <v>70235</v>
          </cell>
          <cell r="L25">
            <v>20586</v>
          </cell>
          <cell r="M25">
            <v>90821</v>
          </cell>
          <cell r="N25" t="str">
            <v>Perú - Talara</v>
          </cell>
          <cell r="O25">
            <v>0.15</v>
          </cell>
          <cell r="P25">
            <v>9745</v>
          </cell>
          <cell r="Q25">
            <v>3134</v>
          </cell>
          <cell r="R25">
            <v>0.4</v>
          </cell>
          <cell r="S25">
            <v>26004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38883</v>
          </cell>
          <cell r="Y25">
            <v>60994</v>
          </cell>
          <cell r="Z25">
            <v>129704</v>
          </cell>
          <cell r="AA25">
            <v>186224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Gte. Reservorio</v>
          </cell>
          <cell r="E26">
            <v>60</v>
          </cell>
          <cell r="F26">
            <v>6790</v>
          </cell>
          <cell r="G26">
            <v>0</v>
          </cell>
          <cell r="H26">
            <v>4</v>
          </cell>
          <cell r="I26">
            <v>27160</v>
          </cell>
          <cell r="J26">
            <v>115430</v>
          </cell>
          <cell r="K26">
            <v>66068</v>
          </cell>
          <cell r="L26">
            <v>18465</v>
          </cell>
          <cell r="M26">
            <v>84533</v>
          </cell>
          <cell r="N26" t="str">
            <v>Ecuador - Quito</v>
          </cell>
          <cell r="O26">
            <v>0.15</v>
          </cell>
          <cell r="P26">
            <v>13241</v>
          </cell>
          <cell r="Q26">
            <v>4074</v>
          </cell>
          <cell r="R26">
            <v>0.15</v>
          </cell>
          <cell r="S26">
            <v>13241</v>
          </cell>
          <cell r="T26">
            <v>0</v>
          </cell>
          <cell r="U26">
            <v>38365</v>
          </cell>
          <cell r="V26">
            <v>0</v>
          </cell>
          <cell r="W26">
            <v>0</v>
          </cell>
          <cell r="X26">
            <v>68921</v>
          </cell>
          <cell r="Y26">
            <v>109274</v>
          </cell>
          <cell r="Z26">
            <v>153454</v>
          </cell>
          <cell r="AA26">
            <v>224704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Profesional Principal</v>
          </cell>
          <cell r="E27">
            <v>57</v>
          </cell>
          <cell r="F27">
            <v>4850</v>
          </cell>
          <cell r="G27">
            <v>0</v>
          </cell>
          <cell r="H27">
            <v>3</v>
          </cell>
          <cell r="I27">
            <v>14550</v>
          </cell>
          <cell r="J27">
            <v>77600</v>
          </cell>
          <cell r="K27">
            <v>47763</v>
          </cell>
          <cell r="L27">
            <v>10163</v>
          </cell>
          <cell r="M27">
            <v>57926</v>
          </cell>
          <cell r="N27" t="str">
            <v>Perú - Talara</v>
          </cell>
          <cell r="O27">
            <v>0.15</v>
          </cell>
          <cell r="P27">
            <v>9458</v>
          </cell>
          <cell r="Q27">
            <v>2183</v>
          </cell>
          <cell r="R27">
            <v>0.4</v>
          </cell>
          <cell r="S27">
            <v>25220</v>
          </cell>
          <cell r="T27">
            <v>0</v>
          </cell>
          <cell r="U27">
            <v>36660</v>
          </cell>
          <cell r="V27">
            <v>0</v>
          </cell>
          <cell r="W27">
            <v>0</v>
          </cell>
          <cell r="X27">
            <v>73521</v>
          </cell>
          <cell r="Y27">
            <v>110811</v>
          </cell>
          <cell r="Z27">
            <v>131447</v>
          </cell>
          <cell r="AA27">
            <v>188411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Gte. Gral.</v>
          </cell>
          <cell r="E28">
            <v>62</v>
          </cell>
          <cell r="F28">
            <v>14000</v>
          </cell>
          <cell r="G28">
            <v>1200</v>
          </cell>
          <cell r="H28">
            <v>7</v>
          </cell>
          <cell r="I28">
            <v>106400</v>
          </cell>
          <cell r="J28">
            <v>304000</v>
          </cell>
          <cell r="K28">
            <v>137634</v>
          </cell>
          <cell r="L28">
            <v>66571</v>
          </cell>
          <cell r="M28">
            <v>204205</v>
          </cell>
          <cell r="N28" t="str">
            <v>Ecuador - Quito</v>
          </cell>
          <cell r="O28">
            <v>0.15</v>
          </cell>
          <cell r="P28">
            <v>29640</v>
          </cell>
          <cell r="Q28">
            <v>15960</v>
          </cell>
          <cell r="R28">
            <v>0.15</v>
          </cell>
          <cell r="S28">
            <v>29640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75240</v>
          </cell>
          <cell r="Y28">
            <v>115754</v>
          </cell>
          <cell r="Z28">
            <v>279445</v>
          </cell>
          <cell r="AA28">
            <v>419754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Lider Equipo</v>
          </cell>
          <cell r="E29">
            <v>57</v>
          </cell>
          <cell r="F29">
            <v>5000</v>
          </cell>
          <cell r="G29">
            <v>0</v>
          </cell>
          <cell r="H29">
            <v>3</v>
          </cell>
          <cell r="I29">
            <v>15000</v>
          </cell>
          <cell r="J29">
            <v>80000</v>
          </cell>
          <cell r="K29">
            <v>49264</v>
          </cell>
          <cell r="L29">
            <v>10510</v>
          </cell>
          <cell r="M29">
            <v>59774</v>
          </cell>
          <cell r="N29" t="str">
            <v>Perú - Talara</v>
          </cell>
          <cell r="O29">
            <v>0.15</v>
          </cell>
          <cell r="P29">
            <v>9750</v>
          </cell>
          <cell r="Q29">
            <v>2250</v>
          </cell>
          <cell r="R29">
            <v>0.4</v>
          </cell>
          <cell r="S29">
            <v>26000</v>
          </cell>
          <cell r="T29">
            <v>0</v>
          </cell>
          <cell r="U29">
            <v>37243</v>
          </cell>
          <cell r="V29">
            <v>0</v>
          </cell>
          <cell r="W29">
            <v>0</v>
          </cell>
          <cell r="X29">
            <v>75243</v>
          </cell>
          <cell r="Y29">
            <v>113903</v>
          </cell>
          <cell r="Z29">
            <v>135017</v>
          </cell>
          <cell r="AA29">
            <v>193903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Abogado  Sr</v>
          </cell>
          <cell r="E30">
            <v>0</v>
          </cell>
          <cell r="F30">
            <v>4600</v>
          </cell>
          <cell r="G30">
            <v>0</v>
          </cell>
          <cell r="H30">
            <v>2</v>
          </cell>
          <cell r="I30">
            <v>9200</v>
          </cell>
          <cell r="J30">
            <v>69000</v>
          </cell>
          <cell r="K30">
            <v>45178</v>
          </cell>
          <cell r="L30">
            <v>7058</v>
          </cell>
          <cell r="M30">
            <v>52236</v>
          </cell>
          <cell r="N30" t="str">
            <v>Ecuador - Quito</v>
          </cell>
          <cell r="O30">
            <v>0.15</v>
          </cell>
          <cell r="P30">
            <v>8970</v>
          </cell>
          <cell r="Q30">
            <v>1380</v>
          </cell>
          <cell r="R30">
            <v>0.15</v>
          </cell>
          <cell r="S30">
            <v>8970</v>
          </cell>
          <cell r="T30">
            <v>0</v>
          </cell>
          <cell r="U30">
            <v>25145</v>
          </cell>
          <cell r="V30">
            <v>0</v>
          </cell>
          <cell r="W30">
            <v>0</v>
          </cell>
          <cell r="X30">
            <v>44465</v>
          </cell>
          <cell r="Y30">
            <v>64069</v>
          </cell>
          <cell r="Z30">
            <v>96701</v>
          </cell>
          <cell r="AA30">
            <v>133069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Grte. Yacimiento SR</v>
          </cell>
          <cell r="E31">
            <v>60</v>
          </cell>
          <cell r="F31">
            <v>9326</v>
          </cell>
          <cell r="G31">
            <v>0</v>
          </cell>
          <cell r="H31">
            <v>5</v>
          </cell>
          <cell r="I31">
            <v>46630</v>
          </cell>
          <cell r="J31">
            <v>167868</v>
          </cell>
          <cell r="K31">
            <v>88541</v>
          </cell>
          <cell r="L31">
            <v>29553</v>
          </cell>
          <cell r="M31">
            <v>118094</v>
          </cell>
          <cell r="N31" t="str">
            <v>Venezuela - Maracaibo</v>
          </cell>
          <cell r="O31">
            <v>0.15</v>
          </cell>
          <cell r="P31">
            <v>18186</v>
          </cell>
          <cell r="Q31">
            <v>6995</v>
          </cell>
          <cell r="R31">
            <v>0.2</v>
          </cell>
          <cell r="S31">
            <v>24248</v>
          </cell>
          <cell r="T31">
            <v>0</v>
          </cell>
          <cell r="U31">
            <v>35538</v>
          </cell>
          <cell r="V31">
            <v>5344</v>
          </cell>
          <cell r="W31">
            <v>0</v>
          </cell>
          <cell r="X31">
            <v>90311</v>
          </cell>
          <cell r="Y31">
            <v>142594</v>
          </cell>
          <cell r="Z31">
            <v>208405</v>
          </cell>
          <cell r="AA31">
            <v>310462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Jefe Produccion SR.</v>
          </cell>
          <cell r="E32">
            <v>58</v>
          </cell>
          <cell r="F32">
            <v>6930</v>
          </cell>
          <cell r="G32">
            <v>0</v>
          </cell>
          <cell r="H32">
            <v>3.92</v>
          </cell>
          <cell r="I32">
            <v>27147</v>
          </cell>
          <cell r="J32">
            <v>117237</v>
          </cell>
          <cell r="K32">
            <v>67397</v>
          </cell>
          <cell r="L32">
            <v>18383</v>
          </cell>
          <cell r="M32">
            <v>85780</v>
          </cell>
          <cell r="N32" t="str">
            <v>Venezuela - El Tigre</v>
          </cell>
          <cell r="O32">
            <v>0.15</v>
          </cell>
          <cell r="P32">
            <v>13514</v>
          </cell>
          <cell r="Q32">
            <v>4072</v>
          </cell>
          <cell r="R32">
            <v>0.15</v>
          </cell>
          <cell r="S32">
            <v>13514</v>
          </cell>
          <cell r="T32">
            <v>0</v>
          </cell>
          <cell r="U32">
            <v>3566</v>
          </cell>
          <cell r="V32">
            <v>7233</v>
          </cell>
          <cell r="W32">
            <v>0</v>
          </cell>
          <cell r="X32">
            <v>41899</v>
          </cell>
          <cell r="Y32">
            <v>65377</v>
          </cell>
          <cell r="Z32">
            <v>127679</v>
          </cell>
          <cell r="AA32">
            <v>182614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Gte. Comp. Y Contr.</v>
          </cell>
          <cell r="E33">
            <v>58</v>
          </cell>
          <cell r="F33">
            <v>6221</v>
          </cell>
          <cell r="G33">
            <v>0</v>
          </cell>
          <cell r="H33">
            <v>2</v>
          </cell>
          <cell r="I33">
            <v>12442</v>
          </cell>
          <cell r="J33">
            <v>93315</v>
          </cell>
          <cell r="K33">
            <v>60117</v>
          </cell>
          <cell r="L33">
            <v>9249</v>
          </cell>
          <cell r="M33">
            <v>69366</v>
          </cell>
          <cell r="N33" t="str">
            <v>Venezuela - Caracas</v>
          </cell>
          <cell r="O33">
            <v>0.15</v>
          </cell>
          <cell r="P33">
            <v>12131</v>
          </cell>
          <cell r="Q33">
            <v>1866</v>
          </cell>
          <cell r="R33">
            <v>0.05</v>
          </cell>
          <cell r="S33">
            <v>4044</v>
          </cell>
          <cell r="T33">
            <v>0</v>
          </cell>
          <cell r="U33">
            <v>26739</v>
          </cell>
          <cell r="V33">
            <v>15171</v>
          </cell>
          <cell r="W33">
            <v>0</v>
          </cell>
          <cell r="X33">
            <v>59951</v>
          </cell>
          <cell r="Y33">
            <v>92149</v>
          </cell>
          <cell r="Z33">
            <v>129317</v>
          </cell>
          <cell r="AA33">
            <v>185464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BIO</v>
          </cell>
          <cell r="E34">
            <v>57</v>
          </cell>
          <cell r="F34">
            <v>5967</v>
          </cell>
          <cell r="G34">
            <v>0</v>
          </cell>
          <cell r="H34">
            <v>2</v>
          </cell>
          <cell r="I34">
            <v>11934</v>
          </cell>
          <cell r="J34">
            <v>89505</v>
          </cell>
          <cell r="K34">
            <v>57739</v>
          </cell>
          <cell r="L34">
            <v>9038</v>
          </cell>
          <cell r="M34">
            <v>66777</v>
          </cell>
          <cell r="N34" t="str">
            <v>Venezuela - Caracas</v>
          </cell>
          <cell r="O34">
            <v>0.15</v>
          </cell>
          <cell r="P34">
            <v>11636</v>
          </cell>
          <cell r="Q34">
            <v>1790</v>
          </cell>
          <cell r="R34">
            <v>0.05</v>
          </cell>
          <cell r="S34">
            <v>3879</v>
          </cell>
          <cell r="T34">
            <v>0</v>
          </cell>
          <cell r="U34">
            <v>27876</v>
          </cell>
          <cell r="V34">
            <v>14280</v>
          </cell>
          <cell r="W34">
            <v>0</v>
          </cell>
          <cell r="X34">
            <v>59461</v>
          </cell>
          <cell r="Y34">
            <v>91057</v>
          </cell>
          <cell r="Z34">
            <v>126238</v>
          </cell>
          <cell r="AA34">
            <v>180562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Supervisor Principal</v>
          </cell>
          <cell r="E35">
            <v>55</v>
          </cell>
          <cell r="F35">
            <v>3794</v>
          </cell>
          <cell r="G35">
            <v>0</v>
          </cell>
          <cell r="H35">
            <v>0</v>
          </cell>
          <cell r="I35">
            <v>0</v>
          </cell>
          <cell r="J35">
            <v>49322</v>
          </cell>
          <cell r="K35">
            <v>38004</v>
          </cell>
          <cell r="L35">
            <v>0</v>
          </cell>
          <cell r="M35">
            <v>38004</v>
          </cell>
          <cell r="N35" t="str">
            <v>Venezuela - Maracaibo</v>
          </cell>
          <cell r="O35">
            <v>0.15</v>
          </cell>
          <cell r="P35">
            <v>7398</v>
          </cell>
          <cell r="Q35">
            <v>0</v>
          </cell>
          <cell r="R35">
            <v>0.2</v>
          </cell>
          <cell r="S35">
            <v>9864</v>
          </cell>
          <cell r="T35">
            <v>0</v>
          </cell>
          <cell r="U35">
            <v>4964</v>
          </cell>
          <cell r="V35">
            <v>2977</v>
          </cell>
          <cell r="W35">
            <v>0</v>
          </cell>
          <cell r="X35">
            <v>25203</v>
          </cell>
          <cell r="Y35">
            <v>35820</v>
          </cell>
          <cell r="Z35">
            <v>63207</v>
          </cell>
          <cell r="AA35">
            <v>85142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Profesional Principal</v>
          </cell>
          <cell r="E36">
            <v>57</v>
          </cell>
          <cell r="F36">
            <v>4925</v>
          </cell>
          <cell r="G36">
            <v>0</v>
          </cell>
          <cell r="H36">
            <v>2.98</v>
          </cell>
          <cell r="I36">
            <v>14701</v>
          </cell>
          <cell r="J36">
            <v>78726</v>
          </cell>
          <cell r="K36">
            <v>48302</v>
          </cell>
          <cell r="L36">
            <v>10326</v>
          </cell>
          <cell r="M36">
            <v>58628</v>
          </cell>
          <cell r="N36" t="str">
            <v>Venezuela - Maracaibo</v>
          </cell>
          <cell r="O36">
            <v>0.15</v>
          </cell>
          <cell r="P36">
            <v>9604</v>
          </cell>
          <cell r="Q36">
            <v>2205</v>
          </cell>
          <cell r="R36">
            <v>0.2</v>
          </cell>
          <cell r="S36">
            <v>12805</v>
          </cell>
          <cell r="T36">
            <v>0</v>
          </cell>
          <cell r="U36">
            <v>5752</v>
          </cell>
          <cell r="V36">
            <v>1037</v>
          </cell>
          <cell r="W36">
            <v>0</v>
          </cell>
          <cell r="X36">
            <v>31403</v>
          </cell>
          <cell r="Y36">
            <v>44901</v>
          </cell>
          <cell r="Z36">
            <v>90031</v>
          </cell>
          <cell r="AA36">
            <v>123627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Lider de Convenios</v>
          </cell>
          <cell r="E37">
            <v>57</v>
          </cell>
          <cell r="F37">
            <v>5120</v>
          </cell>
          <cell r="G37">
            <v>0</v>
          </cell>
          <cell r="H37">
            <v>2.5</v>
          </cell>
          <cell r="I37">
            <v>12800</v>
          </cell>
          <cell r="J37">
            <v>79360</v>
          </cell>
          <cell r="K37">
            <v>50043</v>
          </cell>
          <cell r="L37">
            <v>8909</v>
          </cell>
          <cell r="M37">
            <v>58952</v>
          </cell>
          <cell r="N37" t="str">
            <v>Venezuela - Caracas</v>
          </cell>
          <cell r="O37">
            <v>0.15</v>
          </cell>
          <cell r="P37">
            <v>9984</v>
          </cell>
          <cell r="Q37">
            <v>1920</v>
          </cell>
          <cell r="R37">
            <v>0.05</v>
          </cell>
          <cell r="S37">
            <v>3328</v>
          </cell>
          <cell r="T37">
            <v>0</v>
          </cell>
          <cell r="U37">
            <v>26409</v>
          </cell>
          <cell r="V37">
            <v>9177</v>
          </cell>
          <cell r="W37">
            <v>0</v>
          </cell>
          <cell r="X37">
            <v>50818</v>
          </cell>
          <cell r="Y37">
            <v>76031</v>
          </cell>
          <cell r="Z37">
            <v>109770</v>
          </cell>
          <cell r="AA37">
            <v>155391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LiderContrat Obr y Serv</v>
          </cell>
          <cell r="E38">
            <v>56</v>
          </cell>
          <cell r="F38">
            <v>4500</v>
          </cell>
          <cell r="G38">
            <v>0</v>
          </cell>
          <cell r="H38">
            <v>0</v>
          </cell>
          <cell r="I38">
            <v>0</v>
          </cell>
          <cell r="J38">
            <v>58500</v>
          </cell>
          <cell r="K38">
            <v>44347</v>
          </cell>
          <cell r="L38">
            <v>0</v>
          </cell>
          <cell r="M38">
            <v>44347</v>
          </cell>
          <cell r="N38" t="str">
            <v>Venezuela - Caracas</v>
          </cell>
          <cell r="O38">
            <v>0.15</v>
          </cell>
          <cell r="P38">
            <v>8775</v>
          </cell>
          <cell r="Q38">
            <v>0</v>
          </cell>
          <cell r="R38">
            <v>0.05</v>
          </cell>
          <cell r="S38">
            <v>2925</v>
          </cell>
          <cell r="T38">
            <v>0</v>
          </cell>
          <cell r="U38">
            <v>5424</v>
          </cell>
          <cell r="V38">
            <v>7037</v>
          </cell>
          <cell r="W38">
            <v>0</v>
          </cell>
          <cell r="X38">
            <v>24161</v>
          </cell>
          <cell r="Y38">
            <v>33640</v>
          </cell>
          <cell r="Z38">
            <v>68508</v>
          </cell>
          <cell r="AA38">
            <v>92140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Supervisor Principal</v>
          </cell>
          <cell r="E39">
            <v>55</v>
          </cell>
          <cell r="F39">
            <v>3900</v>
          </cell>
          <cell r="G39">
            <v>0</v>
          </cell>
          <cell r="H39">
            <v>0</v>
          </cell>
          <cell r="I39">
            <v>0</v>
          </cell>
          <cell r="J39">
            <v>50700</v>
          </cell>
          <cell r="K39">
            <v>39454</v>
          </cell>
          <cell r="L39">
            <v>0</v>
          </cell>
          <cell r="M39">
            <v>39454</v>
          </cell>
          <cell r="N39" t="str">
            <v>Venezuela - Maracaibo</v>
          </cell>
          <cell r="O39">
            <v>0.15</v>
          </cell>
          <cell r="P39">
            <v>7605</v>
          </cell>
          <cell r="Q39">
            <v>0</v>
          </cell>
          <cell r="R39">
            <v>0.2</v>
          </cell>
          <cell r="S39">
            <v>10140</v>
          </cell>
          <cell r="T39">
            <v>0</v>
          </cell>
          <cell r="U39">
            <v>5684</v>
          </cell>
          <cell r="V39">
            <v>2124</v>
          </cell>
          <cell r="W39">
            <v>0</v>
          </cell>
          <cell r="X39">
            <v>25553</v>
          </cell>
          <cell r="Y39">
            <v>36116</v>
          </cell>
          <cell r="Z39">
            <v>65007</v>
          </cell>
          <cell r="AA39">
            <v>86816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Supervisor Principal</v>
          </cell>
          <cell r="E40">
            <v>55</v>
          </cell>
          <cell r="F40">
            <v>3429</v>
          </cell>
          <cell r="G40">
            <v>0</v>
          </cell>
          <cell r="H40">
            <v>0</v>
          </cell>
          <cell r="I40">
            <v>0</v>
          </cell>
          <cell r="J40">
            <v>44577</v>
          </cell>
          <cell r="K40">
            <v>35485</v>
          </cell>
          <cell r="L40">
            <v>0</v>
          </cell>
          <cell r="M40">
            <v>35485</v>
          </cell>
          <cell r="N40" t="str">
            <v>Venezuela - Maracaibo</v>
          </cell>
          <cell r="O40">
            <v>0.15</v>
          </cell>
          <cell r="P40">
            <v>6687</v>
          </cell>
          <cell r="Q40">
            <v>0</v>
          </cell>
          <cell r="R40">
            <v>0.2</v>
          </cell>
          <cell r="S40">
            <v>8915</v>
          </cell>
          <cell r="T40">
            <v>0</v>
          </cell>
          <cell r="U40">
            <v>15395</v>
          </cell>
          <cell r="V40">
            <v>1331</v>
          </cell>
          <cell r="W40">
            <v>0</v>
          </cell>
          <cell r="X40">
            <v>32328</v>
          </cell>
          <cell r="Y40">
            <v>45864</v>
          </cell>
          <cell r="Z40">
            <v>67813</v>
          </cell>
          <cell r="AA40">
            <v>90441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Jefe Produccion SR.</v>
          </cell>
          <cell r="E41">
            <v>58</v>
          </cell>
          <cell r="F41">
            <v>5500</v>
          </cell>
          <cell r="G41">
            <v>0</v>
          </cell>
          <cell r="H41">
            <v>3</v>
          </cell>
          <cell r="I41">
            <v>16500</v>
          </cell>
          <cell r="J41">
            <v>88000</v>
          </cell>
          <cell r="K41">
            <v>53847</v>
          </cell>
          <cell r="L41">
            <v>11639</v>
          </cell>
          <cell r="M41">
            <v>65486</v>
          </cell>
          <cell r="N41" t="str">
            <v>Venezuela - Maracaibo</v>
          </cell>
          <cell r="O41">
            <v>0.15</v>
          </cell>
          <cell r="P41">
            <v>10725</v>
          </cell>
          <cell r="Q41">
            <v>2475</v>
          </cell>
          <cell r="R41">
            <v>0.2</v>
          </cell>
          <cell r="S41">
            <v>14300</v>
          </cell>
          <cell r="T41">
            <v>0</v>
          </cell>
          <cell r="U41">
            <v>21404</v>
          </cell>
          <cell r="V41">
            <v>2383</v>
          </cell>
          <cell r="W41">
            <v>0</v>
          </cell>
          <cell r="X41">
            <v>51287</v>
          </cell>
          <cell r="Y41">
            <v>78165</v>
          </cell>
          <cell r="Z41">
            <v>116773</v>
          </cell>
          <cell r="AA41">
            <v>166165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Gte. De yacimiento</v>
          </cell>
          <cell r="E42">
            <v>59</v>
          </cell>
          <cell r="F42">
            <v>7570</v>
          </cell>
          <cell r="G42">
            <v>0</v>
          </cell>
          <cell r="H42">
            <v>4</v>
          </cell>
          <cell r="I42">
            <v>30280</v>
          </cell>
          <cell r="J42">
            <v>128690</v>
          </cell>
          <cell r="K42">
            <v>73471</v>
          </cell>
          <cell r="L42">
            <v>20212</v>
          </cell>
          <cell r="M42">
            <v>93683</v>
          </cell>
          <cell r="N42" t="str">
            <v>Venezuela - Maracaibo</v>
          </cell>
          <cell r="O42">
            <v>0.15</v>
          </cell>
          <cell r="P42">
            <v>14762</v>
          </cell>
          <cell r="Q42">
            <v>4542</v>
          </cell>
          <cell r="R42">
            <v>0.2</v>
          </cell>
          <cell r="S42">
            <v>19682</v>
          </cell>
          <cell r="T42">
            <v>0</v>
          </cell>
          <cell r="U42">
            <v>6804</v>
          </cell>
          <cell r="V42">
            <v>2161</v>
          </cell>
          <cell r="W42">
            <v>0</v>
          </cell>
          <cell r="X42">
            <v>47951</v>
          </cell>
          <cell r="Y42">
            <v>75393</v>
          </cell>
          <cell r="Z42">
            <v>141634</v>
          </cell>
          <cell r="AA42">
            <v>204083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Profesional SR.</v>
          </cell>
          <cell r="E43">
            <v>56</v>
          </cell>
          <cell r="F43">
            <v>3400</v>
          </cell>
          <cell r="G43">
            <v>0</v>
          </cell>
          <cell r="H43">
            <v>2</v>
          </cell>
          <cell r="I43">
            <v>6800</v>
          </cell>
          <cell r="J43">
            <v>51000</v>
          </cell>
          <cell r="K43">
            <v>34788</v>
          </cell>
          <cell r="L43">
            <v>5088</v>
          </cell>
          <cell r="M43">
            <v>39876</v>
          </cell>
          <cell r="N43" t="str">
            <v>Venezuela - Caracas</v>
          </cell>
          <cell r="O43">
            <v>0.15</v>
          </cell>
          <cell r="P43">
            <v>6630</v>
          </cell>
          <cell r="Q43">
            <v>1020</v>
          </cell>
          <cell r="R43">
            <v>0.05</v>
          </cell>
          <cell r="S43">
            <v>2210</v>
          </cell>
          <cell r="T43">
            <v>0</v>
          </cell>
          <cell r="U43">
            <v>18825</v>
          </cell>
          <cell r="V43">
            <v>7128</v>
          </cell>
          <cell r="W43">
            <v>0</v>
          </cell>
          <cell r="X43">
            <v>35813</v>
          </cell>
          <cell r="Y43">
            <v>52688</v>
          </cell>
          <cell r="Z43">
            <v>75689</v>
          </cell>
          <cell r="AA43">
            <v>103688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Profesional Principal</v>
          </cell>
          <cell r="E44">
            <v>57</v>
          </cell>
          <cell r="F44">
            <v>5035</v>
          </cell>
          <cell r="G44">
            <v>0</v>
          </cell>
          <cell r="H44">
            <v>2.94</v>
          </cell>
          <cell r="I44">
            <v>14827</v>
          </cell>
          <cell r="J44">
            <v>80282</v>
          </cell>
          <cell r="K44">
            <v>49403</v>
          </cell>
          <cell r="L44">
            <v>10424</v>
          </cell>
          <cell r="M44">
            <v>59827</v>
          </cell>
          <cell r="N44" t="str">
            <v>Venezuela - Maracaibo</v>
          </cell>
          <cell r="O44">
            <v>0.15</v>
          </cell>
          <cell r="P44">
            <v>9818</v>
          </cell>
          <cell r="Q44">
            <v>2224</v>
          </cell>
          <cell r="R44">
            <v>0.2</v>
          </cell>
          <cell r="S44">
            <v>13091</v>
          </cell>
          <cell r="T44">
            <v>0</v>
          </cell>
          <cell r="U44">
            <v>5767</v>
          </cell>
          <cell r="V44">
            <v>1259</v>
          </cell>
          <cell r="W44">
            <v>0</v>
          </cell>
          <cell r="X44">
            <v>32159</v>
          </cell>
          <cell r="Y44">
            <v>46178</v>
          </cell>
          <cell r="Z44">
            <v>91986</v>
          </cell>
          <cell r="AA44">
            <v>126460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Gte. Rel. Extern</v>
          </cell>
          <cell r="E45">
            <v>61</v>
          </cell>
          <cell r="F45">
            <v>11000</v>
          </cell>
          <cell r="G45">
            <v>0</v>
          </cell>
          <cell r="H45">
            <v>5</v>
          </cell>
          <cell r="I45">
            <v>55000</v>
          </cell>
          <cell r="J45">
            <v>198000</v>
          </cell>
          <cell r="K45">
            <v>101823</v>
          </cell>
          <cell r="L45">
            <v>35750</v>
          </cell>
          <cell r="M45">
            <v>137573</v>
          </cell>
          <cell r="N45" t="str">
            <v>Venezuela - Caracas</v>
          </cell>
          <cell r="O45">
            <v>0.15</v>
          </cell>
          <cell r="P45">
            <v>21450</v>
          </cell>
          <cell r="Q45">
            <v>8250</v>
          </cell>
          <cell r="R45">
            <v>0.05</v>
          </cell>
          <cell r="S45">
            <v>7150</v>
          </cell>
          <cell r="T45">
            <v>0</v>
          </cell>
          <cell r="U45">
            <v>49088</v>
          </cell>
          <cell r="V45">
            <v>19112</v>
          </cell>
          <cell r="W45">
            <v>0</v>
          </cell>
          <cell r="X45">
            <v>105050</v>
          </cell>
          <cell r="Y45">
            <v>165105</v>
          </cell>
          <cell r="Z45">
            <v>242623</v>
          </cell>
          <cell r="AA45">
            <v>363105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11500</v>
          </cell>
          <cell r="G46">
            <v>0</v>
          </cell>
          <cell r="H46">
            <v>5</v>
          </cell>
          <cell r="I46">
            <v>57500</v>
          </cell>
          <cell r="J46">
            <v>207000</v>
          </cell>
          <cell r="K46">
            <v>106476</v>
          </cell>
          <cell r="L46">
            <v>35578</v>
          </cell>
          <cell r="M46">
            <v>142054</v>
          </cell>
          <cell r="N46" t="str">
            <v>Ecuador - Quito</v>
          </cell>
          <cell r="O46">
            <v>0.15</v>
          </cell>
          <cell r="P46">
            <v>22425</v>
          </cell>
          <cell r="Q46">
            <v>8625</v>
          </cell>
          <cell r="R46">
            <v>0.15</v>
          </cell>
          <cell r="S46">
            <v>22425</v>
          </cell>
          <cell r="T46">
            <v>0</v>
          </cell>
          <cell r="U46">
            <v>53330</v>
          </cell>
          <cell r="V46">
            <v>14250</v>
          </cell>
          <cell r="W46">
            <v>0</v>
          </cell>
          <cell r="X46">
            <v>121055</v>
          </cell>
          <cell r="Y46">
            <v>187622</v>
          </cell>
          <cell r="Z46">
            <v>263109</v>
          </cell>
          <cell r="AA46">
            <v>394622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Jefe Produccion SR.</v>
          </cell>
          <cell r="E47">
            <v>58</v>
          </cell>
          <cell r="F47">
            <v>7341</v>
          </cell>
          <cell r="G47">
            <v>0</v>
          </cell>
          <cell r="H47">
            <v>4.09</v>
          </cell>
          <cell r="I47">
            <v>30000</v>
          </cell>
          <cell r="J47">
            <v>125433</v>
          </cell>
          <cell r="K47">
            <v>70334</v>
          </cell>
          <cell r="L47">
            <v>20311</v>
          </cell>
          <cell r="M47">
            <v>90645</v>
          </cell>
          <cell r="N47" t="str">
            <v>Venezuela - El Tigre</v>
          </cell>
          <cell r="O47">
            <v>0.15</v>
          </cell>
          <cell r="P47">
            <v>14315</v>
          </cell>
          <cell r="Q47">
            <v>4500</v>
          </cell>
          <cell r="R47">
            <v>0.15</v>
          </cell>
          <cell r="S47">
            <v>14315</v>
          </cell>
          <cell r="T47">
            <v>0</v>
          </cell>
          <cell r="U47">
            <v>16859</v>
          </cell>
          <cell r="V47">
            <v>9241</v>
          </cell>
          <cell r="W47">
            <v>0</v>
          </cell>
          <cell r="X47">
            <v>59230</v>
          </cell>
          <cell r="Y47">
            <v>92153</v>
          </cell>
          <cell r="Z47">
            <v>149875</v>
          </cell>
          <cell r="AA47">
            <v>217586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Profesional SR.</v>
          </cell>
          <cell r="E48">
            <v>56</v>
          </cell>
          <cell r="F48">
            <v>3884</v>
          </cell>
          <cell r="G48">
            <v>0</v>
          </cell>
          <cell r="H48">
            <v>2.83</v>
          </cell>
          <cell r="I48">
            <v>11000</v>
          </cell>
          <cell r="J48">
            <v>61492</v>
          </cell>
          <cell r="K48">
            <v>38793</v>
          </cell>
          <cell r="L48">
            <v>8578</v>
          </cell>
          <cell r="M48">
            <v>47371</v>
          </cell>
          <cell r="N48" t="str">
            <v>Venezuela - Caracas</v>
          </cell>
          <cell r="O48">
            <v>0.15</v>
          </cell>
          <cell r="P48">
            <v>7574</v>
          </cell>
          <cell r="Q48">
            <v>1650</v>
          </cell>
          <cell r="R48">
            <v>0.05</v>
          </cell>
          <cell r="S48">
            <v>2525</v>
          </cell>
          <cell r="T48">
            <v>0</v>
          </cell>
          <cell r="U48">
            <v>5083</v>
          </cell>
          <cell r="V48">
            <v>7193</v>
          </cell>
          <cell r="W48">
            <v>0</v>
          </cell>
          <cell r="X48">
            <v>24025</v>
          </cell>
          <cell r="Y48">
            <v>34868</v>
          </cell>
          <cell r="Z48">
            <v>71396</v>
          </cell>
          <cell r="AA48">
            <v>96360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Supervisor Principal</v>
          </cell>
          <cell r="E49">
            <v>55</v>
          </cell>
          <cell r="F49">
            <v>4615</v>
          </cell>
          <cell r="G49">
            <v>0</v>
          </cell>
          <cell r="H49">
            <v>0</v>
          </cell>
          <cell r="I49">
            <v>0</v>
          </cell>
          <cell r="J49">
            <v>59995</v>
          </cell>
          <cell r="K49">
            <v>44665</v>
          </cell>
          <cell r="L49">
            <v>0</v>
          </cell>
          <cell r="M49">
            <v>44665</v>
          </cell>
          <cell r="N49" t="str">
            <v>Venezuela - El Tigre</v>
          </cell>
          <cell r="O49">
            <v>0.15</v>
          </cell>
          <cell r="P49">
            <v>8999</v>
          </cell>
          <cell r="Q49">
            <v>0</v>
          </cell>
          <cell r="R49">
            <v>0.15</v>
          </cell>
          <cell r="S49">
            <v>8999</v>
          </cell>
          <cell r="T49">
            <v>0</v>
          </cell>
          <cell r="U49">
            <v>12952</v>
          </cell>
          <cell r="V49">
            <v>5727</v>
          </cell>
          <cell r="W49">
            <v>0</v>
          </cell>
          <cell r="X49">
            <v>36677</v>
          </cell>
          <cell r="Y49">
            <v>50268</v>
          </cell>
          <cell r="Z49">
            <v>81342</v>
          </cell>
          <cell r="AA49">
            <v>110263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Lider Equipo SR.</v>
          </cell>
          <cell r="E50">
            <v>58</v>
          </cell>
          <cell r="F50">
            <v>5100</v>
          </cell>
          <cell r="G50">
            <v>0</v>
          </cell>
          <cell r="H50">
            <v>3</v>
          </cell>
          <cell r="I50">
            <v>15300</v>
          </cell>
          <cell r="J50">
            <v>81600</v>
          </cell>
          <cell r="K50">
            <v>50687</v>
          </cell>
          <cell r="L50">
            <v>10647</v>
          </cell>
          <cell r="M50">
            <v>61334</v>
          </cell>
          <cell r="N50" t="str">
            <v>Ecuador - Quito</v>
          </cell>
          <cell r="O50">
            <v>0.15</v>
          </cell>
          <cell r="P50">
            <v>9945</v>
          </cell>
          <cell r="Q50">
            <v>2295</v>
          </cell>
          <cell r="R50">
            <v>0.15</v>
          </cell>
          <cell r="S50">
            <v>9945</v>
          </cell>
          <cell r="T50">
            <v>0</v>
          </cell>
          <cell r="U50">
            <v>31547</v>
          </cell>
          <cell r="V50">
            <v>0</v>
          </cell>
          <cell r="W50">
            <v>0</v>
          </cell>
          <cell r="X50">
            <v>53732</v>
          </cell>
          <cell r="Y50">
            <v>81280</v>
          </cell>
          <cell r="Z50">
            <v>115066</v>
          </cell>
          <cell r="AA50">
            <v>162880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Jefe de Producción</v>
          </cell>
          <cell r="E51">
            <v>57</v>
          </cell>
          <cell r="F51">
            <v>5950</v>
          </cell>
          <cell r="G51">
            <v>0</v>
          </cell>
          <cell r="H51">
            <v>3</v>
          </cell>
          <cell r="I51">
            <v>17850</v>
          </cell>
          <cell r="J51">
            <v>95200</v>
          </cell>
          <cell r="K51">
            <v>57733</v>
          </cell>
          <cell r="L51">
            <v>13394</v>
          </cell>
          <cell r="M51">
            <v>71127</v>
          </cell>
          <cell r="N51" t="str">
            <v>Venezuela - Caracas</v>
          </cell>
          <cell r="O51">
            <v>0.15</v>
          </cell>
          <cell r="P51">
            <v>11603</v>
          </cell>
          <cell r="Q51">
            <v>2678</v>
          </cell>
          <cell r="R51">
            <v>0.05</v>
          </cell>
          <cell r="S51">
            <v>3868</v>
          </cell>
          <cell r="T51">
            <v>0</v>
          </cell>
          <cell r="U51">
            <v>33556</v>
          </cell>
          <cell r="V51">
            <v>7308</v>
          </cell>
          <cell r="W51">
            <v>0</v>
          </cell>
          <cell r="X51">
            <v>59013</v>
          </cell>
          <cell r="Y51">
            <v>91200</v>
          </cell>
          <cell r="Z51">
            <v>130140</v>
          </cell>
          <cell r="AA51">
            <v>186400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Jefe de Producción</v>
          </cell>
          <cell r="E52">
            <v>57</v>
          </cell>
          <cell r="F52">
            <v>5110</v>
          </cell>
          <cell r="G52">
            <v>0</v>
          </cell>
          <cell r="H52">
            <v>2.5</v>
          </cell>
          <cell r="I52">
            <v>12775</v>
          </cell>
          <cell r="J52">
            <v>79205</v>
          </cell>
          <cell r="K52">
            <v>50154</v>
          </cell>
          <cell r="L52">
            <v>8843</v>
          </cell>
          <cell r="M52">
            <v>58997</v>
          </cell>
          <cell r="N52" t="str">
            <v>Venezuela - El Tigre</v>
          </cell>
          <cell r="O52">
            <v>0.15</v>
          </cell>
          <cell r="P52">
            <v>9965</v>
          </cell>
          <cell r="Q52">
            <v>1916</v>
          </cell>
          <cell r="R52">
            <v>0.15</v>
          </cell>
          <cell r="S52">
            <v>9965</v>
          </cell>
          <cell r="T52">
            <v>0</v>
          </cell>
          <cell r="U52">
            <v>17384</v>
          </cell>
          <cell r="V52">
            <v>5021</v>
          </cell>
          <cell r="W52">
            <v>0</v>
          </cell>
          <cell r="X52">
            <v>44251</v>
          </cell>
          <cell r="Y52">
            <v>63661</v>
          </cell>
          <cell r="Z52">
            <v>103248</v>
          </cell>
          <cell r="AA52">
            <v>142866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Spervisor Principal</v>
          </cell>
          <cell r="E53">
            <v>55</v>
          </cell>
          <cell r="F53">
            <v>4000</v>
          </cell>
          <cell r="G53">
            <v>480</v>
          </cell>
          <cell r="H53">
            <v>2.2400000000000002</v>
          </cell>
          <cell r="I53">
            <v>8960</v>
          </cell>
          <cell r="J53">
            <v>67200</v>
          </cell>
          <cell r="K53">
            <v>44344</v>
          </cell>
          <cell r="L53">
            <v>6902</v>
          </cell>
          <cell r="M53">
            <v>51246</v>
          </cell>
          <cell r="N53" t="str">
            <v>Venezuela - El Tigre</v>
          </cell>
          <cell r="O53">
            <v>0.15</v>
          </cell>
          <cell r="P53">
            <v>8736</v>
          </cell>
          <cell r="Q53">
            <v>1344</v>
          </cell>
          <cell r="R53">
            <v>0.15</v>
          </cell>
          <cell r="S53">
            <v>8736</v>
          </cell>
          <cell r="T53">
            <v>0</v>
          </cell>
          <cell r="U53">
            <v>15846</v>
          </cell>
          <cell r="V53">
            <v>0</v>
          </cell>
          <cell r="W53">
            <v>0</v>
          </cell>
          <cell r="X53">
            <v>34662</v>
          </cell>
          <cell r="Y53">
            <v>50451</v>
          </cell>
          <cell r="Z53">
            <v>85908</v>
          </cell>
          <cell r="AA53">
            <v>117651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Coordor. Reservorios</v>
          </cell>
          <cell r="E54">
            <v>59</v>
          </cell>
          <cell r="F54">
            <v>7200</v>
          </cell>
          <cell r="G54">
            <v>0</v>
          </cell>
          <cell r="H54">
            <v>4</v>
          </cell>
          <cell r="I54">
            <v>28800</v>
          </cell>
          <cell r="J54">
            <v>122400</v>
          </cell>
          <cell r="K54">
            <v>69767</v>
          </cell>
          <cell r="L54">
            <v>19417</v>
          </cell>
          <cell r="M54">
            <v>89184</v>
          </cell>
          <cell r="N54" t="str">
            <v>Venezuela - Caracas</v>
          </cell>
          <cell r="O54">
            <v>0.15</v>
          </cell>
          <cell r="P54">
            <v>14040</v>
          </cell>
          <cell r="Q54">
            <v>4320</v>
          </cell>
          <cell r="R54">
            <v>0.05</v>
          </cell>
          <cell r="S54">
            <v>4680</v>
          </cell>
          <cell r="T54">
            <v>0</v>
          </cell>
          <cell r="U54">
            <v>36705</v>
          </cell>
          <cell r="V54">
            <v>9271</v>
          </cell>
          <cell r="W54">
            <v>0</v>
          </cell>
          <cell r="X54">
            <v>69016</v>
          </cell>
          <cell r="Y54">
            <v>109660</v>
          </cell>
          <cell r="Z54">
            <v>158200</v>
          </cell>
          <cell r="AA54">
            <v>232060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Spervisor Principal</v>
          </cell>
          <cell r="E55">
            <v>55</v>
          </cell>
          <cell r="F55">
            <v>4615</v>
          </cell>
          <cell r="G55">
            <v>0</v>
          </cell>
          <cell r="H55">
            <v>0</v>
          </cell>
          <cell r="I55">
            <v>0</v>
          </cell>
          <cell r="J55">
            <v>59995</v>
          </cell>
          <cell r="K55">
            <v>45698</v>
          </cell>
          <cell r="L55">
            <v>0</v>
          </cell>
          <cell r="M55">
            <v>45698</v>
          </cell>
          <cell r="N55" t="str">
            <v>Venezuela - El Tigre</v>
          </cell>
          <cell r="O55">
            <v>0.15</v>
          </cell>
          <cell r="P55">
            <v>8999</v>
          </cell>
          <cell r="Q55">
            <v>0</v>
          </cell>
          <cell r="R55">
            <v>0.15</v>
          </cell>
          <cell r="S55">
            <v>8999</v>
          </cell>
          <cell r="T55">
            <v>0</v>
          </cell>
          <cell r="U55">
            <v>15829</v>
          </cell>
          <cell r="V55">
            <v>5027</v>
          </cell>
          <cell r="W55">
            <v>0</v>
          </cell>
          <cell r="X55">
            <v>38854</v>
          </cell>
          <cell r="Y55">
            <v>53834</v>
          </cell>
          <cell r="Z55">
            <v>84552</v>
          </cell>
          <cell r="AA55">
            <v>113829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Spervisor Principal</v>
          </cell>
          <cell r="E56">
            <v>55</v>
          </cell>
          <cell r="F56">
            <v>3900</v>
          </cell>
          <cell r="G56">
            <v>0</v>
          </cell>
          <cell r="H56">
            <v>0</v>
          </cell>
          <cell r="I56">
            <v>0</v>
          </cell>
          <cell r="J56">
            <v>50700</v>
          </cell>
          <cell r="K56">
            <v>38930</v>
          </cell>
          <cell r="L56">
            <v>0</v>
          </cell>
          <cell r="M56">
            <v>38930</v>
          </cell>
          <cell r="N56" t="str">
            <v>Venezuela - El Tigre</v>
          </cell>
          <cell r="O56">
            <v>0.15</v>
          </cell>
          <cell r="P56">
            <v>7605</v>
          </cell>
          <cell r="Q56">
            <v>0</v>
          </cell>
          <cell r="R56">
            <v>0.15</v>
          </cell>
          <cell r="S56">
            <v>7605</v>
          </cell>
          <cell r="T56">
            <v>0</v>
          </cell>
          <cell r="U56">
            <v>2634</v>
          </cell>
          <cell r="V56">
            <v>5949</v>
          </cell>
          <cell r="W56">
            <v>0</v>
          </cell>
          <cell r="X56">
            <v>23793</v>
          </cell>
          <cell r="Y56">
            <v>33779</v>
          </cell>
          <cell r="Z56">
            <v>62723</v>
          </cell>
          <cell r="AA56">
            <v>84479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Profesional Principal</v>
          </cell>
          <cell r="E57">
            <v>57</v>
          </cell>
          <cell r="F57">
            <v>5250</v>
          </cell>
          <cell r="G57">
            <v>0</v>
          </cell>
          <cell r="H57">
            <v>3</v>
          </cell>
          <cell r="I57">
            <v>15750</v>
          </cell>
          <cell r="J57">
            <v>84000</v>
          </cell>
          <cell r="K57">
            <v>51767</v>
          </cell>
          <cell r="L57">
            <v>11087</v>
          </cell>
          <cell r="M57">
            <v>62854</v>
          </cell>
          <cell r="N57" t="str">
            <v>Venezuela - El Tigre</v>
          </cell>
          <cell r="O57">
            <v>0.15</v>
          </cell>
          <cell r="P57">
            <v>10238</v>
          </cell>
          <cell r="Q57">
            <v>2363</v>
          </cell>
          <cell r="R57">
            <v>0.15</v>
          </cell>
          <cell r="S57">
            <v>10238</v>
          </cell>
          <cell r="T57">
            <v>0</v>
          </cell>
          <cell r="U57">
            <v>17914</v>
          </cell>
          <cell r="V57">
            <v>3580</v>
          </cell>
          <cell r="W57">
            <v>0</v>
          </cell>
          <cell r="X57">
            <v>44333</v>
          </cell>
          <cell r="Y57">
            <v>67088</v>
          </cell>
          <cell r="Z57">
            <v>107187</v>
          </cell>
          <cell r="AA57">
            <v>151088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Gte. De Ingenieria</v>
          </cell>
          <cell r="E58">
            <v>61</v>
          </cell>
          <cell r="F58">
            <v>12000</v>
          </cell>
          <cell r="G58">
            <v>0</v>
          </cell>
          <cell r="H58">
            <v>5</v>
          </cell>
          <cell r="I58">
            <v>60000</v>
          </cell>
          <cell r="J58">
            <v>216000</v>
          </cell>
          <cell r="K58">
            <v>110594</v>
          </cell>
          <cell r="L58">
            <v>37274</v>
          </cell>
          <cell r="M58">
            <v>147868</v>
          </cell>
          <cell r="N58" t="str">
            <v>Venezuela - Caracas</v>
          </cell>
          <cell r="O58">
            <v>0.15</v>
          </cell>
          <cell r="P58">
            <v>23400</v>
          </cell>
          <cell r="Q58">
            <v>9000</v>
          </cell>
          <cell r="R58">
            <v>0.05</v>
          </cell>
          <cell r="S58">
            <v>7800</v>
          </cell>
          <cell r="T58">
            <v>0</v>
          </cell>
          <cell r="U58">
            <v>61827</v>
          </cell>
          <cell r="V58">
            <v>9926</v>
          </cell>
          <cell r="W58">
            <v>0</v>
          </cell>
          <cell r="X58">
            <v>111953</v>
          </cell>
          <cell r="Y58">
            <v>173563</v>
          </cell>
          <cell r="Z58">
            <v>259821</v>
          </cell>
          <cell r="AA58">
            <v>389563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Lider Equipos SR.</v>
          </cell>
          <cell r="E59">
            <v>58</v>
          </cell>
          <cell r="F59">
            <v>5500</v>
          </cell>
          <cell r="G59">
            <v>0</v>
          </cell>
          <cell r="H59">
            <v>3.5</v>
          </cell>
          <cell r="I59">
            <v>19250</v>
          </cell>
          <cell r="J59">
            <v>90750</v>
          </cell>
          <cell r="K59">
            <v>54480</v>
          </cell>
          <cell r="L59">
            <v>13592</v>
          </cell>
          <cell r="M59">
            <v>68072</v>
          </cell>
          <cell r="N59" t="str">
            <v>Venezuela - El Tigre</v>
          </cell>
          <cell r="O59">
            <v>0.15</v>
          </cell>
          <cell r="P59">
            <v>10725</v>
          </cell>
          <cell r="Q59">
            <v>2888</v>
          </cell>
          <cell r="R59">
            <v>0.15</v>
          </cell>
          <cell r="S59">
            <v>10725</v>
          </cell>
          <cell r="T59">
            <v>0</v>
          </cell>
          <cell r="U59">
            <v>19916</v>
          </cell>
          <cell r="V59">
            <v>3487</v>
          </cell>
          <cell r="W59">
            <v>0</v>
          </cell>
          <cell r="X59">
            <v>47741</v>
          </cell>
          <cell r="Y59">
            <v>73444</v>
          </cell>
          <cell r="Z59">
            <v>115813</v>
          </cell>
          <cell r="AA59">
            <v>164194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Asist. Producción</v>
          </cell>
          <cell r="E60">
            <v>56</v>
          </cell>
          <cell r="F60">
            <v>3335</v>
          </cell>
          <cell r="G60">
            <v>0</v>
          </cell>
          <cell r="H60">
            <v>0</v>
          </cell>
          <cell r="I60">
            <v>0</v>
          </cell>
          <cell r="J60">
            <v>43355</v>
          </cell>
          <cell r="K60">
            <v>34042</v>
          </cell>
          <cell r="L60">
            <v>0</v>
          </cell>
          <cell r="M60">
            <v>34042</v>
          </cell>
          <cell r="N60" t="str">
            <v>Venezuela - El Tigre</v>
          </cell>
          <cell r="O60">
            <v>0.15</v>
          </cell>
          <cell r="P60">
            <v>6503</v>
          </cell>
          <cell r="Q60">
            <v>0</v>
          </cell>
          <cell r="R60">
            <v>0.15</v>
          </cell>
          <cell r="S60">
            <v>6503</v>
          </cell>
          <cell r="T60">
            <v>0</v>
          </cell>
          <cell r="U60">
            <v>11632</v>
          </cell>
          <cell r="V60">
            <v>4779</v>
          </cell>
          <cell r="W60">
            <v>0</v>
          </cell>
          <cell r="X60">
            <v>29417</v>
          </cell>
          <cell r="Y60">
            <v>42284</v>
          </cell>
          <cell r="Z60">
            <v>63459</v>
          </cell>
          <cell r="AA60">
            <v>85639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Cordor. Ing. Proyectos</v>
          </cell>
          <cell r="E61">
            <v>59</v>
          </cell>
          <cell r="F61">
            <v>7270</v>
          </cell>
          <cell r="G61">
            <v>0</v>
          </cell>
          <cell r="H61">
            <v>4</v>
          </cell>
          <cell r="I61">
            <v>29080</v>
          </cell>
          <cell r="J61">
            <v>123590</v>
          </cell>
          <cell r="K61">
            <v>70816</v>
          </cell>
          <cell r="L61">
            <v>19506</v>
          </cell>
          <cell r="M61">
            <v>90322</v>
          </cell>
          <cell r="N61" t="str">
            <v>Venezuela - Caracas</v>
          </cell>
          <cell r="O61">
            <v>0.15</v>
          </cell>
          <cell r="P61">
            <v>14177</v>
          </cell>
          <cell r="Q61">
            <v>4362</v>
          </cell>
          <cell r="R61">
            <v>0.05</v>
          </cell>
          <cell r="S61">
            <v>4726</v>
          </cell>
          <cell r="T61">
            <v>0</v>
          </cell>
          <cell r="U61">
            <v>36903</v>
          </cell>
          <cell r="V61">
            <v>8810</v>
          </cell>
          <cell r="W61">
            <v>0</v>
          </cell>
          <cell r="X61">
            <v>68978</v>
          </cell>
          <cell r="Y61">
            <v>110053</v>
          </cell>
          <cell r="Z61">
            <v>159300</v>
          </cell>
          <cell r="AA61">
            <v>233643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Profesional Principal</v>
          </cell>
          <cell r="E62">
            <v>57</v>
          </cell>
          <cell r="F62">
            <v>4300</v>
          </cell>
          <cell r="G62">
            <v>0</v>
          </cell>
          <cell r="H62">
            <v>2.5</v>
          </cell>
          <cell r="I62">
            <v>10750</v>
          </cell>
          <cell r="J62">
            <v>66650</v>
          </cell>
          <cell r="K62">
            <v>42950</v>
          </cell>
          <cell r="L62">
            <v>8370</v>
          </cell>
          <cell r="M62">
            <v>51320</v>
          </cell>
          <cell r="N62" t="str">
            <v>Venezuela - El Tigre</v>
          </cell>
          <cell r="O62">
            <v>0.15</v>
          </cell>
          <cell r="P62">
            <v>8385</v>
          </cell>
          <cell r="Q62">
            <v>1613</v>
          </cell>
          <cell r="R62">
            <v>0.15</v>
          </cell>
          <cell r="S62">
            <v>8385</v>
          </cell>
          <cell r="T62">
            <v>0</v>
          </cell>
          <cell r="U62">
            <v>3309</v>
          </cell>
          <cell r="V62">
            <v>3915</v>
          </cell>
          <cell r="W62">
            <v>0</v>
          </cell>
          <cell r="X62">
            <v>25607</v>
          </cell>
          <cell r="Y62">
            <v>38168</v>
          </cell>
          <cell r="Z62">
            <v>76927</v>
          </cell>
          <cell r="AA62">
            <v>104818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Supervisor SSR.</v>
          </cell>
          <cell r="E63">
            <v>54</v>
          </cell>
          <cell r="F63">
            <v>2920</v>
          </cell>
          <cell r="G63">
            <v>0</v>
          </cell>
          <cell r="H63">
            <v>0</v>
          </cell>
          <cell r="I63">
            <v>0</v>
          </cell>
          <cell r="J63">
            <v>37960</v>
          </cell>
          <cell r="K63">
            <v>30339</v>
          </cell>
          <cell r="L63">
            <v>0</v>
          </cell>
          <cell r="M63">
            <v>30339</v>
          </cell>
          <cell r="N63" t="str">
            <v>Venezuela - El Tigre</v>
          </cell>
          <cell r="O63">
            <v>0.15</v>
          </cell>
          <cell r="P63">
            <v>5694</v>
          </cell>
          <cell r="Q63">
            <v>0</v>
          </cell>
          <cell r="R63">
            <v>0.15</v>
          </cell>
          <cell r="S63">
            <v>5694</v>
          </cell>
          <cell r="T63">
            <v>0</v>
          </cell>
          <cell r="U63">
            <v>2559</v>
          </cell>
          <cell r="V63">
            <v>4081</v>
          </cell>
          <cell r="W63">
            <v>0</v>
          </cell>
          <cell r="X63">
            <v>18028</v>
          </cell>
          <cell r="Y63">
            <v>26697</v>
          </cell>
          <cell r="Z63">
            <v>48367</v>
          </cell>
          <cell r="AA63">
            <v>64657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Profesional Principal</v>
          </cell>
          <cell r="E64">
            <v>57</v>
          </cell>
          <cell r="F64">
            <v>5115</v>
          </cell>
          <cell r="G64">
            <v>0</v>
          </cell>
          <cell r="H64">
            <v>2.83</v>
          </cell>
          <cell r="I64">
            <v>14500</v>
          </cell>
          <cell r="J64">
            <v>80995</v>
          </cell>
          <cell r="K64">
            <v>50415</v>
          </cell>
          <cell r="L64">
            <v>10125</v>
          </cell>
          <cell r="M64">
            <v>60540</v>
          </cell>
          <cell r="N64" t="str">
            <v>Venezuela - Caracas</v>
          </cell>
          <cell r="O64">
            <v>0.15</v>
          </cell>
          <cell r="P64">
            <v>9974</v>
          </cell>
          <cell r="Q64">
            <v>2175</v>
          </cell>
          <cell r="R64">
            <v>0.05</v>
          </cell>
          <cell r="S64">
            <v>3325</v>
          </cell>
          <cell r="T64">
            <v>0</v>
          </cell>
          <cell r="U64">
            <v>6617</v>
          </cell>
          <cell r="V64">
            <v>8569</v>
          </cell>
          <cell r="W64">
            <v>0</v>
          </cell>
          <cell r="X64">
            <v>30660</v>
          </cell>
          <cell r="Y64">
            <v>44097</v>
          </cell>
          <cell r="Z64">
            <v>91200</v>
          </cell>
          <cell r="AA64">
            <v>125092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Gte RRHH</v>
          </cell>
          <cell r="E65">
            <v>59</v>
          </cell>
          <cell r="F65">
            <v>5300</v>
          </cell>
          <cell r="G65">
            <v>1200</v>
          </cell>
          <cell r="H65">
            <v>3.5</v>
          </cell>
          <cell r="I65">
            <v>22750</v>
          </cell>
          <cell r="J65">
            <v>107250</v>
          </cell>
          <cell r="K65">
            <v>63239</v>
          </cell>
          <cell r="L65">
            <v>15463</v>
          </cell>
          <cell r="M65">
            <v>78702</v>
          </cell>
          <cell r="N65" t="str">
            <v>Venezuela - Caracas</v>
          </cell>
          <cell r="O65">
            <v>0.15</v>
          </cell>
          <cell r="P65">
            <v>12675</v>
          </cell>
          <cell r="Q65">
            <v>3413</v>
          </cell>
          <cell r="R65">
            <v>0.05</v>
          </cell>
          <cell r="S65">
            <v>4225</v>
          </cell>
          <cell r="T65">
            <v>0</v>
          </cell>
          <cell r="U65">
            <v>31699</v>
          </cell>
          <cell r="V65">
            <v>0</v>
          </cell>
          <cell r="W65">
            <v>0</v>
          </cell>
          <cell r="X65">
            <v>52012</v>
          </cell>
          <cell r="Y65">
            <v>82469</v>
          </cell>
          <cell r="Z65">
            <v>130714</v>
          </cell>
          <cell r="AA65">
            <v>189719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Coordor. Reservorios</v>
          </cell>
          <cell r="E66">
            <v>59</v>
          </cell>
          <cell r="F66">
            <v>6400</v>
          </cell>
          <cell r="G66">
            <v>0</v>
          </cell>
          <cell r="H66">
            <v>3</v>
          </cell>
          <cell r="I66">
            <v>19200</v>
          </cell>
          <cell r="J66">
            <v>102400</v>
          </cell>
          <cell r="K66">
            <v>62730</v>
          </cell>
          <cell r="L66">
            <v>12845</v>
          </cell>
          <cell r="M66">
            <v>75575</v>
          </cell>
          <cell r="N66" t="str">
            <v>Venezuela - Caracas</v>
          </cell>
          <cell r="O66">
            <v>0.15</v>
          </cell>
          <cell r="P66">
            <v>12480</v>
          </cell>
          <cell r="Q66">
            <v>2880</v>
          </cell>
          <cell r="R66">
            <v>0.05</v>
          </cell>
          <cell r="S66">
            <v>4160</v>
          </cell>
          <cell r="T66">
            <v>0</v>
          </cell>
          <cell r="U66">
            <v>35042</v>
          </cell>
          <cell r="V66">
            <v>8579</v>
          </cell>
          <cell r="W66">
            <v>0</v>
          </cell>
          <cell r="X66">
            <v>63141</v>
          </cell>
          <cell r="Y66">
            <v>96700</v>
          </cell>
          <cell r="Z66">
            <v>138716</v>
          </cell>
          <cell r="AA66">
            <v>199100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Gte. De Reservorios</v>
          </cell>
          <cell r="E67">
            <v>61</v>
          </cell>
          <cell r="F67">
            <v>12000</v>
          </cell>
          <cell r="G67">
            <v>0</v>
          </cell>
          <cell r="H67">
            <v>5</v>
          </cell>
          <cell r="I67">
            <v>60000</v>
          </cell>
          <cell r="J67">
            <v>216000</v>
          </cell>
          <cell r="K67">
            <v>110487</v>
          </cell>
          <cell r="L67">
            <v>37345</v>
          </cell>
          <cell r="M67">
            <v>147832</v>
          </cell>
          <cell r="N67" t="str">
            <v>Venezuela - Caracas</v>
          </cell>
          <cell r="O67">
            <v>0.15</v>
          </cell>
          <cell r="P67">
            <v>23400</v>
          </cell>
          <cell r="Q67">
            <v>9000</v>
          </cell>
          <cell r="R67">
            <v>0.05</v>
          </cell>
          <cell r="S67">
            <v>7800</v>
          </cell>
          <cell r="T67">
            <v>0</v>
          </cell>
          <cell r="U67">
            <v>9208</v>
          </cell>
          <cell r="V67">
            <v>19516</v>
          </cell>
          <cell r="W67">
            <v>0</v>
          </cell>
          <cell r="X67">
            <v>68924</v>
          </cell>
          <cell r="Y67">
            <v>107310</v>
          </cell>
          <cell r="Z67">
            <v>216756</v>
          </cell>
          <cell r="AA67">
            <v>323310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Profesional SR.</v>
          </cell>
          <cell r="E68">
            <v>56</v>
          </cell>
          <cell r="F68">
            <v>5103</v>
          </cell>
          <cell r="G68">
            <v>0</v>
          </cell>
          <cell r="H68">
            <v>4</v>
          </cell>
          <cell r="I68">
            <v>20412</v>
          </cell>
          <cell r="J68">
            <v>86751</v>
          </cell>
          <cell r="K68">
            <v>50084</v>
          </cell>
          <cell r="L68">
            <v>14683</v>
          </cell>
          <cell r="M68">
            <v>64767</v>
          </cell>
          <cell r="N68" t="str">
            <v>Venezuela - Caracas</v>
          </cell>
          <cell r="O68">
            <v>0.15</v>
          </cell>
          <cell r="P68">
            <v>9951</v>
          </cell>
          <cell r="Q68">
            <v>3062</v>
          </cell>
          <cell r="R68">
            <v>0.05</v>
          </cell>
          <cell r="S68">
            <v>3317</v>
          </cell>
          <cell r="T68">
            <v>0</v>
          </cell>
          <cell r="U68">
            <v>6330</v>
          </cell>
          <cell r="V68">
            <v>0</v>
          </cell>
          <cell r="W68">
            <v>0</v>
          </cell>
          <cell r="X68">
            <v>22660</v>
          </cell>
          <cell r="Y68">
            <v>33102</v>
          </cell>
          <cell r="Z68">
            <v>87427</v>
          </cell>
          <cell r="AA68">
            <v>119853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Technical Advisor SR</v>
          </cell>
          <cell r="E69">
            <v>60</v>
          </cell>
          <cell r="F69">
            <v>8800</v>
          </cell>
          <cell r="G69">
            <v>0</v>
          </cell>
          <cell r="H69">
            <v>4</v>
          </cell>
          <cell r="I69">
            <v>35200</v>
          </cell>
          <cell r="J69">
            <v>149600</v>
          </cell>
          <cell r="K69">
            <v>83664</v>
          </cell>
          <cell r="L69">
            <v>22449</v>
          </cell>
          <cell r="M69">
            <v>106113</v>
          </cell>
          <cell r="N69" t="str">
            <v>USA - Houston</v>
          </cell>
          <cell r="O69">
            <v>0.15</v>
          </cell>
          <cell r="P69">
            <v>17160</v>
          </cell>
          <cell r="Q69">
            <v>5280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22440</v>
          </cell>
          <cell r="Y69">
            <v>34523</v>
          </cell>
          <cell r="Z69">
            <v>128553</v>
          </cell>
          <cell r="AA69">
            <v>184123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Gte. General</v>
          </cell>
          <cell r="E70">
            <v>64</v>
          </cell>
          <cell r="F70">
            <v>18000</v>
          </cell>
          <cell r="G70">
            <v>0</v>
          </cell>
          <cell r="H70">
            <v>7</v>
          </cell>
          <cell r="I70">
            <v>126000</v>
          </cell>
          <cell r="J70">
            <v>360000</v>
          </cell>
          <cell r="K70">
            <v>158705</v>
          </cell>
          <cell r="L70">
            <v>81900</v>
          </cell>
          <cell r="M70">
            <v>240605</v>
          </cell>
          <cell r="N70" t="str">
            <v>Venezuela - Caracas</v>
          </cell>
          <cell r="O70">
            <v>0.15</v>
          </cell>
          <cell r="P70">
            <v>35100</v>
          </cell>
          <cell r="Q70">
            <v>18900</v>
          </cell>
          <cell r="R70">
            <v>0.05</v>
          </cell>
          <cell r="S70">
            <v>11700</v>
          </cell>
          <cell r="T70">
            <v>0</v>
          </cell>
          <cell r="U70">
            <v>66298</v>
          </cell>
          <cell r="V70">
            <v>0</v>
          </cell>
          <cell r="W70">
            <v>0</v>
          </cell>
          <cell r="X70">
            <v>131998</v>
          </cell>
          <cell r="Y70">
            <v>203074</v>
          </cell>
          <cell r="Z70">
            <v>372603</v>
          </cell>
          <cell r="AA70">
            <v>563074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Gte. Planeam</v>
          </cell>
          <cell r="E71">
            <v>61</v>
          </cell>
          <cell r="F71">
            <v>9500</v>
          </cell>
          <cell r="G71">
            <v>1500</v>
          </cell>
          <cell r="H71">
            <v>5.79</v>
          </cell>
          <cell r="I71">
            <v>55000</v>
          </cell>
          <cell r="J71">
            <v>198000</v>
          </cell>
          <cell r="K71">
            <v>102037</v>
          </cell>
          <cell r="L71">
            <v>35750</v>
          </cell>
          <cell r="M71">
            <v>137787</v>
          </cell>
          <cell r="N71" t="str">
            <v>Venezuela - Caracas</v>
          </cell>
          <cell r="O71">
            <v>0.15</v>
          </cell>
          <cell r="P71">
            <v>21450</v>
          </cell>
          <cell r="Q71">
            <v>8250</v>
          </cell>
          <cell r="R71">
            <v>0.05</v>
          </cell>
          <cell r="S71">
            <v>7150</v>
          </cell>
          <cell r="T71">
            <v>0</v>
          </cell>
          <cell r="U71">
            <v>49088</v>
          </cell>
          <cell r="V71">
            <v>0</v>
          </cell>
          <cell r="W71">
            <v>0</v>
          </cell>
          <cell r="X71">
            <v>85938</v>
          </cell>
          <cell r="Y71">
            <v>136031</v>
          </cell>
          <cell r="Z71">
            <v>223725</v>
          </cell>
          <cell r="AA71">
            <v>334031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Coordinador Reservorios</v>
          </cell>
          <cell r="E72">
            <v>59</v>
          </cell>
          <cell r="F72">
            <v>6400</v>
          </cell>
          <cell r="G72">
            <v>0</v>
          </cell>
          <cell r="H72">
            <v>3</v>
          </cell>
          <cell r="I72">
            <v>19200</v>
          </cell>
          <cell r="J72">
            <v>102400</v>
          </cell>
          <cell r="K72">
            <v>62238</v>
          </cell>
          <cell r="L72">
            <v>12924</v>
          </cell>
          <cell r="M72">
            <v>75162</v>
          </cell>
          <cell r="N72" t="str">
            <v>Venezuela - Caracas</v>
          </cell>
          <cell r="O72">
            <v>0.15</v>
          </cell>
          <cell r="P72">
            <v>12480</v>
          </cell>
          <cell r="Q72">
            <v>2880</v>
          </cell>
          <cell r="R72">
            <v>0.05</v>
          </cell>
          <cell r="S72">
            <v>4160</v>
          </cell>
          <cell r="T72">
            <v>0</v>
          </cell>
          <cell r="U72">
            <v>35042</v>
          </cell>
          <cell r="V72">
            <v>0</v>
          </cell>
          <cell r="W72">
            <v>0</v>
          </cell>
          <cell r="X72">
            <v>54562</v>
          </cell>
          <cell r="Y72">
            <v>83360</v>
          </cell>
          <cell r="Z72">
            <v>129724</v>
          </cell>
          <cell r="AA72">
            <v>185760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 xml:space="preserve">Profesional SR. </v>
          </cell>
          <cell r="E73">
            <v>57</v>
          </cell>
          <cell r="F73">
            <v>4169</v>
          </cell>
          <cell r="G73">
            <v>0</v>
          </cell>
          <cell r="H73">
            <v>2</v>
          </cell>
          <cell r="I73">
            <v>8338</v>
          </cell>
          <cell r="J73">
            <v>62535</v>
          </cell>
          <cell r="K73">
            <v>41802</v>
          </cell>
          <cell r="L73">
            <v>6553</v>
          </cell>
          <cell r="M73">
            <v>48355</v>
          </cell>
          <cell r="N73" t="str">
            <v>Venezuela - Caracas</v>
          </cell>
          <cell r="O73">
            <v>0.15</v>
          </cell>
          <cell r="P73">
            <v>8130</v>
          </cell>
          <cell r="Q73">
            <v>1251</v>
          </cell>
          <cell r="R73">
            <v>0.05</v>
          </cell>
          <cell r="S73">
            <v>2710</v>
          </cell>
          <cell r="T73">
            <v>0</v>
          </cell>
          <cell r="U73">
            <v>25996</v>
          </cell>
          <cell r="V73">
            <v>0</v>
          </cell>
          <cell r="W73">
            <v>0</v>
          </cell>
          <cell r="X73">
            <v>38087</v>
          </cell>
          <cell r="Y73">
            <v>54201</v>
          </cell>
          <cell r="Z73">
            <v>86442</v>
          </cell>
          <cell r="AA73">
            <v>116736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Profesional Principal</v>
          </cell>
          <cell r="E74">
            <v>57</v>
          </cell>
          <cell r="F74">
            <v>4564</v>
          </cell>
          <cell r="G74">
            <v>0</v>
          </cell>
          <cell r="H74">
            <v>2.67</v>
          </cell>
          <cell r="I74">
            <v>12190</v>
          </cell>
          <cell r="J74">
            <v>71522</v>
          </cell>
          <cell r="K74">
            <v>45256</v>
          </cell>
          <cell r="L74">
            <v>9400</v>
          </cell>
          <cell r="M74">
            <v>54656</v>
          </cell>
          <cell r="N74" t="str">
            <v>Venezuela - Caracas</v>
          </cell>
          <cell r="O74">
            <v>0.15</v>
          </cell>
          <cell r="P74">
            <v>8900</v>
          </cell>
          <cell r="Q74">
            <v>1829</v>
          </cell>
          <cell r="R74">
            <v>0.05</v>
          </cell>
          <cell r="S74">
            <v>2967</v>
          </cell>
          <cell r="T74">
            <v>0</v>
          </cell>
          <cell r="U74">
            <v>28275</v>
          </cell>
          <cell r="V74">
            <v>0</v>
          </cell>
          <cell r="W74">
            <v>0</v>
          </cell>
          <cell r="X74">
            <v>41971</v>
          </cell>
          <cell r="Y74">
            <v>61435</v>
          </cell>
          <cell r="Z74">
            <v>96627</v>
          </cell>
          <cell r="AA74">
            <v>132957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Gte. Comercial</v>
          </cell>
          <cell r="E75">
            <v>62</v>
          </cell>
          <cell r="F75">
            <v>14000</v>
          </cell>
          <cell r="G75">
            <v>0</v>
          </cell>
          <cell r="H75">
            <v>4.5</v>
          </cell>
          <cell r="I75">
            <v>63000</v>
          </cell>
          <cell r="J75">
            <v>245000</v>
          </cell>
          <cell r="K75">
            <v>127387</v>
          </cell>
          <cell r="L75">
            <v>38468</v>
          </cell>
          <cell r="M75">
            <v>165855</v>
          </cell>
          <cell r="N75" t="str">
            <v>Ecuador - Quito</v>
          </cell>
          <cell r="O75">
            <v>0.15</v>
          </cell>
          <cell r="P75">
            <v>27300</v>
          </cell>
          <cell r="Q75">
            <v>9450</v>
          </cell>
          <cell r="R75">
            <v>0.15</v>
          </cell>
          <cell r="S75">
            <v>27300</v>
          </cell>
          <cell r="T75">
            <v>0</v>
          </cell>
          <cell r="U75">
            <v>55098</v>
          </cell>
          <cell r="V75">
            <v>0</v>
          </cell>
          <cell r="W75">
            <v>0</v>
          </cell>
          <cell r="X75">
            <v>119148</v>
          </cell>
          <cell r="Y75">
            <v>183305</v>
          </cell>
          <cell r="Z75">
            <v>285003</v>
          </cell>
          <cell r="AA75">
            <v>428305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Profesional Principal</v>
          </cell>
          <cell r="E76">
            <v>57</v>
          </cell>
          <cell r="F76">
            <v>4245</v>
          </cell>
          <cell r="G76">
            <v>1843</v>
          </cell>
          <cell r="H76">
            <v>0</v>
          </cell>
          <cell r="I76">
            <v>0</v>
          </cell>
          <cell r="J76">
            <v>79144</v>
          </cell>
          <cell r="K76">
            <v>59115</v>
          </cell>
          <cell r="L76">
            <v>0</v>
          </cell>
          <cell r="M76">
            <v>59115</v>
          </cell>
          <cell r="N76" t="str">
            <v>Venezuela - Caracas</v>
          </cell>
          <cell r="O76">
            <v>0.15</v>
          </cell>
          <cell r="P76">
            <v>11872</v>
          </cell>
          <cell r="Q76">
            <v>0</v>
          </cell>
          <cell r="R76">
            <v>0.05</v>
          </cell>
          <cell r="S76">
            <v>3957</v>
          </cell>
          <cell r="T76">
            <v>0</v>
          </cell>
          <cell r="U76">
            <v>29924</v>
          </cell>
          <cell r="V76">
            <v>0</v>
          </cell>
          <cell r="W76">
            <v>0</v>
          </cell>
          <cell r="X76">
            <v>45753</v>
          </cell>
          <cell r="Y76">
            <v>68376</v>
          </cell>
          <cell r="Z76">
            <v>104868</v>
          </cell>
          <cell r="AA76">
            <v>147520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>
            <v>0</v>
          </cell>
          <cell r="E77">
            <v>57</v>
          </cell>
          <cell r="F77">
            <v>3700</v>
          </cell>
          <cell r="G77">
            <v>1110</v>
          </cell>
          <cell r="H77">
            <v>2</v>
          </cell>
          <cell r="I77">
            <v>9620</v>
          </cell>
          <cell r="J77">
            <v>72150</v>
          </cell>
          <cell r="K77">
            <v>46307</v>
          </cell>
          <cell r="L77">
            <v>7407</v>
          </cell>
          <cell r="M77">
            <v>53714</v>
          </cell>
          <cell r="N77" t="str">
            <v>USA - Houston</v>
          </cell>
          <cell r="O77">
            <v>0.15</v>
          </cell>
          <cell r="P77">
            <v>9380</v>
          </cell>
          <cell r="Q77">
            <v>1443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10823</v>
          </cell>
          <cell r="Y77">
            <v>15343</v>
          </cell>
          <cell r="Z77">
            <v>64537</v>
          </cell>
          <cell r="AA77">
            <v>87493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Lider Equipo SR.</v>
          </cell>
          <cell r="E78">
            <v>58</v>
          </cell>
          <cell r="F78">
            <v>5200</v>
          </cell>
          <cell r="G78">
            <v>0</v>
          </cell>
          <cell r="H78">
            <v>4</v>
          </cell>
          <cell r="I78">
            <v>20800</v>
          </cell>
          <cell r="J78">
            <v>88400</v>
          </cell>
          <cell r="K78">
            <v>51688</v>
          </cell>
          <cell r="L78">
            <v>14861</v>
          </cell>
          <cell r="M78">
            <v>66549</v>
          </cell>
          <cell r="N78" t="str">
            <v>Perú - Talara</v>
          </cell>
          <cell r="O78">
            <v>0.15</v>
          </cell>
          <cell r="P78">
            <v>10140</v>
          </cell>
          <cell r="Q78">
            <v>3120</v>
          </cell>
          <cell r="R78">
            <v>0.4</v>
          </cell>
          <cell r="S78">
            <v>27040</v>
          </cell>
          <cell r="T78">
            <v>0</v>
          </cell>
          <cell r="U78">
            <v>41820</v>
          </cell>
          <cell r="V78">
            <v>0</v>
          </cell>
          <cell r="W78">
            <v>0</v>
          </cell>
          <cell r="X78">
            <v>82120</v>
          </cell>
          <cell r="Y78">
            <v>126177</v>
          </cell>
          <cell r="Z78">
            <v>148669</v>
          </cell>
          <cell r="AA78">
            <v>214577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Gete. Abastecimiento</v>
          </cell>
          <cell r="E79">
            <v>59</v>
          </cell>
          <cell r="F79">
            <v>5600</v>
          </cell>
          <cell r="G79">
            <v>0</v>
          </cell>
          <cell r="H79">
            <v>3</v>
          </cell>
          <cell r="I79">
            <v>16800</v>
          </cell>
          <cell r="J79">
            <v>89600</v>
          </cell>
          <cell r="K79">
            <v>55692</v>
          </cell>
          <cell r="L79">
            <v>11733</v>
          </cell>
          <cell r="M79">
            <v>67425</v>
          </cell>
          <cell r="N79" t="str">
            <v>Venezuela - Caracas</v>
          </cell>
          <cell r="O79">
            <v>0.15</v>
          </cell>
          <cell r="P79">
            <v>10920</v>
          </cell>
          <cell r="Q79">
            <v>2520</v>
          </cell>
          <cell r="R79">
            <v>0.05</v>
          </cell>
          <cell r="S79">
            <v>3640</v>
          </cell>
          <cell r="T79">
            <v>0</v>
          </cell>
          <cell r="U79">
            <v>34270</v>
          </cell>
          <cell r="V79">
            <v>0</v>
          </cell>
          <cell r="W79">
            <v>0</v>
          </cell>
          <cell r="X79">
            <v>51350</v>
          </cell>
          <cell r="Y79">
            <v>78986</v>
          </cell>
          <cell r="Z79">
            <v>118775</v>
          </cell>
          <cell r="AA79">
            <v>168586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Gte de Logística</v>
          </cell>
          <cell r="E80">
            <v>0</v>
          </cell>
          <cell r="F80">
            <v>7050</v>
          </cell>
          <cell r="G80">
            <v>0</v>
          </cell>
          <cell r="H80">
            <v>3</v>
          </cell>
          <cell r="I80">
            <v>21150</v>
          </cell>
          <cell r="J80">
            <v>112800</v>
          </cell>
          <cell r="K80">
            <v>68150</v>
          </cell>
          <cell r="L80">
            <v>14252</v>
          </cell>
          <cell r="M80">
            <v>82402</v>
          </cell>
          <cell r="N80" t="str">
            <v>Bolivia - Sta. Cruz de la Sierra - Refineria</v>
          </cell>
          <cell r="O80">
            <v>0.15</v>
          </cell>
          <cell r="P80">
            <v>13748</v>
          </cell>
          <cell r="Q80">
            <v>3173</v>
          </cell>
          <cell r="R80">
            <v>0.05</v>
          </cell>
          <cell r="S80">
            <v>4583</v>
          </cell>
          <cell r="T80">
            <v>0</v>
          </cell>
          <cell r="U80">
            <v>37668</v>
          </cell>
          <cell r="V80">
            <v>0</v>
          </cell>
          <cell r="W80">
            <v>0</v>
          </cell>
          <cell r="X80">
            <v>59172</v>
          </cell>
          <cell r="Y80">
            <v>93737</v>
          </cell>
          <cell r="Z80">
            <v>141574</v>
          </cell>
          <cell r="AA80">
            <v>206537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Gerente de Ventas</v>
          </cell>
          <cell r="E81">
            <v>0</v>
          </cell>
          <cell r="F81">
            <v>2320</v>
          </cell>
          <cell r="G81">
            <v>1081</v>
          </cell>
          <cell r="H81">
            <v>3</v>
          </cell>
          <cell r="I81">
            <v>10203</v>
          </cell>
          <cell r="J81">
            <v>54416</v>
          </cell>
          <cell r="K81">
            <v>34942</v>
          </cell>
          <cell r="L81">
            <v>7875</v>
          </cell>
          <cell r="M81">
            <v>42817</v>
          </cell>
          <cell r="N81" t="str">
            <v>Brasil - San Pablo</v>
          </cell>
          <cell r="O81">
            <v>0.15</v>
          </cell>
          <cell r="P81">
            <v>6632</v>
          </cell>
          <cell r="Q81">
            <v>1530</v>
          </cell>
          <cell r="R81">
            <v>0.05</v>
          </cell>
          <cell r="S81">
            <v>2211</v>
          </cell>
          <cell r="T81">
            <v>0</v>
          </cell>
          <cell r="U81">
            <v>39752</v>
          </cell>
          <cell r="V81">
            <v>0</v>
          </cell>
          <cell r="W81">
            <v>0</v>
          </cell>
          <cell r="X81">
            <v>50125</v>
          </cell>
          <cell r="Y81">
            <v>73659</v>
          </cell>
          <cell r="Z81">
            <v>92942</v>
          </cell>
          <cell r="AA81">
            <v>128075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>
            <v>0</v>
          </cell>
          <cell r="E82">
            <v>0</v>
          </cell>
          <cell r="F82">
            <v>2000</v>
          </cell>
          <cell r="G82">
            <v>1708</v>
          </cell>
          <cell r="H82">
            <v>3.02</v>
          </cell>
          <cell r="I82">
            <v>11198.16</v>
          </cell>
          <cell r="J82">
            <v>59402</v>
          </cell>
          <cell r="K82">
            <v>36907</v>
          </cell>
          <cell r="L82">
            <v>8710</v>
          </cell>
          <cell r="M82">
            <v>45617</v>
          </cell>
          <cell r="N82" t="str">
            <v>Brasil - Porto Alegre</v>
          </cell>
          <cell r="O82">
            <v>0.15</v>
          </cell>
          <cell r="P82">
            <v>7231</v>
          </cell>
          <cell r="Q82">
            <v>1680</v>
          </cell>
          <cell r="R82">
            <v>0.05</v>
          </cell>
          <cell r="S82">
            <v>2410</v>
          </cell>
          <cell r="T82">
            <v>0</v>
          </cell>
          <cell r="U82">
            <v>32127</v>
          </cell>
          <cell r="V82">
            <v>0</v>
          </cell>
          <cell r="W82">
            <v>0</v>
          </cell>
          <cell r="X82">
            <v>43448</v>
          </cell>
          <cell r="Y82">
            <v>63741</v>
          </cell>
          <cell r="Z82">
            <v>89065</v>
          </cell>
          <cell r="AA82">
            <v>123143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>
            <v>0</v>
          </cell>
          <cell r="E83">
            <v>0</v>
          </cell>
          <cell r="F83">
            <v>7600</v>
          </cell>
          <cell r="G83">
            <v>0</v>
          </cell>
          <cell r="H83">
            <v>4.6100000000000003</v>
          </cell>
          <cell r="I83">
            <v>34999.998800000001</v>
          </cell>
          <cell r="J83">
            <v>133800</v>
          </cell>
          <cell r="K83">
            <v>73948</v>
          </cell>
          <cell r="L83">
            <v>23419</v>
          </cell>
          <cell r="M83">
            <v>97367</v>
          </cell>
          <cell r="N83" t="str">
            <v>Brasil - Porto Alegre</v>
          </cell>
          <cell r="O83">
            <v>0.15</v>
          </cell>
          <cell r="P83">
            <v>14820</v>
          </cell>
          <cell r="Q83">
            <v>5250</v>
          </cell>
          <cell r="R83">
            <v>0.05</v>
          </cell>
          <cell r="S83">
            <v>4940</v>
          </cell>
          <cell r="T83">
            <v>0</v>
          </cell>
          <cell r="U83">
            <v>69261</v>
          </cell>
          <cell r="V83">
            <v>0</v>
          </cell>
          <cell r="W83">
            <v>0</v>
          </cell>
          <cell r="X83">
            <v>94271</v>
          </cell>
          <cell r="Y83">
            <v>150866</v>
          </cell>
          <cell r="Z83">
            <v>191638</v>
          </cell>
          <cell r="AA83">
            <v>284666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>
            <v>0</v>
          </cell>
          <cell r="E84">
            <v>0</v>
          </cell>
          <cell r="F84">
            <v>7500</v>
          </cell>
          <cell r="G84">
            <v>833</v>
          </cell>
          <cell r="H84">
            <v>3</v>
          </cell>
          <cell r="I84">
            <v>24999</v>
          </cell>
          <cell r="J84">
            <v>133328</v>
          </cell>
          <cell r="K84">
            <v>79628</v>
          </cell>
          <cell r="L84">
            <v>17413</v>
          </cell>
          <cell r="M84">
            <v>97041</v>
          </cell>
          <cell r="N84" t="str">
            <v>Brasil - Porto Alegre</v>
          </cell>
          <cell r="O84">
            <v>0.15</v>
          </cell>
          <cell r="P84">
            <v>16249</v>
          </cell>
          <cell r="Q84">
            <v>3750</v>
          </cell>
          <cell r="R84">
            <v>0.05</v>
          </cell>
          <cell r="S84">
            <v>5416</v>
          </cell>
          <cell r="T84">
            <v>0</v>
          </cell>
          <cell r="U84">
            <v>57186</v>
          </cell>
          <cell r="V84">
            <v>0</v>
          </cell>
          <cell r="W84">
            <v>0</v>
          </cell>
          <cell r="X84">
            <v>82601</v>
          </cell>
          <cell r="Y84">
            <v>132883</v>
          </cell>
          <cell r="Z84">
            <v>179642</v>
          </cell>
          <cell r="AA84">
            <v>266211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>
            <v>0</v>
          </cell>
          <cell r="E85">
            <v>0</v>
          </cell>
          <cell r="F85">
            <v>6400</v>
          </cell>
          <cell r="G85">
            <v>0</v>
          </cell>
          <cell r="H85">
            <v>3</v>
          </cell>
          <cell r="I85">
            <v>19200</v>
          </cell>
          <cell r="J85">
            <v>102400</v>
          </cell>
          <cell r="K85">
            <v>61403</v>
          </cell>
          <cell r="L85">
            <v>13070</v>
          </cell>
          <cell r="M85">
            <v>74473</v>
          </cell>
          <cell r="N85" t="str">
            <v>Brasil - Porto Alegre</v>
          </cell>
          <cell r="O85">
            <v>0.15</v>
          </cell>
          <cell r="P85">
            <v>12480</v>
          </cell>
          <cell r="Q85">
            <v>2880</v>
          </cell>
          <cell r="R85">
            <v>0.05</v>
          </cell>
          <cell r="S85">
            <v>4160</v>
          </cell>
          <cell r="T85">
            <v>0</v>
          </cell>
          <cell r="U85">
            <v>51883</v>
          </cell>
          <cell r="V85">
            <v>0</v>
          </cell>
          <cell r="W85">
            <v>0</v>
          </cell>
          <cell r="X85">
            <v>71403</v>
          </cell>
          <cell r="Y85">
            <v>109033</v>
          </cell>
          <cell r="Z85">
            <v>145876</v>
          </cell>
          <cell r="AA85">
            <v>211433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Gte. Reservorio</v>
          </cell>
          <cell r="E86">
            <v>58</v>
          </cell>
          <cell r="F86">
            <v>5600</v>
          </cell>
          <cell r="G86">
            <v>0</v>
          </cell>
          <cell r="H86">
            <v>3</v>
          </cell>
          <cell r="I86">
            <v>16800</v>
          </cell>
          <cell r="J86">
            <v>89600</v>
          </cell>
          <cell r="K86">
            <v>55059</v>
          </cell>
          <cell r="L86">
            <v>11788</v>
          </cell>
          <cell r="M86">
            <v>66847</v>
          </cell>
          <cell r="N86" t="str">
            <v>Venezuela - Caracas</v>
          </cell>
          <cell r="O86">
            <v>0.15</v>
          </cell>
          <cell r="P86">
            <v>10920</v>
          </cell>
          <cell r="Q86">
            <v>2520</v>
          </cell>
          <cell r="R86">
            <v>0.05</v>
          </cell>
          <cell r="S86">
            <v>3640</v>
          </cell>
          <cell r="T86">
            <v>0</v>
          </cell>
          <cell r="U86">
            <v>30354</v>
          </cell>
          <cell r="V86">
            <v>0</v>
          </cell>
          <cell r="W86">
            <v>0</v>
          </cell>
          <cell r="X86">
            <v>47434</v>
          </cell>
          <cell r="Y86">
            <v>72566</v>
          </cell>
          <cell r="Z86">
            <v>114281</v>
          </cell>
          <cell r="AA86">
            <v>162166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Coord. Ambiental</v>
          </cell>
          <cell r="E87">
            <v>58</v>
          </cell>
          <cell r="F87">
            <v>5900</v>
          </cell>
          <cell r="G87">
            <v>0</v>
          </cell>
          <cell r="H87">
            <v>3</v>
          </cell>
          <cell r="I87">
            <v>17700</v>
          </cell>
          <cell r="J87">
            <v>94400</v>
          </cell>
          <cell r="K87">
            <v>57233</v>
          </cell>
          <cell r="L87">
            <v>13310</v>
          </cell>
          <cell r="M87">
            <v>70543</v>
          </cell>
          <cell r="N87" t="str">
            <v>Ecuador - Quito</v>
          </cell>
          <cell r="O87">
            <v>0.15</v>
          </cell>
          <cell r="P87">
            <v>11505</v>
          </cell>
          <cell r="Q87">
            <v>2655</v>
          </cell>
          <cell r="R87">
            <v>0.15</v>
          </cell>
          <cell r="S87">
            <v>11505</v>
          </cell>
          <cell r="T87">
            <v>0</v>
          </cell>
          <cell r="U87">
            <v>34271</v>
          </cell>
          <cell r="V87">
            <v>0</v>
          </cell>
          <cell r="W87">
            <v>0</v>
          </cell>
          <cell r="X87">
            <v>59936</v>
          </cell>
          <cell r="Y87">
            <v>92522</v>
          </cell>
          <cell r="Z87">
            <v>130479</v>
          </cell>
          <cell r="AA87">
            <v>186922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Rep. Comercial</v>
          </cell>
          <cell r="E88">
            <v>0</v>
          </cell>
          <cell r="F88">
            <v>2160</v>
          </cell>
          <cell r="G88">
            <v>540</v>
          </cell>
          <cell r="H88">
            <v>0</v>
          </cell>
          <cell r="I88">
            <v>0</v>
          </cell>
          <cell r="J88">
            <v>35100</v>
          </cell>
          <cell r="K88">
            <v>28271</v>
          </cell>
          <cell r="L88">
            <v>0</v>
          </cell>
          <cell r="M88">
            <v>28271</v>
          </cell>
          <cell r="N88" t="str">
            <v>Bolivia - Sta. Cruz de la Sierra</v>
          </cell>
          <cell r="O88">
            <v>0.15</v>
          </cell>
          <cell r="P88">
            <v>5265</v>
          </cell>
          <cell r="Q88">
            <v>0</v>
          </cell>
          <cell r="R88">
            <v>0.15</v>
          </cell>
          <cell r="S88">
            <v>5265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10530</v>
          </cell>
          <cell r="Y88">
            <v>15563</v>
          </cell>
          <cell r="Z88">
            <v>38801</v>
          </cell>
          <cell r="AA88">
            <v>50663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Gte. Producción</v>
          </cell>
          <cell r="E89">
            <v>59</v>
          </cell>
          <cell r="F89">
            <v>6600</v>
          </cell>
          <cell r="G89">
            <v>0</v>
          </cell>
          <cell r="H89">
            <v>4.5</v>
          </cell>
          <cell r="I89">
            <v>29700</v>
          </cell>
          <cell r="J89">
            <v>115500</v>
          </cell>
          <cell r="K89">
            <v>64240</v>
          </cell>
          <cell r="L89">
            <v>20342</v>
          </cell>
          <cell r="M89">
            <v>84582</v>
          </cell>
          <cell r="N89" t="str">
            <v>Venezuela - Caracas</v>
          </cell>
          <cell r="O89">
            <v>0.15</v>
          </cell>
          <cell r="P89">
            <v>12870</v>
          </cell>
          <cell r="Q89">
            <v>4455</v>
          </cell>
          <cell r="R89">
            <v>0.05</v>
          </cell>
          <cell r="S89">
            <v>4290</v>
          </cell>
          <cell r="T89">
            <v>0</v>
          </cell>
          <cell r="U89">
            <v>37785</v>
          </cell>
          <cell r="V89">
            <v>0</v>
          </cell>
          <cell r="W89">
            <v>0</v>
          </cell>
          <cell r="X89">
            <v>59400</v>
          </cell>
          <cell r="Y89">
            <v>92196</v>
          </cell>
          <cell r="Z89">
            <v>143982</v>
          </cell>
          <cell r="AA89">
            <v>207696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Gte. País</v>
          </cell>
          <cell r="E90">
            <v>62</v>
          </cell>
          <cell r="F90">
            <v>14300</v>
          </cell>
          <cell r="G90">
            <v>0</v>
          </cell>
          <cell r="H90">
            <v>6</v>
          </cell>
          <cell r="I90">
            <v>85800</v>
          </cell>
          <cell r="J90">
            <v>271700</v>
          </cell>
          <cell r="K90">
            <v>129708</v>
          </cell>
          <cell r="L90">
            <v>53502</v>
          </cell>
          <cell r="M90">
            <v>183210</v>
          </cell>
          <cell r="N90" t="str">
            <v>Ecuador - Quito</v>
          </cell>
          <cell r="O90">
            <v>0.15</v>
          </cell>
          <cell r="P90">
            <v>27885</v>
          </cell>
          <cell r="Q90">
            <v>12870</v>
          </cell>
          <cell r="R90">
            <v>0.15</v>
          </cell>
          <cell r="S90">
            <v>27885</v>
          </cell>
          <cell r="T90">
            <v>0</v>
          </cell>
          <cell r="U90">
            <v>58427</v>
          </cell>
          <cell r="V90">
            <v>0</v>
          </cell>
          <cell r="W90">
            <v>0</v>
          </cell>
          <cell r="X90">
            <v>127067</v>
          </cell>
          <cell r="Y90">
            <v>195488</v>
          </cell>
          <cell r="Z90">
            <v>310277</v>
          </cell>
          <cell r="AA90">
            <v>467188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Ing. de Proyecto</v>
          </cell>
          <cell r="E91">
            <v>0</v>
          </cell>
          <cell r="F91">
            <v>6500</v>
          </cell>
          <cell r="G91">
            <v>0</v>
          </cell>
          <cell r="H91">
            <v>3</v>
          </cell>
          <cell r="I91">
            <v>19500</v>
          </cell>
          <cell r="J91">
            <v>104000</v>
          </cell>
          <cell r="K91">
            <v>63403</v>
          </cell>
          <cell r="L91">
            <v>13065</v>
          </cell>
          <cell r="M91">
            <v>76468</v>
          </cell>
          <cell r="N91" t="str">
            <v>Ecuador - Quito</v>
          </cell>
          <cell r="O91">
            <v>0.15</v>
          </cell>
          <cell r="P91">
            <v>12675</v>
          </cell>
          <cell r="Q91">
            <v>2925</v>
          </cell>
          <cell r="R91">
            <v>0.15</v>
          </cell>
          <cell r="S91">
            <v>12675</v>
          </cell>
          <cell r="T91">
            <v>0</v>
          </cell>
          <cell r="U91">
            <v>36103</v>
          </cell>
          <cell r="V91">
            <v>0</v>
          </cell>
          <cell r="W91">
            <v>0</v>
          </cell>
          <cell r="X91">
            <v>64378</v>
          </cell>
          <cell r="Y91">
            <v>101252</v>
          </cell>
          <cell r="Z91">
            <v>140846</v>
          </cell>
          <cell r="AA91">
            <v>205252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 xml:space="preserve">Technical Advisor </v>
          </cell>
          <cell r="E92">
            <v>58</v>
          </cell>
          <cell r="F92">
            <v>5500</v>
          </cell>
          <cell r="G92">
            <v>0</v>
          </cell>
          <cell r="H92">
            <v>4</v>
          </cell>
          <cell r="I92">
            <v>22000</v>
          </cell>
          <cell r="J92">
            <v>93500</v>
          </cell>
          <cell r="K92">
            <v>54480</v>
          </cell>
          <cell r="L92">
            <v>15599</v>
          </cell>
          <cell r="M92">
            <v>70079</v>
          </cell>
          <cell r="N92" t="str">
            <v>Francia - París</v>
          </cell>
          <cell r="O92">
            <v>0.15</v>
          </cell>
          <cell r="P92">
            <v>10725</v>
          </cell>
          <cell r="Q92">
            <v>3300</v>
          </cell>
          <cell r="R92">
            <v>0</v>
          </cell>
          <cell r="S92">
            <v>0</v>
          </cell>
          <cell r="T92">
            <v>0</v>
          </cell>
          <cell r="U92">
            <v>11387</v>
          </cell>
          <cell r="V92">
            <v>0</v>
          </cell>
          <cell r="W92">
            <v>15267</v>
          </cell>
          <cell r="X92">
            <v>40679</v>
          </cell>
          <cell r="Y92">
            <v>62917</v>
          </cell>
          <cell r="Z92">
            <v>110758</v>
          </cell>
          <cell r="AA92">
            <v>156417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Gerente Bloque 31</v>
          </cell>
          <cell r="E93">
            <v>0</v>
          </cell>
          <cell r="F93">
            <v>14120</v>
          </cell>
          <cell r="G93">
            <v>0</v>
          </cell>
          <cell r="H93">
            <v>6</v>
          </cell>
          <cell r="I93">
            <v>84720</v>
          </cell>
          <cell r="J93">
            <v>268280</v>
          </cell>
          <cell r="K93">
            <v>128615</v>
          </cell>
          <cell r="L93">
            <v>52372</v>
          </cell>
          <cell r="M93">
            <v>180987</v>
          </cell>
          <cell r="N93" t="str">
            <v>Ecuador - Quito</v>
          </cell>
          <cell r="O93">
            <v>0.15</v>
          </cell>
          <cell r="P93">
            <v>27534</v>
          </cell>
          <cell r="Q93">
            <v>12708</v>
          </cell>
          <cell r="R93">
            <v>0.15</v>
          </cell>
          <cell r="S93">
            <v>27534</v>
          </cell>
          <cell r="T93">
            <v>0</v>
          </cell>
          <cell r="U93">
            <v>69583</v>
          </cell>
          <cell r="V93">
            <v>0</v>
          </cell>
          <cell r="W93">
            <v>0</v>
          </cell>
          <cell r="X93">
            <v>137359</v>
          </cell>
          <cell r="Y93">
            <v>211322</v>
          </cell>
          <cell r="Z93">
            <v>318346</v>
          </cell>
          <cell r="AA93">
            <v>479602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Gte. Perforación</v>
          </cell>
          <cell r="E94">
            <v>60</v>
          </cell>
          <cell r="F94">
            <v>10800</v>
          </cell>
          <cell r="G94">
            <v>0</v>
          </cell>
          <cell r="H94">
            <v>5</v>
          </cell>
          <cell r="I94">
            <v>54000</v>
          </cell>
          <cell r="J94">
            <v>194400</v>
          </cell>
          <cell r="K94">
            <v>101604</v>
          </cell>
          <cell r="L94">
            <v>33629</v>
          </cell>
          <cell r="M94">
            <v>135233</v>
          </cell>
          <cell r="N94" t="str">
            <v>Ecuador - Quito</v>
          </cell>
          <cell r="O94">
            <v>0.15</v>
          </cell>
          <cell r="P94">
            <v>21060</v>
          </cell>
          <cell r="Q94">
            <v>8100</v>
          </cell>
          <cell r="R94">
            <v>0.15</v>
          </cell>
          <cell r="S94">
            <v>21060</v>
          </cell>
          <cell r="T94">
            <v>0</v>
          </cell>
          <cell r="U94">
            <v>48301</v>
          </cell>
          <cell r="V94">
            <v>0</v>
          </cell>
          <cell r="W94">
            <v>0</v>
          </cell>
          <cell r="X94">
            <v>98521</v>
          </cell>
          <cell r="Y94">
            <v>155060</v>
          </cell>
          <cell r="Z94">
            <v>233754</v>
          </cell>
          <cell r="AA94">
            <v>349460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Gte. Exploración</v>
          </cell>
          <cell r="E95">
            <v>60</v>
          </cell>
          <cell r="F95">
            <v>7850</v>
          </cell>
          <cell r="G95">
            <v>0</v>
          </cell>
          <cell r="H95">
            <v>4</v>
          </cell>
          <cell r="I95">
            <v>31400</v>
          </cell>
          <cell r="J95">
            <v>133450</v>
          </cell>
          <cell r="K95">
            <v>74906</v>
          </cell>
          <cell r="L95">
            <v>22061</v>
          </cell>
          <cell r="M95">
            <v>96967</v>
          </cell>
          <cell r="N95" t="str">
            <v>Ecuador - Quito</v>
          </cell>
          <cell r="O95">
            <v>0.15</v>
          </cell>
          <cell r="P95">
            <v>15308</v>
          </cell>
          <cell r="Q95">
            <v>4710</v>
          </cell>
          <cell r="R95">
            <v>0.15</v>
          </cell>
          <cell r="S95">
            <v>15308</v>
          </cell>
          <cell r="T95">
            <v>0</v>
          </cell>
          <cell r="U95">
            <v>41575</v>
          </cell>
          <cell r="V95">
            <v>0</v>
          </cell>
          <cell r="W95">
            <v>0</v>
          </cell>
          <cell r="X95">
            <v>76901</v>
          </cell>
          <cell r="Y95">
            <v>123878</v>
          </cell>
          <cell r="Z95">
            <v>173868</v>
          </cell>
          <cell r="AA95">
            <v>257328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Coordinador Reservorios</v>
          </cell>
          <cell r="E96">
            <v>59</v>
          </cell>
          <cell r="F96">
            <v>7200</v>
          </cell>
          <cell r="G96">
            <v>0</v>
          </cell>
          <cell r="H96">
            <v>4</v>
          </cell>
          <cell r="I96">
            <v>28800</v>
          </cell>
          <cell r="J96">
            <v>122400</v>
          </cell>
          <cell r="K96">
            <v>69959</v>
          </cell>
          <cell r="L96">
            <v>19384</v>
          </cell>
          <cell r="M96">
            <v>89343</v>
          </cell>
          <cell r="N96" t="str">
            <v>Ecuador - Quito</v>
          </cell>
          <cell r="O96">
            <v>0.15</v>
          </cell>
          <cell r="P96">
            <v>14040</v>
          </cell>
          <cell r="Q96">
            <v>4320</v>
          </cell>
          <cell r="R96">
            <v>0.15</v>
          </cell>
          <cell r="S96">
            <v>14040</v>
          </cell>
          <cell r="T96">
            <v>0</v>
          </cell>
          <cell r="U96">
            <v>37111</v>
          </cell>
          <cell r="V96">
            <v>0</v>
          </cell>
          <cell r="W96">
            <v>0</v>
          </cell>
          <cell r="X96">
            <v>69511</v>
          </cell>
          <cell r="Y96">
            <v>110612</v>
          </cell>
          <cell r="Z96">
            <v>158854</v>
          </cell>
          <cell r="AA96">
            <v>233012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Gte.Operaciones</v>
          </cell>
          <cell r="E97">
            <v>62</v>
          </cell>
          <cell r="F97">
            <v>12500</v>
          </cell>
          <cell r="G97">
            <v>0</v>
          </cell>
          <cell r="H97">
            <v>5</v>
          </cell>
          <cell r="I97">
            <v>62500</v>
          </cell>
          <cell r="J97">
            <v>225000</v>
          </cell>
          <cell r="K97">
            <v>114605</v>
          </cell>
          <cell r="L97">
            <v>39041</v>
          </cell>
          <cell r="M97">
            <v>153646</v>
          </cell>
          <cell r="N97" t="str">
            <v>Venezuela - Caracas</v>
          </cell>
          <cell r="O97">
            <v>0.15</v>
          </cell>
          <cell r="P97">
            <v>24375</v>
          </cell>
          <cell r="Q97">
            <v>9375</v>
          </cell>
          <cell r="R97">
            <v>0.05</v>
          </cell>
          <cell r="S97">
            <v>8125</v>
          </cell>
          <cell r="T97">
            <v>0</v>
          </cell>
          <cell r="U97">
            <v>56547</v>
          </cell>
          <cell r="V97">
            <v>0</v>
          </cell>
          <cell r="W97">
            <v>0</v>
          </cell>
          <cell r="X97">
            <v>98422</v>
          </cell>
          <cell r="Y97">
            <v>152636</v>
          </cell>
          <cell r="Z97">
            <v>252068</v>
          </cell>
          <cell r="AA97">
            <v>377636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Analista Capacit. Sr.</v>
          </cell>
          <cell r="E98">
            <v>56</v>
          </cell>
          <cell r="F98">
            <v>4100</v>
          </cell>
          <cell r="G98">
            <v>0</v>
          </cell>
          <cell r="H98">
            <v>1.5</v>
          </cell>
          <cell r="I98">
            <v>6150</v>
          </cell>
          <cell r="J98">
            <v>59450</v>
          </cell>
          <cell r="K98">
            <v>40678</v>
          </cell>
          <cell r="L98">
            <v>4779</v>
          </cell>
          <cell r="M98">
            <v>45457</v>
          </cell>
          <cell r="N98" t="str">
            <v>Ecuador - Quito</v>
          </cell>
          <cell r="O98">
            <v>0.15</v>
          </cell>
          <cell r="P98">
            <v>7995</v>
          </cell>
          <cell r="Q98">
            <v>923</v>
          </cell>
          <cell r="R98">
            <v>0.15</v>
          </cell>
          <cell r="S98">
            <v>7995</v>
          </cell>
          <cell r="T98">
            <v>0</v>
          </cell>
          <cell r="U98">
            <v>21499</v>
          </cell>
          <cell r="V98">
            <v>0</v>
          </cell>
          <cell r="W98">
            <v>0</v>
          </cell>
          <cell r="X98">
            <v>38412</v>
          </cell>
          <cell r="Y98">
            <v>55705</v>
          </cell>
          <cell r="Z98">
            <v>83869</v>
          </cell>
          <cell r="AA98">
            <v>115155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Ing. De Ductos</v>
          </cell>
          <cell r="E99">
            <v>0</v>
          </cell>
          <cell r="F99">
            <v>4600</v>
          </cell>
          <cell r="G99">
            <v>0</v>
          </cell>
          <cell r="H99">
            <v>2.5</v>
          </cell>
          <cell r="I99">
            <v>11500</v>
          </cell>
          <cell r="J99">
            <v>71300</v>
          </cell>
          <cell r="K99">
            <v>44967</v>
          </cell>
          <cell r="L99">
            <v>8829</v>
          </cell>
          <cell r="M99">
            <v>53796</v>
          </cell>
          <cell r="N99" t="str">
            <v>Ecuador - Quito</v>
          </cell>
          <cell r="O99">
            <v>0.15</v>
          </cell>
          <cell r="P99">
            <v>8970</v>
          </cell>
          <cell r="Q99">
            <v>1725</v>
          </cell>
          <cell r="R99">
            <v>0.15</v>
          </cell>
          <cell r="S99">
            <v>8970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19665</v>
          </cell>
          <cell r="Y99">
            <v>27889</v>
          </cell>
          <cell r="Z99">
            <v>73461</v>
          </cell>
          <cell r="AA99">
            <v>99189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Deputy Manager</v>
          </cell>
          <cell r="E100">
            <v>0</v>
          </cell>
          <cell r="F100">
            <v>4000</v>
          </cell>
          <cell r="G100">
            <v>600</v>
          </cell>
          <cell r="H100">
            <v>1.5</v>
          </cell>
          <cell r="I100">
            <v>6900</v>
          </cell>
          <cell r="J100">
            <v>66700</v>
          </cell>
          <cell r="K100">
            <v>45178</v>
          </cell>
          <cell r="L100">
            <v>5287</v>
          </cell>
          <cell r="M100">
            <v>50465</v>
          </cell>
          <cell r="N100" t="str">
            <v>Cayman Islands</v>
          </cell>
          <cell r="O100">
            <v>0.15</v>
          </cell>
          <cell r="P100">
            <v>8970</v>
          </cell>
          <cell r="Q100">
            <v>1035</v>
          </cell>
          <cell r="R100">
            <v>0</v>
          </cell>
          <cell r="S100">
            <v>0</v>
          </cell>
          <cell r="T100">
            <v>0</v>
          </cell>
          <cell r="U100">
            <v>18200</v>
          </cell>
          <cell r="V100">
            <v>0</v>
          </cell>
          <cell r="W100">
            <v>21632</v>
          </cell>
          <cell r="X100">
            <v>49837</v>
          </cell>
          <cell r="Y100">
            <v>74125</v>
          </cell>
          <cell r="Z100">
            <v>100302</v>
          </cell>
          <cell r="AA100">
            <v>140825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Profesional Sr.</v>
          </cell>
          <cell r="E101">
            <v>0</v>
          </cell>
          <cell r="F101">
            <v>4066</v>
          </cell>
          <cell r="G101">
            <v>0</v>
          </cell>
          <cell r="H101">
            <v>1</v>
          </cell>
          <cell r="I101">
            <v>4066</v>
          </cell>
          <cell r="J101">
            <v>56924</v>
          </cell>
          <cell r="K101">
            <v>40732</v>
          </cell>
          <cell r="L101">
            <v>3193</v>
          </cell>
          <cell r="M101">
            <v>43925</v>
          </cell>
          <cell r="N101" t="str">
            <v>Ecuador - Quito</v>
          </cell>
          <cell r="O101">
            <v>0.15</v>
          </cell>
          <cell r="P101">
            <v>7929</v>
          </cell>
          <cell r="Q101">
            <v>610</v>
          </cell>
          <cell r="R101">
            <v>0.15</v>
          </cell>
          <cell r="S101">
            <v>7929</v>
          </cell>
          <cell r="T101">
            <v>0</v>
          </cell>
          <cell r="U101">
            <v>24166</v>
          </cell>
          <cell r="V101">
            <v>0</v>
          </cell>
          <cell r="W101">
            <v>0</v>
          </cell>
          <cell r="X101">
            <v>40634</v>
          </cell>
          <cell r="Y101">
            <v>58772</v>
          </cell>
          <cell r="Z101">
            <v>84559</v>
          </cell>
          <cell r="AA101">
            <v>115696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Lider Equipo</v>
          </cell>
          <cell r="E102">
            <v>0</v>
          </cell>
          <cell r="F102">
            <v>5246</v>
          </cell>
          <cell r="G102">
            <v>0</v>
          </cell>
          <cell r="H102">
            <v>4</v>
          </cell>
          <cell r="I102">
            <v>20984</v>
          </cell>
          <cell r="J102">
            <v>89182</v>
          </cell>
          <cell r="K102">
            <v>51727</v>
          </cell>
          <cell r="L102">
            <v>15007</v>
          </cell>
          <cell r="M102">
            <v>66734</v>
          </cell>
          <cell r="N102" t="str">
            <v>Ecuador - Quito</v>
          </cell>
          <cell r="O102">
            <v>0.15</v>
          </cell>
          <cell r="P102">
            <v>10230</v>
          </cell>
          <cell r="Q102">
            <v>3148</v>
          </cell>
          <cell r="R102">
            <v>0.15</v>
          </cell>
          <cell r="S102">
            <v>10230</v>
          </cell>
          <cell r="T102">
            <v>0</v>
          </cell>
          <cell r="U102">
            <v>33205</v>
          </cell>
          <cell r="V102">
            <v>0</v>
          </cell>
          <cell r="W102">
            <v>0</v>
          </cell>
          <cell r="X102">
            <v>56813</v>
          </cell>
          <cell r="Y102">
            <v>87075</v>
          </cell>
          <cell r="Z102">
            <v>123547</v>
          </cell>
          <cell r="AA102">
            <v>176257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Profesional Sr.</v>
          </cell>
          <cell r="E103">
            <v>0</v>
          </cell>
          <cell r="F103">
            <v>4898</v>
          </cell>
          <cell r="G103">
            <v>0</v>
          </cell>
          <cell r="H103">
            <v>2</v>
          </cell>
          <cell r="I103">
            <v>9796</v>
          </cell>
          <cell r="J103">
            <v>73470</v>
          </cell>
          <cell r="K103">
            <v>48032</v>
          </cell>
          <cell r="L103">
            <v>7543</v>
          </cell>
          <cell r="M103">
            <v>55575</v>
          </cell>
          <cell r="N103" t="str">
            <v>Venezuela - El Tigre</v>
          </cell>
          <cell r="O103">
            <v>0.15</v>
          </cell>
          <cell r="P103">
            <v>9551</v>
          </cell>
          <cell r="Q103">
            <v>1469</v>
          </cell>
          <cell r="R103">
            <v>0.15</v>
          </cell>
          <cell r="S103">
            <v>9551</v>
          </cell>
          <cell r="T103">
            <v>0</v>
          </cell>
          <cell r="U103">
            <v>3093</v>
          </cell>
          <cell r="V103">
            <v>0</v>
          </cell>
          <cell r="W103">
            <v>0</v>
          </cell>
          <cell r="X103">
            <v>23664</v>
          </cell>
          <cell r="Y103">
            <v>34704</v>
          </cell>
          <cell r="Z103">
            <v>79239</v>
          </cell>
          <cell r="AA103">
            <v>108174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 t="e">
            <v>#DIV/0!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0.15</v>
          </cell>
          <cell r="P104">
            <v>0</v>
          </cell>
          <cell r="Q104">
            <v>0</v>
          </cell>
          <cell r="R104" t="e">
            <v>#N/A</v>
          </cell>
          <cell r="S104" t="e">
            <v>#N/A</v>
          </cell>
          <cell r="T104" t="e">
            <v>#N/A</v>
          </cell>
          <cell r="U104">
            <v>0</v>
          </cell>
          <cell r="V104">
            <v>0</v>
          </cell>
          <cell r="W104">
            <v>0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 t="e">
            <v>#DIV/0!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0.15</v>
          </cell>
          <cell r="P105">
            <v>0</v>
          </cell>
          <cell r="Q105">
            <v>0</v>
          </cell>
          <cell r="R105" t="e">
            <v>#N/A</v>
          </cell>
          <cell r="S105" t="e">
            <v>#N/A</v>
          </cell>
          <cell r="T105" t="e">
            <v>#N/A</v>
          </cell>
          <cell r="U105">
            <v>0</v>
          </cell>
          <cell r="V105">
            <v>0</v>
          </cell>
          <cell r="W105">
            <v>0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 t="e">
            <v>#DIV/0!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0.15</v>
          </cell>
          <cell r="P106">
            <v>0</v>
          </cell>
          <cell r="Q106">
            <v>0</v>
          </cell>
          <cell r="R106" t="e">
            <v>#N/A</v>
          </cell>
          <cell r="S106" t="e">
            <v>#N/A</v>
          </cell>
          <cell r="T106" t="e">
            <v>#N/A</v>
          </cell>
          <cell r="U106">
            <v>0</v>
          </cell>
          <cell r="V106">
            <v>0</v>
          </cell>
          <cell r="W106">
            <v>0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</row>
      </sheetData>
      <sheetData sheetId="1"/>
      <sheetData sheetId="2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DESTINO</v>
          </cell>
          <cell r="E6" t="str">
            <v>Total Neto de la asignación internacional</v>
          </cell>
          <cell r="F6" t="str">
            <v>MENOS Compensación Variable neta</v>
          </cell>
          <cell r="G6" t="str">
            <v>SUB TOTAL</v>
          </cell>
          <cell r="H6" t="str">
            <v>Sueldos Netos abonados en ARGENTINA</v>
          </cell>
          <cell r="I6" t="str">
            <v>Sueldos Netos a abonar en el EXTERIOR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Brasil . Rio de Janeiro</v>
          </cell>
          <cell r="E7">
            <v>188900</v>
          </cell>
          <cell r="F7">
            <v>37941</v>
          </cell>
          <cell r="G7">
            <v>150959</v>
          </cell>
          <cell r="H7">
            <v>0</v>
          </cell>
          <cell r="I7">
            <v>150959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Brasil . Rio de Janeiro</v>
          </cell>
          <cell r="E8">
            <v>68269</v>
          </cell>
          <cell r="F8">
            <v>7073</v>
          </cell>
          <cell r="G8">
            <v>61196</v>
          </cell>
          <cell r="H8">
            <v>0</v>
          </cell>
          <cell r="I8">
            <v>61196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Bolivia - Sta. Cruz de la Sierra</v>
          </cell>
          <cell r="E9">
            <v>235755</v>
          </cell>
          <cell r="F9">
            <v>41973</v>
          </cell>
          <cell r="G9">
            <v>193782</v>
          </cell>
          <cell r="H9">
            <v>0</v>
          </cell>
          <cell r="I9">
            <v>193782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Bolivia - Sta. Cruz de la Sierra</v>
          </cell>
          <cell r="E10">
            <v>98151</v>
          </cell>
          <cell r="F10">
            <v>0</v>
          </cell>
          <cell r="G10">
            <v>98151</v>
          </cell>
          <cell r="H10">
            <v>0</v>
          </cell>
          <cell r="I10">
            <v>98151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Bolivia - Sta. Cruz de la Sierra</v>
          </cell>
          <cell r="E11">
            <v>109018</v>
          </cell>
          <cell r="F11">
            <v>10491</v>
          </cell>
          <cell r="G11">
            <v>98527</v>
          </cell>
          <cell r="H11">
            <v>0</v>
          </cell>
          <cell r="I11">
            <v>98527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Perú - Talara</v>
          </cell>
          <cell r="E12">
            <v>112873</v>
          </cell>
          <cell r="F12">
            <v>9423</v>
          </cell>
          <cell r="G12">
            <v>103450</v>
          </cell>
          <cell r="H12">
            <v>0</v>
          </cell>
          <cell r="I12">
            <v>103450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Perú - Talara</v>
          </cell>
          <cell r="E13">
            <v>120072</v>
          </cell>
          <cell r="F13">
            <v>9772</v>
          </cell>
          <cell r="G13">
            <v>110300</v>
          </cell>
          <cell r="H13">
            <v>0</v>
          </cell>
          <cell r="I13">
            <v>110300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Ecuador - Quito</v>
          </cell>
          <cell r="E14">
            <v>180224</v>
          </cell>
          <cell r="F14">
            <v>21643</v>
          </cell>
          <cell r="G14">
            <v>158581</v>
          </cell>
          <cell r="H14">
            <v>0</v>
          </cell>
          <cell r="I14">
            <v>158581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Perú - Talara</v>
          </cell>
          <cell r="E15">
            <v>98387</v>
          </cell>
          <cell r="F15">
            <v>10647</v>
          </cell>
          <cell r="G15">
            <v>87740</v>
          </cell>
          <cell r="H15">
            <v>0</v>
          </cell>
          <cell r="I15">
            <v>87740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Ecuador - Quito</v>
          </cell>
          <cell r="E16">
            <v>113406</v>
          </cell>
          <cell r="F16">
            <v>10300</v>
          </cell>
          <cell r="G16">
            <v>103106</v>
          </cell>
          <cell r="H16">
            <v>0</v>
          </cell>
          <cell r="I16">
            <v>103106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Perú - Talara</v>
          </cell>
          <cell r="E17">
            <v>182407</v>
          </cell>
          <cell r="F17">
            <v>18610</v>
          </cell>
          <cell r="G17">
            <v>163797</v>
          </cell>
          <cell r="H17">
            <v>0</v>
          </cell>
          <cell r="I17">
            <v>163797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Perú - Talara</v>
          </cell>
          <cell r="E18">
            <v>121495</v>
          </cell>
          <cell r="F18">
            <v>10571</v>
          </cell>
          <cell r="G18">
            <v>110924</v>
          </cell>
          <cell r="H18">
            <v>0</v>
          </cell>
          <cell r="I18">
            <v>110924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Ecuador - Quito</v>
          </cell>
          <cell r="E19">
            <v>95238</v>
          </cell>
          <cell r="F19">
            <v>6802</v>
          </cell>
          <cell r="G19">
            <v>88436</v>
          </cell>
          <cell r="H19">
            <v>0</v>
          </cell>
          <cell r="I19">
            <v>88436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Perú - Talara</v>
          </cell>
          <cell r="E20">
            <v>135327</v>
          </cell>
          <cell r="F20">
            <v>10694</v>
          </cell>
          <cell r="G20">
            <v>124633</v>
          </cell>
          <cell r="H20">
            <v>0</v>
          </cell>
          <cell r="I20">
            <v>124633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Perú - Talara</v>
          </cell>
          <cell r="E21">
            <v>97098</v>
          </cell>
          <cell r="F21">
            <v>0</v>
          </cell>
          <cell r="G21">
            <v>97098</v>
          </cell>
          <cell r="H21">
            <v>0</v>
          </cell>
          <cell r="I21">
            <v>97098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Perú - Talara</v>
          </cell>
          <cell r="E22">
            <v>94176</v>
          </cell>
          <cell r="F22">
            <v>0</v>
          </cell>
          <cell r="G22">
            <v>94176</v>
          </cell>
          <cell r="H22">
            <v>0</v>
          </cell>
          <cell r="I22">
            <v>94176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Perú - Talara</v>
          </cell>
          <cell r="E23">
            <v>133832</v>
          </cell>
          <cell r="F23">
            <v>10116</v>
          </cell>
          <cell r="G23">
            <v>123716</v>
          </cell>
          <cell r="H23">
            <v>0</v>
          </cell>
          <cell r="I23">
            <v>123716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Perú - Talara</v>
          </cell>
          <cell r="E24">
            <v>106196</v>
          </cell>
          <cell r="F24">
            <v>0</v>
          </cell>
          <cell r="G24">
            <v>106196</v>
          </cell>
          <cell r="H24">
            <v>0</v>
          </cell>
          <cell r="I24">
            <v>106196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Perú - Talara</v>
          </cell>
          <cell r="E25">
            <v>129704</v>
          </cell>
          <cell r="F25">
            <v>20586</v>
          </cell>
          <cell r="G25">
            <v>109118</v>
          </cell>
          <cell r="H25">
            <v>0</v>
          </cell>
          <cell r="I25">
            <v>109118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Ecuador - Quito</v>
          </cell>
          <cell r="E26">
            <v>153454</v>
          </cell>
          <cell r="F26">
            <v>18465</v>
          </cell>
          <cell r="G26">
            <v>134989</v>
          </cell>
          <cell r="H26">
            <v>47730</v>
          </cell>
          <cell r="I26">
            <v>87259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Perú - Talara</v>
          </cell>
          <cell r="E27">
            <v>131447</v>
          </cell>
          <cell r="F27">
            <v>10163</v>
          </cell>
          <cell r="G27">
            <v>121284</v>
          </cell>
          <cell r="H27">
            <v>0</v>
          </cell>
          <cell r="I27">
            <v>121284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Ecuador - Quito</v>
          </cell>
          <cell r="E28">
            <v>279445</v>
          </cell>
          <cell r="F28">
            <v>66571</v>
          </cell>
          <cell r="G28">
            <v>212874</v>
          </cell>
          <cell r="H28">
            <v>0</v>
          </cell>
          <cell r="I28">
            <v>212874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Perú - Talara</v>
          </cell>
          <cell r="E29">
            <v>135017</v>
          </cell>
          <cell r="F29">
            <v>10510</v>
          </cell>
          <cell r="G29">
            <v>124507</v>
          </cell>
          <cell r="H29">
            <v>0</v>
          </cell>
          <cell r="I29">
            <v>124507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Ecuador - Quito</v>
          </cell>
          <cell r="E30">
            <v>96701</v>
          </cell>
          <cell r="F30">
            <v>7058</v>
          </cell>
          <cell r="G30">
            <v>89643</v>
          </cell>
          <cell r="H30">
            <v>0</v>
          </cell>
          <cell r="I30">
            <v>89643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Venezuela - Maracaibo</v>
          </cell>
          <cell r="E31">
            <v>208405</v>
          </cell>
          <cell r="F31">
            <v>29553</v>
          </cell>
          <cell r="G31">
            <v>178852</v>
          </cell>
          <cell r="H31">
            <v>47183</v>
          </cell>
          <cell r="I31">
            <v>131669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Venezuela - El Tigre</v>
          </cell>
          <cell r="E32">
            <v>127679</v>
          </cell>
          <cell r="F32">
            <v>18383</v>
          </cell>
          <cell r="G32">
            <v>109296</v>
          </cell>
          <cell r="H32">
            <v>43729</v>
          </cell>
          <cell r="I32">
            <v>65567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Venezuela - Caracas</v>
          </cell>
          <cell r="E33">
            <v>129317</v>
          </cell>
          <cell r="F33">
            <v>9249</v>
          </cell>
          <cell r="G33">
            <v>120068</v>
          </cell>
          <cell r="H33">
            <v>32952</v>
          </cell>
          <cell r="I33">
            <v>87116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Venezuela - Caracas</v>
          </cell>
          <cell r="E34">
            <v>126238</v>
          </cell>
          <cell r="F34">
            <v>9038</v>
          </cell>
          <cell r="G34">
            <v>117200</v>
          </cell>
          <cell r="H34">
            <v>31249</v>
          </cell>
          <cell r="I34">
            <v>85951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Venezuela - Maracaibo</v>
          </cell>
          <cell r="E35">
            <v>63207</v>
          </cell>
          <cell r="F35">
            <v>0</v>
          </cell>
          <cell r="G35">
            <v>63207</v>
          </cell>
          <cell r="H35">
            <v>32312</v>
          </cell>
          <cell r="I35">
            <v>30895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Venezuela - Maracaibo</v>
          </cell>
          <cell r="E36">
            <v>90031</v>
          </cell>
          <cell r="F36">
            <v>10326</v>
          </cell>
          <cell r="G36">
            <v>79705</v>
          </cell>
          <cell r="H36">
            <v>37458</v>
          </cell>
          <cell r="I36">
            <v>42247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Venezuela - Caracas</v>
          </cell>
          <cell r="E37">
            <v>109770</v>
          </cell>
          <cell r="F37">
            <v>8909</v>
          </cell>
          <cell r="G37">
            <v>100861</v>
          </cell>
          <cell r="H37">
            <v>35817</v>
          </cell>
          <cell r="I37">
            <v>65044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Venezuela - Caracas</v>
          </cell>
          <cell r="E38">
            <v>68508</v>
          </cell>
          <cell r="F38">
            <v>0</v>
          </cell>
          <cell r="G38">
            <v>68508</v>
          </cell>
          <cell r="H38">
            <v>25512</v>
          </cell>
          <cell r="I38">
            <v>42996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Venezuela - Maracaibo</v>
          </cell>
          <cell r="E39">
            <v>65007</v>
          </cell>
          <cell r="F39">
            <v>0</v>
          </cell>
          <cell r="G39">
            <v>65007</v>
          </cell>
          <cell r="H39">
            <v>27894</v>
          </cell>
          <cell r="I39">
            <v>37113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Venezuela - Maracaibo</v>
          </cell>
          <cell r="E40">
            <v>67813</v>
          </cell>
          <cell r="F40">
            <v>0</v>
          </cell>
          <cell r="G40">
            <v>67813</v>
          </cell>
          <cell r="H40">
            <v>35486</v>
          </cell>
          <cell r="I40">
            <v>32327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Venezuela - Maracaibo</v>
          </cell>
          <cell r="E41">
            <v>116773</v>
          </cell>
          <cell r="F41">
            <v>11639</v>
          </cell>
          <cell r="G41">
            <v>105134</v>
          </cell>
          <cell r="H41">
            <v>30808</v>
          </cell>
          <cell r="I41">
            <v>74326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Venezuela - Maracaibo</v>
          </cell>
          <cell r="E42">
            <v>141634</v>
          </cell>
          <cell r="F42">
            <v>20212</v>
          </cell>
          <cell r="G42">
            <v>121422</v>
          </cell>
          <cell r="H42">
            <v>36772</v>
          </cell>
          <cell r="I42">
            <v>84650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Venezuela - Caracas</v>
          </cell>
          <cell r="E43">
            <v>75689</v>
          </cell>
          <cell r="F43">
            <v>5088</v>
          </cell>
          <cell r="G43">
            <v>70601</v>
          </cell>
          <cell r="H43">
            <v>23054</v>
          </cell>
          <cell r="I43">
            <v>47547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Venezuela - Maracaibo</v>
          </cell>
          <cell r="E44">
            <v>91986</v>
          </cell>
          <cell r="F44">
            <v>10424</v>
          </cell>
          <cell r="G44">
            <v>81562</v>
          </cell>
          <cell r="H44">
            <v>37458</v>
          </cell>
          <cell r="I44">
            <v>44104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Venezuela - Caracas</v>
          </cell>
          <cell r="E45">
            <v>242623</v>
          </cell>
          <cell r="F45">
            <v>35750</v>
          </cell>
          <cell r="G45">
            <v>206873</v>
          </cell>
          <cell r="H45">
            <v>44283</v>
          </cell>
          <cell r="I45">
            <v>162590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Ecuador - Quito</v>
          </cell>
          <cell r="E46">
            <v>263109</v>
          </cell>
          <cell r="F46">
            <v>35578</v>
          </cell>
          <cell r="G46">
            <v>227531</v>
          </cell>
          <cell r="H46">
            <v>47685</v>
          </cell>
          <cell r="I46">
            <v>179846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Venezuela - El Tigre</v>
          </cell>
          <cell r="E47">
            <v>149875</v>
          </cell>
          <cell r="F47">
            <v>20311</v>
          </cell>
          <cell r="G47">
            <v>129564</v>
          </cell>
          <cell r="H47">
            <v>30671</v>
          </cell>
          <cell r="I47">
            <v>98893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Venezuela - Caracas</v>
          </cell>
          <cell r="E48">
            <v>71396</v>
          </cell>
          <cell r="F48">
            <v>8578</v>
          </cell>
          <cell r="G48">
            <v>62818</v>
          </cell>
          <cell r="H48">
            <v>26439</v>
          </cell>
          <cell r="I48">
            <v>36379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Venezuela - El Tigre</v>
          </cell>
          <cell r="E49">
            <v>81342</v>
          </cell>
          <cell r="F49">
            <v>0</v>
          </cell>
          <cell r="G49">
            <v>81342</v>
          </cell>
          <cell r="H49">
            <v>26197</v>
          </cell>
          <cell r="I49">
            <v>55145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Ecuador - Quito</v>
          </cell>
          <cell r="E50">
            <v>115066</v>
          </cell>
          <cell r="F50">
            <v>10647</v>
          </cell>
          <cell r="G50">
            <v>104419</v>
          </cell>
          <cell r="H50">
            <v>37863</v>
          </cell>
          <cell r="I50">
            <v>66556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Venezuela - Caracas</v>
          </cell>
          <cell r="E51">
            <v>130140</v>
          </cell>
          <cell r="F51">
            <v>13394</v>
          </cell>
          <cell r="G51">
            <v>116746</v>
          </cell>
          <cell r="H51">
            <v>22731</v>
          </cell>
          <cell r="I51">
            <v>94015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Venezuela - El Tigre</v>
          </cell>
          <cell r="E52">
            <v>103248</v>
          </cell>
          <cell r="F52">
            <v>8843</v>
          </cell>
          <cell r="G52">
            <v>94405</v>
          </cell>
          <cell r="H52">
            <v>28438</v>
          </cell>
          <cell r="I52">
            <v>65967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Venezuela - El Tigre</v>
          </cell>
          <cell r="E53">
            <v>85908</v>
          </cell>
          <cell r="F53">
            <v>6902</v>
          </cell>
          <cell r="G53">
            <v>79006</v>
          </cell>
          <cell r="H53">
            <v>44344</v>
          </cell>
          <cell r="I53">
            <v>34662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Venezuela - Caracas</v>
          </cell>
          <cell r="E54">
            <v>158200</v>
          </cell>
          <cell r="F54">
            <v>19417</v>
          </cell>
          <cell r="G54">
            <v>138783</v>
          </cell>
          <cell r="H54">
            <v>36847</v>
          </cell>
          <cell r="I54">
            <v>101936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Venezuela - El Tigre</v>
          </cell>
          <cell r="E55">
            <v>84552</v>
          </cell>
          <cell r="F55">
            <v>0</v>
          </cell>
          <cell r="G55">
            <v>84552</v>
          </cell>
          <cell r="H55">
            <v>25492</v>
          </cell>
          <cell r="I55">
            <v>59060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Venezuela - El Tigre</v>
          </cell>
          <cell r="E56">
            <v>62723</v>
          </cell>
          <cell r="F56">
            <v>0</v>
          </cell>
          <cell r="G56">
            <v>62723</v>
          </cell>
          <cell r="H56">
            <v>37109</v>
          </cell>
          <cell r="I56">
            <v>25614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Venezuela - El Tigre</v>
          </cell>
          <cell r="E57">
            <v>107187</v>
          </cell>
          <cell r="F57">
            <v>11087</v>
          </cell>
          <cell r="G57">
            <v>96100</v>
          </cell>
          <cell r="H57">
            <v>31580</v>
          </cell>
          <cell r="I57">
            <v>64520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Venezuela - Caracas</v>
          </cell>
          <cell r="E58">
            <v>259821</v>
          </cell>
          <cell r="F58">
            <v>37274</v>
          </cell>
          <cell r="G58">
            <v>222547</v>
          </cell>
          <cell r="H58">
            <v>53554</v>
          </cell>
          <cell r="I58">
            <v>168993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Venezuela - El Tigre</v>
          </cell>
          <cell r="E59">
            <v>115813</v>
          </cell>
          <cell r="F59">
            <v>13592</v>
          </cell>
          <cell r="G59">
            <v>102221</v>
          </cell>
          <cell r="H59">
            <v>35275</v>
          </cell>
          <cell r="I59">
            <v>66946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Venezuela - El Tigre</v>
          </cell>
          <cell r="E60">
            <v>63459</v>
          </cell>
          <cell r="F60">
            <v>0</v>
          </cell>
          <cell r="G60">
            <v>63459</v>
          </cell>
          <cell r="H60">
            <v>30006</v>
          </cell>
          <cell r="I60">
            <v>33453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Venezuela - Caracas</v>
          </cell>
          <cell r="E61">
            <v>159300</v>
          </cell>
          <cell r="F61">
            <v>19506</v>
          </cell>
          <cell r="G61">
            <v>139794</v>
          </cell>
          <cell r="H61">
            <v>37624</v>
          </cell>
          <cell r="I61">
            <v>102170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Venezuela - El Tigre</v>
          </cell>
          <cell r="E62">
            <v>76927</v>
          </cell>
          <cell r="F62">
            <v>8370</v>
          </cell>
          <cell r="G62">
            <v>68557</v>
          </cell>
          <cell r="H62">
            <v>25492</v>
          </cell>
          <cell r="I62">
            <v>43065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Venezuela - El Tigre</v>
          </cell>
          <cell r="E63">
            <v>48367</v>
          </cell>
          <cell r="F63">
            <v>0</v>
          </cell>
          <cell r="G63">
            <v>48367</v>
          </cell>
          <cell r="H63">
            <v>23658</v>
          </cell>
          <cell r="I63">
            <v>24709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Venezuela - Caracas</v>
          </cell>
          <cell r="E64">
            <v>91200</v>
          </cell>
          <cell r="F64">
            <v>10125</v>
          </cell>
          <cell r="G64">
            <v>81075</v>
          </cell>
          <cell r="H64">
            <v>26569</v>
          </cell>
          <cell r="I64">
            <v>54506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Venezuela - Caracas</v>
          </cell>
          <cell r="E65">
            <v>130714</v>
          </cell>
          <cell r="F65">
            <v>15463</v>
          </cell>
          <cell r="G65">
            <v>115251</v>
          </cell>
          <cell r="H65">
            <v>37584</v>
          </cell>
          <cell r="I65">
            <v>77667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Venezuela - Caracas</v>
          </cell>
          <cell r="E66">
            <v>138716</v>
          </cell>
          <cell r="F66">
            <v>12845</v>
          </cell>
          <cell r="G66">
            <v>125871</v>
          </cell>
          <cell r="H66">
            <v>38632</v>
          </cell>
          <cell r="I66">
            <v>87239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Venezuela - Caracas</v>
          </cell>
          <cell r="E67">
            <v>216756</v>
          </cell>
          <cell r="F67">
            <v>37345</v>
          </cell>
          <cell r="G67">
            <v>179411</v>
          </cell>
          <cell r="H67">
            <v>43607</v>
          </cell>
          <cell r="I67">
            <v>135804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Venezuela - Caracas</v>
          </cell>
          <cell r="E68">
            <v>87427</v>
          </cell>
          <cell r="F68">
            <v>14683</v>
          </cell>
          <cell r="G68">
            <v>72744</v>
          </cell>
          <cell r="H68">
            <v>28095</v>
          </cell>
          <cell r="I68">
            <v>44649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USA - Houston</v>
          </cell>
          <cell r="E69">
            <v>128553</v>
          </cell>
          <cell r="F69">
            <v>22449</v>
          </cell>
          <cell r="G69">
            <v>106104</v>
          </cell>
          <cell r="H69">
            <v>0</v>
          </cell>
          <cell r="I69">
            <v>106104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Venezuela - Caracas</v>
          </cell>
          <cell r="E70">
            <v>372603</v>
          </cell>
          <cell r="F70">
            <v>81900</v>
          </cell>
          <cell r="G70">
            <v>290703</v>
          </cell>
          <cell r="H70">
            <v>42580</v>
          </cell>
          <cell r="I70">
            <v>248123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Venezuela - Caracas</v>
          </cell>
          <cell r="E71">
            <v>223725</v>
          </cell>
          <cell r="F71">
            <v>35750</v>
          </cell>
          <cell r="G71">
            <v>187975</v>
          </cell>
          <cell r="H71">
            <v>44947</v>
          </cell>
          <cell r="I71">
            <v>143028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Venezuela - Caracas</v>
          </cell>
          <cell r="E72">
            <v>129724</v>
          </cell>
          <cell r="F72">
            <v>12924</v>
          </cell>
          <cell r="G72">
            <v>116800</v>
          </cell>
          <cell r="H72">
            <v>46222</v>
          </cell>
          <cell r="I72">
            <v>70578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>Venezuela - Caracas</v>
          </cell>
          <cell r="E73">
            <v>86442</v>
          </cell>
          <cell r="F73">
            <v>6553</v>
          </cell>
          <cell r="G73">
            <v>79889</v>
          </cell>
          <cell r="H73">
            <v>41799</v>
          </cell>
          <cell r="I73">
            <v>38090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Venezuela - Caracas</v>
          </cell>
          <cell r="E74">
            <v>96627</v>
          </cell>
          <cell r="F74">
            <v>9400</v>
          </cell>
          <cell r="G74">
            <v>87227</v>
          </cell>
          <cell r="H74">
            <v>45255</v>
          </cell>
          <cell r="I74">
            <v>41972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Ecuador - Quito</v>
          </cell>
          <cell r="E75">
            <v>285003</v>
          </cell>
          <cell r="F75">
            <v>38468</v>
          </cell>
          <cell r="G75">
            <v>246535</v>
          </cell>
          <cell r="H75">
            <v>0</v>
          </cell>
          <cell r="I75">
            <v>246535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Venezuela - Caracas</v>
          </cell>
          <cell r="E76">
            <v>104868</v>
          </cell>
          <cell r="F76">
            <v>0</v>
          </cell>
          <cell r="G76">
            <v>104868</v>
          </cell>
          <cell r="H76">
            <v>46222</v>
          </cell>
          <cell r="I76">
            <v>58646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 t="str">
            <v>USA - Houston</v>
          </cell>
          <cell r="E77">
            <v>64537</v>
          </cell>
          <cell r="F77">
            <v>7407</v>
          </cell>
          <cell r="G77">
            <v>57130</v>
          </cell>
          <cell r="H77">
            <v>0</v>
          </cell>
          <cell r="I77">
            <v>57130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Perú - Talara</v>
          </cell>
          <cell r="E78">
            <v>148669</v>
          </cell>
          <cell r="F78">
            <v>14861</v>
          </cell>
          <cell r="G78">
            <v>133808</v>
          </cell>
          <cell r="H78">
            <v>0</v>
          </cell>
          <cell r="I78">
            <v>133808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Venezuela - Caracas</v>
          </cell>
          <cell r="E79">
            <v>118775</v>
          </cell>
          <cell r="F79">
            <v>11733</v>
          </cell>
          <cell r="G79">
            <v>107042</v>
          </cell>
          <cell r="H79">
            <v>47668</v>
          </cell>
          <cell r="I79">
            <v>59374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Bolivia - Sta. Cruz de la Sierra - Refineria</v>
          </cell>
          <cell r="E80">
            <v>141574</v>
          </cell>
          <cell r="F80">
            <v>14252</v>
          </cell>
          <cell r="G80">
            <v>127322</v>
          </cell>
          <cell r="H80">
            <v>47730</v>
          </cell>
          <cell r="I80">
            <v>79592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Brasil - San Pablo</v>
          </cell>
          <cell r="E81">
            <v>92942</v>
          </cell>
          <cell r="F81">
            <v>7875</v>
          </cell>
          <cell r="G81">
            <v>85067</v>
          </cell>
          <cell r="H81">
            <v>0</v>
          </cell>
          <cell r="I81">
            <v>85067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 t="str">
            <v>Brasil - Porto Alegre</v>
          </cell>
          <cell r="E82">
            <v>89065</v>
          </cell>
          <cell r="F82">
            <v>8710</v>
          </cell>
          <cell r="G82">
            <v>80355</v>
          </cell>
          <cell r="H82">
            <v>0</v>
          </cell>
          <cell r="I82">
            <v>80355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 t="str">
            <v>Brasil - Porto Alegre</v>
          </cell>
          <cell r="E83">
            <v>191638</v>
          </cell>
          <cell r="F83">
            <v>23419</v>
          </cell>
          <cell r="G83">
            <v>168219</v>
          </cell>
          <cell r="H83">
            <v>0</v>
          </cell>
          <cell r="I83">
            <v>168219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 t="str">
            <v>Brasil - Porto Alegre</v>
          </cell>
          <cell r="E84">
            <v>179642</v>
          </cell>
          <cell r="F84">
            <v>17413</v>
          </cell>
          <cell r="G84">
            <v>162229</v>
          </cell>
          <cell r="H84">
            <v>0</v>
          </cell>
          <cell r="I84">
            <v>162229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 t="str">
            <v>Brasil - Porto Alegre</v>
          </cell>
          <cell r="E85">
            <v>145876</v>
          </cell>
          <cell r="F85">
            <v>13070</v>
          </cell>
          <cell r="G85">
            <v>132806</v>
          </cell>
          <cell r="H85">
            <v>0</v>
          </cell>
          <cell r="I85">
            <v>132806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Venezuela - Caracas</v>
          </cell>
          <cell r="E86">
            <v>114281</v>
          </cell>
          <cell r="F86">
            <v>11788</v>
          </cell>
          <cell r="G86">
            <v>102493</v>
          </cell>
          <cell r="H86">
            <v>47051</v>
          </cell>
          <cell r="I86">
            <v>55442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Ecuador - Quito</v>
          </cell>
          <cell r="E87">
            <v>130479</v>
          </cell>
          <cell r="F87">
            <v>13310</v>
          </cell>
          <cell r="G87">
            <v>117169</v>
          </cell>
          <cell r="H87">
            <v>0</v>
          </cell>
          <cell r="I87">
            <v>117169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Bolivia - Sta. Cruz de la Sierra</v>
          </cell>
          <cell r="E88">
            <v>38801</v>
          </cell>
          <cell r="F88">
            <v>0</v>
          </cell>
          <cell r="G88">
            <v>38801</v>
          </cell>
          <cell r="H88">
            <v>0</v>
          </cell>
          <cell r="I88">
            <v>38801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Venezuela - Caracas</v>
          </cell>
          <cell r="E89">
            <v>143982</v>
          </cell>
          <cell r="F89">
            <v>20342</v>
          </cell>
          <cell r="G89">
            <v>123640</v>
          </cell>
          <cell r="H89">
            <v>46222</v>
          </cell>
          <cell r="I89">
            <v>77418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Ecuador - Quito</v>
          </cell>
          <cell r="E90">
            <v>310277</v>
          </cell>
          <cell r="F90">
            <v>53502</v>
          </cell>
          <cell r="G90">
            <v>256775</v>
          </cell>
          <cell r="H90">
            <v>49934</v>
          </cell>
          <cell r="I90">
            <v>206841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Ecuador - Quito</v>
          </cell>
          <cell r="E91">
            <v>140846</v>
          </cell>
          <cell r="F91">
            <v>13065</v>
          </cell>
          <cell r="G91">
            <v>127781</v>
          </cell>
          <cell r="H91">
            <v>0</v>
          </cell>
          <cell r="I91">
            <v>127781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>Francia - París</v>
          </cell>
          <cell r="E92">
            <v>110758</v>
          </cell>
          <cell r="F92">
            <v>15599</v>
          </cell>
          <cell r="G92">
            <v>95159</v>
          </cell>
          <cell r="H92">
            <v>0</v>
          </cell>
          <cell r="I92">
            <v>95159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Ecuador - Quito</v>
          </cell>
          <cell r="E93">
            <v>318346</v>
          </cell>
          <cell r="F93">
            <v>52372</v>
          </cell>
          <cell r="G93">
            <v>265974</v>
          </cell>
          <cell r="H93">
            <v>0</v>
          </cell>
          <cell r="I93">
            <v>265974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Ecuador - Quito</v>
          </cell>
          <cell r="E94">
            <v>233754</v>
          </cell>
          <cell r="F94">
            <v>33629</v>
          </cell>
          <cell r="G94">
            <v>200125</v>
          </cell>
          <cell r="H94">
            <v>0</v>
          </cell>
          <cell r="I94">
            <v>200125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Ecuador - Quito</v>
          </cell>
          <cell r="E95">
            <v>173868</v>
          </cell>
          <cell r="F95">
            <v>22061</v>
          </cell>
          <cell r="G95">
            <v>151807</v>
          </cell>
          <cell r="H95">
            <v>0</v>
          </cell>
          <cell r="I95">
            <v>151807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Ecuador - Quito</v>
          </cell>
          <cell r="E96">
            <v>158854</v>
          </cell>
          <cell r="F96">
            <v>19384</v>
          </cell>
          <cell r="G96">
            <v>139470</v>
          </cell>
          <cell r="H96">
            <v>46222</v>
          </cell>
          <cell r="I96">
            <v>93248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Venezuela - Caracas</v>
          </cell>
          <cell r="E97">
            <v>252068</v>
          </cell>
          <cell r="F97">
            <v>39041</v>
          </cell>
          <cell r="G97">
            <v>213027</v>
          </cell>
          <cell r="H97">
            <v>51927</v>
          </cell>
          <cell r="I97">
            <v>161100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Ecuador - Quito</v>
          </cell>
          <cell r="E98">
            <v>83869</v>
          </cell>
          <cell r="F98">
            <v>4779</v>
          </cell>
          <cell r="G98">
            <v>79090</v>
          </cell>
          <cell r="H98">
            <v>40678</v>
          </cell>
          <cell r="I98">
            <v>38412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Ecuador - Quito</v>
          </cell>
          <cell r="E99">
            <v>73461</v>
          </cell>
          <cell r="F99">
            <v>8829</v>
          </cell>
          <cell r="G99">
            <v>64632</v>
          </cell>
          <cell r="H99">
            <v>47730</v>
          </cell>
          <cell r="I99">
            <v>16902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Cayman Islands</v>
          </cell>
          <cell r="E100">
            <v>100302</v>
          </cell>
          <cell r="F100">
            <v>5287</v>
          </cell>
          <cell r="G100">
            <v>95015</v>
          </cell>
          <cell r="H100">
            <v>0</v>
          </cell>
          <cell r="I100">
            <v>95015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Ecuador - Quito</v>
          </cell>
          <cell r="E101">
            <v>84559</v>
          </cell>
          <cell r="F101">
            <v>3193</v>
          </cell>
          <cell r="G101">
            <v>81366</v>
          </cell>
          <cell r="H101">
            <v>40732</v>
          </cell>
          <cell r="I101">
            <v>40634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Ecuador - Quito</v>
          </cell>
          <cell r="E102">
            <v>123547</v>
          </cell>
          <cell r="F102">
            <v>15007</v>
          </cell>
          <cell r="G102">
            <v>108540</v>
          </cell>
          <cell r="H102">
            <v>47730</v>
          </cell>
          <cell r="I102">
            <v>60810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Venezuela - El Tigre</v>
          </cell>
          <cell r="E103">
            <v>79239</v>
          </cell>
          <cell r="F103">
            <v>7543</v>
          </cell>
          <cell r="G103">
            <v>71696</v>
          </cell>
          <cell r="H103">
            <v>42419</v>
          </cell>
          <cell r="I103">
            <v>29277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 t="e">
            <v>#N/A</v>
          </cell>
          <cell r="F104">
            <v>0</v>
          </cell>
          <cell r="G104" t="e">
            <v>#N/A</v>
          </cell>
          <cell r="H104">
            <v>0</v>
          </cell>
          <cell r="I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 t="e">
            <v>#N/A</v>
          </cell>
          <cell r="F105">
            <v>0</v>
          </cell>
          <cell r="G105" t="e">
            <v>#N/A</v>
          </cell>
          <cell r="H105">
            <v>0</v>
          </cell>
          <cell r="I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 t="e">
            <v>#N/A</v>
          </cell>
          <cell r="F106">
            <v>0</v>
          </cell>
          <cell r="G106" t="e">
            <v>#N/A</v>
          </cell>
          <cell r="H106">
            <v>0</v>
          </cell>
          <cell r="I106" t="e">
            <v>#N/A</v>
          </cell>
        </row>
      </sheetData>
      <sheetData sheetId="3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3"/>
    </sheetNames>
    <sheetDataSet>
      <sheetData sheetId="0">
        <row r="55">
          <cell r="B55" t="str">
            <v>YPF S.A</v>
          </cell>
        </row>
        <row r="56">
          <cell r="B56" t="str">
            <v>Central International Corporation</v>
          </cell>
        </row>
        <row r="57">
          <cell r="B57" t="str">
            <v>El Medanito</v>
          </cell>
        </row>
        <row r="58">
          <cell r="B58" t="str">
            <v>Punta Barda</v>
          </cell>
        </row>
        <row r="59">
          <cell r="B59" t="str">
            <v>Señal Picada</v>
          </cell>
        </row>
        <row r="60">
          <cell r="B60" t="str">
            <v>Volcán Auca Mahiuida</v>
          </cell>
        </row>
        <row r="61">
          <cell r="B61" t="str">
            <v>Señal Cerro Bayo</v>
          </cell>
        </row>
        <row r="62">
          <cell r="B62" t="str">
            <v>Cerro Hamaca Oeste</v>
          </cell>
        </row>
        <row r="63">
          <cell r="B63" t="str">
            <v>Bajo del Piche</v>
          </cell>
        </row>
        <row r="64">
          <cell r="B64" t="str">
            <v>Barranca los Loros</v>
          </cell>
        </row>
        <row r="65">
          <cell r="B65" t="str">
            <v>Catriel Oeste</v>
          </cell>
        </row>
      </sheetData>
      <sheetData sheetId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"/>
      <sheetName val="MO - Rotativo 12hs x turno (A)"/>
      <sheetName val="MO - Diurno 12hs (B)"/>
      <sheetName val="BD- BASICOS"/>
      <sheetName val="Diagrama de trabajo"/>
    </sheetNames>
    <sheetDataSet>
      <sheetData sheetId="0">
        <row r="7">
          <cell r="D7" t="str">
            <v>Etapa N° 1</v>
          </cell>
        </row>
      </sheetData>
      <sheetData sheetId="1" refreshError="1"/>
      <sheetData sheetId="2" refreshError="1"/>
      <sheetData sheetId="3" refreshError="1"/>
      <sheetData sheetId="4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"/>
      <sheetName val="Diagrama de trabajo"/>
      <sheetName val="MO - Rotativo 12hs x turno (A)"/>
      <sheetName val="MO - Diurno 12hs (B)"/>
      <sheetName val="BD- BASICOS"/>
    </sheetNames>
    <sheetDataSet>
      <sheetData sheetId="0">
        <row r="7">
          <cell r="D7" t="str">
            <v>Etapa N° 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METROS"/>
      <sheetName val="ESPESOR"/>
      <sheetName val="Hoja2"/>
      <sheetName val="Hoja3"/>
    </sheetNames>
    <sheetDataSet>
      <sheetData sheetId="0" refreshError="1"/>
      <sheetData sheetId="1" refreshError="1">
        <row r="13">
          <cell r="C13">
            <v>10</v>
          </cell>
        </row>
        <row r="14">
          <cell r="C14">
            <v>8.9</v>
          </cell>
        </row>
        <row r="15">
          <cell r="C15">
            <v>0.5</v>
          </cell>
        </row>
        <row r="16">
          <cell r="C16">
            <v>1</v>
          </cell>
        </row>
        <row r="21">
          <cell r="B21">
            <v>9.8999810903814716</v>
          </cell>
        </row>
      </sheetData>
      <sheetData sheetId="2" refreshError="1"/>
      <sheetData sheetId="3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terios casos criticos"/>
      <sheetName val="Gráfico1"/>
      <sheetName val="Gráfico2"/>
      <sheetName val="grafico"/>
      <sheetName val="RESUMEN GENERAL"/>
      <sheetName val="PRES-"/>
      <sheetName val="Base General"/>
      <sheetName val="RESUMEN por planta"/>
      <sheetName val="Resumen por Gcia.Div y cat"/>
      <sheetName val="TD SUELDOS ANUALES"/>
      <sheetName val="td ing. y tecno."/>
      <sheetName val="td EYC"/>
      <sheetName val="td FERTILIZANTES"/>
      <sheetName val="td GETRAN"/>
      <sheetName val="td sum y trading"/>
      <sheetName val="td refino y op."/>
      <sheetName val="td (pyl)"/>
      <sheetName val="td pnp"/>
      <sheetName val="td general"/>
      <sheetName val="Gráfico % MP"/>
      <sheetName val="ESTRUCTURAS act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alacion"/>
      <sheetName val="DataCombos"/>
      <sheetName val="DataCombos2"/>
      <sheetName val="Validacion"/>
      <sheetName val="MappedFields"/>
    </sheetNames>
    <sheetDataSet>
      <sheetData sheetId="0" refreshError="1"/>
      <sheetData sheetId="1" refreshError="1"/>
      <sheetData sheetId="2">
        <row r="6">
          <cell r="B6" t="str">
            <v>N / A</v>
          </cell>
        </row>
        <row r="7">
          <cell r="B7" t="str">
            <v>—</v>
          </cell>
        </row>
        <row r="8">
          <cell r="B8" t="str">
            <v>DRS</v>
          </cell>
        </row>
        <row r="9">
          <cell r="B9" t="str">
            <v>DRSBARHVH6</v>
          </cell>
        </row>
        <row r="10">
          <cell r="B10" t="str">
            <v>DRSBCHVH6</v>
          </cell>
        </row>
        <row r="11">
          <cell r="B11" t="str">
            <v>DRSHV</v>
          </cell>
        </row>
        <row r="12">
          <cell r="B12" t="str">
            <v>DRST</v>
          </cell>
        </row>
        <row r="13">
          <cell r="B13" t="str">
            <v>ESP</v>
          </cell>
        </row>
        <row r="14">
          <cell r="B14" t="str">
            <v>FP</v>
          </cell>
        </row>
        <row r="15">
          <cell r="B15" t="str">
            <v>FPA</v>
          </cell>
        </row>
        <row r="16">
          <cell r="B16" t="str">
            <v>FPAINT</v>
          </cell>
        </row>
        <row r="17">
          <cell r="B17" t="str">
            <v>FPAINTJ</v>
          </cell>
        </row>
        <row r="18">
          <cell r="B18" t="str">
            <v>FPARCINT</v>
          </cell>
        </row>
        <row r="19">
          <cell r="B19" t="str">
            <v>FPARCINTH6</v>
          </cell>
        </row>
        <row r="20">
          <cell r="B20" t="str">
            <v>FPDSARCINT</v>
          </cell>
        </row>
        <row r="21">
          <cell r="B21" t="str">
            <v>FPDSARCINTH6</v>
          </cell>
        </row>
        <row r="22">
          <cell r="B22" t="str">
            <v>FPDSINT</v>
          </cell>
        </row>
        <row r="23">
          <cell r="B23" t="str">
            <v>FPHVINT</v>
          </cell>
        </row>
        <row r="24">
          <cell r="B24" t="str">
            <v>FPINT</v>
          </cell>
        </row>
        <row r="25">
          <cell r="B25" t="str">
            <v>FPINTAR</v>
          </cell>
        </row>
        <row r="26">
          <cell r="B26" t="str">
            <v>FPINTH6</v>
          </cell>
        </row>
        <row r="27">
          <cell r="B27" t="str">
            <v>FPINTJ</v>
          </cell>
        </row>
        <row r="28">
          <cell r="B28" t="str">
            <v>FPINTX</v>
          </cell>
        </row>
        <row r="29">
          <cell r="B29" t="str">
            <v>FPXARCINT</v>
          </cell>
        </row>
        <row r="30">
          <cell r="B30" t="str">
            <v>FPXARINT</v>
          </cell>
        </row>
        <row r="31">
          <cell r="B31" t="str">
            <v>FPXINT</v>
          </cell>
        </row>
        <row r="32">
          <cell r="B32" t="str">
            <v>FPXINTJ</v>
          </cell>
        </row>
        <row r="33">
          <cell r="B33" t="str">
            <v>FRS</v>
          </cell>
        </row>
        <row r="34">
          <cell r="B34" t="str">
            <v>FRS3</v>
          </cell>
        </row>
        <row r="35">
          <cell r="B35" t="str">
            <v>FRS3AR</v>
          </cell>
        </row>
        <row r="36">
          <cell r="B36" t="str">
            <v>FRS3X</v>
          </cell>
        </row>
        <row r="37">
          <cell r="B37" t="str">
            <v>FRSBC</v>
          </cell>
        </row>
        <row r="38">
          <cell r="B38" t="str">
            <v>FRSBCH6</v>
          </cell>
        </row>
        <row r="39">
          <cell r="B39" t="str">
            <v>FRSC</v>
          </cell>
        </row>
        <row r="40">
          <cell r="B40" t="str">
            <v>FRSDAR</v>
          </cell>
        </row>
        <row r="41">
          <cell r="B41" t="str">
            <v>FRSHV</v>
          </cell>
        </row>
        <row r="42">
          <cell r="B42" t="str">
            <v>FRSINT</v>
          </cell>
        </row>
        <row r="43">
          <cell r="B43" t="str">
            <v>FRST</v>
          </cell>
        </row>
        <row r="44">
          <cell r="B44" t="str">
            <v>FRST3AR</v>
          </cell>
        </row>
        <row r="45">
          <cell r="B45" t="str">
            <v>FRSX</v>
          </cell>
        </row>
        <row r="46">
          <cell r="B46" t="str">
            <v>FRSX3</v>
          </cell>
        </row>
        <row r="47">
          <cell r="B47" t="str">
            <v>FRSXAR</v>
          </cell>
        </row>
        <row r="48">
          <cell r="B48" t="str">
            <v>FRSXARH6</v>
          </cell>
        </row>
        <row r="49">
          <cell r="B49" t="str">
            <v>FRSXARL</v>
          </cell>
        </row>
        <row r="50">
          <cell r="B50" t="str">
            <v>FRSXDARWCHS</v>
          </cell>
        </row>
        <row r="51">
          <cell r="B51" t="str">
            <v>FRSXH6</v>
          </cell>
        </row>
        <row r="52">
          <cell r="B52" t="str">
            <v>FRSXINT</v>
          </cell>
        </row>
        <row r="53">
          <cell r="B53" t="str">
            <v>FRSXINTJ</v>
          </cell>
        </row>
        <row r="54">
          <cell r="B54" t="str">
            <v>FRSXJ</v>
          </cell>
        </row>
        <row r="55">
          <cell r="B55" t="str">
            <v>FRSXJINT</v>
          </cell>
        </row>
        <row r="56">
          <cell r="B56" t="str">
            <v>FRSXT</v>
          </cell>
        </row>
        <row r="57">
          <cell r="B57" t="str">
            <v>FRSXT3</v>
          </cell>
        </row>
        <row r="58">
          <cell r="B58" t="str">
            <v>FRSXTAR</v>
          </cell>
        </row>
        <row r="59">
          <cell r="B59" t="str">
            <v>FRSXTARC</v>
          </cell>
        </row>
        <row r="60">
          <cell r="B60" t="str">
            <v>FRSXTC</v>
          </cell>
        </row>
        <row r="61">
          <cell r="B61" t="str">
            <v>FRSXTCH6</v>
          </cell>
        </row>
        <row r="62">
          <cell r="B62" t="str">
            <v>GP</v>
          </cell>
        </row>
        <row r="63">
          <cell r="B63" t="str">
            <v>GPARCINT</v>
          </cell>
        </row>
        <row r="64">
          <cell r="B64" t="str">
            <v>GPF</v>
          </cell>
        </row>
        <row r="65">
          <cell r="B65" t="str">
            <v>GPFINT</v>
          </cell>
        </row>
        <row r="66">
          <cell r="B66" t="str">
            <v>GPFINTJ</v>
          </cell>
        </row>
        <row r="67">
          <cell r="B67" t="str">
            <v>GPFS</v>
          </cell>
        </row>
        <row r="68">
          <cell r="B68" t="str">
            <v>GPFSINT</v>
          </cell>
        </row>
        <row r="69">
          <cell r="B69" t="str">
            <v>GPFSXINT</v>
          </cell>
        </row>
        <row r="70">
          <cell r="B70" t="str">
            <v>GPINT</v>
          </cell>
        </row>
        <row r="71">
          <cell r="B71" t="str">
            <v>GPINTAR</v>
          </cell>
        </row>
        <row r="72">
          <cell r="B72" t="str">
            <v>GPINTARC</v>
          </cell>
        </row>
        <row r="73">
          <cell r="B73" t="str">
            <v>GPINTC</v>
          </cell>
        </row>
        <row r="74">
          <cell r="B74" t="str">
            <v>GPXARCINT</v>
          </cell>
        </row>
        <row r="75">
          <cell r="B75" t="str">
            <v>GPXARINT</v>
          </cell>
        </row>
        <row r="76">
          <cell r="B76" t="str">
            <v>GPXCINT</v>
          </cell>
        </row>
        <row r="77">
          <cell r="B77" t="str">
            <v>GPXINT</v>
          </cell>
        </row>
        <row r="78">
          <cell r="B78" t="str">
            <v>GRS</v>
          </cell>
        </row>
        <row r="79">
          <cell r="B79" t="str">
            <v>GRS3</v>
          </cell>
        </row>
        <row r="80">
          <cell r="B80" t="str">
            <v>GRS3AR</v>
          </cell>
        </row>
        <row r="81">
          <cell r="B81" t="str">
            <v>GRSC</v>
          </cell>
        </row>
        <row r="82">
          <cell r="B82" t="str">
            <v>GRSFXAR</v>
          </cell>
        </row>
        <row r="83">
          <cell r="B83" t="str">
            <v>GRST</v>
          </cell>
        </row>
        <row r="84">
          <cell r="B84" t="str">
            <v>GRSTAR</v>
          </cell>
        </row>
        <row r="85">
          <cell r="B85" t="str">
            <v>GRSX</v>
          </cell>
        </row>
        <row r="86">
          <cell r="B86" t="str">
            <v>GRSX3</v>
          </cell>
        </row>
        <row r="87">
          <cell r="B87" t="str">
            <v>GRSXTAR</v>
          </cell>
        </row>
        <row r="88">
          <cell r="B88" t="str">
            <v>REDA</v>
          </cell>
        </row>
      </sheetData>
      <sheetData sheetId="3" refreshError="1"/>
      <sheetData sheetId="4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TOR MATRIX"/>
      <sheetName val="MASTER TABLE"/>
      <sheetName val="COVER"/>
      <sheetName val="TOC"/>
      <sheetName val="DPUMPS-338 p.01"/>
      <sheetName val="DC800 p.02"/>
      <sheetName val="DC1000 &amp; DC1250 p.03"/>
      <sheetName val="DC2200 &amp; DC2500 p.04"/>
      <sheetName val="FPUMPS-400 (1 OF 2) p.05"/>
      <sheetName val="FPUMPS-400 (2 OF 2) p.06"/>
      <sheetName val="FS400 &amp; FS650 p.07"/>
      <sheetName val="FS950 &amp; FS1200 p.08"/>
      <sheetName val="FS1650 p.9"/>
      <sheetName val="FC450 &amp; FC650 p.10"/>
      <sheetName val="FC925 &amp; FC1200 p.11"/>
      <sheetName val="FC1600 &amp; FC1800 (resv.)  p.12"/>
      <sheetName val="FC2200 &amp; FC2700 p.13"/>
      <sheetName val="FC4300 &amp; FC6000 p.14"/>
      <sheetName val="FCNPSH p.15"/>
      <sheetName val="FPUMPS-400 AR p.16"/>
      <sheetName val="GPUMPS-513 (1 OF 2) p.17"/>
      <sheetName val="GPUMPS-513 (2 OF 2) p.18"/>
      <sheetName val="GS2300 p.19"/>
      <sheetName val="GC1150 &amp; GC1700 p.20"/>
      <sheetName val="GC2200 &amp; GC2900 p.21"/>
      <sheetName val="GC3000 &amp; GC3500 p.22"/>
      <sheetName val="GC4100 &amp; GC6100 p.23"/>
      <sheetName val="GC8200 &amp; GC10000 p.24"/>
      <sheetName val="GCNPSH p.25"/>
      <sheetName val="GPUMPS-513 AR p.26"/>
      <sheetName val="KPUMPS - 562 SERIES p.27"/>
      <sheetName val="KC12000 p.28"/>
      <sheetName val="KC16000 p.29"/>
      <sheetName val="KC20000 p.30"/>
      <sheetName val="KPUMPS-562 AR p.31 "/>
      <sheetName val="HPUMPS - 675 SERIES p.32"/>
      <sheetName val="HC7800-10000 p.33"/>
      <sheetName val="HC12500-16000 p34  "/>
      <sheetName val="HC19000 p.35"/>
      <sheetName val="HC27000-35000  p.36"/>
      <sheetName val="HPUMPS-675 AR p.37"/>
      <sheetName val="I-J PUMPS 875-1025 SERIES p.38"/>
      <sheetName val="WI600 p.39"/>
      <sheetName val="WI700 PUMP p.40"/>
      <sheetName val="WJ1000 p.41"/>
      <sheetName val="WJ1200 p.42"/>
      <sheetName val="Centurion Pump p.43"/>
      <sheetName val="400P6p.44"/>
      <sheetName val="400P8 p.45"/>
      <sheetName val="400P12 p.46"/>
      <sheetName val="400P16 p.47"/>
      <sheetName val="400P18 p.48"/>
      <sheetName val="400P30 p.49"/>
      <sheetName val="538p17 p50"/>
      <sheetName val="538p23 p.51"/>
      <sheetName val="538p37 p.52"/>
      <sheetName val="538p47 p.53"/>
      <sheetName val="538p62 p.54"/>
      <sheetName val="538p100 p.55"/>
      <sheetName val="375 MOTORS-338 SEALS p.56"/>
      <sheetName val="375 MOTORS p.57"/>
      <sheetName val="450 MOTORS-400 SEALS p.58"/>
      <sheetName val="FMH 450 MOTORS p.59"/>
      <sheetName val="562 MOTORS-513 SEALS p.60"/>
      <sheetName val="562 KMH-MOTORS p.61"/>
      <sheetName val="562 KMH-MOTORS p.62"/>
      <sheetName val="725 MOTORS-675 SEALS p.63"/>
      <sheetName val="725 MOTORS p.64"/>
      <sheetName val="MLE 1 OF 4 p.65"/>
      <sheetName val="MLE 2 OF 4 p.66"/>
      <sheetName val="MLE 3 OF 4 p.67"/>
      <sheetName val="MLE 4 OF 4 p.68"/>
      <sheetName val="CABLE 1 OF 2 p.60"/>
      <sheetName val="CABLE 2 OF 3 p.70"/>
      <sheetName val="CABLE 3 OF 3 p.71"/>
      <sheetName val="SWITCHBOARDS 1 OF 2 p.72"/>
      <sheetName val="SWITCHBOARDS 2 OF 2 p.73"/>
      <sheetName val="VSD 1 OF 3 p.74"/>
      <sheetName val="VSD 2 OF 3 p.75"/>
      <sheetName val="VSD 3 OF 3 p.76"/>
      <sheetName val="GCS1 p.77"/>
      <sheetName val="GCS2 p.78"/>
      <sheetName val="GCS3 p.79"/>
      <sheetName val="PumpMate p.80"/>
      <sheetName val="Sensor Centinel p.81"/>
      <sheetName val="Recirculation Pump p.82"/>
      <sheetName val="XFORMERS 1 OF 2 p.83"/>
      <sheetName val="XFORMERS 2 OF 2  p.84"/>
      <sheetName val="XFORMERS VSC p.85"/>
      <sheetName val="Transformer VSD Argentina p.86"/>
      <sheetName val="XFORMERS Arg. p.87"/>
      <sheetName val="SURFACE EQUIPMENT  p.88"/>
      <sheetName val="ACCESSORIES (1 OF 2) p.89"/>
      <sheetName val="ACCESSORIES (2 OF 2) p.90"/>
      <sheetName val="INSPECCION Y REPARACION p.91"/>
      <sheetName val="Glossary p.92"/>
      <sheetName val="Glossary2 p.93"/>
      <sheetName val="Glossary3 p.94"/>
    </sheetNames>
    <sheetDataSet>
      <sheetData sheetId="0" refreshError="1"/>
      <sheetData sheetId="1">
        <row r="547">
          <cell r="I547">
            <v>2814.1189999999997</v>
          </cell>
        </row>
        <row r="548">
          <cell r="I548">
            <v>3361.7374999999997</v>
          </cell>
        </row>
        <row r="549">
          <cell r="I549">
            <v>4130.4779999999992</v>
          </cell>
        </row>
        <row r="550">
          <cell r="I550">
            <v>4491.7619999999997</v>
          </cell>
        </row>
        <row r="551">
          <cell r="I551">
            <v>4762.7249999999995</v>
          </cell>
        </row>
        <row r="552">
          <cell r="I552">
            <v>5522.99</v>
          </cell>
        </row>
        <row r="553">
          <cell r="I553">
            <v>6274.4</v>
          </cell>
        </row>
        <row r="554">
          <cell r="I554">
            <v>7030.87</v>
          </cell>
        </row>
        <row r="555">
          <cell r="I555">
            <v>7697.5249999999996</v>
          </cell>
        </row>
        <row r="556">
          <cell r="I556">
            <v>10150.866</v>
          </cell>
        </row>
        <row r="557">
          <cell r="I557">
            <v>10488.747499999999</v>
          </cell>
        </row>
        <row r="558">
          <cell r="I558">
            <v>10864.832</v>
          </cell>
        </row>
        <row r="559">
          <cell r="I559">
            <v>10637.384999999998</v>
          </cell>
        </row>
        <row r="560">
          <cell r="I560">
            <v>11837.364</v>
          </cell>
        </row>
        <row r="561">
          <cell r="I561">
            <v>12057.98</v>
          </cell>
        </row>
        <row r="562">
          <cell r="I562">
            <v>12816.98</v>
          </cell>
        </row>
        <row r="563">
          <cell r="I563">
            <v>13479.84</v>
          </cell>
        </row>
        <row r="564">
          <cell r="I564">
            <v>14142.699999999999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TPO0197"/>
      <sheetName val="PDBase"/>
    </sheetNames>
    <sheetDataSet>
      <sheetData sheetId="0" refreshError="1"/>
      <sheetData sheetId="1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Costo Venta"/>
      <sheetName val="Resumen"/>
      <sheetName val="MOD"/>
      <sheetName val="MOI"/>
      <sheetName val="Materiales"/>
      <sheetName val="Herramientas"/>
      <sheetName val="Consumibles"/>
      <sheetName val="Equipos"/>
      <sheetName val="Subc"/>
      <sheetName val="Gastos"/>
      <sheetName val="Valores FASPyGP"/>
      <sheetName val="CSoc"/>
      <sheetName val="I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non Taller "/>
      <sheetName val="N de Crédito"/>
      <sheetName val="N de Crédito-Niveles"/>
      <sheetName val="Cargo Mensual"/>
      <sheetName val="PH 0573"/>
      <sheetName val="Cotizacion PH 1411"/>
      <sheetName val="PH 1411"/>
      <sheetName val="Diferencia "/>
      <sheetName val="Sop Dif "/>
      <sheetName val="Resumen"/>
    </sheetNames>
    <sheetDataSet>
      <sheetData sheetId="0" refreshError="1">
        <row r="15">
          <cell r="I15">
            <v>0.4</v>
          </cell>
          <cell r="J15" t="str">
            <v>182-92-48-00009</v>
          </cell>
        </row>
        <row r="16">
          <cell r="I16">
            <v>0.6</v>
          </cell>
          <cell r="J16" t="str">
            <v>182-92-48-00010</v>
          </cell>
        </row>
        <row r="17">
          <cell r="I17">
            <v>1</v>
          </cell>
          <cell r="J17" t="str">
            <v>182-92-48-00011</v>
          </cell>
        </row>
        <row r="18">
          <cell r="I18">
            <v>1.2</v>
          </cell>
          <cell r="J18" t="str">
            <v>182-92-48-00012</v>
          </cell>
        </row>
        <row r="19">
          <cell r="I19">
            <v>1.4</v>
          </cell>
          <cell r="J19" t="str">
            <v>182-92-48-00013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formación de Cabecera"/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79">
          <cell r="B79" t="str">
            <v>Dólar</v>
          </cell>
        </row>
        <row r="80">
          <cell r="B80" t="str">
            <v>Gasoil</v>
          </cell>
        </row>
        <row r="81">
          <cell r="B81" t="str">
            <v>Ipim</v>
          </cell>
        </row>
        <row r="82">
          <cell r="B82" t="str">
            <v>Vehículos</v>
          </cell>
        </row>
        <row r="83">
          <cell r="B83" t="str">
            <v>WPU06 Pesificado</v>
          </cell>
        </row>
      </sheetData>
      <sheetData sheetId="14" refreshError="1"/>
      <sheetData sheetId="15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501093254</v>
          </cell>
          <cell r="B7" t="str">
            <v>ALFARO PEREZ</v>
          </cell>
          <cell r="C7" t="str">
            <v>Anthony</v>
          </cell>
          <cell r="D7" t="str">
            <v>Technical Advisor</v>
          </cell>
          <cell r="E7">
            <v>59</v>
          </cell>
          <cell r="F7">
            <v>7875</v>
          </cell>
          <cell r="G7">
            <v>0</v>
          </cell>
          <cell r="H7">
            <v>3</v>
          </cell>
          <cell r="I7">
            <v>23625</v>
          </cell>
          <cell r="J7">
            <v>126000</v>
          </cell>
          <cell r="K7">
            <v>75006</v>
          </cell>
          <cell r="L7">
            <v>16662</v>
          </cell>
          <cell r="M7">
            <v>91668</v>
          </cell>
          <cell r="N7" t="str">
            <v>Venezuela - Maracaibo</v>
          </cell>
          <cell r="O7">
            <v>0.15</v>
          </cell>
          <cell r="P7">
            <v>15356</v>
          </cell>
          <cell r="Q7">
            <v>3544</v>
          </cell>
          <cell r="R7">
            <v>0.2</v>
          </cell>
          <cell r="S7">
            <v>20475</v>
          </cell>
          <cell r="T7">
            <v>0</v>
          </cell>
          <cell r="U7">
            <v>92519</v>
          </cell>
          <cell r="V7">
            <v>0</v>
          </cell>
          <cell r="W7">
            <v>0</v>
          </cell>
          <cell r="X7">
            <v>131894</v>
          </cell>
          <cell r="Y7">
            <v>207780</v>
          </cell>
          <cell r="Z7">
            <v>223562</v>
          </cell>
          <cell r="AA7">
            <v>333780</v>
          </cell>
        </row>
        <row r="8">
          <cell r="A8">
            <v>1010670880</v>
          </cell>
          <cell r="B8" t="str">
            <v>MONACO</v>
          </cell>
          <cell r="C8" t="str">
            <v>Daniel Hugo</v>
          </cell>
          <cell r="D8" t="str">
            <v>Jefe Produccion SR.</v>
          </cell>
          <cell r="E8">
            <v>58</v>
          </cell>
          <cell r="F8">
            <v>6600</v>
          </cell>
          <cell r="G8">
            <v>0</v>
          </cell>
          <cell r="H8">
            <v>3</v>
          </cell>
          <cell r="I8">
            <v>19800</v>
          </cell>
          <cell r="J8">
            <v>105600</v>
          </cell>
          <cell r="K8">
            <v>63880</v>
          </cell>
          <cell r="L8">
            <v>13342</v>
          </cell>
          <cell r="M8">
            <v>77222</v>
          </cell>
          <cell r="N8" t="str">
            <v>Venezuela - Maracaibo</v>
          </cell>
          <cell r="O8">
            <v>0.15</v>
          </cell>
          <cell r="P8">
            <v>12870</v>
          </cell>
          <cell r="Q8">
            <v>2970</v>
          </cell>
          <cell r="R8">
            <v>0.2</v>
          </cell>
          <cell r="S8">
            <v>17160</v>
          </cell>
          <cell r="T8">
            <v>0</v>
          </cell>
          <cell r="U8">
            <v>99608</v>
          </cell>
          <cell r="V8">
            <v>2383</v>
          </cell>
          <cell r="W8">
            <v>0</v>
          </cell>
          <cell r="X8">
            <v>134991</v>
          </cell>
          <cell r="Y8">
            <v>210720</v>
          </cell>
          <cell r="Z8">
            <v>212213</v>
          </cell>
          <cell r="AA8">
            <v>316320</v>
          </cell>
        </row>
        <row r="9">
          <cell r="A9">
            <v>1011355230</v>
          </cell>
          <cell r="B9" t="str">
            <v>MOHANNA</v>
          </cell>
          <cell r="C9" t="str">
            <v>Julio César</v>
          </cell>
          <cell r="D9" t="str">
            <v>Supervisor Principal</v>
          </cell>
          <cell r="E9">
            <v>55</v>
          </cell>
          <cell r="F9">
            <v>4114.8</v>
          </cell>
          <cell r="G9">
            <v>0</v>
          </cell>
          <cell r="H9">
            <v>0</v>
          </cell>
          <cell r="I9">
            <v>0</v>
          </cell>
          <cell r="J9">
            <v>53492</v>
          </cell>
          <cell r="K9">
            <v>41326</v>
          </cell>
          <cell r="L9">
            <v>0</v>
          </cell>
          <cell r="M9">
            <v>41326</v>
          </cell>
          <cell r="N9" t="str">
            <v>Venezuela - Maracaibo</v>
          </cell>
          <cell r="O9">
            <v>0.15</v>
          </cell>
          <cell r="P9">
            <v>8024</v>
          </cell>
          <cell r="Q9">
            <v>0</v>
          </cell>
          <cell r="R9">
            <v>0.2</v>
          </cell>
          <cell r="S9">
            <v>10698</v>
          </cell>
          <cell r="T9">
            <v>0</v>
          </cell>
          <cell r="U9">
            <v>67639</v>
          </cell>
          <cell r="V9">
            <v>1331</v>
          </cell>
          <cell r="W9">
            <v>0</v>
          </cell>
          <cell r="X9">
            <v>87692</v>
          </cell>
          <cell r="Y9">
            <v>131182</v>
          </cell>
          <cell r="Z9">
            <v>129018</v>
          </cell>
          <cell r="AA9">
            <v>184674</v>
          </cell>
        </row>
        <row r="10">
          <cell r="A10">
            <v>1018773481</v>
          </cell>
          <cell r="B10" t="str">
            <v>NOTA</v>
          </cell>
          <cell r="C10" t="str">
            <v>Sebastian</v>
          </cell>
          <cell r="D10">
            <v>0</v>
          </cell>
          <cell r="E10">
            <v>0</v>
          </cell>
          <cell r="F10">
            <v>2275</v>
          </cell>
          <cell r="G10">
            <v>0</v>
          </cell>
          <cell r="H10">
            <v>0</v>
          </cell>
          <cell r="I10">
            <v>0</v>
          </cell>
          <cell r="J10">
            <v>29575</v>
          </cell>
          <cell r="K10">
            <v>24187</v>
          </cell>
          <cell r="L10">
            <v>0</v>
          </cell>
          <cell r="M10">
            <v>24187</v>
          </cell>
          <cell r="N10" t="str">
            <v>Bolivia - Sta. Cruz de la Sierra</v>
          </cell>
          <cell r="O10">
            <v>0.15</v>
          </cell>
          <cell r="P10">
            <v>4436</v>
          </cell>
          <cell r="Q10">
            <v>0</v>
          </cell>
          <cell r="R10">
            <v>0.15</v>
          </cell>
          <cell r="S10">
            <v>4436</v>
          </cell>
          <cell r="T10">
            <v>0</v>
          </cell>
          <cell r="U10">
            <v>14487</v>
          </cell>
          <cell r="V10">
            <v>0</v>
          </cell>
          <cell r="W10">
            <v>0</v>
          </cell>
          <cell r="X10">
            <v>23359</v>
          </cell>
          <cell r="Y10">
            <v>33535</v>
          </cell>
          <cell r="Z10">
            <v>47546</v>
          </cell>
          <cell r="AA10">
            <v>63110</v>
          </cell>
        </row>
        <row r="11">
          <cell r="A11">
            <v>1012057492</v>
          </cell>
          <cell r="B11" t="str">
            <v>CORFIELD</v>
          </cell>
          <cell r="C11" t="str">
            <v>Ricardo J.</v>
          </cell>
          <cell r="D11" t="str">
            <v>Jefe Produccion SR.</v>
          </cell>
          <cell r="E11">
            <v>58</v>
          </cell>
          <cell r="F11">
            <v>10395</v>
          </cell>
          <cell r="G11">
            <v>0</v>
          </cell>
          <cell r="H11">
            <v>4.09</v>
          </cell>
          <cell r="I11">
            <v>42481</v>
          </cell>
          <cell r="J11">
            <v>177616</v>
          </cell>
          <cell r="K11">
            <v>97339</v>
          </cell>
          <cell r="L11">
            <v>26556</v>
          </cell>
          <cell r="M11">
            <v>123895</v>
          </cell>
          <cell r="N11" t="str">
            <v>Venezuela - El Tigre</v>
          </cell>
          <cell r="O11">
            <v>0.15</v>
          </cell>
          <cell r="P11">
            <v>20270</v>
          </cell>
          <cell r="Q11">
            <v>6372</v>
          </cell>
          <cell r="R11">
            <v>0.15</v>
          </cell>
          <cell r="S11">
            <v>20270</v>
          </cell>
          <cell r="T11">
            <v>0</v>
          </cell>
          <cell r="U11">
            <v>35329</v>
          </cell>
          <cell r="V11">
            <v>9241</v>
          </cell>
          <cell r="W11">
            <v>0</v>
          </cell>
          <cell r="X11">
            <v>91482</v>
          </cell>
          <cell r="Y11">
            <v>143572</v>
          </cell>
          <cell r="Z11">
            <v>215377</v>
          </cell>
          <cell r="AA11">
            <v>321188</v>
          </cell>
        </row>
        <row r="12">
          <cell r="A12">
            <v>12</v>
          </cell>
          <cell r="B12" t="str">
            <v>EJEMPLO2</v>
          </cell>
          <cell r="C12">
            <v>0</v>
          </cell>
          <cell r="D12">
            <v>0</v>
          </cell>
          <cell r="E12">
            <v>57</v>
          </cell>
          <cell r="F12">
            <v>2400</v>
          </cell>
          <cell r="G12">
            <v>0</v>
          </cell>
          <cell r="H12">
            <v>0</v>
          </cell>
          <cell r="I12">
            <v>0</v>
          </cell>
          <cell r="J12">
            <v>31200</v>
          </cell>
          <cell r="K12">
            <v>25509</v>
          </cell>
          <cell r="L12">
            <v>0</v>
          </cell>
          <cell r="M12">
            <v>25509</v>
          </cell>
          <cell r="N12" t="str">
            <v>Brasil . Rio de Janeiro</v>
          </cell>
          <cell r="O12">
            <v>0.15</v>
          </cell>
          <cell r="P12">
            <v>4680</v>
          </cell>
          <cell r="Q12">
            <v>0</v>
          </cell>
          <cell r="R12">
            <v>0.1</v>
          </cell>
          <cell r="S12">
            <v>3120</v>
          </cell>
          <cell r="T12">
            <v>0</v>
          </cell>
          <cell r="U12">
            <v>27515</v>
          </cell>
          <cell r="V12">
            <v>0</v>
          </cell>
          <cell r="W12">
            <v>0</v>
          </cell>
          <cell r="X12">
            <v>35315</v>
          </cell>
          <cell r="Y12">
            <v>50377</v>
          </cell>
          <cell r="Z12">
            <v>60824</v>
          </cell>
          <cell r="AA12">
            <v>81577</v>
          </cell>
        </row>
        <row r="13">
          <cell r="A13">
            <v>1013733981</v>
          </cell>
          <cell r="B13" t="str">
            <v>ALMONACID</v>
          </cell>
          <cell r="C13" t="str">
            <v>Jorge Daniel</v>
          </cell>
          <cell r="D13" t="str">
            <v>Jefe de Producción</v>
          </cell>
          <cell r="E13">
            <v>57</v>
          </cell>
          <cell r="F13">
            <v>6132</v>
          </cell>
          <cell r="G13">
            <v>0</v>
          </cell>
          <cell r="H13">
            <v>2.5</v>
          </cell>
          <cell r="I13">
            <v>15330</v>
          </cell>
          <cell r="J13">
            <v>95046</v>
          </cell>
          <cell r="K13">
            <v>59391</v>
          </cell>
          <cell r="L13">
            <v>11431</v>
          </cell>
          <cell r="M13">
            <v>70822</v>
          </cell>
          <cell r="N13" t="str">
            <v>Venezuela - El Tigre</v>
          </cell>
          <cell r="O13">
            <v>0.15</v>
          </cell>
          <cell r="P13">
            <v>11957</v>
          </cell>
          <cell r="Q13">
            <v>2300</v>
          </cell>
          <cell r="R13">
            <v>0.15</v>
          </cell>
          <cell r="S13">
            <v>11957</v>
          </cell>
          <cell r="T13">
            <v>0</v>
          </cell>
          <cell r="U13">
            <v>87775</v>
          </cell>
          <cell r="V13">
            <v>5021</v>
          </cell>
          <cell r="W13">
            <v>0</v>
          </cell>
          <cell r="X13">
            <v>119010</v>
          </cell>
          <cell r="Y13">
            <v>186842</v>
          </cell>
          <cell r="Z13">
            <v>189832</v>
          </cell>
          <cell r="AA13">
            <v>281888</v>
          </cell>
        </row>
        <row r="14">
          <cell r="A14">
            <v>1020049433</v>
          </cell>
          <cell r="B14" t="str">
            <v>DUBE</v>
          </cell>
          <cell r="C14" t="str">
            <v>Darío Edgardo</v>
          </cell>
          <cell r="D14" t="str">
            <v>Profesional Sr.</v>
          </cell>
          <cell r="E14">
            <v>0</v>
          </cell>
          <cell r="F14">
            <v>5877.6</v>
          </cell>
          <cell r="G14">
            <v>0</v>
          </cell>
          <cell r="H14">
            <v>2</v>
          </cell>
          <cell r="I14">
            <v>11755.2</v>
          </cell>
          <cell r="J14">
            <v>88164</v>
          </cell>
          <cell r="K14">
            <v>56844</v>
          </cell>
          <cell r="L14">
            <v>8954</v>
          </cell>
          <cell r="M14">
            <v>65798</v>
          </cell>
          <cell r="N14" t="str">
            <v>Venezuela - El Tigre</v>
          </cell>
          <cell r="O14">
            <v>0.15</v>
          </cell>
          <cell r="P14">
            <v>11461</v>
          </cell>
          <cell r="Q14">
            <v>1763</v>
          </cell>
          <cell r="R14">
            <v>0.15</v>
          </cell>
          <cell r="S14">
            <v>11461</v>
          </cell>
          <cell r="T14">
            <v>0</v>
          </cell>
          <cell r="U14">
            <v>83605</v>
          </cell>
          <cell r="V14">
            <v>0</v>
          </cell>
          <cell r="W14">
            <v>0</v>
          </cell>
          <cell r="X14">
            <v>108290</v>
          </cell>
          <cell r="Y14">
            <v>169502</v>
          </cell>
          <cell r="Z14">
            <v>174088</v>
          </cell>
          <cell r="AA14">
            <v>257666</v>
          </cell>
        </row>
        <row r="15">
          <cell r="A15">
            <v>1011303322</v>
          </cell>
          <cell r="B15" t="str">
            <v>GIONGO</v>
          </cell>
          <cell r="C15" t="str">
            <v>Luis</v>
          </cell>
          <cell r="D15" t="str">
            <v>Supervisor Principal</v>
          </cell>
          <cell r="E15">
            <v>55</v>
          </cell>
          <cell r="F15">
            <v>5538</v>
          </cell>
          <cell r="G15">
            <v>0</v>
          </cell>
          <cell r="H15">
            <v>0</v>
          </cell>
          <cell r="I15">
            <v>0</v>
          </cell>
          <cell r="J15">
            <v>71994</v>
          </cell>
          <cell r="K15">
            <v>53594</v>
          </cell>
          <cell r="L15">
            <v>0</v>
          </cell>
          <cell r="M15">
            <v>53594</v>
          </cell>
          <cell r="N15" t="str">
            <v>Venezuela - El Tigre</v>
          </cell>
          <cell r="O15">
            <v>0.15</v>
          </cell>
          <cell r="P15">
            <v>10799</v>
          </cell>
          <cell r="Q15">
            <v>0</v>
          </cell>
          <cell r="R15">
            <v>0.15</v>
          </cell>
          <cell r="S15">
            <v>10799</v>
          </cell>
          <cell r="T15">
            <v>0</v>
          </cell>
          <cell r="U15">
            <v>65698</v>
          </cell>
          <cell r="V15">
            <v>5727</v>
          </cell>
          <cell r="W15">
            <v>0</v>
          </cell>
          <cell r="X15">
            <v>93023</v>
          </cell>
          <cell r="Y15">
            <v>140579</v>
          </cell>
          <cell r="Z15">
            <v>146617</v>
          </cell>
          <cell r="AA15">
            <v>212573</v>
          </cell>
        </row>
        <row r="16">
          <cell r="A16">
            <v>1007687952</v>
          </cell>
          <cell r="B16" t="str">
            <v>GAREIS</v>
          </cell>
          <cell r="C16" t="str">
            <v>Juan Eduardo</v>
          </cell>
          <cell r="D16" t="str">
            <v>Spervisor Principal</v>
          </cell>
          <cell r="E16">
            <v>55</v>
          </cell>
          <cell r="F16">
            <v>5538</v>
          </cell>
          <cell r="G16">
            <v>0</v>
          </cell>
          <cell r="H16">
            <v>0</v>
          </cell>
          <cell r="I16">
            <v>0</v>
          </cell>
          <cell r="J16">
            <v>71994</v>
          </cell>
          <cell r="K16">
            <v>54650</v>
          </cell>
          <cell r="L16">
            <v>0</v>
          </cell>
          <cell r="M16">
            <v>54650</v>
          </cell>
          <cell r="N16" t="str">
            <v>Venezuela - El Tigre</v>
          </cell>
          <cell r="O16">
            <v>0.15</v>
          </cell>
          <cell r="P16">
            <v>10799</v>
          </cell>
          <cell r="Q16">
            <v>0</v>
          </cell>
          <cell r="R16">
            <v>0.15</v>
          </cell>
          <cell r="S16">
            <v>10799</v>
          </cell>
          <cell r="T16">
            <v>0</v>
          </cell>
          <cell r="U16">
            <v>77124</v>
          </cell>
          <cell r="V16">
            <v>5027</v>
          </cell>
          <cell r="W16">
            <v>0</v>
          </cell>
          <cell r="X16">
            <v>103749</v>
          </cell>
          <cell r="Y16">
            <v>160318</v>
          </cell>
          <cell r="Z16">
            <v>158399</v>
          </cell>
          <cell r="AA16">
            <v>232312</v>
          </cell>
        </row>
        <row r="17">
          <cell r="A17">
            <v>1007602217</v>
          </cell>
          <cell r="B17" t="str">
            <v>BAUZA</v>
          </cell>
          <cell r="C17" t="str">
            <v>Carlos</v>
          </cell>
          <cell r="D17" t="str">
            <v>Spervisor Principal</v>
          </cell>
          <cell r="E17">
            <v>55</v>
          </cell>
          <cell r="F17">
            <v>4800</v>
          </cell>
          <cell r="G17">
            <v>576</v>
          </cell>
          <cell r="H17">
            <v>2</v>
          </cell>
          <cell r="I17">
            <v>10752</v>
          </cell>
          <cell r="J17">
            <v>80640</v>
          </cell>
          <cell r="K17">
            <v>52817</v>
          </cell>
          <cell r="L17">
            <v>7285</v>
          </cell>
          <cell r="M17">
            <v>60102</v>
          </cell>
          <cell r="N17" t="str">
            <v>Venezuela - El Tigre</v>
          </cell>
          <cell r="O17">
            <v>0.15</v>
          </cell>
          <cell r="P17">
            <v>10483</v>
          </cell>
          <cell r="Q17">
            <v>1613</v>
          </cell>
          <cell r="R17">
            <v>0.15</v>
          </cell>
          <cell r="S17">
            <v>10483</v>
          </cell>
          <cell r="T17">
            <v>0</v>
          </cell>
          <cell r="U17">
            <v>78734</v>
          </cell>
          <cell r="V17">
            <v>0</v>
          </cell>
          <cell r="W17">
            <v>0</v>
          </cell>
          <cell r="X17">
            <v>101313</v>
          </cell>
          <cell r="Y17">
            <v>156366</v>
          </cell>
          <cell r="Z17">
            <v>161415</v>
          </cell>
          <cell r="AA17">
            <v>237006</v>
          </cell>
        </row>
        <row r="18">
          <cell r="A18">
            <v>1014781064</v>
          </cell>
          <cell r="B18" t="str">
            <v>ROLANDO</v>
          </cell>
          <cell r="C18" t="str">
            <v>Roberto</v>
          </cell>
          <cell r="D18" t="str">
            <v>Asist. Producción</v>
          </cell>
          <cell r="E18">
            <v>56</v>
          </cell>
          <cell r="F18">
            <v>4002</v>
          </cell>
          <cell r="G18">
            <v>0</v>
          </cell>
          <cell r="H18">
            <v>0</v>
          </cell>
          <cell r="I18">
            <v>0</v>
          </cell>
          <cell r="J18">
            <v>52026</v>
          </cell>
          <cell r="K18">
            <v>40349</v>
          </cell>
          <cell r="L18">
            <v>0</v>
          </cell>
          <cell r="M18">
            <v>40349</v>
          </cell>
          <cell r="N18" t="str">
            <v>Venezuela - El Tigre</v>
          </cell>
          <cell r="O18">
            <v>0.15</v>
          </cell>
          <cell r="P18">
            <v>7804</v>
          </cell>
          <cell r="Q18">
            <v>0</v>
          </cell>
          <cell r="R18">
            <v>0.15</v>
          </cell>
          <cell r="S18">
            <v>7804</v>
          </cell>
          <cell r="T18">
            <v>0</v>
          </cell>
          <cell r="U18">
            <v>56270</v>
          </cell>
          <cell r="V18">
            <v>4779</v>
          </cell>
          <cell r="W18">
            <v>0</v>
          </cell>
          <cell r="X18">
            <v>76657</v>
          </cell>
          <cell r="Y18">
            <v>114168</v>
          </cell>
          <cell r="Z18">
            <v>117006</v>
          </cell>
          <cell r="AA18">
            <v>166194</v>
          </cell>
        </row>
        <row r="19">
          <cell r="A19">
            <v>300</v>
          </cell>
          <cell r="B19" t="str">
            <v>GONZALEZ1</v>
          </cell>
          <cell r="C19" t="str">
            <v>Marcelo A.</v>
          </cell>
          <cell r="D19">
            <v>0</v>
          </cell>
          <cell r="E19">
            <v>64</v>
          </cell>
          <cell r="F19">
            <v>4270</v>
          </cell>
          <cell r="G19">
            <v>3000</v>
          </cell>
          <cell r="H19">
            <v>2</v>
          </cell>
          <cell r="I19">
            <v>8540</v>
          </cell>
          <cell r="J19">
            <v>103050</v>
          </cell>
          <cell r="K19">
            <v>70624</v>
          </cell>
          <cell r="L19">
            <v>5012</v>
          </cell>
          <cell r="M19">
            <v>75636</v>
          </cell>
          <cell r="N19" t="str">
            <v>Brasil . Rio de Janeiro</v>
          </cell>
          <cell r="O19">
            <v>0.15</v>
          </cell>
          <cell r="P19">
            <v>14177</v>
          </cell>
          <cell r="Q19">
            <v>1281</v>
          </cell>
          <cell r="R19">
            <v>0.1</v>
          </cell>
          <cell r="S19">
            <v>9451</v>
          </cell>
          <cell r="T19">
            <v>0</v>
          </cell>
          <cell r="U19">
            <v>42412</v>
          </cell>
          <cell r="V19">
            <v>0</v>
          </cell>
          <cell r="W19">
            <v>0</v>
          </cell>
          <cell r="X19">
            <v>67321</v>
          </cell>
          <cell r="Y19">
            <v>103069</v>
          </cell>
          <cell r="Z19">
            <v>142957</v>
          </cell>
          <cell r="AA19">
            <v>206119</v>
          </cell>
        </row>
        <row r="20">
          <cell r="A20">
            <v>1012942976</v>
          </cell>
          <cell r="B20" t="str">
            <v>GOMEZ</v>
          </cell>
          <cell r="C20" t="str">
            <v>Marcelo Gerardo</v>
          </cell>
          <cell r="D20" t="str">
            <v>Gte.Operaciones</v>
          </cell>
          <cell r="E20">
            <v>62</v>
          </cell>
          <cell r="F20">
            <v>15000</v>
          </cell>
          <cell r="G20">
            <v>0</v>
          </cell>
          <cell r="H20">
            <v>5</v>
          </cell>
          <cell r="I20">
            <v>75000</v>
          </cell>
          <cell r="J20">
            <v>270000</v>
          </cell>
          <cell r="K20">
            <v>135730</v>
          </cell>
          <cell r="L20">
            <v>46375</v>
          </cell>
          <cell r="M20">
            <v>182105</v>
          </cell>
          <cell r="N20" t="str">
            <v>Venezuela - Caracas</v>
          </cell>
          <cell r="O20">
            <v>0.15</v>
          </cell>
          <cell r="P20">
            <v>29250</v>
          </cell>
          <cell r="Q20">
            <v>11250</v>
          </cell>
          <cell r="R20">
            <v>0.05</v>
          </cell>
          <cell r="S20">
            <v>9750</v>
          </cell>
          <cell r="T20">
            <v>0</v>
          </cell>
          <cell r="U20">
            <v>245124</v>
          </cell>
          <cell r="V20">
            <v>0</v>
          </cell>
          <cell r="W20">
            <v>0</v>
          </cell>
          <cell r="X20">
            <v>295374</v>
          </cell>
          <cell r="Y20">
            <v>454422</v>
          </cell>
          <cell r="Z20">
            <v>477479</v>
          </cell>
          <cell r="AA20">
            <v>724422</v>
          </cell>
        </row>
        <row r="21">
          <cell r="A21">
            <v>1011413232</v>
          </cell>
          <cell r="B21" t="str">
            <v>NAVARRO</v>
          </cell>
          <cell r="C21" t="str">
            <v>Jorge Rafael</v>
          </cell>
          <cell r="D21" t="str">
            <v>Gte. De Ingenieria</v>
          </cell>
          <cell r="E21">
            <v>61</v>
          </cell>
          <cell r="F21">
            <v>14400</v>
          </cell>
          <cell r="G21">
            <v>0</v>
          </cell>
          <cell r="H21">
            <v>5</v>
          </cell>
          <cell r="I21">
            <v>72000</v>
          </cell>
          <cell r="J21">
            <v>259200</v>
          </cell>
          <cell r="K21">
            <v>130874</v>
          </cell>
          <cell r="L21">
            <v>44211</v>
          </cell>
          <cell r="M21">
            <v>175085</v>
          </cell>
          <cell r="N21" t="str">
            <v>Venezuela - Caracas</v>
          </cell>
          <cell r="O21">
            <v>0.15</v>
          </cell>
          <cell r="P21">
            <v>28080</v>
          </cell>
          <cell r="Q21">
            <v>10800</v>
          </cell>
          <cell r="R21">
            <v>0.05</v>
          </cell>
          <cell r="S21">
            <v>9360</v>
          </cell>
          <cell r="T21">
            <v>0</v>
          </cell>
          <cell r="U21">
            <v>264552</v>
          </cell>
          <cell r="V21">
            <v>9926</v>
          </cell>
          <cell r="W21">
            <v>0</v>
          </cell>
          <cell r="X21">
            <v>322718</v>
          </cell>
          <cell r="Y21">
            <v>496490</v>
          </cell>
          <cell r="Z21">
            <v>497803</v>
          </cell>
          <cell r="AA21">
            <v>755690</v>
          </cell>
        </row>
        <row r="22">
          <cell r="A22">
            <v>1012089758</v>
          </cell>
          <cell r="B22" t="str">
            <v>SATO</v>
          </cell>
          <cell r="C22" t="str">
            <v>Javier</v>
          </cell>
          <cell r="D22">
            <v>0</v>
          </cell>
          <cell r="E22">
            <v>0</v>
          </cell>
          <cell r="F22">
            <v>17800</v>
          </cell>
          <cell r="G22">
            <v>0</v>
          </cell>
          <cell r="H22">
            <v>4</v>
          </cell>
          <cell r="I22">
            <v>71200</v>
          </cell>
          <cell r="J22">
            <v>302600</v>
          </cell>
          <cell r="K22">
            <v>157771</v>
          </cell>
          <cell r="L22">
            <v>45524</v>
          </cell>
          <cell r="M22">
            <v>203295</v>
          </cell>
          <cell r="N22" t="str">
            <v>Brasil . Rio de Janeiro</v>
          </cell>
          <cell r="O22">
            <v>0.15</v>
          </cell>
          <cell r="P22">
            <v>34710</v>
          </cell>
          <cell r="Q22">
            <v>10680</v>
          </cell>
          <cell r="R22">
            <v>0.1</v>
          </cell>
          <cell r="S22">
            <v>23140</v>
          </cell>
          <cell r="T22">
            <v>0</v>
          </cell>
          <cell r="U22">
            <v>56534</v>
          </cell>
          <cell r="V22">
            <v>0</v>
          </cell>
          <cell r="W22">
            <v>0</v>
          </cell>
          <cell r="X22">
            <v>125064</v>
          </cell>
          <cell r="Y22">
            <v>192406</v>
          </cell>
          <cell r="Z22">
            <v>328359</v>
          </cell>
          <cell r="AA22">
            <v>495006</v>
          </cell>
        </row>
        <row r="23">
          <cell r="A23">
            <v>1008318885</v>
          </cell>
          <cell r="B23" t="str">
            <v>AMOROSO</v>
          </cell>
          <cell r="C23" t="str">
            <v>Juan Carlos</v>
          </cell>
          <cell r="D23" t="str">
            <v>Gte. Areas de Produc</v>
          </cell>
          <cell r="E23">
            <v>61</v>
          </cell>
          <cell r="F23">
            <v>17000</v>
          </cell>
          <cell r="G23">
            <v>0</v>
          </cell>
          <cell r="H23">
            <v>5</v>
          </cell>
          <cell r="I23">
            <v>85000</v>
          </cell>
          <cell r="J23">
            <v>306000</v>
          </cell>
          <cell r="K23">
            <v>151154</v>
          </cell>
          <cell r="L23">
            <v>54351</v>
          </cell>
          <cell r="M23">
            <v>205505</v>
          </cell>
          <cell r="N23" t="str">
            <v>México - Reynosa</v>
          </cell>
          <cell r="O23">
            <v>0.15</v>
          </cell>
          <cell r="P23">
            <v>33150</v>
          </cell>
          <cell r="Q23">
            <v>12750</v>
          </cell>
          <cell r="R23">
            <v>0.15</v>
          </cell>
          <cell r="S23">
            <v>33150</v>
          </cell>
          <cell r="T23">
            <v>0</v>
          </cell>
          <cell r="U23">
            <v>141869</v>
          </cell>
          <cell r="V23">
            <v>0</v>
          </cell>
          <cell r="W23">
            <v>0</v>
          </cell>
          <cell r="X23">
            <v>220919</v>
          </cell>
          <cell r="Y23">
            <v>339876</v>
          </cell>
          <cell r="Z23">
            <v>426424</v>
          </cell>
          <cell r="AA23">
            <v>645876</v>
          </cell>
        </row>
        <row r="24">
          <cell r="A24">
            <v>1012057492</v>
          </cell>
          <cell r="B24" t="str">
            <v>CORFIELD</v>
          </cell>
          <cell r="C24" t="str">
            <v>Ricardo J.</v>
          </cell>
          <cell r="D24" t="str">
            <v>Jefe Produccion SR.</v>
          </cell>
          <cell r="E24">
            <v>58</v>
          </cell>
          <cell r="F24">
            <v>10395</v>
          </cell>
          <cell r="G24">
            <v>0</v>
          </cell>
          <cell r="H24">
            <v>4.09</v>
          </cell>
          <cell r="I24">
            <v>42481</v>
          </cell>
          <cell r="J24">
            <v>177616</v>
          </cell>
          <cell r="K24">
            <v>97339</v>
          </cell>
          <cell r="L24">
            <v>26556</v>
          </cell>
          <cell r="M24">
            <v>123895</v>
          </cell>
          <cell r="N24" t="str">
            <v>Venezuela - El Tigre</v>
          </cell>
          <cell r="O24">
            <v>0.15</v>
          </cell>
          <cell r="P24">
            <v>20270</v>
          </cell>
          <cell r="Q24">
            <v>6372</v>
          </cell>
          <cell r="R24">
            <v>0.15</v>
          </cell>
          <cell r="S24">
            <v>20270</v>
          </cell>
          <cell r="T24">
            <v>0</v>
          </cell>
          <cell r="U24">
            <v>35329</v>
          </cell>
          <cell r="V24">
            <v>9241</v>
          </cell>
          <cell r="W24">
            <v>0</v>
          </cell>
          <cell r="X24">
            <v>91482</v>
          </cell>
          <cell r="Y24">
            <v>143572</v>
          </cell>
          <cell r="Z24">
            <v>215377</v>
          </cell>
          <cell r="AA24">
            <v>321188</v>
          </cell>
        </row>
        <row r="25">
          <cell r="A25">
            <v>1017616061</v>
          </cell>
          <cell r="B25" t="str">
            <v>GOMEZ</v>
          </cell>
          <cell r="C25" t="str">
            <v>Pablo</v>
          </cell>
          <cell r="D25">
            <v>0</v>
          </cell>
          <cell r="E25">
            <v>0</v>
          </cell>
          <cell r="F25">
            <v>7370</v>
          </cell>
          <cell r="G25">
            <v>0</v>
          </cell>
          <cell r="H25">
            <v>3</v>
          </cell>
          <cell r="I25">
            <v>22110</v>
          </cell>
          <cell r="J25">
            <v>117920</v>
          </cell>
          <cell r="K25">
            <v>71380</v>
          </cell>
          <cell r="L25">
            <v>14713</v>
          </cell>
          <cell r="M25">
            <v>86093</v>
          </cell>
          <cell r="N25" t="str">
            <v>México - Reynosa</v>
          </cell>
          <cell r="O25">
            <v>0.15</v>
          </cell>
          <cell r="P25">
            <v>14372</v>
          </cell>
          <cell r="Q25">
            <v>3317</v>
          </cell>
          <cell r="R25">
            <v>0.15</v>
          </cell>
          <cell r="S25">
            <v>14372</v>
          </cell>
          <cell r="T25">
            <v>0</v>
          </cell>
          <cell r="U25">
            <v>54366</v>
          </cell>
          <cell r="V25">
            <v>0</v>
          </cell>
          <cell r="W25">
            <v>0</v>
          </cell>
          <cell r="X25">
            <v>86427</v>
          </cell>
          <cell r="Y25">
            <v>137334</v>
          </cell>
          <cell r="Z25">
            <v>172520</v>
          </cell>
          <cell r="AA25">
            <v>255254</v>
          </cell>
        </row>
        <row r="26">
          <cell r="A26">
            <v>1016509195</v>
          </cell>
          <cell r="B26" t="str">
            <v>CIFUENTES</v>
          </cell>
          <cell r="C26" t="str">
            <v>Gabriel</v>
          </cell>
          <cell r="D26" t="str">
            <v>Gte. Producción</v>
          </cell>
          <cell r="E26">
            <v>59</v>
          </cell>
          <cell r="F26">
            <v>11000</v>
          </cell>
          <cell r="G26">
            <v>0</v>
          </cell>
          <cell r="H26">
            <v>4</v>
          </cell>
          <cell r="I26">
            <v>44000</v>
          </cell>
          <cell r="J26">
            <v>187000</v>
          </cell>
          <cell r="K26">
            <v>101930</v>
          </cell>
          <cell r="L26">
            <v>28600</v>
          </cell>
          <cell r="M26">
            <v>130530</v>
          </cell>
          <cell r="N26" t="str">
            <v>Venezuela - Caracas</v>
          </cell>
          <cell r="O26">
            <v>0.15</v>
          </cell>
          <cell r="P26">
            <v>21450</v>
          </cell>
          <cell r="Q26">
            <v>6600</v>
          </cell>
          <cell r="R26">
            <v>0.05</v>
          </cell>
          <cell r="S26">
            <v>7150</v>
          </cell>
          <cell r="T26">
            <v>0</v>
          </cell>
          <cell r="U26">
            <v>167260</v>
          </cell>
          <cell r="V26">
            <v>0</v>
          </cell>
          <cell r="W26">
            <v>0</v>
          </cell>
          <cell r="X26">
            <v>202460</v>
          </cell>
          <cell r="Y26">
            <v>315131</v>
          </cell>
          <cell r="Z26">
            <v>332990</v>
          </cell>
          <cell r="AA26">
            <v>502131</v>
          </cell>
        </row>
        <row r="27">
          <cell r="A27">
            <v>266</v>
          </cell>
          <cell r="B27" t="str">
            <v>DALLASTA</v>
          </cell>
          <cell r="C27" t="str">
            <v>Alejandro</v>
          </cell>
          <cell r="D27">
            <v>0</v>
          </cell>
          <cell r="E27">
            <v>59</v>
          </cell>
          <cell r="F27">
            <v>7700</v>
          </cell>
          <cell r="G27">
            <v>2800</v>
          </cell>
          <cell r="H27">
            <v>4</v>
          </cell>
          <cell r="I27">
            <v>42000</v>
          </cell>
          <cell r="J27">
            <v>178500</v>
          </cell>
          <cell r="K27">
            <v>99546</v>
          </cell>
          <cell r="L27">
            <v>25780</v>
          </cell>
          <cell r="M27">
            <v>125326</v>
          </cell>
          <cell r="N27" t="str">
            <v>Brasil . Rio de Janeiro</v>
          </cell>
          <cell r="O27">
            <v>0.15</v>
          </cell>
          <cell r="P27">
            <v>20475</v>
          </cell>
          <cell r="Q27">
            <v>6300</v>
          </cell>
          <cell r="R27">
            <v>0.1</v>
          </cell>
          <cell r="S27">
            <v>13650</v>
          </cell>
          <cell r="T27">
            <v>0</v>
          </cell>
          <cell r="U27">
            <v>55227</v>
          </cell>
          <cell r="V27">
            <v>0</v>
          </cell>
          <cell r="W27">
            <v>0</v>
          </cell>
          <cell r="X27">
            <v>95652</v>
          </cell>
          <cell r="Y27">
            <v>151305</v>
          </cell>
          <cell r="Z27">
            <v>220978</v>
          </cell>
          <cell r="AA27">
            <v>329805</v>
          </cell>
        </row>
        <row r="28">
          <cell r="A28">
            <v>300</v>
          </cell>
          <cell r="B28" t="str">
            <v>GONZALEZ1</v>
          </cell>
          <cell r="C28" t="str">
            <v>Marcelo A.</v>
          </cell>
          <cell r="D28">
            <v>0</v>
          </cell>
          <cell r="E28">
            <v>64</v>
          </cell>
          <cell r="F28">
            <v>4270</v>
          </cell>
          <cell r="G28">
            <v>3000</v>
          </cell>
          <cell r="H28">
            <v>2</v>
          </cell>
          <cell r="I28">
            <v>8540</v>
          </cell>
          <cell r="J28">
            <v>103050</v>
          </cell>
          <cell r="K28">
            <v>70624</v>
          </cell>
          <cell r="L28">
            <v>5012</v>
          </cell>
          <cell r="M28">
            <v>75636</v>
          </cell>
          <cell r="N28" t="str">
            <v>Brasil . Rio de Janeiro</v>
          </cell>
          <cell r="O28">
            <v>0.15</v>
          </cell>
          <cell r="P28">
            <v>14177</v>
          </cell>
          <cell r="Q28">
            <v>1281</v>
          </cell>
          <cell r="R28">
            <v>0.1</v>
          </cell>
          <cell r="S28">
            <v>9451</v>
          </cell>
          <cell r="T28">
            <v>0</v>
          </cell>
          <cell r="U28">
            <v>42412</v>
          </cell>
          <cell r="V28">
            <v>0</v>
          </cell>
          <cell r="W28">
            <v>0</v>
          </cell>
          <cell r="X28">
            <v>67321</v>
          </cell>
          <cell r="Y28">
            <v>103069</v>
          </cell>
          <cell r="Z28">
            <v>142957</v>
          </cell>
          <cell r="AA28">
            <v>206119</v>
          </cell>
        </row>
        <row r="29">
          <cell r="A29">
            <v>1008311034</v>
          </cell>
          <cell r="B29" t="str">
            <v>IANNACI</v>
          </cell>
          <cell r="C29" t="str">
            <v>Nestor</v>
          </cell>
          <cell r="D29" t="str">
            <v>Gte. Comp. Y Contr.</v>
          </cell>
          <cell r="E29">
            <v>58</v>
          </cell>
          <cell r="F29">
            <v>7465.2</v>
          </cell>
          <cell r="G29">
            <v>0</v>
          </cell>
          <cell r="H29">
            <v>2</v>
          </cell>
          <cell r="I29">
            <v>14930.4</v>
          </cell>
          <cell r="J29">
            <v>111978</v>
          </cell>
          <cell r="K29">
            <v>72091</v>
          </cell>
          <cell r="L29">
            <v>9744</v>
          </cell>
          <cell r="M29">
            <v>81835</v>
          </cell>
          <cell r="N29" t="str">
            <v>Venezuela - Caracas</v>
          </cell>
          <cell r="O29">
            <v>0.15</v>
          </cell>
          <cell r="P29">
            <v>14557</v>
          </cell>
          <cell r="Q29">
            <v>2240</v>
          </cell>
          <cell r="R29">
            <v>0.05</v>
          </cell>
          <cell r="S29">
            <v>4852</v>
          </cell>
          <cell r="T29">
            <v>0</v>
          </cell>
          <cell r="U29">
            <v>125042</v>
          </cell>
          <cell r="V29">
            <v>15171</v>
          </cell>
          <cell r="W29">
            <v>0</v>
          </cell>
          <cell r="X29">
            <v>161862</v>
          </cell>
          <cell r="Y29">
            <v>252779</v>
          </cell>
          <cell r="Z29">
            <v>243697</v>
          </cell>
          <cell r="AA29">
            <v>364757</v>
          </cell>
        </row>
        <row r="30">
          <cell r="A30">
            <v>100</v>
          </cell>
          <cell r="B30" t="str">
            <v>MOUNTAFIAN</v>
          </cell>
          <cell r="C30" t="str">
            <v>Alejandro</v>
          </cell>
          <cell r="D30" t="str">
            <v>Gerente de Contraloría</v>
          </cell>
          <cell r="E30">
            <v>59</v>
          </cell>
          <cell r="F30">
            <v>6740</v>
          </cell>
          <cell r="G30">
            <v>0</v>
          </cell>
          <cell r="H30">
            <v>1</v>
          </cell>
          <cell r="I30">
            <v>6740</v>
          </cell>
          <cell r="J30">
            <v>94360</v>
          </cell>
          <cell r="K30">
            <v>65401</v>
          </cell>
          <cell r="L30">
            <v>4920</v>
          </cell>
          <cell r="M30">
            <v>70321</v>
          </cell>
          <cell r="N30" t="str">
            <v>Brasil . Rio de Janeiro</v>
          </cell>
          <cell r="O30">
            <v>0.15</v>
          </cell>
          <cell r="P30">
            <v>13143</v>
          </cell>
          <cell r="Q30">
            <v>1011</v>
          </cell>
          <cell r="R30">
            <v>0.1</v>
          </cell>
          <cell r="S30">
            <v>8762</v>
          </cell>
          <cell r="T30">
            <v>0</v>
          </cell>
          <cell r="U30">
            <v>32956</v>
          </cell>
          <cell r="V30">
            <v>0</v>
          </cell>
          <cell r="W30">
            <v>0</v>
          </cell>
          <cell r="X30">
            <v>55872</v>
          </cell>
          <cell r="Y30">
            <v>86133</v>
          </cell>
          <cell r="Z30">
            <v>126193</v>
          </cell>
          <cell r="AA30">
            <v>180493</v>
          </cell>
        </row>
        <row r="31">
          <cell r="A31">
            <v>1010189991</v>
          </cell>
          <cell r="B31" t="str">
            <v>ORTULAN</v>
          </cell>
          <cell r="C31" t="str">
            <v>Jorge Carlos</v>
          </cell>
          <cell r="D31" t="str">
            <v>Jefe de Producción</v>
          </cell>
          <cell r="E31">
            <v>57</v>
          </cell>
          <cell r="F31">
            <v>7140</v>
          </cell>
          <cell r="G31">
            <v>0</v>
          </cell>
          <cell r="H31">
            <v>3</v>
          </cell>
          <cell r="I31">
            <v>21420</v>
          </cell>
          <cell r="J31">
            <v>114240</v>
          </cell>
          <cell r="K31">
            <v>69390</v>
          </cell>
          <cell r="L31">
            <v>14322</v>
          </cell>
          <cell r="M31">
            <v>83712</v>
          </cell>
          <cell r="N31" t="str">
            <v>Venezuela - Caracas</v>
          </cell>
          <cell r="O31">
            <v>0.15</v>
          </cell>
          <cell r="P31">
            <v>13923</v>
          </cell>
          <cell r="Q31">
            <v>3213</v>
          </cell>
          <cell r="R31">
            <v>0.05</v>
          </cell>
          <cell r="S31">
            <v>4641</v>
          </cell>
          <cell r="T31">
            <v>0</v>
          </cell>
          <cell r="U31">
            <v>141892</v>
          </cell>
          <cell r="V31">
            <v>7308</v>
          </cell>
          <cell r="W31">
            <v>0</v>
          </cell>
          <cell r="X31">
            <v>170977</v>
          </cell>
          <cell r="Y31">
            <v>267428</v>
          </cell>
          <cell r="Z31">
            <v>254689</v>
          </cell>
          <cell r="AA31">
            <v>381668</v>
          </cell>
        </row>
        <row r="32">
          <cell r="A32">
            <v>1014471318</v>
          </cell>
          <cell r="B32" t="str">
            <v>MAFFONI</v>
          </cell>
          <cell r="C32" t="str">
            <v>Antonio</v>
          </cell>
          <cell r="D32" t="str">
            <v>Gte. Reservorio</v>
          </cell>
          <cell r="E32">
            <v>58</v>
          </cell>
          <cell r="F32">
            <v>6720</v>
          </cell>
          <cell r="G32">
            <v>0</v>
          </cell>
          <cell r="H32">
            <v>3</v>
          </cell>
          <cell r="I32">
            <v>20160</v>
          </cell>
          <cell r="J32">
            <v>107520</v>
          </cell>
          <cell r="K32">
            <v>65211</v>
          </cell>
          <cell r="L32">
            <v>13551</v>
          </cell>
          <cell r="M32">
            <v>78762</v>
          </cell>
          <cell r="N32" t="str">
            <v>Venezuela - Caracas</v>
          </cell>
          <cell r="O32">
            <v>0.15</v>
          </cell>
          <cell r="P32">
            <v>13104</v>
          </cell>
          <cell r="Q32">
            <v>3024</v>
          </cell>
          <cell r="R32">
            <v>0.05</v>
          </cell>
          <cell r="S32">
            <v>4368</v>
          </cell>
          <cell r="T32">
            <v>0</v>
          </cell>
          <cell r="U32">
            <v>128995</v>
          </cell>
          <cell r="V32">
            <v>0</v>
          </cell>
          <cell r="W32">
            <v>0</v>
          </cell>
          <cell r="X32">
            <v>149491</v>
          </cell>
          <cell r="Y32">
            <v>233477</v>
          </cell>
          <cell r="Z32">
            <v>228253</v>
          </cell>
          <cell r="AA32">
            <v>340997</v>
          </cell>
        </row>
        <row r="33">
          <cell r="A33">
            <v>1012591991</v>
          </cell>
          <cell r="B33" t="str">
            <v>DIODATTI</v>
          </cell>
          <cell r="C33" t="str">
            <v>Horacio</v>
          </cell>
          <cell r="D33" t="str">
            <v>Gete. Abastecimiento</v>
          </cell>
          <cell r="E33">
            <v>59</v>
          </cell>
          <cell r="F33">
            <v>6720</v>
          </cell>
          <cell r="G33">
            <v>0</v>
          </cell>
          <cell r="H33">
            <v>3</v>
          </cell>
          <cell r="I33">
            <v>20160</v>
          </cell>
          <cell r="J33">
            <v>107520</v>
          </cell>
          <cell r="K33">
            <v>65769</v>
          </cell>
          <cell r="L33">
            <v>13406</v>
          </cell>
          <cell r="M33">
            <v>79175</v>
          </cell>
          <cell r="N33" t="str">
            <v>Venezuela - Caracas</v>
          </cell>
          <cell r="O33">
            <v>0.15</v>
          </cell>
          <cell r="P33">
            <v>13104</v>
          </cell>
          <cell r="Q33">
            <v>3024</v>
          </cell>
          <cell r="R33">
            <v>0.05</v>
          </cell>
          <cell r="S33">
            <v>4368</v>
          </cell>
          <cell r="T33">
            <v>0</v>
          </cell>
          <cell r="U33">
            <v>143380</v>
          </cell>
          <cell r="V33">
            <v>0</v>
          </cell>
          <cell r="W33">
            <v>0</v>
          </cell>
          <cell r="X33">
            <v>163876</v>
          </cell>
          <cell r="Y33">
            <v>256243</v>
          </cell>
          <cell r="Z33">
            <v>243051</v>
          </cell>
          <cell r="AA33">
            <v>363763</v>
          </cell>
        </row>
        <row r="34">
          <cell r="A34">
            <v>15</v>
          </cell>
          <cell r="B34" t="str">
            <v>EJEMPLO5</v>
          </cell>
          <cell r="C34">
            <v>0</v>
          </cell>
          <cell r="D34">
            <v>0</v>
          </cell>
          <cell r="E34">
            <v>59</v>
          </cell>
          <cell r="F34">
            <v>9118</v>
          </cell>
          <cell r="G34">
            <v>0</v>
          </cell>
          <cell r="H34">
            <v>4</v>
          </cell>
          <cell r="I34">
            <v>36472</v>
          </cell>
          <cell r="J34">
            <v>155006</v>
          </cell>
          <cell r="K34">
            <v>86517</v>
          </cell>
          <cell r="L34">
            <v>23110</v>
          </cell>
          <cell r="M34">
            <v>109627</v>
          </cell>
          <cell r="N34" t="str">
            <v>México - Reynosa</v>
          </cell>
          <cell r="O34">
            <v>0.15</v>
          </cell>
          <cell r="P34">
            <v>17780</v>
          </cell>
          <cell r="Q34">
            <v>5471</v>
          </cell>
          <cell r="R34">
            <v>0.15</v>
          </cell>
          <cell r="S34">
            <v>17780</v>
          </cell>
          <cell r="T34">
            <v>0</v>
          </cell>
          <cell r="U34">
            <v>97213</v>
          </cell>
          <cell r="V34">
            <v>0</v>
          </cell>
          <cell r="W34">
            <v>0</v>
          </cell>
          <cell r="X34">
            <v>138244</v>
          </cell>
          <cell r="Y34">
            <v>216173</v>
          </cell>
          <cell r="Z34">
            <v>247871</v>
          </cell>
          <cell r="AA34">
            <v>371179</v>
          </cell>
        </row>
        <row r="35">
          <cell r="A35">
            <v>1013727062</v>
          </cell>
          <cell r="B35" t="str">
            <v>ARGUELLO</v>
          </cell>
          <cell r="C35" t="str">
            <v>Jorge</v>
          </cell>
          <cell r="D35" t="str">
            <v>Profesional Principal</v>
          </cell>
          <cell r="E35">
            <v>57</v>
          </cell>
          <cell r="F35">
            <v>5476.8</v>
          </cell>
          <cell r="G35">
            <v>0</v>
          </cell>
          <cell r="H35">
            <v>2.67</v>
          </cell>
          <cell r="I35">
            <v>14628</v>
          </cell>
          <cell r="J35">
            <v>85826</v>
          </cell>
          <cell r="K35">
            <v>54037</v>
          </cell>
          <cell r="L35">
            <v>10223</v>
          </cell>
          <cell r="M35">
            <v>64260</v>
          </cell>
          <cell r="N35" t="str">
            <v>Venezuela - Caracas</v>
          </cell>
          <cell r="O35">
            <v>0.15</v>
          </cell>
          <cell r="P35">
            <v>10680</v>
          </cell>
          <cell r="Q35">
            <v>2194</v>
          </cell>
          <cell r="R35">
            <v>0.05</v>
          </cell>
          <cell r="S35">
            <v>3560</v>
          </cell>
          <cell r="T35">
            <v>0</v>
          </cell>
          <cell r="U35">
            <v>117464</v>
          </cell>
          <cell r="V35">
            <v>0</v>
          </cell>
          <cell r="W35">
            <v>0</v>
          </cell>
          <cell r="X35">
            <v>133898</v>
          </cell>
          <cell r="Y35">
            <v>208871</v>
          </cell>
          <cell r="Z35">
            <v>198158</v>
          </cell>
          <cell r="AA35">
            <v>294697</v>
          </cell>
        </row>
        <row r="36">
          <cell r="A36">
            <v>1013259141</v>
          </cell>
          <cell r="B36" t="str">
            <v>MOLINA</v>
          </cell>
          <cell r="C36" t="str">
            <v>Alfredo</v>
          </cell>
          <cell r="D36" t="str">
            <v>Profesional Principal</v>
          </cell>
          <cell r="E36">
            <v>57</v>
          </cell>
          <cell r="F36">
            <v>5094</v>
          </cell>
          <cell r="G36">
            <v>2211.6</v>
          </cell>
          <cell r="H36">
            <v>0</v>
          </cell>
          <cell r="I36">
            <v>0</v>
          </cell>
          <cell r="J36">
            <v>94973</v>
          </cell>
          <cell r="K36">
            <v>70962</v>
          </cell>
          <cell r="L36">
            <v>0</v>
          </cell>
          <cell r="M36">
            <v>70962</v>
          </cell>
          <cell r="N36" t="str">
            <v>Venezuela - Caracas</v>
          </cell>
          <cell r="O36">
            <v>0.15</v>
          </cell>
          <cell r="P36">
            <v>14246</v>
          </cell>
          <cell r="Q36">
            <v>0</v>
          </cell>
          <cell r="R36">
            <v>0.05</v>
          </cell>
          <cell r="S36">
            <v>4749</v>
          </cell>
          <cell r="T36">
            <v>0</v>
          </cell>
          <cell r="U36">
            <v>125650</v>
          </cell>
          <cell r="V36">
            <v>0</v>
          </cell>
          <cell r="W36">
            <v>0</v>
          </cell>
          <cell r="X36">
            <v>144645</v>
          </cell>
          <cell r="Y36">
            <v>226569</v>
          </cell>
          <cell r="Z36">
            <v>215607</v>
          </cell>
          <cell r="AA36">
            <v>321542</v>
          </cell>
        </row>
        <row r="37">
          <cell r="A37">
            <v>1016951326</v>
          </cell>
          <cell r="B37" t="str">
            <v>GROSSO</v>
          </cell>
          <cell r="C37" t="str">
            <v>Santiago</v>
          </cell>
          <cell r="D37" t="str">
            <v xml:space="preserve">Profesional SR. </v>
          </cell>
          <cell r="E37">
            <v>57</v>
          </cell>
          <cell r="F37">
            <v>5002.8</v>
          </cell>
          <cell r="G37">
            <v>0</v>
          </cell>
          <cell r="H37">
            <v>2</v>
          </cell>
          <cell r="I37">
            <v>10005.6</v>
          </cell>
          <cell r="J37">
            <v>75042</v>
          </cell>
          <cell r="K37">
            <v>49292</v>
          </cell>
          <cell r="L37">
            <v>7705</v>
          </cell>
          <cell r="M37">
            <v>56997</v>
          </cell>
          <cell r="N37" t="str">
            <v>Venezuela - Caracas</v>
          </cell>
          <cell r="O37">
            <v>0.15</v>
          </cell>
          <cell r="P37">
            <v>9755</v>
          </cell>
          <cell r="Q37">
            <v>1501</v>
          </cell>
          <cell r="R37">
            <v>0.05</v>
          </cell>
          <cell r="S37">
            <v>3252</v>
          </cell>
          <cell r="T37">
            <v>0</v>
          </cell>
          <cell r="U37">
            <v>107405</v>
          </cell>
          <cell r="V37">
            <v>0</v>
          </cell>
          <cell r="W37">
            <v>0</v>
          </cell>
          <cell r="X37">
            <v>121913</v>
          </cell>
          <cell r="Y37">
            <v>190043</v>
          </cell>
          <cell r="Z37">
            <v>178910</v>
          </cell>
          <cell r="AA37">
            <v>265085</v>
          </cell>
        </row>
        <row r="38">
          <cell r="A38">
            <v>1010709840</v>
          </cell>
          <cell r="B38" t="str">
            <v>CRUZ</v>
          </cell>
          <cell r="C38" t="str">
            <v>Daniel</v>
          </cell>
          <cell r="D38" t="str">
            <v xml:space="preserve"> -</v>
          </cell>
          <cell r="E38">
            <v>0</v>
          </cell>
          <cell r="F38">
            <v>3152</v>
          </cell>
          <cell r="G38">
            <v>0</v>
          </cell>
          <cell r="H38">
            <v>0</v>
          </cell>
          <cell r="I38">
            <v>0</v>
          </cell>
          <cell r="J38">
            <v>40976</v>
          </cell>
          <cell r="K38">
            <v>32200</v>
          </cell>
          <cell r="L38">
            <v>0</v>
          </cell>
          <cell r="M38">
            <v>32200</v>
          </cell>
          <cell r="N38" t="str">
            <v>Bolivia - Sta. Cruz de la Sierra</v>
          </cell>
          <cell r="O38">
            <v>0.15</v>
          </cell>
          <cell r="P38">
            <v>6146</v>
          </cell>
          <cell r="Q38">
            <v>0</v>
          </cell>
          <cell r="R38">
            <v>0.15</v>
          </cell>
          <cell r="S38">
            <v>6146</v>
          </cell>
          <cell r="T38">
            <v>0</v>
          </cell>
          <cell r="U38">
            <v>12652</v>
          </cell>
          <cell r="V38">
            <v>0</v>
          </cell>
          <cell r="W38">
            <v>0</v>
          </cell>
          <cell r="X38">
            <v>24944</v>
          </cell>
          <cell r="Y38">
            <v>36675</v>
          </cell>
          <cell r="Z38">
            <v>57144</v>
          </cell>
          <cell r="AA38">
            <v>77651</v>
          </cell>
        </row>
        <row r="39">
          <cell r="A39">
            <v>1013735426</v>
          </cell>
          <cell r="B39" t="str">
            <v>NOVILLO</v>
          </cell>
          <cell r="C39" t="str">
            <v>Gumersindo Sergio</v>
          </cell>
          <cell r="D39" t="str">
            <v>Lider Equipos SR.</v>
          </cell>
          <cell r="E39">
            <v>58</v>
          </cell>
          <cell r="F39">
            <v>6600</v>
          </cell>
          <cell r="G39">
            <v>0</v>
          </cell>
          <cell r="H39">
            <v>3.5</v>
          </cell>
          <cell r="I39">
            <v>23100</v>
          </cell>
          <cell r="J39">
            <v>108900</v>
          </cell>
          <cell r="K39">
            <v>64404</v>
          </cell>
          <cell r="L39">
            <v>15641</v>
          </cell>
          <cell r="M39">
            <v>80045</v>
          </cell>
          <cell r="N39" t="str">
            <v>USA - Lubbock</v>
          </cell>
          <cell r="O39">
            <v>0.15</v>
          </cell>
          <cell r="P39">
            <v>12870</v>
          </cell>
          <cell r="Q39">
            <v>3465</v>
          </cell>
          <cell r="R39">
            <v>0</v>
          </cell>
          <cell r="S39">
            <v>0</v>
          </cell>
          <cell r="T39">
            <v>0</v>
          </cell>
          <cell r="U39">
            <v>161090</v>
          </cell>
          <cell r="V39">
            <v>0</v>
          </cell>
          <cell r="W39">
            <v>0</v>
          </cell>
          <cell r="X39">
            <v>177425</v>
          </cell>
          <cell r="Y39">
            <v>277046</v>
          </cell>
          <cell r="Z39">
            <v>257470</v>
          </cell>
          <cell r="AA39">
            <v>385946</v>
          </cell>
        </row>
        <row r="40">
          <cell r="A40">
            <v>1013128656</v>
          </cell>
          <cell r="B40" t="str">
            <v>WEIMANN</v>
          </cell>
          <cell r="C40" t="str">
            <v>Pablo</v>
          </cell>
          <cell r="D40">
            <v>0</v>
          </cell>
          <cell r="E40">
            <v>57</v>
          </cell>
          <cell r="F40">
            <v>4440</v>
          </cell>
          <cell r="G40">
            <v>2765</v>
          </cell>
          <cell r="H40">
            <v>1.6</v>
          </cell>
          <cell r="I40">
            <v>11544</v>
          </cell>
          <cell r="J40">
            <v>105209</v>
          </cell>
          <cell r="K40">
            <v>69043</v>
          </cell>
          <cell r="L40">
            <v>7481</v>
          </cell>
          <cell r="M40">
            <v>76524</v>
          </cell>
          <cell r="N40" t="str">
            <v>USA - Houston</v>
          </cell>
          <cell r="O40">
            <v>0.15</v>
          </cell>
          <cell r="P40">
            <v>14050</v>
          </cell>
          <cell r="Q40">
            <v>1732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10743</v>
          </cell>
          <cell r="X40">
            <v>26525</v>
          </cell>
          <cell r="Y40">
            <v>38450</v>
          </cell>
          <cell r="Z40">
            <v>103049</v>
          </cell>
          <cell r="AA40">
            <v>143659</v>
          </cell>
        </row>
        <row r="41">
          <cell r="A41">
            <v>1012447277</v>
          </cell>
          <cell r="B41" t="str">
            <v>CARRO</v>
          </cell>
          <cell r="C41" t="str">
            <v>José Luis</v>
          </cell>
          <cell r="D41" t="str">
            <v>Lider Equipo SR.</v>
          </cell>
          <cell r="E41">
            <v>58</v>
          </cell>
          <cell r="F41">
            <v>6240</v>
          </cell>
          <cell r="G41">
            <v>0</v>
          </cell>
          <cell r="H41">
            <v>4</v>
          </cell>
          <cell r="I41">
            <v>24960</v>
          </cell>
          <cell r="J41">
            <v>106080</v>
          </cell>
          <cell r="K41">
            <v>60964</v>
          </cell>
          <cell r="L41">
            <v>17160</v>
          </cell>
          <cell r="M41">
            <v>78124</v>
          </cell>
          <cell r="N41" t="str">
            <v>Perú - Talara</v>
          </cell>
          <cell r="O41">
            <v>0.15</v>
          </cell>
          <cell r="P41">
            <v>12168</v>
          </cell>
          <cell r="Q41">
            <v>3744</v>
          </cell>
          <cell r="R41">
            <v>0.4</v>
          </cell>
          <cell r="S41">
            <v>32448</v>
          </cell>
          <cell r="T41">
            <v>0</v>
          </cell>
          <cell r="U41">
            <v>151692</v>
          </cell>
          <cell r="V41">
            <v>0</v>
          </cell>
          <cell r="W41">
            <v>0</v>
          </cell>
          <cell r="X41">
            <v>200052</v>
          </cell>
          <cell r="Y41">
            <v>311722</v>
          </cell>
          <cell r="Z41">
            <v>278176</v>
          </cell>
          <cell r="AA41">
            <v>417802</v>
          </cell>
        </row>
        <row r="42">
          <cell r="A42">
            <v>1012495096</v>
          </cell>
          <cell r="B42" t="str">
            <v>TORRES</v>
          </cell>
          <cell r="C42" t="str">
            <v>Rodolfo</v>
          </cell>
          <cell r="D42" t="str">
            <v>Lider Equipo</v>
          </cell>
          <cell r="E42">
            <v>57</v>
          </cell>
          <cell r="F42">
            <v>6000</v>
          </cell>
          <cell r="G42">
            <v>0</v>
          </cell>
          <cell r="H42">
            <v>3</v>
          </cell>
          <cell r="I42">
            <v>18000</v>
          </cell>
          <cell r="J42">
            <v>96000</v>
          </cell>
          <cell r="K42">
            <v>58234</v>
          </cell>
          <cell r="L42">
            <v>13477</v>
          </cell>
          <cell r="M42">
            <v>71711</v>
          </cell>
          <cell r="N42" t="str">
            <v>Perú - Talara</v>
          </cell>
          <cell r="O42">
            <v>0.15</v>
          </cell>
          <cell r="P42">
            <v>11700</v>
          </cell>
          <cell r="Q42">
            <v>2700</v>
          </cell>
          <cell r="R42">
            <v>0.4</v>
          </cell>
          <cell r="S42">
            <v>31200</v>
          </cell>
          <cell r="T42">
            <v>0</v>
          </cell>
          <cell r="U42">
            <v>134977</v>
          </cell>
          <cell r="V42">
            <v>0</v>
          </cell>
          <cell r="W42">
            <v>0</v>
          </cell>
          <cell r="X42">
            <v>180577</v>
          </cell>
          <cell r="Y42">
            <v>281974</v>
          </cell>
          <cell r="Z42">
            <v>252288</v>
          </cell>
          <cell r="AA42">
            <v>377974</v>
          </cell>
        </row>
        <row r="43">
          <cell r="A43">
            <v>1013708736</v>
          </cell>
          <cell r="B43" t="str">
            <v>LOPEZ</v>
          </cell>
          <cell r="C43" t="str">
            <v>Leandro Leslie</v>
          </cell>
          <cell r="D43" t="str">
            <v>Lider SR.</v>
          </cell>
          <cell r="E43">
            <v>55</v>
          </cell>
          <cell r="F43">
            <v>5280</v>
          </cell>
          <cell r="G43">
            <v>0</v>
          </cell>
          <cell r="H43">
            <v>0</v>
          </cell>
          <cell r="I43">
            <v>0</v>
          </cell>
          <cell r="J43">
            <v>68640</v>
          </cell>
          <cell r="K43">
            <v>52278</v>
          </cell>
          <cell r="L43">
            <v>0</v>
          </cell>
          <cell r="M43">
            <v>52278</v>
          </cell>
          <cell r="N43" t="str">
            <v>Perú - Talara</v>
          </cell>
          <cell r="O43">
            <v>0.15</v>
          </cell>
          <cell r="P43">
            <v>10296</v>
          </cell>
          <cell r="Q43">
            <v>0</v>
          </cell>
          <cell r="R43">
            <v>0.4</v>
          </cell>
          <cell r="S43">
            <v>27456</v>
          </cell>
          <cell r="T43">
            <v>0</v>
          </cell>
          <cell r="U43">
            <v>109180</v>
          </cell>
          <cell r="V43">
            <v>0</v>
          </cell>
          <cell r="W43">
            <v>0</v>
          </cell>
          <cell r="X43">
            <v>146932</v>
          </cell>
          <cell r="Y43">
            <v>227676</v>
          </cell>
          <cell r="Z43">
            <v>199210</v>
          </cell>
          <cell r="AA43">
            <v>296316</v>
          </cell>
        </row>
        <row r="44">
          <cell r="A44">
            <v>1013997164</v>
          </cell>
          <cell r="B44" t="str">
            <v>JARAMILLO</v>
          </cell>
          <cell r="C44" t="str">
            <v>Carlos Alberto</v>
          </cell>
          <cell r="D44" t="str">
            <v>Profesional SR.</v>
          </cell>
          <cell r="E44">
            <v>56</v>
          </cell>
          <cell r="F44">
            <v>4854</v>
          </cell>
          <cell r="G44">
            <v>0</v>
          </cell>
          <cell r="H44">
            <v>0</v>
          </cell>
          <cell r="I44">
            <v>0</v>
          </cell>
          <cell r="J44">
            <v>63102</v>
          </cell>
          <cell r="K44">
            <v>47592</v>
          </cell>
          <cell r="L44">
            <v>0</v>
          </cell>
          <cell r="M44">
            <v>47592</v>
          </cell>
          <cell r="N44" t="str">
            <v>Perú - Talara</v>
          </cell>
          <cell r="O44">
            <v>0.15</v>
          </cell>
          <cell r="P44">
            <v>9465</v>
          </cell>
          <cell r="Q44">
            <v>0</v>
          </cell>
          <cell r="R44">
            <v>0.4</v>
          </cell>
          <cell r="S44">
            <v>25241</v>
          </cell>
          <cell r="T44">
            <v>0</v>
          </cell>
          <cell r="U44">
            <v>97805</v>
          </cell>
          <cell r="V44">
            <v>0</v>
          </cell>
          <cell r="W44">
            <v>0</v>
          </cell>
          <cell r="X44">
            <v>132511</v>
          </cell>
          <cell r="Y44">
            <v>203818</v>
          </cell>
          <cell r="Z44">
            <v>180103</v>
          </cell>
          <cell r="AA44">
            <v>266920</v>
          </cell>
        </row>
        <row r="45">
          <cell r="A45">
            <v>1006437773</v>
          </cell>
          <cell r="B45" t="str">
            <v>PETROBRAS</v>
          </cell>
          <cell r="C45" t="str">
            <v>Ramón</v>
          </cell>
          <cell r="D45" t="str">
            <v xml:space="preserve"> X </v>
          </cell>
          <cell r="E45">
            <v>56</v>
          </cell>
          <cell r="F45">
            <v>10003</v>
          </cell>
          <cell r="G45">
            <v>0</v>
          </cell>
          <cell r="H45">
            <v>0</v>
          </cell>
          <cell r="I45">
            <v>0</v>
          </cell>
          <cell r="J45">
            <v>130039</v>
          </cell>
          <cell r="K45">
            <v>94455</v>
          </cell>
          <cell r="L45">
            <v>0</v>
          </cell>
          <cell r="M45">
            <v>94455</v>
          </cell>
          <cell r="N45" t="str">
            <v>Brasil . Rio de Janeiro</v>
          </cell>
          <cell r="O45">
            <v>0.15</v>
          </cell>
          <cell r="P45">
            <v>19506</v>
          </cell>
          <cell r="Q45">
            <v>0</v>
          </cell>
          <cell r="R45">
            <v>0.1</v>
          </cell>
          <cell r="S45">
            <v>13004</v>
          </cell>
          <cell r="T45">
            <v>0</v>
          </cell>
          <cell r="U45">
            <v>42336</v>
          </cell>
          <cell r="V45">
            <v>0</v>
          </cell>
          <cell r="W45">
            <v>0</v>
          </cell>
          <cell r="X45">
            <v>74846</v>
          </cell>
          <cell r="Y45">
            <v>120263</v>
          </cell>
          <cell r="Z45">
            <v>169301</v>
          </cell>
          <cell r="AA45">
            <v>250302</v>
          </cell>
        </row>
        <row r="46">
          <cell r="A46" t="str">
            <v>1008318885/2</v>
          </cell>
          <cell r="B46" t="str">
            <v>AMOROSO/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17000</v>
          </cell>
          <cell r="G46">
            <v>1400</v>
          </cell>
          <cell r="H46">
            <v>5</v>
          </cell>
          <cell r="I46">
            <v>85000</v>
          </cell>
          <cell r="J46">
            <v>324200</v>
          </cell>
          <cell r="K46" t="e">
            <v>#N/A</v>
          </cell>
          <cell r="L46" t="e">
            <v>#N/A</v>
          </cell>
          <cell r="M46" t="e">
            <v>#N/A</v>
          </cell>
          <cell r="N46" t="str">
            <v>México - Reynosa</v>
          </cell>
          <cell r="O46">
            <v>0.15</v>
          </cell>
          <cell r="P46">
            <v>35880</v>
          </cell>
          <cell r="Q46">
            <v>12750</v>
          </cell>
          <cell r="R46">
            <v>0.15</v>
          </cell>
          <cell r="S46">
            <v>35880</v>
          </cell>
          <cell r="T46">
            <v>0</v>
          </cell>
          <cell r="U46">
            <v>135656</v>
          </cell>
          <cell r="V46">
            <v>0</v>
          </cell>
          <cell r="W46">
            <v>0</v>
          </cell>
          <cell r="X46">
            <v>220166</v>
          </cell>
          <cell r="Y46" t="e">
            <v>#N/A</v>
          </cell>
          <cell r="Z46" t="e">
            <v>#N/A</v>
          </cell>
          <cell r="AA46" t="e">
            <v>#N/A</v>
          </cell>
        </row>
        <row r="47">
          <cell r="A47">
            <v>1008150982</v>
          </cell>
          <cell r="B47" t="str">
            <v>BLAZQUEZ</v>
          </cell>
          <cell r="C47" t="str">
            <v>Ricardo Gerónimo</v>
          </cell>
          <cell r="D47" t="str">
            <v>Gte. Producción</v>
          </cell>
          <cell r="E47">
            <v>0</v>
          </cell>
          <cell r="F47">
            <v>10200</v>
          </cell>
          <cell r="G47">
            <v>0</v>
          </cell>
          <cell r="H47">
            <v>5</v>
          </cell>
          <cell r="I47">
            <v>51000</v>
          </cell>
          <cell r="J47">
            <v>183600</v>
          </cell>
          <cell r="K47">
            <v>96222</v>
          </cell>
          <cell r="L47">
            <v>31991</v>
          </cell>
          <cell r="M47">
            <v>128213</v>
          </cell>
          <cell r="N47" t="str">
            <v>Perú - Lima</v>
          </cell>
          <cell r="O47">
            <v>0.15</v>
          </cell>
          <cell r="P47">
            <v>19890</v>
          </cell>
          <cell r="Q47">
            <v>7650</v>
          </cell>
          <cell r="R47">
            <v>0.25</v>
          </cell>
          <cell r="S47">
            <v>33150</v>
          </cell>
          <cell r="T47">
            <v>0</v>
          </cell>
          <cell r="U47">
            <v>216332</v>
          </cell>
          <cell r="V47">
            <v>0</v>
          </cell>
          <cell r="W47">
            <v>0</v>
          </cell>
          <cell r="X47">
            <v>277022</v>
          </cell>
          <cell r="Y47">
            <v>429677</v>
          </cell>
          <cell r="Z47">
            <v>405235</v>
          </cell>
          <cell r="AA47">
            <v>613277</v>
          </cell>
        </row>
        <row r="48">
          <cell r="A48">
            <v>1013566176</v>
          </cell>
          <cell r="B48" t="str">
            <v>SEIJO</v>
          </cell>
          <cell r="C48" t="str">
            <v>Carlos</v>
          </cell>
          <cell r="D48">
            <v>0</v>
          </cell>
          <cell r="E48">
            <v>62</v>
          </cell>
          <cell r="F48">
            <v>18500</v>
          </cell>
          <cell r="G48">
            <v>0</v>
          </cell>
          <cell r="H48">
            <v>5</v>
          </cell>
          <cell r="I48">
            <v>92500</v>
          </cell>
          <cell r="J48">
            <v>333000</v>
          </cell>
          <cell r="K48">
            <v>162930</v>
          </cell>
          <cell r="L48">
            <v>60125</v>
          </cell>
          <cell r="M48">
            <v>223055</v>
          </cell>
          <cell r="N48" t="str">
            <v>Brasil . Rio de Janeiro</v>
          </cell>
          <cell r="O48">
            <v>0.15</v>
          </cell>
          <cell r="P48">
            <v>36075</v>
          </cell>
          <cell r="Q48">
            <v>13875</v>
          </cell>
          <cell r="R48">
            <v>0.1</v>
          </cell>
          <cell r="S48">
            <v>24050</v>
          </cell>
          <cell r="T48">
            <v>0</v>
          </cell>
          <cell r="U48">
            <v>89982</v>
          </cell>
          <cell r="V48">
            <v>0</v>
          </cell>
          <cell r="W48">
            <v>0</v>
          </cell>
          <cell r="X48">
            <v>163982</v>
          </cell>
          <cell r="Y48">
            <v>252280</v>
          </cell>
          <cell r="Z48">
            <v>387037</v>
          </cell>
          <cell r="AA48">
            <v>585280</v>
          </cell>
        </row>
        <row r="49">
          <cell r="A49">
            <v>1016415959</v>
          </cell>
          <cell r="B49" t="str">
            <v>GUTIERREZ</v>
          </cell>
          <cell r="C49" t="str">
            <v>Fabián Edgardo</v>
          </cell>
          <cell r="D49" t="str">
            <v>Lider Equipo SR.</v>
          </cell>
          <cell r="E49">
            <v>58</v>
          </cell>
          <cell r="F49">
            <v>6120</v>
          </cell>
          <cell r="G49">
            <v>0</v>
          </cell>
          <cell r="H49">
            <v>3</v>
          </cell>
          <cell r="I49">
            <v>18360</v>
          </cell>
          <cell r="J49">
            <v>97920</v>
          </cell>
          <cell r="K49">
            <v>59599</v>
          </cell>
          <cell r="L49">
            <v>13707</v>
          </cell>
          <cell r="M49">
            <v>73306</v>
          </cell>
          <cell r="N49" t="str">
            <v>Perú - Lima</v>
          </cell>
          <cell r="O49">
            <v>0.15</v>
          </cell>
          <cell r="P49">
            <v>11934</v>
          </cell>
          <cell r="Q49">
            <v>2754</v>
          </cell>
          <cell r="R49">
            <v>0.25</v>
          </cell>
          <cell r="S49">
            <v>19890</v>
          </cell>
          <cell r="T49">
            <v>0</v>
          </cell>
          <cell r="U49">
            <v>145808</v>
          </cell>
          <cell r="V49">
            <v>0</v>
          </cell>
          <cell r="W49">
            <v>0</v>
          </cell>
          <cell r="X49">
            <v>180386</v>
          </cell>
          <cell r="Y49">
            <v>282214</v>
          </cell>
          <cell r="Z49">
            <v>253692</v>
          </cell>
          <cell r="AA49">
            <v>380134</v>
          </cell>
        </row>
        <row r="50">
          <cell r="A50">
            <v>1008341804</v>
          </cell>
          <cell r="B50" t="str">
            <v>FUNARO CHAÑAL</v>
          </cell>
          <cell r="C50" t="str">
            <v>Juan Carlos</v>
          </cell>
          <cell r="D50" t="str">
            <v>Gte. Abastec.</v>
          </cell>
          <cell r="E50">
            <v>57</v>
          </cell>
          <cell r="F50">
            <v>5910</v>
          </cell>
          <cell r="G50">
            <v>0</v>
          </cell>
          <cell r="H50">
            <v>3</v>
          </cell>
          <cell r="I50">
            <v>17730</v>
          </cell>
          <cell r="J50">
            <v>94560</v>
          </cell>
          <cell r="K50">
            <v>56512</v>
          </cell>
          <cell r="L50">
            <v>13184</v>
          </cell>
          <cell r="M50">
            <v>69696</v>
          </cell>
          <cell r="N50" t="str">
            <v>Perú - Lima</v>
          </cell>
          <cell r="O50">
            <v>0.15</v>
          </cell>
          <cell r="P50">
            <v>11525</v>
          </cell>
          <cell r="Q50">
            <v>2660</v>
          </cell>
          <cell r="R50">
            <v>0.25</v>
          </cell>
          <cell r="S50">
            <v>19208</v>
          </cell>
          <cell r="T50">
            <v>0</v>
          </cell>
          <cell r="U50">
            <v>126015</v>
          </cell>
          <cell r="V50">
            <v>0</v>
          </cell>
          <cell r="W50">
            <v>0</v>
          </cell>
          <cell r="X50">
            <v>159408</v>
          </cell>
          <cell r="Y50">
            <v>247746</v>
          </cell>
          <cell r="Z50">
            <v>229104</v>
          </cell>
          <cell r="AA50">
            <v>342306</v>
          </cell>
        </row>
        <row r="51">
          <cell r="A51">
            <v>1014122177</v>
          </cell>
          <cell r="B51" t="str">
            <v>PARDO</v>
          </cell>
          <cell r="C51" t="str">
            <v>Jorge Héctor</v>
          </cell>
          <cell r="D51" t="str">
            <v>Profesional Principal</v>
          </cell>
          <cell r="E51">
            <v>57</v>
          </cell>
          <cell r="F51">
            <v>5820</v>
          </cell>
          <cell r="G51">
            <v>0</v>
          </cell>
          <cell r="H51">
            <v>3</v>
          </cell>
          <cell r="I51">
            <v>17460</v>
          </cell>
          <cell r="J51">
            <v>93120</v>
          </cell>
          <cell r="K51">
            <v>56432</v>
          </cell>
          <cell r="L51">
            <v>13177</v>
          </cell>
          <cell r="M51">
            <v>69609</v>
          </cell>
          <cell r="N51" t="str">
            <v>Perú - Lima</v>
          </cell>
          <cell r="O51">
            <v>0.15</v>
          </cell>
          <cell r="P51">
            <v>11349</v>
          </cell>
          <cell r="Q51">
            <v>2619</v>
          </cell>
          <cell r="R51">
            <v>0.25</v>
          </cell>
          <cell r="S51">
            <v>18915</v>
          </cell>
          <cell r="T51">
            <v>0</v>
          </cell>
          <cell r="U51">
            <v>149539</v>
          </cell>
          <cell r="V51">
            <v>0</v>
          </cell>
          <cell r="W51">
            <v>0</v>
          </cell>
          <cell r="X51">
            <v>182422</v>
          </cell>
          <cell r="Y51">
            <v>284459</v>
          </cell>
          <cell r="Z51">
            <v>252031</v>
          </cell>
          <cell r="AA51">
            <v>377579</v>
          </cell>
        </row>
        <row r="52">
          <cell r="A52">
            <v>1011741656</v>
          </cell>
          <cell r="B52" t="str">
            <v>LLOYD</v>
          </cell>
          <cell r="C52" t="str">
            <v>Roberto Daniel</v>
          </cell>
          <cell r="D52" t="str">
            <v>Profesional Principal</v>
          </cell>
          <cell r="E52">
            <v>57</v>
          </cell>
          <cell r="F52">
            <v>5820</v>
          </cell>
          <cell r="G52">
            <v>0</v>
          </cell>
          <cell r="H52">
            <v>3</v>
          </cell>
          <cell r="I52">
            <v>17460</v>
          </cell>
          <cell r="J52">
            <v>93120</v>
          </cell>
          <cell r="K52">
            <v>56596</v>
          </cell>
          <cell r="L52">
            <v>13206</v>
          </cell>
          <cell r="M52">
            <v>69802</v>
          </cell>
          <cell r="N52" t="str">
            <v>Perú - Lima</v>
          </cell>
          <cell r="O52">
            <v>0.15</v>
          </cell>
          <cell r="P52">
            <v>11349</v>
          </cell>
          <cell r="Q52">
            <v>2619</v>
          </cell>
          <cell r="R52">
            <v>0.25</v>
          </cell>
          <cell r="S52">
            <v>18915</v>
          </cell>
          <cell r="T52">
            <v>0</v>
          </cell>
          <cell r="U52">
            <v>157749</v>
          </cell>
          <cell r="V52">
            <v>0</v>
          </cell>
          <cell r="W52">
            <v>0</v>
          </cell>
          <cell r="X52">
            <v>190632</v>
          </cell>
          <cell r="Y52">
            <v>297386</v>
          </cell>
          <cell r="Z52">
            <v>260434</v>
          </cell>
          <cell r="AA52">
            <v>390506</v>
          </cell>
        </row>
        <row r="53">
          <cell r="A53">
            <v>200</v>
          </cell>
          <cell r="B53" t="str">
            <v>BB</v>
          </cell>
          <cell r="C53" t="str">
            <v xml:space="preserve"> </v>
          </cell>
          <cell r="D53" t="str">
            <v>Gerente de Planta</v>
          </cell>
          <cell r="E53">
            <v>60</v>
          </cell>
          <cell r="F53">
            <v>7700</v>
          </cell>
          <cell r="G53">
            <v>3800</v>
          </cell>
          <cell r="H53">
            <v>4</v>
          </cell>
          <cell r="I53">
            <v>46000</v>
          </cell>
          <cell r="J53">
            <v>195500</v>
          </cell>
          <cell r="K53">
            <v>106048</v>
          </cell>
          <cell r="L53">
            <v>29900</v>
          </cell>
          <cell r="M53">
            <v>135948</v>
          </cell>
          <cell r="N53" t="str">
            <v>Brasil . Rio de Janeiro</v>
          </cell>
          <cell r="O53">
            <v>0.15</v>
          </cell>
          <cell r="P53">
            <v>22425</v>
          </cell>
          <cell r="Q53">
            <v>6900</v>
          </cell>
          <cell r="R53">
            <v>0.1</v>
          </cell>
          <cell r="S53">
            <v>14950</v>
          </cell>
          <cell r="T53">
            <v>0</v>
          </cell>
          <cell r="U53">
            <v>61309</v>
          </cell>
          <cell r="V53">
            <v>0</v>
          </cell>
          <cell r="W53">
            <v>0</v>
          </cell>
          <cell r="X53">
            <v>105584</v>
          </cell>
          <cell r="Y53">
            <v>165926</v>
          </cell>
          <cell r="Z53">
            <v>241532</v>
          </cell>
          <cell r="AA53">
            <v>361426</v>
          </cell>
        </row>
        <row r="54">
          <cell r="A54">
            <v>1014349559</v>
          </cell>
          <cell r="B54" t="str">
            <v>GIAMPAOLI</v>
          </cell>
          <cell r="C54" t="str">
            <v>Hugo</v>
          </cell>
          <cell r="D54" t="str">
            <v>Gte. País</v>
          </cell>
          <cell r="E54">
            <v>62</v>
          </cell>
          <cell r="F54">
            <v>17160</v>
          </cell>
          <cell r="G54">
            <v>0</v>
          </cell>
          <cell r="H54">
            <v>6</v>
          </cell>
          <cell r="I54">
            <v>102960</v>
          </cell>
          <cell r="J54">
            <v>326040</v>
          </cell>
          <cell r="K54">
            <v>152363</v>
          </cell>
          <cell r="L54">
            <v>66168</v>
          </cell>
          <cell r="M54">
            <v>218531</v>
          </cell>
          <cell r="N54" t="str">
            <v>Ecuador - Quito</v>
          </cell>
          <cell r="O54">
            <v>0.15</v>
          </cell>
          <cell r="P54">
            <v>33462</v>
          </cell>
          <cell r="Q54">
            <v>15444</v>
          </cell>
          <cell r="R54">
            <v>0.15</v>
          </cell>
          <cell r="S54">
            <v>33462</v>
          </cell>
          <cell r="T54">
            <v>0</v>
          </cell>
          <cell r="U54">
            <v>246488</v>
          </cell>
          <cell r="V54">
            <v>0</v>
          </cell>
          <cell r="W54">
            <v>0</v>
          </cell>
          <cell r="X54">
            <v>328856</v>
          </cell>
          <cell r="Y54">
            <v>505933</v>
          </cell>
          <cell r="Z54">
            <v>547387</v>
          </cell>
          <cell r="AA54">
            <v>831973</v>
          </cell>
        </row>
        <row r="55">
          <cell r="A55">
            <v>1011863744</v>
          </cell>
          <cell r="B55" t="str">
            <v>XXXXX MEJICO</v>
          </cell>
          <cell r="C55" t="str">
            <v>Daniel Hugo</v>
          </cell>
          <cell r="D55">
            <v>0</v>
          </cell>
          <cell r="E55">
            <v>57</v>
          </cell>
          <cell r="F55">
            <v>7200</v>
          </cell>
          <cell r="G55">
            <v>0</v>
          </cell>
          <cell r="H55">
            <v>2</v>
          </cell>
          <cell r="I55">
            <v>14400</v>
          </cell>
          <cell r="J55">
            <v>108000</v>
          </cell>
          <cell r="K55">
            <v>69767</v>
          </cell>
          <cell r="L55">
            <v>9345</v>
          </cell>
          <cell r="M55">
            <v>79112</v>
          </cell>
          <cell r="N55" t="str">
            <v>México - Reynosa</v>
          </cell>
          <cell r="O55">
            <v>0.15</v>
          </cell>
          <cell r="P55">
            <v>14040</v>
          </cell>
          <cell r="Q55">
            <v>2160</v>
          </cell>
          <cell r="R55">
            <v>0.15</v>
          </cell>
          <cell r="S55">
            <v>14040</v>
          </cell>
          <cell r="T55">
            <v>0</v>
          </cell>
          <cell r="U55">
            <v>51643</v>
          </cell>
          <cell r="V55">
            <v>0</v>
          </cell>
          <cell r="W55">
            <v>0</v>
          </cell>
          <cell r="X55">
            <v>81883</v>
          </cell>
          <cell r="Y55">
            <v>128360</v>
          </cell>
          <cell r="Z55">
            <v>160995</v>
          </cell>
          <cell r="AA55">
            <v>236360</v>
          </cell>
        </row>
        <row r="56">
          <cell r="A56">
            <v>1008389973</v>
          </cell>
          <cell r="B56" t="str">
            <v>BEGARIES</v>
          </cell>
          <cell r="C56" t="str">
            <v xml:space="preserve">Horacio </v>
          </cell>
          <cell r="D56" t="str">
            <v>Gte. Comercial</v>
          </cell>
          <cell r="E56">
            <v>62</v>
          </cell>
          <cell r="F56">
            <v>16800</v>
          </cell>
          <cell r="G56">
            <v>0</v>
          </cell>
          <cell r="H56">
            <v>4.5</v>
          </cell>
          <cell r="I56">
            <v>75600</v>
          </cell>
          <cell r="J56">
            <v>294000</v>
          </cell>
          <cell r="K56">
            <v>149392</v>
          </cell>
          <cell r="L56">
            <v>48313</v>
          </cell>
          <cell r="M56">
            <v>197705</v>
          </cell>
          <cell r="N56" t="str">
            <v>Ecuador - Quito</v>
          </cell>
          <cell r="O56">
            <v>0.15</v>
          </cell>
          <cell r="P56">
            <v>32760</v>
          </cell>
          <cell r="Q56">
            <v>11340</v>
          </cell>
          <cell r="R56">
            <v>0.15</v>
          </cell>
          <cell r="S56">
            <v>32760</v>
          </cell>
          <cell r="T56">
            <v>0</v>
          </cell>
          <cell r="U56">
            <v>229954</v>
          </cell>
          <cell r="V56">
            <v>0</v>
          </cell>
          <cell r="W56">
            <v>0</v>
          </cell>
          <cell r="X56">
            <v>306814</v>
          </cell>
          <cell r="Y56">
            <v>472022</v>
          </cell>
          <cell r="Z56">
            <v>504519</v>
          </cell>
          <cell r="AA56">
            <v>766022</v>
          </cell>
        </row>
        <row r="57">
          <cell r="A57">
            <v>0</v>
          </cell>
          <cell r="B57" t="e">
            <v>#N/A</v>
          </cell>
          <cell r="C57" t="e">
            <v>#N/A</v>
          </cell>
          <cell r="D57">
            <v>0</v>
          </cell>
          <cell r="E57">
            <v>0</v>
          </cell>
          <cell r="F57" t="e">
            <v>#N/A</v>
          </cell>
          <cell r="G57" t="e">
            <v>#N/A</v>
          </cell>
          <cell r="H57">
            <v>0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>
            <v>0</v>
          </cell>
          <cell r="O57">
            <v>0</v>
          </cell>
          <cell r="P57" t="e">
            <v>#N/A</v>
          </cell>
          <cell r="Q57" t="e">
            <v>#N/A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 t="e">
            <v>#N/A</v>
          </cell>
          <cell r="W57" t="e">
            <v>#N/A</v>
          </cell>
          <cell r="X57">
            <v>0</v>
          </cell>
          <cell r="Y57">
            <v>0</v>
          </cell>
          <cell r="Z57" t="e">
            <v>#N/A</v>
          </cell>
          <cell r="AA57">
            <v>0</v>
          </cell>
        </row>
        <row r="58">
          <cell r="A58">
            <v>1011863745</v>
          </cell>
          <cell r="B58" t="str">
            <v>YYYYY MEJICO</v>
          </cell>
          <cell r="C58" t="str">
            <v>Miguel</v>
          </cell>
          <cell r="D58">
            <v>0</v>
          </cell>
          <cell r="E58">
            <v>55</v>
          </cell>
          <cell r="F58">
            <v>5200</v>
          </cell>
          <cell r="G58">
            <v>0</v>
          </cell>
          <cell r="H58">
            <v>0</v>
          </cell>
          <cell r="I58">
            <v>0</v>
          </cell>
          <cell r="J58">
            <v>67600</v>
          </cell>
          <cell r="K58">
            <v>51055</v>
          </cell>
          <cell r="L58">
            <v>0</v>
          </cell>
          <cell r="M58">
            <v>51055</v>
          </cell>
          <cell r="N58" t="str">
            <v>México - Reynosa</v>
          </cell>
          <cell r="O58">
            <v>0.15</v>
          </cell>
          <cell r="P58">
            <v>10140</v>
          </cell>
          <cell r="Q58">
            <v>0</v>
          </cell>
          <cell r="R58">
            <v>0.15</v>
          </cell>
          <cell r="S58">
            <v>10140</v>
          </cell>
          <cell r="T58">
            <v>0</v>
          </cell>
          <cell r="U58">
            <v>37975</v>
          </cell>
          <cell r="V58">
            <v>0</v>
          </cell>
          <cell r="W58">
            <v>0</v>
          </cell>
          <cell r="X58">
            <v>58255</v>
          </cell>
          <cell r="Y58">
            <v>86919</v>
          </cell>
          <cell r="Z58">
            <v>109310</v>
          </cell>
          <cell r="AA58">
            <v>154519</v>
          </cell>
        </row>
        <row r="59">
          <cell r="A59" t="str">
            <v>1013566176/1</v>
          </cell>
          <cell r="B59" t="str">
            <v>SEIJO/1</v>
          </cell>
          <cell r="C59" t="str">
            <v>Carlos</v>
          </cell>
          <cell r="D59">
            <v>0</v>
          </cell>
          <cell r="E59">
            <v>63</v>
          </cell>
          <cell r="F59">
            <v>15150</v>
          </cell>
          <cell r="G59">
            <v>0</v>
          </cell>
          <cell r="H59">
            <v>3.5</v>
          </cell>
          <cell r="I59">
            <v>53025</v>
          </cell>
          <cell r="J59">
            <v>249975</v>
          </cell>
          <cell r="K59">
            <v>137104</v>
          </cell>
          <cell r="L59">
            <v>31985</v>
          </cell>
          <cell r="M59">
            <v>169089</v>
          </cell>
          <cell r="N59" t="str">
            <v>Brasil . Rio de Janeiro</v>
          </cell>
          <cell r="O59">
            <v>0.15</v>
          </cell>
          <cell r="P59">
            <v>29543</v>
          </cell>
          <cell r="Q59">
            <v>7954</v>
          </cell>
          <cell r="R59">
            <v>0.1</v>
          </cell>
          <cell r="S59">
            <v>19695</v>
          </cell>
          <cell r="T59">
            <v>0</v>
          </cell>
          <cell r="U59">
            <v>114442</v>
          </cell>
          <cell r="V59">
            <v>0</v>
          </cell>
          <cell r="W59">
            <v>0</v>
          </cell>
          <cell r="X59">
            <v>171634</v>
          </cell>
          <cell r="Y59">
            <v>264053</v>
          </cell>
          <cell r="Z59">
            <v>340723</v>
          </cell>
          <cell r="AA59">
            <v>514028</v>
          </cell>
        </row>
        <row r="60">
          <cell r="A60">
            <v>1011863746</v>
          </cell>
          <cell r="B60" t="str">
            <v>ZZZZZMEJICO</v>
          </cell>
          <cell r="C60" t="str">
            <v>Héctor</v>
          </cell>
          <cell r="D60">
            <v>0</v>
          </cell>
          <cell r="E60">
            <v>59</v>
          </cell>
          <cell r="F60">
            <v>9600</v>
          </cell>
          <cell r="G60">
            <v>0</v>
          </cell>
          <cell r="H60">
            <v>3</v>
          </cell>
          <cell r="I60">
            <v>28800</v>
          </cell>
          <cell r="J60">
            <v>153600</v>
          </cell>
          <cell r="K60">
            <v>90840</v>
          </cell>
          <cell r="L60">
            <v>17873</v>
          </cell>
          <cell r="M60">
            <v>108713</v>
          </cell>
          <cell r="N60" t="str">
            <v>México - Reynosa</v>
          </cell>
          <cell r="O60">
            <v>0.15</v>
          </cell>
          <cell r="P60">
            <v>18720</v>
          </cell>
          <cell r="Q60">
            <v>4320</v>
          </cell>
          <cell r="R60">
            <v>0.15</v>
          </cell>
          <cell r="S60">
            <v>18720</v>
          </cell>
          <cell r="T60">
            <v>0</v>
          </cell>
          <cell r="U60">
            <v>64169</v>
          </cell>
          <cell r="V60">
            <v>0</v>
          </cell>
          <cell r="W60">
            <v>0</v>
          </cell>
          <cell r="X60">
            <v>105929</v>
          </cell>
          <cell r="Y60">
            <v>166457</v>
          </cell>
          <cell r="Z60">
            <v>214642</v>
          </cell>
          <cell r="AA60">
            <v>320057</v>
          </cell>
        </row>
        <row r="61">
          <cell r="A61" t="str">
            <v>1021787741MP</v>
          </cell>
          <cell r="B61" t="str">
            <v>LEBON</v>
          </cell>
          <cell r="C61" t="str">
            <v>GUSTAVO LUIS</v>
          </cell>
          <cell r="D61" t="str">
            <v>Gte. Administración</v>
          </cell>
          <cell r="E61">
            <v>58</v>
          </cell>
          <cell r="F61">
            <v>4900</v>
          </cell>
          <cell r="G61">
            <v>2600</v>
          </cell>
          <cell r="H61">
            <v>2</v>
          </cell>
          <cell r="I61">
            <v>15000</v>
          </cell>
          <cell r="J61">
            <v>112500</v>
          </cell>
          <cell r="K61">
            <v>72806</v>
          </cell>
          <cell r="L61">
            <v>9706</v>
          </cell>
          <cell r="M61">
            <v>82512</v>
          </cell>
          <cell r="N61" t="str">
            <v>México - Reynosa</v>
          </cell>
          <cell r="O61">
            <v>0.15</v>
          </cell>
          <cell r="P61">
            <v>14625</v>
          </cell>
          <cell r="Q61">
            <v>2250</v>
          </cell>
          <cell r="R61">
            <v>0.15</v>
          </cell>
          <cell r="S61">
            <v>14625</v>
          </cell>
          <cell r="T61">
            <v>0</v>
          </cell>
          <cell r="U61">
            <v>47733</v>
          </cell>
          <cell r="V61">
            <v>0</v>
          </cell>
          <cell r="W61">
            <v>0</v>
          </cell>
          <cell r="X61">
            <v>79233</v>
          </cell>
          <cell r="Y61">
            <v>124959</v>
          </cell>
          <cell r="Z61">
            <v>161745</v>
          </cell>
          <cell r="AA61">
            <v>237459</v>
          </cell>
        </row>
        <row r="62">
          <cell r="A62">
            <v>1016868207</v>
          </cell>
          <cell r="B62" t="str">
            <v>MUSRI</v>
          </cell>
          <cell r="C62" t="str">
            <v>Daniel Amado</v>
          </cell>
          <cell r="D62" t="str">
            <v>Gte. Reservorio</v>
          </cell>
          <cell r="E62">
            <v>60</v>
          </cell>
          <cell r="F62">
            <v>8148</v>
          </cell>
          <cell r="G62">
            <v>0</v>
          </cell>
          <cell r="H62">
            <v>4</v>
          </cell>
          <cell r="I62">
            <v>32592</v>
          </cell>
          <cell r="J62">
            <v>138516</v>
          </cell>
          <cell r="K62">
            <v>77734</v>
          </cell>
          <cell r="L62">
            <v>22729</v>
          </cell>
          <cell r="M62">
            <v>100463</v>
          </cell>
          <cell r="N62" t="str">
            <v>Ecuador - Quito</v>
          </cell>
          <cell r="O62">
            <v>0.15</v>
          </cell>
          <cell r="P62">
            <v>15889</v>
          </cell>
          <cell r="Q62">
            <v>4889</v>
          </cell>
          <cell r="R62">
            <v>0.15</v>
          </cell>
          <cell r="S62">
            <v>15889</v>
          </cell>
          <cell r="T62">
            <v>0</v>
          </cell>
          <cell r="U62">
            <v>153582</v>
          </cell>
          <cell r="V62">
            <v>0</v>
          </cell>
          <cell r="W62">
            <v>0</v>
          </cell>
          <cell r="X62">
            <v>190249</v>
          </cell>
          <cell r="Y62">
            <v>298572</v>
          </cell>
          <cell r="Z62">
            <v>290712</v>
          </cell>
          <cell r="AA62">
            <v>437088</v>
          </cell>
        </row>
        <row r="63">
          <cell r="A63">
            <v>1011863743</v>
          </cell>
          <cell r="B63" t="str">
            <v>GARCIA DE LAS LONGAS</v>
          </cell>
          <cell r="C63" t="str">
            <v>Eduardo</v>
          </cell>
          <cell r="D63" t="str">
            <v>Gte Administrativo</v>
          </cell>
          <cell r="E63">
            <v>59</v>
          </cell>
          <cell r="F63">
            <v>9240</v>
          </cell>
          <cell r="G63">
            <v>0</v>
          </cell>
          <cell r="H63">
            <v>2</v>
          </cell>
          <cell r="I63">
            <v>18480</v>
          </cell>
          <cell r="J63">
            <v>138600</v>
          </cell>
          <cell r="K63">
            <v>87927</v>
          </cell>
          <cell r="L63">
            <v>12752</v>
          </cell>
          <cell r="M63">
            <v>100679</v>
          </cell>
          <cell r="N63" t="str">
            <v>México - Reynosa</v>
          </cell>
          <cell r="O63">
            <v>0.15</v>
          </cell>
          <cell r="P63">
            <v>18018</v>
          </cell>
          <cell r="Q63">
            <v>2772</v>
          </cell>
          <cell r="R63">
            <v>0.15</v>
          </cell>
          <cell r="S63">
            <v>18018</v>
          </cell>
          <cell r="T63">
            <v>0</v>
          </cell>
          <cell r="U63">
            <v>63960</v>
          </cell>
          <cell r="V63">
            <v>0</v>
          </cell>
          <cell r="W63">
            <v>0</v>
          </cell>
          <cell r="X63">
            <v>102768</v>
          </cell>
          <cell r="Y63">
            <v>164234</v>
          </cell>
          <cell r="Z63">
            <v>203447</v>
          </cell>
          <cell r="AA63">
            <v>302834</v>
          </cell>
        </row>
        <row r="64">
          <cell r="A64">
            <v>1020007228</v>
          </cell>
          <cell r="B64" t="str">
            <v>CARRO</v>
          </cell>
          <cell r="C64" t="str">
            <v>Carlos Alberto</v>
          </cell>
          <cell r="D64" t="str">
            <v>Jefe de Producción</v>
          </cell>
          <cell r="E64">
            <v>0</v>
          </cell>
          <cell r="F64">
            <v>7620</v>
          </cell>
          <cell r="G64">
            <v>0</v>
          </cell>
          <cell r="H64">
            <v>4</v>
          </cell>
          <cell r="I64">
            <v>30480</v>
          </cell>
          <cell r="J64">
            <v>129540</v>
          </cell>
          <cell r="K64">
            <v>73945</v>
          </cell>
          <cell r="L64">
            <v>20324</v>
          </cell>
          <cell r="M64">
            <v>94269</v>
          </cell>
          <cell r="N64" t="str">
            <v>Venezuela - El Tigre</v>
          </cell>
          <cell r="O64">
            <v>0.15</v>
          </cell>
          <cell r="P64">
            <v>14859</v>
          </cell>
          <cell r="Q64">
            <v>4572</v>
          </cell>
          <cell r="R64">
            <v>0.15</v>
          </cell>
          <cell r="S64">
            <v>14859</v>
          </cell>
          <cell r="T64">
            <v>0</v>
          </cell>
          <cell r="U64">
            <v>147092</v>
          </cell>
          <cell r="V64">
            <v>0</v>
          </cell>
          <cell r="W64">
            <v>0</v>
          </cell>
          <cell r="X64">
            <v>181382</v>
          </cell>
          <cell r="Y64">
            <v>284377</v>
          </cell>
          <cell r="Z64">
            <v>275651</v>
          </cell>
          <cell r="AA64">
            <v>413917</v>
          </cell>
        </row>
        <row r="65">
          <cell r="A65">
            <v>1013789218</v>
          </cell>
          <cell r="B65" t="str">
            <v>ARIAS</v>
          </cell>
          <cell r="C65" t="str">
            <v>Carlos</v>
          </cell>
          <cell r="D65" t="str">
            <v>Coord. Ambiental</v>
          </cell>
          <cell r="E65">
            <v>58</v>
          </cell>
          <cell r="F65">
            <v>7080</v>
          </cell>
          <cell r="G65">
            <v>0</v>
          </cell>
          <cell r="H65">
            <v>3</v>
          </cell>
          <cell r="I65">
            <v>21240</v>
          </cell>
          <cell r="J65">
            <v>113280</v>
          </cell>
          <cell r="K65">
            <v>68821</v>
          </cell>
          <cell r="L65">
            <v>14229</v>
          </cell>
          <cell r="M65">
            <v>83050</v>
          </cell>
          <cell r="N65" t="str">
            <v>Ecuador - Quito</v>
          </cell>
          <cell r="O65">
            <v>0.15</v>
          </cell>
          <cell r="P65">
            <v>13806</v>
          </cell>
          <cell r="Q65">
            <v>3186</v>
          </cell>
          <cell r="R65">
            <v>0.15</v>
          </cell>
          <cell r="S65">
            <v>13806</v>
          </cell>
          <cell r="T65">
            <v>0</v>
          </cell>
          <cell r="U65">
            <v>135087</v>
          </cell>
          <cell r="V65">
            <v>0</v>
          </cell>
          <cell r="W65">
            <v>0</v>
          </cell>
          <cell r="X65">
            <v>165885</v>
          </cell>
          <cell r="Y65">
            <v>259536</v>
          </cell>
          <cell r="Z65">
            <v>248935</v>
          </cell>
          <cell r="AA65">
            <v>372816</v>
          </cell>
        </row>
        <row r="66">
          <cell r="A66">
            <v>1012219406</v>
          </cell>
          <cell r="B66" t="str">
            <v>CASALIS</v>
          </cell>
          <cell r="C66" t="str">
            <v>Daniel Jorge</v>
          </cell>
          <cell r="D66" t="str">
            <v>Lider Equipo</v>
          </cell>
          <cell r="E66">
            <v>0</v>
          </cell>
          <cell r="F66">
            <v>6295.2</v>
          </cell>
          <cell r="G66">
            <v>0</v>
          </cell>
          <cell r="H66">
            <v>4</v>
          </cell>
          <cell r="I66">
            <v>25180.799999999999</v>
          </cell>
          <cell r="J66">
            <v>107018</v>
          </cell>
          <cell r="K66">
            <v>61189</v>
          </cell>
          <cell r="L66">
            <v>17344</v>
          </cell>
          <cell r="M66">
            <v>78533</v>
          </cell>
          <cell r="N66" t="str">
            <v>Ecuador - Quito</v>
          </cell>
          <cell r="O66">
            <v>0.15</v>
          </cell>
          <cell r="P66">
            <v>12276</v>
          </cell>
          <cell r="Q66">
            <v>3777</v>
          </cell>
          <cell r="R66">
            <v>0.15</v>
          </cell>
          <cell r="S66">
            <v>12276</v>
          </cell>
          <cell r="T66">
            <v>0</v>
          </cell>
          <cell r="U66">
            <v>130394</v>
          </cell>
          <cell r="V66">
            <v>0</v>
          </cell>
          <cell r="W66">
            <v>0</v>
          </cell>
          <cell r="X66">
            <v>158723</v>
          </cell>
          <cell r="Y66">
            <v>247830</v>
          </cell>
          <cell r="Z66">
            <v>237256</v>
          </cell>
          <cell r="AA66">
            <v>354848</v>
          </cell>
        </row>
        <row r="67">
          <cell r="A67">
            <v>1008435173</v>
          </cell>
          <cell r="B67" t="str">
            <v>MALFETANA</v>
          </cell>
          <cell r="C67" t="str">
            <v>Angel Omar</v>
          </cell>
          <cell r="D67" t="str">
            <v>Lider Equipo SR.</v>
          </cell>
          <cell r="E67">
            <v>58</v>
          </cell>
          <cell r="F67">
            <v>6120</v>
          </cell>
          <cell r="G67">
            <v>0</v>
          </cell>
          <cell r="H67">
            <v>3</v>
          </cell>
          <cell r="I67">
            <v>18360</v>
          </cell>
          <cell r="J67">
            <v>97920</v>
          </cell>
          <cell r="K67">
            <v>59763</v>
          </cell>
          <cell r="L67">
            <v>13735</v>
          </cell>
          <cell r="M67">
            <v>73498</v>
          </cell>
          <cell r="N67" t="str">
            <v>Ecuador - Quito</v>
          </cell>
          <cell r="O67">
            <v>0.15</v>
          </cell>
          <cell r="P67">
            <v>11934</v>
          </cell>
          <cell r="Q67">
            <v>2754</v>
          </cell>
          <cell r="R67">
            <v>0.15</v>
          </cell>
          <cell r="S67">
            <v>11934</v>
          </cell>
          <cell r="T67">
            <v>0</v>
          </cell>
          <cell r="U67">
            <v>123186</v>
          </cell>
          <cell r="V67">
            <v>0</v>
          </cell>
          <cell r="W67">
            <v>0</v>
          </cell>
          <cell r="X67">
            <v>149808</v>
          </cell>
          <cell r="Y67">
            <v>235466</v>
          </cell>
          <cell r="Z67">
            <v>223306</v>
          </cell>
          <cell r="AA67">
            <v>333386</v>
          </cell>
        </row>
        <row r="68">
          <cell r="A68">
            <v>4009804911</v>
          </cell>
          <cell r="B68" t="str">
            <v>LAMANNA</v>
          </cell>
          <cell r="C68" t="str">
            <v>Darío</v>
          </cell>
          <cell r="D68" t="str">
            <v>Abogado  Sr</v>
          </cell>
          <cell r="E68">
            <v>0</v>
          </cell>
          <cell r="F68">
            <v>5520</v>
          </cell>
          <cell r="G68">
            <v>0</v>
          </cell>
          <cell r="H68">
            <v>2</v>
          </cell>
          <cell r="I68">
            <v>11040</v>
          </cell>
          <cell r="J68">
            <v>82800</v>
          </cell>
          <cell r="K68">
            <v>54047</v>
          </cell>
          <cell r="L68">
            <v>7554</v>
          </cell>
          <cell r="M68">
            <v>61601</v>
          </cell>
          <cell r="N68" t="str">
            <v>Ecuador - Quito</v>
          </cell>
          <cell r="O68">
            <v>0.15</v>
          </cell>
          <cell r="P68">
            <v>10764</v>
          </cell>
          <cell r="Q68">
            <v>1656</v>
          </cell>
          <cell r="R68">
            <v>0.15</v>
          </cell>
          <cell r="S68">
            <v>10764</v>
          </cell>
          <cell r="T68">
            <v>0</v>
          </cell>
          <cell r="U68">
            <v>99078</v>
          </cell>
          <cell r="V68">
            <v>0</v>
          </cell>
          <cell r="W68">
            <v>0</v>
          </cell>
          <cell r="X68">
            <v>122262</v>
          </cell>
          <cell r="Y68">
            <v>189905</v>
          </cell>
          <cell r="Z68">
            <v>183863</v>
          </cell>
          <cell r="AA68">
            <v>272705</v>
          </cell>
        </row>
        <row r="69">
          <cell r="A69" t="str">
            <v>1021787741MIN</v>
          </cell>
          <cell r="B69" t="str">
            <v>LEBON</v>
          </cell>
          <cell r="C69" t="str">
            <v>GUSTAVO LUIS</v>
          </cell>
          <cell r="D69">
            <v>0</v>
          </cell>
          <cell r="E69">
            <v>0</v>
          </cell>
          <cell r="F69">
            <v>4900</v>
          </cell>
          <cell r="G69">
            <v>1100</v>
          </cell>
          <cell r="H69">
            <v>2</v>
          </cell>
          <cell r="I69">
            <v>12000</v>
          </cell>
          <cell r="J69">
            <v>90000</v>
          </cell>
          <cell r="K69">
            <v>58234</v>
          </cell>
          <cell r="L69">
            <v>9097</v>
          </cell>
          <cell r="M69">
            <v>67331</v>
          </cell>
          <cell r="N69" t="str">
            <v>México - Reynosa</v>
          </cell>
          <cell r="O69">
            <v>0.15</v>
          </cell>
          <cell r="P69">
            <v>11700</v>
          </cell>
          <cell r="Q69">
            <v>1800</v>
          </cell>
          <cell r="R69">
            <v>0.15</v>
          </cell>
          <cell r="S69">
            <v>11700</v>
          </cell>
          <cell r="T69">
            <v>0</v>
          </cell>
          <cell r="U69">
            <v>41338</v>
          </cell>
          <cell r="V69">
            <v>0</v>
          </cell>
          <cell r="W69">
            <v>0</v>
          </cell>
          <cell r="X69">
            <v>66538</v>
          </cell>
          <cell r="Y69">
            <v>102137</v>
          </cell>
          <cell r="Z69">
            <v>133869</v>
          </cell>
          <cell r="AA69">
            <v>192137</v>
          </cell>
        </row>
        <row r="70">
          <cell r="A70">
            <v>1018429834</v>
          </cell>
          <cell r="B70" t="str">
            <v>GUIÑAZU</v>
          </cell>
          <cell r="C70" t="str">
            <v>Alfredo Walter</v>
          </cell>
          <cell r="D70" t="str">
            <v>Jefe Perforac.</v>
          </cell>
          <cell r="E70">
            <v>56</v>
          </cell>
          <cell r="F70">
            <v>5280</v>
          </cell>
          <cell r="G70">
            <v>0</v>
          </cell>
          <cell r="H70">
            <v>2</v>
          </cell>
          <cell r="I70">
            <v>10560</v>
          </cell>
          <cell r="J70">
            <v>79200</v>
          </cell>
          <cell r="K70">
            <v>51856</v>
          </cell>
          <cell r="L70">
            <v>7137</v>
          </cell>
          <cell r="M70">
            <v>58993</v>
          </cell>
          <cell r="N70" t="str">
            <v>Ecuador - Quito</v>
          </cell>
          <cell r="O70">
            <v>0.15</v>
          </cell>
          <cell r="P70">
            <v>10296</v>
          </cell>
          <cell r="Q70">
            <v>1584</v>
          </cell>
          <cell r="R70">
            <v>0.15</v>
          </cell>
          <cell r="S70">
            <v>10296</v>
          </cell>
          <cell r="T70">
            <v>0</v>
          </cell>
          <cell r="U70">
            <v>102232</v>
          </cell>
          <cell r="V70">
            <v>0</v>
          </cell>
          <cell r="W70">
            <v>0</v>
          </cell>
          <cell r="X70">
            <v>124408</v>
          </cell>
          <cell r="Y70">
            <v>192794</v>
          </cell>
          <cell r="Z70">
            <v>183401</v>
          </cell>
          <cell r="AA70">
            <v>271994</v>
          </cell>
        </row>
        <row r="71">
          <cell r="A71" t="str">
            <v>1013566776-</v>
          </cell>
          <cell r="B71" t="str">
            <v>SEIJO - TAKE OVER</v>
          </cell>
          <cell r="C71" t="str">
            <v>Carlos</v>
          </cell>
          <cell r="D71">
            <v>0</v>
          </cell>
          <cell r="E71">
            <v>62</v>
          </cell>
          <cell r="F71">
            <v>18500</v>
          </cell>
          <cell r="G71">
            <v>4625</v>
          </cell>
          <cell r="H71">
            <v>4</v>
          </cell>
          <cell r="I71">
            <v>74000</v>
          </cell>
          <cell r="J71">
            <v>374625</v>
          </cell>
          <cell r="K71">
            <v>202011</v>
          </cell>
          <cell r="L71">
            <v>48100</v>
          </cell>
          <cell r="M71">
            <v>250111</v>
          </cell>
          <cell r="N71" t="str">
            <v>Francia - París</v>
          </cell>
          <cell r="O71">
            <v>0.15</v>
          </cell>
          <cell r="P71">
            <v>45094</v>
          </cell>
          <cell r="Q71">
            <v>11100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56194</v>
          </cell>
          <cell r="Y71">
            <v>86452</v>
          </cell>
          <cell r="Z71">
            <v>306305</v>
          </cell>
          <cell r="AA71">
            <v>461077</v>
          </cell>
        </row>
        <row r="72">
          <cell r="A72">
            <v>13</v>
          </cell>
          <cell r="B72" t="str">
            <v>EJEMPLO 3</v>
          </cell>
          <cell r="C72">
            <v>0</v>
          </cell>
          <cell r="D72">
            <v>0</v>
          </cell>
          <cell r="E72">
            <v>0</v>
          </cell>
          <cell r="F72">
            <v>6471</v>
          </cell>
          <cell r="G72">
            <v>0</v>
          </cell>
          <cell r="H72">
            <v>4</v>
          </cell>
          <cell r="I72">
            <v>25884</v>
          </cell>
          <cell r="J72">
            <v>110007</v>
          </cell>
          <cell r="K72">
            <v>62784</v>
          </cell>
          <cell r="L72">
            <v>17793</v>
          </cell>
          <cell r="M72">
            <v>80577</v>
          </cell>
          <cell r="N72" t="str">
            <v>México - Reynosa</v>
          </cell>
          <cell r="O72">
            <v>0.15</v>
          </cell>
          <cell r="P72">
            <v>12618</v>
          </cell>
          <cell r="Q72">
            <v>3883</v>
          </cell>
          <cell r="R72">
            <v>0.15</v>
          </cell>
          <cell r="S72">
            <v>12618</v>
          </cell>
          <cell r="T72">
            <v>0</v>
          </cell>
          <cell r="U72">
            <v>78461</v>
          </cell>
          <cell r="V72">
            <v>0</v>
          </cell>
          <cell r="W72">
            <v>0</v>
          </cell>
          <cell r="X72">
            <v>107580</v>
          </cell>
          <cell r="Y72">
            <v>169304</v>
          </cell>
          <cell r="Z72">
            <v>188157</v>
          </cell>
          <cell r="AA72">
            <v>279311</v>
          </cell>
        </row>
        <row r="73">
          <cell r="A73">
            <v>1021368232</v>
          </cell>
          <cell r="B73" t="str">
            <v>RECIO</v>
          </cell>
          <cell r="C73" t="str">
            <v>Mauricio Nestor</v>
          </cell>
          <cell r="D73" t="str">
            <v>Profesional Sr.</v>
          </cell>
          <cell r="E73">
            <v>0</v>
          </cell>
          <cell r="F73">
            <v>4879.2</v>
          </cell>
          <cell r="G73">
            <v>0</v>
          </cell>
          <cell r="H73">
            <v>1</v>
          </cell>
          <cell r="I73">
            <v>4879.2</v>
          </cell>
          <cell r="J73">
            <v>68309</v>
          </cell>
          <cell r="K73">
            <v>47844</v>
          </cell>
          <cell r="L73">
            <v>3757</v>
          </cell>
          <cell r="M73">
            <v>51601</v>
          </cell>
          <cell r="N73" t="str">
            <v>Ecuador - Quito</v>
          </cell>
          <cell r="O73">
            <v>0.15</v>
          </cell>
          <cell r="P73">
            <v>9514</v>
          </cell>
          <cell r="Q73">
            <v>732</v>
          </cell>
          <cell r="R73">
            <v>0.15</v>
          </cell>
          <cell r="S73">
            <v>9514</v>
          </cell>
          <cell r="T73">
            <v>0</v>
          </cell>
          <cell r="U73">
            <v>93079</v>
          </cell>
          <cell r="V73">
            <v>0</v>
          </cell>
          <cell r="W73">
            <v>0</v>
          </cell>
          <cell r="X73">
            <v>112839</v>
          </cell>
          <cell r="Y73">
            <v>173351</v>
          </cell>
          <cell r="Z73">
            <v>164440</v>
          </cell>
          <cell r="AA73">
            <v>241660</v>
          </cell>
        </row>
        <row r="74">
          <cell r="A74">
            <v>0</v>
          </cell>
          <cell r="B74" t="e">
            <v>#N/A</v>
          </cell>
          <cell r="C74" t="e">
            <v>#N/A</v>
          </cell>
          <cell r="D74">
            <v>0</v>
          </cell>
          <cell r="E74">
            <v>0</v>
          </cell>
          <cell r="F74" t="e">
            <v>#N/A</v>
          </cell>
          <cell r="G74" t="e">
            <v>#N/A</v>
          </cell>
          <cell r="H74">
            <v>0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>
            <v>0</v>
          </cell>
          <cell r="O74">
            <v>0</v>
          </cell>
          <cell r="P74" t="e">
            <v>#N/A</v>
          </cell>
          <cell r="Q74" t="e">
            <v>#N/A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 t="e">
            <v>#N/A</v>
          </cell>
          <cell r="W74" t="e">
            <v>#N/A</v>
          </cell>
          <cell r="X74">
            <v>0</v>
          </cell>
          <cell r="Y74">
            <v>0</v>
          </cell>
          <cell r="Z74" t="e">
            <v>#N/A</v>
          </cell>
          <cell r="AA74">
            <v>0</v>
          </cell>
        </row>
        <row r="75">
          <cell r="A75">
            <v>1018084529</v>
          </cell>
          <cell r="B75" t="str">
            <v>CASTILLO</v>
          </cell>
          <cell r="C75" t="str">
            <v>Guillermo</v>
          </cell>
          <cell r="D75" t="str">
            <v>Gerente de Ventas</v>
          </cell>
          <cell r="E75">
            <v>0</v>
          </cell>
          <cell r="F75">
            <v>9000</v>
          </cell>
          <cell r="G75">
            <v>0</v>
          </cell>
          <cell r="H75">
            <v>0</v>
          </cell>
          <cell r="I75">
            <v>0</v>
          </cell>
          <cell r="J75">
            <v>117000</v>
          </cell>
          <cell r="K75">
            <v>85300</v>
          </cell>
          <cell r="L75">
            <v>0</v>
          </cell>
          <cell r="M75">
            <v>85300</v>
          </cell>
          <cell r="N75" t="str">
            <v>Brasil - San Pablo</v>
          </cell>
          <cell r="O75">
            <v>0.15</v>
          </cell>
          <cell r="P75">
            <v>17550</v>
          </cell>
          <cell r="Q75">
            <v>0</v>
          </cell>
          <cell r="R75">
            <v>0.05</v>
          </cell>
          <cell r="S75">
            <v>5850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23400</v>
          </cell>
          <cell r="Y75">
            <v>36745</v>
          </cell>
          <cell r="Z75">
            <v>108700</v>
          </cell>
          <cell r="AA75">
            <v>153745</v>
          </cell>
        </row>
        <row r="76">
          <cell r="A76">
            <v>1017653363</v>
          </cell>
          <cell r="B76" t="str">
            <v>MAS</v>
          </cell>
          <cell r="C76" t="str">
            <v>Gustavo</v>
          </cell>
          <cell r="D76">
            <v>0</v>
          </cell>
          <cell r="E76">
            <v>0</v>
          </cell>
          <cell r="F76">
            <v>14000</v>
          </cell>
          <cell r="G76">
            <v>0</v>
          </cell>
          <cell r="H76">
            <v>5</v>
          </cell>
          <cell r="I76">
            <v>70000</v>
          </cell>
          <cell r="J76">
            <v>252000</v>
          </cell>
          <cell r="K76">
            <v>127173</v>
          </cell>
          <cell r="L76">
            <v>43232</v>
          </cell>
          <cell r="M76">
            <v>170405</v>
          </cell>
          <cell r="N76" t="str">
            <v>Bolivia - Sta. Cruz de la Sierra</v>
          </cell>
          <cell r="O76">
            <v>0.15</v>
          </cell>
          <cell r="P76">
            <v>27300</v>
          </cell>
          <cell r="Q76">
            <v>10500</v>
          </cell>
          <cell r="R76">
            <v>0.15</v>
          </cell>
          <cell r="S76">
            <v>27300</v>
          </cell>
          <cell r="T76">
            <v>0</v>
          </cell>
          <cell r="U76">
            <v>128324</v>
          </cell>
          <cell r="V76">
            <v>0</v>
          </cell>
          <cell r="W76">
            <v>0</v>
          </cell>
          <cell r="X76">
            <v>193424</v>
          </cell>
          <cell r="Y76">
            <v>297576</v>
          </cell>
          <cell r="Z76">
            <v>363829</v>
          </cell>
          <cell r="AA76">
            <v>549576</v>
          </cell>
        </row>
        <row r="77">
          <cell r="A77">
            <v>1012780048</v>
          </cell>
          <cell r="B77" t="str">
            <v>ANGIOLINI</v>
          </cell>
          <cell r="C77" t="str">
            <v>Fernando</v>
          </cell>
          <cell r="D77">
            <v>0</v>
          </cell>
          <cell r="E77">
            <v>0</v>
          </cell>
          <cell r="F77">
            <v>7680</v>
          </cell>
          <cell r="G77">
            <v>0</v>
          </cell>
          <cell r="H77">
            <v>3</v>
          </cell>
          <cell r="I77">
            <v>23040</v>
          </cell>
          <cell r="J77">
            <v>122880</v>
          </cell>
          <cell r="K77">
            <v>73551</v>
          </cell>
          <cell r="L77">
            <v>15332</v>
          </cell>
          <cell r="M77">
            <v>88883</v>
          </cell>
          <cell r="N77" t="str">
            <v>Brasil - Porto Alegre</v>
          </cell>
          <cell r="O77">
            <v>0.15</v>
          </cell>
          <cell r="P77">
            <v>14976</v>
          </cell>
          <cell r="Q77">
            <v>3456</v>
          </cell>
          <cell r="R77">
            <v>0.05</v>
          </cell>
          <cell r="S77">
            <v>4992</v>
          </cell>
          <cell r="T77">
            <v>0</v>
          </cell>
          <cell r="U77">
            <v>37202</v>
          </cell>
          <cell r="V77">
            <v>0</v>
          </cell>
          <cell r="W77">
            <v>0</v>
          </cell>
          <cell r="X77">
            <v>60626</v>
          </cell>
          <cell r="Y77">
            <v>94142</v>
          </cell>
          <cell r="Z77">
            <v>149509</v>
          </cell>
          <cell r="AA77">
            <v>217022</v>
          </cell>
        </row>
        <row r="78">
          <cell r="A78">
            <v>1025647012</v>
          </cell>
          <cell r="B78" t="str">
            <v>BIGGI</v>
          </cell>
          <cell r="C78" t="str">
            <v>Diego</v>
          </cell>
          <cell r="D78">
            <v>0</v>
          </cell>
          <cell r="E78">
            <v>0</v>
          </cell>
          <cell r="F78">
            <v>4900</v>
          </cell>
          <cell r="G78">
            <v>0</v>
          </cell>
          <cell r="H78">
            <v>2</v>
          </cell>
          <cell r="I78">
            <v>9800</v>
          </cell>
          <cell r="J78">
            <v>73500</v>
          </cell>
          <cell r="K78">
            <v>48474</v>
          </cell>
          <cell r="L78">
            <v>7546</v>
          </cell>
          <cell r="M78">
            <v>56020</v>
          </cell>
          <cell r="N78" t="str">
            <v>Venezuela - Caracas</v>
          </cell>
          <cell r="O78">
            <v>0.15</v>
          </cell>
          <cell r="P78">
            <v>9555</v>
          </cell>
          <cell r="Q78">
            <v>1470</v>
          </cell>
          <cell r="R78">
            <v>0.05</v>
          </cell>
          <cell r="S78">
            <v>3185</v>
          </cell>
          <cell r="T78">
            <v>0</v>
          </cell>
          <cell r="U78">
            <v>80485</v>
          </cell>
          <cell r="V78">
            <v>0</v>
          </cell>
          <cell r="W78">
            <v>0</v>
          </cell>
          <cell r="X78">
            <v>94695</v>
          </cell>
          <cell r="Y78">
            <v>146935</v>
          </cell>
          <cell r="Z78">
            <v>150715</v>
          </cell>
          <cell r="AA78">
            <v>220435</v>
          </cell>
        </row>
        <row r="79">
          <cell r="A79">
            <v>14</v>
          </cell>
          <cell r="B79" t="str">
            <v>EJEMPLO 4</v>
          </cell>
          <cell r="C79">
            <v>0</v>
          </cell>
          <cell r="D79">
            <v>0</v>
          </cell>
          <cell r="E79">
            <v>0</v>
          </cell>
          <cell r="F79">
            <v>21053</v>
          </cell>
          <cell r="G79">
            <v>0</v>
          </cell>
          <cell r="H79">
            <v>6</v>
          </cell>
          <cell r="I79">
            <v>126318</v>
          </cell>
          <cell r="J79">
            <v>400007</v>
          </cell>
          <cell r="K79">
            <v>184503</v>
          </cell>
          <cell r="L79">
            <v>82106</v>
          </cell>
          <cell r="M79">
            <v>266609</v>
          </cell>
          <cell r="N79" t="str">
            <v>México - Reynosa</v>
          </cell>
          <cell r="O79">
            <v>0.15</v>
          </cell>
          <cell r="P79">
            <v>41053</v>
          </cell>
          <cell r="Q79">
            <v>18948</v>
          </cell>
          <cell r="R79">
            <v>0.15</v>
          </cell>
          <cell r="S79">
            <v>41053</v>
          </cell>
          <cell r="T79">
            <v>0</v>
          </cell>
          <cell r="U79">
            <v>172119</v>
          </cell>
          <cell r="V79">
            <v>0</v>
          </cell>
          <cell r="W79">
            <v>0</v>
          </cell>
          <cell r="X79">
            <v>273173</v>
          </cell>
          <cell r="Y79">
            <v>420266</v>
          </cell>
          <cell r="Z79">
            <v>539782</v>
          </cell>
          <cell r="AA79">
            <v>820273</v>
          </cell>
        </row>
        <row r="80">
          <cell r="A80">
            <v>1021787741</v>
          </cell>
          <cell r="B80" t="str">
            <v>LEBON</v>
          </cell>
          <cell r="C80" t="str">
            <v>GUSTAVO LUIS</v>
          </cell>
          <cell r="D80" t="str">
            <v>Gerente Operaciones</v>
          </cell>
          <cell r="E80">
            <v>58</v>
          </cell>
          <cell r="F80">
            <v>3465</v>
          </cell>
          <cell r="G80">
            <v>3135</v>
          </cell>
          <cell r="H80">
            <v>2</v>
          </cell>
          <cell r="I80">
            <v>13200</v>
          </cell>
          <cell r="J80">
            <v>99000</v>
          </cell>
          <cell r="K80">
            <v>64073</v>
          </cell>
          <cell r="L80">
            <v>9636</v>
          </cell>
          <cell r="M80">
            <v>73709</v>
          </cell>
          <cell r="N80" t="str">
            <v>México - Reynosa</v>
          </cell>
          <cell r="O80">
            <v>0.15</v>
          </cell>
          <cell r="P80">
            <v>12870</v>
          </cell>
          <cell r="Q80">
            <v>1980</v>
          </cell>
          <cell r="R80">
            <v>0.15</v>
          </cell>
          <cell r="S80">
            <v>12870</v>
          </cell>
          <cell r="T80">
            <v>0</v>
          </cell>
          <cell r="U80">
            <v>44236</v>
          </cell>
          <cell r="V80">
            <v>0</v>
          </cell>
          <cell r="W80">
            <v>0</v>
          </cell>
          <cell r="X80">
            <v>71956</v>
          </cell>
          <cell r="Y80">
            <v>113776</v>
          </cell>
          <cell r="Z80">
            <v>145665</v>
          </cell>
          <cell r="AA80">
            <v>212776</v>
          </cell>
        </row>
        <row r="81">
          <cell r="A81">
            <v>1020007227</v>
          </cell>
          <cell r="B81" t="str">
            <v>CARRO</v>
          </cell>
          <cell r="C81" t="str">
            <v>Carlos</v>
          </cell>
          <cell r="D81" t="str">
            <v>Jefe de Producción</v>
          </cell>
          <cell r="E81">
            <v>0</v>
          </cell>
          <cell r="F81">
            <v>8500</v>
          </cell>
          <cell r="G81">
            <v>1400</v>
          </cell>
          <cell r="H81">
            <v>4</v>
          </cell>
          <cell r="I81">
            <v>39600</v>
          </cell>
          <cell r="J81">
            <v>168300</v>
          </cell>
          <cell r="K81">
            <v>93690</v>
          </cell>
          <cell r="L81">
            <v>24685</v>
          </cell>
          <cell r="M81">
            <v>118375</v>
          </cell>
          <cell r="N81" t="str">
            <v>Venezuela - El Tigre</v>
          </cell>
          <cell r="O81">
            <v>0.15</v>
          </cell>
          <cell r="P81">
            <v>19305</v>
          </cell>
          <cell r="Q81">
            <v>5940</v>
          </cell>
          <cell r="R81">
            <v>0.15</v>
          </cell>
          <cell r="S81">
            <v>19305</v>
          </cell>
          <cell r="T81">
            <v>0</v>
          </cell>
          <cell r="U81">
            <v>119322</v>
          </cell>
          <cell r="V81">
            <v>0</v>
          </cell>
          <cell r="W81">
            <v>0</v>
          </cell>
          <cell r="X81">
            <v>163872</v>
          </cell>
          <cell r="Y81">
            <v>255765</v>
          </cell>
          <cell r="Z81">
            <v>282247</v>
          </cell>
          <cell r="AA81">
            <v>424065</v>
          </cell>
        </row>
        <row r="82">
          <cell r="A82">
            <v>1020007228</v>
          </cell>
          <cell r="B82" t="str">
            <v>CARRO</v>
          </cell>
          <cell r="C82" t="str">
            <v>Carlos Alberto</v>
          </cell>
          <cell r="D82" t="str">
            <v>Jefe de Producción</v>
          </cell>
          <cell r="E82">
            <v>0</v>
          </cell>
          <cell r="F82">
            <v>7620</v>
          </cell>
          <cell r="G82">
            <v>0</v>
          </cell>
          <cell r="H82">
            <v>4</v>
          </cell>
          <cell r="I82">
            <v>30480</v>
          </cell>
          <cell r="J82">
            <v>129540</v>
          </cell>
          <cell r="K82">
            <v>73945</v>
          </cell>
          <cell r="L82">
            <v>20324</v>
          </cell>
          <cell r="M82">
            <v>94269</v>
          </cell>
          <cell r="N82" t="str">
            <v>Venezuela - El Tigre</v>
          </cell>
          <cell r="O82">
            <v>0.15</v>
          </cell>
          <cell r="P82">
            <v>14859</v>
          </cell>
          <cell r="Q82">
            <v>4572</v>
          </cell>
          <cell r="R82">
            <v>0.15</v>
          </cell>
          <cell r="S82">
            <v>14859</v>
          </cell>
          <cell r="T82">
            <v>0</v>
          </cell>
          <cell r="U82">
            <v>147092</v>
          </cell>
          <cell r="V82">
            <v>0</v>
          </cell>
          <cell r="W82">
            <v>0</v>
          </cell>
          <cell r="X82">
            <v>181382</v>
          </cell>
          <cell r="Y82">
            <v>284377</v>
          </cell>
          <cell r="Z82">
            <v>275651</v>
          </cell>
          <cell r="AA82">
            <v>413917</v>
          </cell>
        </row>
        <row r="83">
          <cell r="A83">
            <v>0</v>
          </cell>
          <cell r="B83" t="e">
            <v>#N/A</v>
          </cell>
          <cell r="C83" t="e">
            <v>#N/A</v>
          </cell>
          <cell r="D83">
            <v>0</v>
          </cell>
          <cell r="E83">
            <v>0</v>
          </cell>
          <cell r="F83" t="e">
            <v>#N/A</v>
          </cell>
          <cell r="G83" t="e">
            <v>#N/A</v>
          </cell>
          <cell r="H83">
            <v>0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>
            <v>0</v>
          </cell>
          <cell r="O83">
            <v>0</v>
          </cell>
          <cell r="P83" t="e">
            <v>#N/A</v>
          </cell>
          <cell r="Q83" t="e">
            <v>#N/A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 t="e">
            <v>#N/A</v>
          </cell>
          <cell r="W83" t="e">
            <v>#N/A</v>
          </cell>
          <cell r="X83">
            <v>0</v>
          </cell>
          <cell r="Y83">
            <v>0</v>
          </cell>
          <cell r="Z83" t="e">
            <v>#N/A</v>
          </cell>
          <cell r="AA83">
            <v>0</v>
          </cell>
        </row>
        <row r="84">
          <cell r="A84">
            <v>0</v>
          </cell>
          <cell r="B84" t="e">
            <v>#N/A</v>
          </cell>
          <cell r="C84" t="e">
            <v>#N/A</v>
          </cell>
          <cell r="D84">
            <v>0</v>
          </cell>
          <cell r="E84">
            <v>0</v>
          </cell>
          <cell r="F84" t="e">
            <v>#N/A</v>
          </cell>
          <cell r="G84" t="e">
            <v>#N/A</v>
          </cell>
          <cell r="H84">
            <v>0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>
            <v>0</v>
          </cell>
          <cell r="O84">
            <v>0</v>
          </cell>
          <cell r="P84" t="e">
            <v>#N/A</v>
          </cell>
          <cell r="Q84" t="e">
            <v>#N/A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 t="e">
            <v>#N/A</v>
          </cell>
          <cell r="W84" t="e">
            <v>#N/A</v>
          </cell>
          <cell r="X84">
            <v>0</v>
          </cell>
          <cell r="Y84">
            <v>0</v>
          </cell>
          <cell r="Z84" t="e">
            <v>#N/A</v>
          </cell>
          <cell r="AA84">
            <v>0</v>
          </cell>
        </row>
        <row r="85">
          <cell r="A85">
            <v>0</v>
          </cell>
          <cell r="B85" t="e">
            <v>#N/A</v>
          </cell>
          <cell r="C85" t="e">
            <v>#N/A</v>
          </cell>
          <cell r="D85">
            <v>0</v>
          </cell>
          <cell r="E85">
            <v>0</v>
          </cell>
          <cell r="F85" t="e">
            <v>#N/A</v>
          </cell>
          <cell r="G85" t="e">
            <v>#N/A</v>
          </cell>
          <cell r="H85">
            <v>0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>
            <v>0</v>
          </cell>
          <cell r="O85">
            <v>0</v>
          </cell>
          <cell r="P85" t="e">
            <v>#N/A</v>
          </cell>
          <cell r="Q85" t="e">
            <v>#N/A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 t="e">
            <v>#N/A</v>
          </cell>
          <cell r="W85" t="e">
            <v>#N/A</v>
          </cell>
          <cell r="X85">
            <v>0</v>
          </cell>
          <cell r="Y85">
            <v>0</v>
          </cell>
          <cell r="Z85" t="e">
            <v>#N/A</v>
          </cell>
          <cell r="AA85">
            <v>0</v>
          </cell>
        </row>
        <row r="86">
          <cell r="A86">
            <v>0</v>
          </cell>
          <cell r="B86" t="e">
            <v>#N/A</v>
          </cell>
          <cell r="C86" t="e">
            <v>#N/A</v>
          </cell>
          <cell r="D86">
            <v>0</v>
          </cell>
          <cell r="E86">
            <v>0</v>
          </cell>
          <cell r="F86" t="e">
            <v>#N/A</v>
          </cell>
          <cell r="G86" t="e">
            <v>#N/A</v>
          </cell>
          <cell r="H86">
            <v>0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>
            <v>0</v>
          </cell>
          <cell r="O86">
            <v>0</v>
          </cell>
          <cell r="P86" t="e">
            <v>#N/A</v>
          </cell>
          <cell r="Q86" t="e">
            <v>#N/A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 t="e">
            <v>#N/A</v>
          </cell>
          <cell r="W86" t="e">
            <v>#N/A</v>
          </cell>
          <cell r="X86">
            <v>0</v>
          </cell>
          <cell r="Y86">
            <v>0</v>
          </cell>
          <cell r="Z86" t="e">
            <v>#N/A</v>
          </cell>
          <cell r="AA86">
            <v>0</v>
          </cell>
        </row>
        <row r="87">
          <cell r="A87">
            <v>0</v>
          </cell>
          <cell r="B87" t="e">
            <v>#N/A</v>
          </cell>
          <cell r="C87" t="e">
            <v>#N/A</v>
          </cell>
          <cell r="D87">
            <v>0</v>
          </cell>
          <cell r="E87">
            <v>0</v>
          </cell>
          <cell r="F87" t="e">
            <v>#N/A</v>
          </cell>
          <cell r="G87" t="e">
            <v>#N/A</v>
          </cell>
          <cell r="H87">
            <v>0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>
            <v>0</v>
          </cell>
          <cell r="O87">
            <v>0</v>
          </cell>
          <cell r="P87" t="e">
            <v>#N/A</v>
          </cell>
          <cell r="Q87" t="e">
            <v>#N/A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 t="e">
            <v>#N/A</v>
          </cell>
          <cell r="W87" t="e">
            <v>#N/A</v>
          </cell>
          <cell r="X87">
            <v>0</v>
          </cell>
          <cell r="Y87">
            <v>0</v>
          </cell>
          <cell r="Z87" t="e">
            <v>#N/A</v>
          </cell>
          <cell r="AA87">
            <v>0</v>
          </cell>
        </row>
        <row r="88">
          <cell r="A88">
            <v>0</v>
          </cell>
          <cell r="B88" t="e">
            <v>#N/A</v>
          </cell>
          <cell r="C88" t="e">
            <v>#N/A</v>
          </cell>
          <cell r="D88">
            <v>0</v>
          </cell>
          <cell r="E88">
            <v>0</v>
          </cell>
          <cell r="F88" t="e">
            <v>#N/A</v>
          </cell>
          <cell r="G88" t="e">
            <v>#N/A</v>
          </cell>
          <cell r="H88">
            <v>0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>
            <v>0</v>
          </cell>
          <cell r="O88">
            <v>0</v>
          </cell>
          <cell r="P88" t="e">
            <v>#N/A</v>
          </cell>
          <cell r="Q88" t="e">
            <v>#N/A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e">
            <v>#N/A</v>
          </cell>
          <cell r="W88" t="e">
            <v>#N/A</v>
          </cell>
          <cell r="X88">
            <v>0</v>
          </cell>
          <cell r="Y88">
            <v>0</v>
          </cell>
          <cell r="Z88" t="e">
            <v>#N/A</v>
          </cell>
          <cell r="AA88">
            <v>0</v>
          </cell>
        </row>
        <row r="89">
          <cell r="A89">
            <v>0</v>
          </cell>
          <cell r="B89" t="e">
            <v>#N/A</v>
          </cell>
          <cell r="C89" t="e">
            <v>#N/A</v>
          </cell>
          <cell r="D89">
            <v>0</v>
          </cell>
          <cell r="E89">
            <v>0</v>
          </cell>
          <cell r="F89" t="e">
            <v>#N/A</v>
          </cell>
          <cell r="G89" t="e">
            <v>#N/A</v>
          </cell>
          <cell r="H89">
            <v>0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>
            <v>0</v>
          </cell>
          <cell r="O89">
            <v>0</v>
          </cell>
          <cell r="P89" t="e">
            <v>#N/A</v>
          </cell>
          <cell r="Q89" t="e">
            <v>#N/A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 t="e">
            <v>#N/A</v>
          </cell>
          <cell r="W89" t="e">
            <v>#N/A</v>
          </cell>
          <cell r="X89">
            <v>0</v>
          </cell>
          <cell r="Y89">
            <v>0</v>
          </cell>
          <cell r="Z89" t="e">
            <v>#N/A</v>
          </cell>
          <cell r="AA89">
            <v>0</v>
          </cell>
        </row>
        <row r="90">
          <cell r="A90">
            <v>0</v>
          </cell>
          <cell r="B90" t="e">
            <v>#N/A</v>
          </cell>
          <cell r="C90" t="e">
            <v>#N/A</v>
          </cell>
          <cell r="D90">
            <v>0</v>
          </cell>
          <cell r="E90">
            <v>0</v>
          </cell>
          <cell r="F90" t="e">
            <v>#N/A</v>
          </cell>
          <cell r="G90" t="e">
            <v>#N/A</v>
          </cell>
          <cell r="H90">
            <v>0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>
            <v>0</v>
          </cell>
          <cell r="O90">
            <v>0</v>
          </cell>
          <cell r="P90" t="e">
            <v>#N/A</v>
          </cell>
          <cell r="Q90" t="e">
            <v>#N/A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 t="e">
            <v>#N/A</v>
          </cell>
          <cell r="W90" t="e">
            <v>#N/A</v>
          </cell>
          <cell r="X90">
            <v>0</v>
          </cell>
          <cell r="Y90">
            <v>0</v>
          </cell>
          <cell r="Z90" t="e">
            <v>#N/A</v>
          </cell>
          <cell r="AA90">
            <v>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ALISIS"/>
      <sheetName val="DIRECTOS - INDIRECTOS"/>
      <sheetName val="Notas"/>
      <sheetName val="Validaciones"/>
      <sheetName val="Hoja4"/>
      <sheetName val="Hoja5"/>
    </sheetNames>
    <sheetDataSet>
      <sheetData sheetId="0">
        <row r="4">
          <cell r="C4" t="str">
            <v>Bolland y Cia SA</v>
          </cell>
        </row>
      </sheetData>
      <sheetData sheetId="1" refreshError="1"/>
      <sheetData sheetId="2" refreshError="1"/>
      <sheetData sheetId="3" refreshError="1"/>
      <sheetData sheetId="4">
        <row r="35">
          <cell r="C35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4">
          <cell r="B4" t="str">
            <v>Geofísica</v>
          </cell>
          <cell r="D4" t="str">
            <v>ATE - Asociación Trabajadores del Estado</v>
          </cell>
          <cell r="F4" t="str">
            <v>396/04</v>
          </cell>
        </row>
        <row r="5">
          <cell r="B5" t="str">
            <v>Operaciones Especiales</v>
          </cell>
          <cell r="D5" t="str">
            <v>Autónomo</v>
          </cell>
          <cell r="F5" t="str">
            <v>536/08</v>
          </cell>
        </row>
        <row r="6">
          <cell r="B6" t="str">
            <v>Perforación</v>
          </cell>
          <cell r="D6" t="str">
            <v>Camionero - CH</v>
          </cell>
          <cell r="F6" t="str">
            <v>537/08</v>
          </cell>
        </row>
        <row r="7">
          <cell r="B7" t="str">
            <v>Producción</v>
          </cell>
          <cell r="D7" t="str">
            <v>Camionero - Neuquén y Río Negro</v>
          </cell>
          <cell r="F7" t="str">
            <v>511/07</v>
          </cell>
        </row>
        <row r="8">
          <cell r="B8" t="str">
            <v>Servicios Generales</v>
          </cell>
          <cell r="D8" t="str">
            <v>Camionero - Sta Cruz</v>
          </cell>
          <cell r="F8" t="str">
            <v>587/08</v>
          </cell>
        </row>
        <row r="9">
          <cell r="D9" t="str">
            <v>F.A.T.I.Q.Y.P. - Federación Argentina De Trabajadores De Industrias Químicas Y Petroquímicas</v>
          </cell>
          <cell r="F9" t="str">
            <v>605/10</v>
          </cell>
        </row>
        <row r="10">
          <cell r="D10" t="str">
            <v>FAECYS - Empleados de Comercio y Servicios</v>
          </cell>
          <cell r="F10" t="str">
            <v>Fuera de convenio</v>
          </cell>
        </row>
        <row r="11">
          <cell r="B11" t="str">
            <v>Buenos Aires</v>
          </cell>
          <cell r="D11" t="str">
            <v>Fuera de Convenio</v>
          </cell>
          <cell r="F11" t="str">
            <v>Otro (detallar)</v>
          </cell>
        </row>
        <row r="12">
          <cell r="B12" t="str">
            <v>Chubut</v>
          </cell>
          <cell r="D12" t="str">
            <v>Monotributista</v>
          </cell>
        </row>
        <row r="13">
          <cell r="B13" t="str">
            <v>Mendoza</v>
          </cell>
          <cell r="D13" t="str">
            <v>Pasante</v>
          </cell>
        </row>
        <row r="14">
          <cell r="B14" t="str">
            <v>Neuquén</v>
          </cell>
          <cell r="D14" t="str">
            <v>PJ - Petroleros Jerárquicos CH</v>
          </cell>
        </row>
        <row r="15">
          <cell r="B15" t="str">
            <v>Río Negro</v>
          </cell>
          <cell r="D15" t="str">
            <v>PJ - Petroleros Jerárquicos MZA</v>
          </cell>
        </row>
        <row r="16">
          <cell r="B16" t="str">
            <v>Salta</v>
          </cell>
          <cell r="D16" t="str">
            <v>PJ - Petroleros Jerárquicos Neuquén y Río Negro</v>
          </cell>
        </row>
        <row r="17">
          <cell r="B17" t="str">
            <v>Santa Cruz</v>
          </cell>
          <cell r="D17" t="str">
            <v xml:space="preserve">PJ - Petroleros Jerárquicos Sta Cruz </v>
          </cell>
        </row>
        <row r="18">
          <cell r="D18" t="str">
            <v>PP - Petroleros Privados CH</v>
          </cell>
        </row>
        <row r="19">
          <cell r="F19" t="str">
            <v>Inmueble Liviano</v>
          </cell>
        </row>
        <row r="20">
          <cell r="F20" t="str">
            <v>Inmueble Mampostería</v>
          </cell>
        </row>
        <row r="21">
          <cell r="D21" t="str">
            <v>PP - Petroleros Privados MZA</v>
          </cell>
          <cell r="F21" t="str">
            <v>Rodados</v>
          </cell>
        </row>
        <row r="22">
          <cell r="D22" t="str">
            <v>PP - Petroleros Privados Neuquén y Río Negro</v>
          </cell>
          <cell r="F22" t="str">
            <v>Equipo pesado</v>
          </cell>
        </row>
        <row r="23">
          <cell r="B23" t="str">
            <v>UNAO</v>
          </cell>
          <cell r="D23" t="str">
            <v>PP - Petroleros Privados Sta Cruz</v>
          </cell>
          <cell r="F23" t="str">
            <v>Herramientas</v>
          </cell>
        </row>
        <row r="24">
          <cell r="B24" t="str">
            <v>UNAS</v>
          </cell>
          <cell r="D24" t="str">
            <v>Régimen Especial Ley 27360 (Agrario)</v>
          </cell>
        </row>
        <row r="25">
          <cell r="B25" t="str">
            <v>BA</v>
          </cell>
          <cell r="D25" t="str">
            <v>Seguridad y Vigilancia</v>
          </cell>
        </row>
        <row r="26">
          <cell r="D26" t="str">
            <v>SI.PE.MOM - Sindicato Del Personal De Micros Y Ómnibus De Mendoza</v>
          </cell>
        </row>
        <row r="27">
          <cell r="D27" t="str">
            <v>Sindicato Del Personal De Obras Y Servicios Sanitarios</v>
          </cell>
        </row>
        <row r="28">
          <cell r="B28" t="str">
            <v>Si</v>
          </cell>
          <cell r="D28" t="str">
            <v>SMATA</v>
          </cell>
        </row>
        <row r="29">
          <cell r="B29" t="str">
            <v>No</v>
          </cell>
          <cell r="D29" t="str">
            <v>SUPEH</v>
          </cell>
        </row>
        <row r="30">
          <cell r="D30" t="str">
            <v>U.E.C.A.R.A. - Unión Empleados de la Construcción y Afines de la República Argentina</v>
          </cell>
        </row>
        <row r="31">
          <cell r="D31" t="str">
            <v>U.T.A. - Unión Tranviarios Automotor</v>
          </cell>
        </row>
        <row r="32">
          <cell r="D32" t="str">
            <v>U.T.A.C.E.T.A.P.O.</v>
          </cell>
        </row>
        <row r="33">
          <cell r="D33" t="str">
            <v>UOCRA - CH</v>
          </cell>
        </row>
        <row r="34">
          <cell r="B34" t="str">
            <v>Activo</v>
          </cell>
          <cell r="D34" t="str">
            <v>UOCRA - MZA</v>
          </cell>
        </row>
        <row r="35">
          <cell r="B35" t="str">
            <v>Stand By</v>
          </cell>
          <cell r="D35" t="str">
            <v>UOCRA - Neuquen y Rio Negro</v>
          </cell>
        </row>
        <row r="36">
          <cell r="D36" t="str">
            <v>UOCRA - Sta Cruz</v>
          </cell>
        </row>
        <row r="37">
          <cell r="D37" t="str">
            <v>UOM</v>
          </cell>
        </row>
        <row r="38">
          <cell r="D38" t="str">
            <v>UOYEP - Unión Obreros Y Empleados Plásticos</v>
          </cell>
        </row>
        <row r="39">
          <cell r="B39" t="str">
            <v>Directa</v>
          </cell>
        </row>
        <row r="40">
          <cell r="B40" t="str">
            <v>Indirecta</v>
          </cell>
        </row>
        <row r="41">
          <cell r="B41" t="str">
            <v>Indirecta Overhead</v>
          </cell>
        </row>
        <row r="42">
          <cell r="B42" t="str">
            <v>Coordinación Overhead</v>
          </cell>
        </row>
        <row r="51">
          <cell r="B51">
            <v>1</v>
          </cell>
        </row>
        <row r="52">
          <cell r="B52">
            <v>2</v>
          </cell>
        </row>
        <row r="53">
          <cell r="B53">
            <v>3</v>
          </cell>
        </row>
        <row r="54">
          <cell r="B54">
            <v>5</v>
          </cell>
        </row>
        <row r="55">
          <cell r="B55" t="str">
            <v>CA</v>
          </cell>
        </row>
        <row r="56">
          <cell r="B56" t="str">
            <v>MN</v>
          </cell>
        </row>
        <row r="57">
          <cell r="B57" t="str">
            <v>MS</v>
          </cell>
        </row>
        <row r="61">
          <cell r="B61" t="str">
            <v>Directo</v>
          </cell>
        </row>
        <row r="62">
          <cell r="B62" t="str">
            <v>Indirecto</v>
          </cell>
        </row>
        <row r="69">
          <cell r="B69" t="str">
            <v>Insumos Consumibles</v>
          </cell>
        </row>
        <row r="70">
          <cell r="B70" t="str">
            <v>Herramientas</v>
          </cell>
        </row>
        <row r="71">
          <cell r="B71" t="str">
            <v>Instrumentos</v>
          </cell>
        </row>
        <row r="72">
          <cell r="B72" t="str">
            <v>Materiales</v>
          </cell>
        </row>
        <row r="73">
          <cell r="B73" t="str">
            <v>Gastos de Personal</v>
          </cell>
        </row>
      </sheetData>
      <sheetData sheetId="10" refreshError="1"/>
      <sheetData sheetId="11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JERARQUICO"/>
      <sheetName val="PP YACIMIENTO"/>
      <sheetName val="PP REFINERIA"/>
      <sheetName val="UOCRA PETROLERO"/>
      <sheetName val="UOCRA REFINERIA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43497</v>
          </cell>
        </row>
      </sheetData>
      <sheetData sheetId="2"/>
      <sheetData sheetId="3" refreshError="1"/>
      <sheetData sheetId="4" refreshError="1"/>
      <sheetData sheetId="5">
        <row r="8">
          <cell r="D8">
            <v>43405</v>
          </cell>
        </row>
      </sheetData>
      <sheetData sheetId="6" refreshError="1"/>
      <sheetData sheetId="7">
        <row r="7">
          <cell r="C7" t="str">
            <v>PETROLERO CHUBUT (605/10)</v>
          </cell>
        </row>
      </sheetData>
      <sheetData sheetId="8">
        <row r="6">
          <cell r="B6" t="str">
            <v>ASIG. VIANDA COMP. NO REM.</v>
          </cell>
        </row>
      </sheetData>
      <sheetData sheetId="9">
        <row r="103">
          <cell r="B103" t="str">
            <v>AYUDANTE</v>
          </cell>
        </row>
      </sheetData>
      <sheetData sheetId="10">
        <row r="6">
          <cell r="B6">
            <v>42917</v>
          </cell>
        </row>
      </sheetData>
      <sheetData sheetId="11" refreshError="1"/>
      <sheetData sheetId="12">
        <row r="6">
          <cell r="C6">
            <v>2018</v>
          </cell>
          <cell r="D6">
            <v>2019</v>
          </cell>
          <cell r="E6">
            <v>2020</v>
          </cell>
          <cell r="F6">
            <v>2021</v>
          </cell>
          <cell r="G6">
            <v>2022</v>
          </cell>
        </row>
        <row r="7">
          <cell r="B7" t="str">
            <v>Seleccionar Jurisdicción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B8" t="str">
            <v>Ciudad Autónoma de Buenos Aires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B9" t="str">
            <v>Gran Buenos Aires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B10" t="str">
            <v>Tercer Cinturón del G.B.A.</v>
          </cell>
          <cell r="C10">
            <v>-8.5000000000000006E-3</v>
          </cell>
          <cell r="D10">
            <v>-6.4999999999999997E-3</v>
          </cell>
          <cell r="E10">
            <v>-4.4999999999999997E-3</v>
          </cell>
          <cell r="F10">
            <v>-2E-3</v>
          </cell>
          <cell r="G10">
            <v>0</v>
          </cell>
        </row>
        <row r="11">
          <cell r="B11" t="str">
            <v>Resto de Buenos Aires</v>
          </cell>
          <cell r="C11">
            <v>-1.9E-2</v>
          </cell>
          <cell r="D11">
            <v>-1.4500000000000001E-2</v>
          </cell>
          <cell r="E11">
            <v>-9.4999999999999998E-3</v>
          </cell>
          <cell r="F11">
            <v>-5.0000000000000001E-3</v>
          </cell>
          <cell r="G11">
            <v>0</v>
          </cell>
        </row>
        <row r="12">
          <cell r="B12" t="str">
            <v>Buenos Aires - Patagones</v>
          </cell>
          <cell r="C12">
            <v>-2.9499999999999998E-2</v>
          </cell>
          <cell r="D12">
            <v>-2.1999999999999999E-2</v>
          </cell>
          <cell r="E12">
            <v>-1.4999999999999999E-2</v>
          </cell>
          <cell r="F12">
            <v>-7.4999999999999997E-3</v>
          </cell>
          <cell r="G12">
            <v>0</v>
          </cell>
        </row>
        <row r="13">
          <cell r="B13" t="str">
            <v>Buenos Aires - Carmen de Patagones</v>
          </cell>
          <cell r="C13">
            <v>-0.04</v>
          </cell>
          <cell r="D13">
            <v>-0.03</v>
          </cell>
          <cell r="E13">
            <v>-0.02</v>
          </cell>
          <cell r="F13">
            <v>-0.01</v>
          </cell>
          <cell r="G13">
            <v>0</v>
          </cell>
        </row>
        <row r="14">
          <cell r="B14" t="str">
            <v>Córdoba - Cruz del Eje</v>
          </cell>
          <cell r="C14">
            <v>-5.0500000000000003E-2</v>
          </cell>
          <cell r="D14">
            <v>-3.7999999999999999E-2</v>
          </cell>
          <cell r="E14">
            <v>-2.5499999999999998E-2</v>
          </cell>
          <cell r="F14">
            <v>-1.2500000000000001E-2</v>
          </cell>
          <cell r="G14">
            <v>0</v>
          </cell>
        </row>
        <row r="15">
          <cell r="B15" t="str">
            <v>Buenos Aires - Villarino</v>
          </cell>
          <cell r="C15">
            <v>-2.9499999999999998E-2</v>
          </cell>
          <cell r="D15">
            <v>-2.1999999999999999E-2</v>
          </cell>
          <cell r="E15">
            <v>-1.4999999999999999E-2</v>
          </cell>
          <cell r="F15">
            <v>-7.4999999999999997E-3</v>
          </cell>
          <cell r="G15">
            <v>0</v>
          </cell>
        </row>
        <row r="16">
          <cell r="B16" t="str">
            <v>Gran Catamarca</v>
          </cell>
          <cell r="C16">
            <v>-7.5999999999999998E-2</v>
          </cell>
          <cell r="D16">
            <v>-5.7000000000000002E-2</v>
          </cell>
          <cell r="E16">
            <v>-3.7999999999999999E-2</v>
          </cell>
          <cell r="F16">
            <v>-1.9E-2</v>
          </cell>
          <cell r="G16">
            <v>0</v>
          </cell>
        </row>
        <row r="17">
          <cell r="B17" t="str">
            <v>Resto de Catamarca</v>
          </cell>
          <cell r="C17">
            <v>-8.6499999999999994E-2</v>
          </cell>
          <cell r="D17">
            <v>-6.5000000000000002E-2</v>
          </cell>
          <cell r="E17">
            <v>-4.2999999999999997E-2</v>
          </cell>
          <cell r="F17">
            <v>-2.1499999999999998E-2</v>
          </cell>
          <cell r="G17">
            <v>0</v>
          </cell>
        </row>
        <row r="18">
          <cell r="B18" t="str">
            <v>Ciudad de Corrientes</v>
          </cell>
          <cell r="C18">
            <v>-9.7000000000000003E-2</v>
          </cell>
          <cell r="D18">
            <v>-7.2999999999999995E-2</v>
          </cell>
          <cell r="E18">
            <v>-4.8500000000000001E-2</v>
          </cell>
          <cell r="F18">
            <v>-2.4500000000000001E-2</v>
          </cell>
          <cell r="G18">
            <v>0</v>
          </cell>
        </row>
        <row r="19">
          <cell r="B19" t="str">
            <v>Formosa - Ciudad de Formosa</v>
          </cell>
          <cell r="C19">
            <v>-0.1075</v>
          </cell>
          <cell r="D19">
            <v>-8.0500000000000002E-2</v>
          </cell>
          <cell r="E19">
            <v>-5.3999999999999999E-2</v>
          </cell>
          <cell r="F19">
            <v>-2.7E-2</v>
          </cell>
          <cell r="G19">
            <v>0</v>
          </cell>
        </row>
        <row r="20">
          <cell r="B20" t="str">
            <v>Córdoba - Sobremonte</v>
          </cell>
          <cell r="C20">
            <v>-7.5999999999999998E-2</v>
          </cell>
          <cell r="D20">
            <v>-5.7000000000000002E-2</v>
          </cell>
          <cell r="E20">
            <v>-3.7999999999999999E-2</v>
          </cell>
          <cell r="F20">
            <v>-1.9E-2</v>
          </cell>
          <cell r="G20">
            <v>0</v>
          </cell>
        </row>
        <row r="21">
          <cell r="B21" t="str">
            <v>Resto de Chaco</v>
          </cell>
          <cell r="C21">
            <v>-0.11799999999999999</v>
          </cell>
          <cell r="D21">
            <v>-8.8499999999999995E-2</v>
          </cell>
          <cell r="E21">
            <v>-5.8999999999999997E-2</v>
          </cell>
          <cell r="F21">
            <v>-2.9499999999999998E-2</v>
          </cell>
          <cell r="G21">
            <v>0</v>
          </cell>
        </row>
        <row r="22">
          <cell r="B22" t="str">
            <v>Córdoba - Río Seco</v>
          </cell>
          <cell r="C22">
            <v>-7.5999999999999998E-2</v>
          </cell>
          <cell r="D22">
            <v>-5.7000000000000002E-2</v>
          </cell>
          <cell r="E22">
            <v>-3.7999999999999999E-2</v>
          </cell>
          <cell r="F22">
            <v>-1.9E-2</v>
          </cell>
          <cell r="G22">
            <v>0</v>
          </cell>
        </row>
        <row r="23">
          <cell r="B23" t="str">
            <v>Córdoba - Tulumba</v>
          </cell>
          <cell r="C23">
            <v>-7.5999999999999998E-2</v>
          </cell>
          <cell r="D23">
            <v>-5.7000000000000002E-2</v>
          </cell>
          <cell r="E23">
            <v>-3.7999999999999999E-2</v>
          </cell>
          <cell r="F23">
            <v>-1.9E-2</v>
          </cell>
          <cell r="G23">
            <v>0</v>
          </cell>
        </row>
        <row r="24">
          <cell r="B24" t="str">
            <v>Córdoba - Minas</v>
          </cell>
          <cell r="C24">
            <v>-5.0500000000000003E-2</v>
          </cell>
          <cell r="D24">
            <v>-3.7999999999999999E-2</v>
          </cell>
          <cell r="E24">
            <v>-2.5499999999999998E-2</v>
          </cell>
          <cell r="F24">
            <v>-1.2500000000000001E-2</v>
          </cell>
          <cell r="G24">
            <v>0</v>
          </cell>
        </row>
        <row r="25">
          <cell r="B25" t="str">
            <v>Córdoba - Pocho</v>
          </cell>
          <cell r="C25">
            <v>-5.0500000000000003E-2</v>
          </cell>
          <cell r="D25">
            <v>-3.7999999999999999E-2</v>
          </cell>
          <cell r="E25">
            <v>-2.5499999999999998E-2</v>
          </cell>
          <cell r="F25">
            <v>-1.2500000000000001E-2</v>
          </cell>
          <cell r="G25">
            <v>0</v>
          </cell>
        </row>
        <row r="26">
          <cell r="B26" t="str">
            <v>Córdoba - San Alberto</v>
          </cell>
          <cell r="C26">
            <v>-5.0500000000000003E-2</v>
          </cell>
          <cell r="D26">
            <v>-3.7999999999999999E-2</v>
          </cell>
          <cell r="E26">
            <v>-2.5499999999999998E-2</v>
          </cell>
          <cell r="F26">
            <v>-1.2500000000000001E-2</v>
          </cell>
          <cell r="G26">
            <v>0</v>
          </cell>
        </row>
        <row r="27">
          <cell r="B27" t="str">
            <v>Córdoba - San Javier</v>
          </cell>
          <cell r="C27">
            <v>-5.0500000000000003E-2</v>
          </cell>
          <cell r="D27">
            <v>-3.7999999999999999E-2</v>
          </cell>
          <cell r="E27">
            <v>-2.5499999999999998E-2</v>
          </cell>
          <cell r="F27">
            <v>-1.2500000000000001E-2</v>
          </cell>
          <cell r="G27">
            <v>0</v>
          </cell>
        </row>
        <row r="28">
          <cell r="B28" t="str">
            <v>Gran Córdoba</v>
          </cell>
          <cell r="C28">
            <v>-1.9E-2</v>
          </cell>
          <cell r="D28">
            <v>-1.4500000000000001E-2</v>
          </cell>
          <cell r="E28">
            <v>-9.4999999999999998E-3</v>
          </cell>
          <cell r="F28">
            <v>-5.0000000000000001E-3</v>
          </cell>
          <cell r="G28">
            <v>0</v>
          </cell>
        </row>
        <row r="29">
          <cell r="B29" t="str">
            <v>Resto de Córdoba</v>
          </cell>
          <cell r="C29">
            <v>-2.9499999999999998E-2</v>
          </cell>
          <cell r="D29">
            <v>-2.1999999999999999E-2</v>
          </cell>
          <cell r="E29">
            <v>-1.4999999999999999E-2</v>
          </cell>
          <cell r="F29">
            <v>-7.4999999999999997E-3</v>
          </cell>
          <cell r="G29">
            <v>0</v>
          </cell>
        </row>
        <row r="30">
          <cell r="B30" t="str">
            <v>Corrientes - Esquina</v>
          </cell>
          <cell r="C30">
            <v>-7.5999999999999998E-2</v>
          </cell>
          <cell r="D30">
            <v>-5.7000000000000002E-2</v>
          </cell>
          <cell r="E30">
            <v>-3.7999999999999999E-2</v>
          </cell>
          <cell r="F30">
            <v>-1.9E-2</v>
          </cell>
          <cell r="G30">
            <v>0</v>
          </cell>
        </row>
        <row r="31">
          <cell r="B31" t="str">
            <v>Corrientes - Sauce</v>
          </cell>
          <cell r="C31">
            <v>-7.5999999999999998E-2</v>
          </cell>
          <cell r="D31">
            <v>-5.7000000000000002E-2</v>
          </cell>
          <cell r="E31">
            <v>-3.7999999999999999E-2</v>
          </cell>
          <cell r="F31">
            <v>-1.9E-2</v>
          </cell>
          <cell r="G31">
            <v>0</v>
          </cell>
        </row>
        <row r="32">
          <cell r="B32" t="str">
            <v>Corrientes - Curuzú Cuatiá</v>
          </cell>
          <cell r="C32">
            <v>-7.5999999999999998E-2</v>
          </cell>
          <cell r="D32">
            <v>-5.7000000000000002E-2</v>
          </cell>
          <cell r="E32">
            <v>-3.7999999999999999E-2</v>
          </cell>
          <cell r="F32">
            <v>-1.9E-2</v>
          </cell>
          <cell r="G32">
            <v>0</v>
          </cell>
        </row>
        <row r="33">
          <cell r="B33" t="str">
            <v>Corrientes - Monte Caseros</v>
          </cell>
          <cell r="C33">
            <v>-7.5999999999999998E-2</v>
          </cell>
          <cell r="D33">
            <v>-5.7000000000000002E-2</v>
          </cell>
          <cell r="E33">
            <v>-3.7999999999999999E-2</v>
          </cell>
          <cell r="F33">
            <v>-1.9E-2</v>
          </cell>
          <cell r="G33">
            <v>0</v>
          </cell>
        </row>
        <row r="34">
          <cell r="B34" t="str">
            <v>Resto de Corrientes</v>
          </cell>
          <cell r="C34">
            <v>-9.7000000000000003E-2</v>
          </cell>
          <cell r="D34">
            <v>-7.2999999999999995E-2</v>
          </cell>
          <cell r="E34">
            <v>-4.8500000000000001E-2</v>
          </cell>
          <cell r="F34">
            <v>-2.4500000000000001E-2</v>
          </cell>
          <cell r="G34">
            <v>0</v>
          </cell>
        </row>
        <row r="35">
          <cell r="B35" t="str">
            <v>Gran Resistencia</v>
          </cell>
          <cell r="C35">
            <v>-9.7000000000000003E-2</v>
          </cell>
          <cell r="D35">
            <v>-7.2999999999999995E-2</v>
          </cell>
          <cell r="E35">
            <v>-4.8500000000000001E-2</v>
          </cell>
          <cell r="F35">
            <v>-2.4500000000000001E-2</v>
          </cell>
          <cell r="G35">
            <v>0</v>
          </cell>
        </row>
        <row r="36">
          <cell r="B36" t="str">
            <v>Chubut - Rawson Trelew</v>
          </cell>
          <cell r="C36">
            <v>-7.5999999999999998E-2</v>
          </cell>
          <cell r="D36">
            <v>-5.7000000000000002E-2</v>
          </cell>
          <cell r="E36">
            <v>-3.7999999999999999E-2</v>
          </cell>
          <cell r="F36">
            <v>-1.9E-2</v>
          </cell>
          <cell r="G36">
            <v>0</v>
          </cell>
        </row>
        <row r="37">
          <cell r="B37" t="str">
            <v>Resto de Chubut</v>
          </cell>
          <cell r="C37">
            <v>-8.6499999999999994E-2</v>
          </cell>
          <cell r="D37">
            <v>-6.5000000000000002E-2</v>
          </cell>
          <cell r="E37">
            <v>-4.2999999999999997E-2</v>
          </cell>
          <cell r="F37">
            <v>-2.1499999999999998E-2</v>
          </cell>
          <cell r="G37">
            <v>0</v>
          </cell>
        </row>
        <row r="38">
          <cell r="B38" t="str">
            <v>Entre Ríos - Federación</v>
          </cell>
          <cell r="C38">
            <v>-7.5999999999999998E-2</v>
          </cell>
          <cell r="D38">
            <v>-5.7000000000000002E-2</v>
          </cell>
          <cell r="E38">
            <v>-3.7999999999999999E-2</v>
          </cell>
          <cell r="F38">
            <v>-1.9E-2</v>
          </cell>
          <cell r="G38">
            <v>0</v>
          </cell>
        </row>
        <row r="39">
          <cell r="B39" t="str">
            <v>Entre Ríos - Feliciano</v>
          </cell>
          <cell r="C39">
            <v>-7.5999999999999998E-2</v>
          </cell>
          <cell r="D39">
            <v>-5.7000000000000002E-2</v>
          </cell>
          <cell r="E39">
            <v>-3.7999999999999999E-2</v>
          </cell>
          <cell r="F39">
            <v>-1.9E-2</v>
          </cell>
          <cell r="G39">
            <v>0</v>
          </cell>
        </row>
        <row r="40">
          <cell r="B40" t="str">
            <v>Entre Ríos - Paraná</v>
          </cell>
          <cell r="C40">
            <v>-2.9499999999999998E-2</v>
          </cell>
          <cell r="D40">
            <v>-2.1999999999999999E-2</v>
          </cell>
          <cell r="E40">
            <v>-1.4999999999999999E-2</v>
          </cell>
          <cell r="F40">
            <v>-7.4999999999999997E-3</v>
          </cell>
          <cell r="G40">
            <v>0</v>
          </cell>
        </row>
        <row r="41">
          <cell r="B41" t="str">
            <v>Resto de Entre Ríos</v>
          </cell>
          <cell r="C41">
            <v>-0.04</v>
          </cell>
          <cell r="D41">
            <v>-0.03</v>
          </cell>
          <cell r="E41">
            <v>-0.02</v>
          </cell>
          <cell r="F41">
            <v>-0.01</v>
          </cell>
          <cell r="G41">
            <v>0</v>
          </cell>
        </row>
        <row r="42">
          <cell r="B42" t="str">
            <v>Jujuy - Ciudad de Jujuy</v>
          </cell>
          <cell r="C42">
            <v>-9.7000000000000003E-2</v>
          </cell>
          <cell r="D42">
            <v>-7.2999999999999995E-2</v>
          </cell>
          <cell r="E42">
            <v>-4.8500000000000001E-2</v>
          </cell>
          <cell r="F42">
            <v>-2.4500000000000001E-2</v>
          </cell>
          <cell r="G42">
            <v>0</v>
          </cell>
        </row>
        <row r="43">
          <cell r="B43" t="str">
            <v>Resto de Jujuy</v>
          </cell>
          <cell r="C43">
            <v>-0.1075</v>
          </cell>
          <cell r="D43">
            <v>-8.0500000000000002E-2</v>
          </cell>
          <cell r="E43">
            <v>-5.3999999999999999E-2</v>
          </cell>
          <cell r="F43">
            <v>-2.7E-2</v>
          </cell>
          <cell r="G43">
            <v>0</v>
          </cell>
        </row>
        <row r="44">
          <cell r="B44" t="str">
            <v>La Pampa - Chicalco</v>
          </cell>
          <cell r="C44">
            <v>-5.0500000000000003E-2</v>
          </cell>
          <cell r="D44">
            <v>-3.7999999999999999E-2</v>
          </cell>
          <cell r="E44">
            <v>-2.5499999999999998E-2</v>
          </cell>
          <cell r="F44">
            <v>-1.2500000000000001E-2</v>
          </cell>
          <cell r="G44">
            <v>0</v>
          </cell>
        </row>
        <row r="45">
          <cell r="B45" t="str">
            <v>La Pampa - Chalileo</v>
          </cell>
          <cell r="C45">
            <v>-5.0500000000000003E-2</v>
          </cell>
          <cell r="D45">
            <v>-3.7999999999999999E-2</v>
          </cell>
          <cell r="E45">
            <v>-2.5499999999999998E-2</v>
          </cell>
          <cell r="F45">
            <v>-1.2500000000000001E-2</v>
          </cell>
          <cell r="G45">
            <v>0</v>
          </cell>
        </row>
        <row r="46">
          <cell r="B46" t="str">
            <v>La Pampa - Puelén</v>
          </cell>
          <cell r="C46">
            <v>-5.0500000000000003E-2</v>
          </cell>
          <cell r="D46">
            <v>-3.7999999999999999E-2</v>
          </cell>
          <cell r="E46">
            <v>-2.5499999999999998E-2</v>
          </cell>
          <cell r="F46">
            <v>-1.2500000000000001E-2</v>
          </cell>
          <cell r="G46">
            <v>0</v>
          </cell>
        </row>
        <row r="47">
          <cell r="B47" t="str">
            <v>La Pampa - Limay Mauhida</v>
          </cell>
          <cell r="C47">
            <v>-5.0500000000000003E-2</v>
          </cell>
          <cell r="D47">
            <v>-3.7999999999999999E-2</v>
          </cell>
          <cell r="E47">
            <v>-2.5499999999999998E-2</v>
          </cell>
          <cell r="F47">
            <v>-1.2500000000000001E-2</v>
          </cell>
          <cell r="G47">
            <v>0</v>
          </cell>
        </row>
        <row r="48">
          <cell r="B48" t="str">
            <v>La Pampa - Curacó</v>
          </cell>
          <cell r="C48">
            <v>-5.0500000000000003E-2</v>
          </cell>
          <cell r="D48">
            <v>-3.7999999999999999E-2</v>
          </cell>
          <cell r="E48">
            <v>-2.5499999999999998E-2</v>
          </cell>
          <cell r="F48">
            <v>-1.2500000000000001E-2</v>
          </cell>
          <cell r="G48">
            <v>0</v>
          </cell>
        </row>
        <row r="49">
          <cell r="B49" t="str">
            <v>La Pampa - Lihuel Calel</v>
          </cell>
          <cell r="C49">
            <v>-5.0500000000000003E-2</v>
          </cell>
          <cell r="D49">
            <v>-3.7999999999999999E-2</v>
          </cell>
          <cell r="E49">
            <v>-2.5499999999999998E-2</v>
          </cell>
          <cell r="F49">
            <v>-1.2500000000000001E-2</v>
          </cell>
          <cell r="G49">
            <v>0</v>
          </cell>
        </row>
        <row r="50">
          <cell r="B50" t="str">
            <v>La Pampa - Santa Rosa y Toay</v>
          </cell>
          <cell r="C50">
            <v>-2.9499999999999998E-2</v>
          </cell>
          <cell r="D50">
            <v>-2.1999999999999999E-2</v>
          </cell>
          <cell r="E50">
            <v>-1.4999999999999999E-2</v>
          </cell>
          <cell r="F50">
            <v>-7.4999999999999997E-3</v>
          </cell>
          <cell r="G50">
            <v>0</v>
          </cell>
        </row>
        <row r="51">
          <cell r="B51" t="str">
            <v>Resto de La Pampa</v>
          </cell>
          <cell r="C51">
            <v>-0.04</v>
          </cell>
          <cell r="D51">
            <v>-0.03</v>
          </cell>
          <cell r="E51">
            <v>-0.02</v>
          </cell>
          <cell r="F51">
            <v>-0.01</v>
          </cell>
          <cell r="G51">
            <v>0</v>
          </cell>
        </row>
        <row r="52">
          <cell r="B52" t="str">
            <v>Ciudad de La Rioja</v>
          </cell>
          <cell r="C52">
            <v>-7.5999999999999998E-2</v>
          </cell>
          <cell r="D52">
            <v>-5.7000000000000002E-2</v>
          </cell>
          <cell r="E52">
            <v>-3.7999999999999999E-2</v>
          </cell>
          <cell r="F52">
            <v>-1.9E-2</v>
          </cell>
          <cell r="G52">
            <v>0</v>
          </cell>
        </row>
        <row r="53">
          <cell r="B53" t="str">
            <v>Resto de La Rioja</v>
          </cell>
          <cell r="C53">
            <v>-8.6499999999999994E-2</v>
          </cell>
          <cell r="D53">
            <v>-6.5000000000000002E-2</v>
          </cell>
          <cell r="E53">
            <v>-4.2999999999999997E-2</v>
          </cell>
          <cell r="F53">
            <v>-2.1499999999999998E-2</v>
          </cell>
          <cell r="G53">
            <v>0</v>
          </cell>
        </row>
        <row r="54">
          <cell r="B54" t="str">
            <v>Gran Mendoza</v>
          </cell>
          <cell r="C54">
            <v>-0.04</v>
          </cell>
          <cell r="D54">
            <v>-0.03</v>
          </cell>
          <cell r="E54">
            <v>-0.02</v>
          </cell>
          <cell r="F54">
            <v>-0.01</v>
          </cell>
          <cell r="G54">
            <v>0</v>
          </cell>
        </row>
        <row r="55">
          <cell r="B55" t="str">
            <v>Resto de Mendoza</v>
          </cell>
          <cell r="C55">
            <v>-5.0500000000000003E-2</v>
          </cell>
          <cell r="D55">
            <v>-3.7999999999999999E-2</v>
          </cell>
          <cell r="E55">
            <v>-2.5499999999999998E-2</v>
          </cell>
          <cell r="F55">
            <v>-1.2500000000000001E-2</v>
          </cell>
          <cell r="G55">
            <v>0</v>
          </cell>
        </row>
        <row r="56">
          <cell r="B56" t="str">
            <v>Misiones - Posadas</v>
          </cell>
          <cell r="C56">
            <v>-9.7000000000000003E-2</v>
          </cell>
          <cell r="D56">
            <v>-7.2999999999999995E-2</v>
          </cell>
          <cell r="E56">
            <v>-4.8500000000000001E-2</v>
          </cell>
          <cell r="F56">
            <v>-2.4500000000000001E-2</v>
          </cell>
          <cell r="G56">
            <v>0</v>
          </cell>
        </row>
        <row r="57">
          <cell r="B57" t="str">
            <v>Resto de Misiones</v>
          </cell>
          <cell r="C57">
            <v>-0.1075</v>
          </cell>
          <cell r="D57">
            <v>-8.0500000000000002E-2</v>
          </cell>
          <cell r="E57">
            <v>-5.3999999999999999E-2</v>
          </cell>
          <cell r="F57">
            <v>-2.7E-2</v>
          </cell>
          <cell r="G57">
            <v>0</v>
          </cell>
        </row>
        <row r="58">
          <cell r="B58" t="str">
            <v>Ciudad Neuquén/Plottier</v>
          </cell>
          <cell r="C58">
            <v>-0.04</v>
          </cell>
          <cell r="D58">
            <v>-0.03</v>
          </cell>
          <cell r="E58">
            <v>-0.02</v>
          </cell>
          <cell r="F58">
            <v>-0.01</v>
          </cell>
          <cell r="G58">
            <v>0</v>
          </cell>
        </row>
        <row r="59">
          <cell r="B59" t="str">
            <v>Neuquén - Centenario</v>
          </cell>
          <cell r="C59">
            <v>-0.04</v>
          </cell>
          <cell r="D59">
            <v>-0.03</v>
          </cell>
          <cell r="E59">
            <v>-0.02</v>
          </cell>
          <cell r="F59">
            <v>-0.01</v>
          </cell>
          <cell r="G59">
            <v>0</v>
          </cell>
        </row>
        <row r="60">
          <cell r="B60" t="str">
            <v>Neuquén - Cutralcó</v>
          </cell>
          <cell r="C60">
            <v>-8.6499999999999994E-2</v>
          </cell>
          <cell r="D60">
            <v>-6.5000000000000002E-2</v>
          </cell>
          <cell r="E60">
            <v>-4.2999999999999997E-2</v>
          </cell>
          <cell r="F60">
            <v>-2.1499999999999998E-2</v>
          </cell>
          <cell r="G60">
            <v>0</v>
          </cell>
        </row>
        <row r="61">
          <cell r="B61" t="str">
            <v>Neuquén - Plaza Huincul</v>
          </cell>
          <cell r="C61">
            <v>-8.6499999999999994E-2</v>
          </cell>
          <cell r="D61">
            <v>-6.5000000000000002E-2</v>
          </cell>
          <cell r="E61">
            <v>-4.2999999999999997E-2</v>
          </cell>
          <cell r="F61">
            <v>-2.1499999999999998E-2</v>
          </cell>
          <cell r="G61">
            <v>0</v>
          </cell>
        </row>
        <row r="62">
          <cell r="B62" t="str">
            <v>Resto de Neuquén</v>
          </cell>
          <cell r="C62">
            <v>-5.0500000000000003E-2</v>
          </cell>
          <cell r="D62">
            <v>-3.7999999999999999E-2</v>
          </cell>
          <cell r="E62">
            <v>-2.5499999999999998E-2</v>
          </cell>
          <cell r="F62">
            <v>-1.2500000000000001E-2</v>
          </cell>
          <cell r="G62">
            <v>0</v>
          </cell>
        </row>
        <row r="63">
          <cell r="B63" t="str">
            <v>Río Negro sur hasta Paralelo 42</v>
          </cell>
          <cell r="C63">
            <v>-8.6499999999999994E-2</v>
          </cell>
          <cell r="D63">
            <v>-6.5000000000000002E-2</v>
          </cell>
          <cell r="E63">
            <v>-4.2999999999999997E-2</v>
          </cell>
          <cell r="F63">
            <v>-2.1499999999999998E-2</v>
          </cell>
          <cell r="G63">
            <v>0</v>
          </cell>
        </row>
        <row r="64">
          <cell r="B64" t="str">
            <v>Río Negro - Viedma</v>
          </cell>
          <cell r="C64">
            <v>-0.04</v>
          </cell>
          <cell r="D64">
            <v>-0.03</v>
          </cell>
          <cell r="E64">
            <v>-0.02</v>
          </cell>
          <cell r="F64">
            <v>-0.01</v>
          </cell>
          <cell r="G64">
            <v>0</v>
          </cell>
        </row>
        <row r="65">
          <cell r="B65" t="str">
            <v>Río Negro - Alto Valle</v>
          </cell>
          <cell r="C65">
            <v>-0.04</v>
          </cell>
          <cell r="D65">
            <v>-0.03</v>
          </cell>
          <cell r="E65">
            <v>-0.02</v>
          </cell>
          <cell r="F65">
            <v>-0.01</v>
          </cell>
          <cell r="G65">
            <v>0</v>
          </cell>
        </row>
        <row r="66">
          <cell r="B66" t="str">
            <v>Resto de Río Negro</v>
          </cell>
          <cell r="C66">
            <v>-5.0500000000000003E-2</v>
          </cell>
          <cell r="D66">
            <v>-3.7999999999999999E-2</v>
          </cell>
          <cell r="E66">
            <v>-2.5499999999999998E-2</v>
          </cell>
          <cell r="F66">
            <v>-1.2500000000000001E-2</v>
          </cell>
          <cell r="G66">
            <v>0</v>
          </cell>
        </row>
        <row r="67">
          <cell r="B67" t="str">
            <v>Gran Salta</v>
          </cell>
          <cell r="C67">
            <v>-9.7000000000000003E-2</v>
          </cell>
          <cell r="D67">
            <v>-7.2999999999999995E-2</v>
          </cell>
          <cell r="E67">
            <v>-4.8500000000000001E-2</v>
          </cell>
          <cell r="F67">
            <v>-2.4500000000000001E-2</v>
          </cell>
          <cell r="G67">
            <v>0</v>
          </cell>
        </row>
        <row r="68">
          <cell r="B68" t="str">
            <v>Resto de Salta</v>
          </cell>
          <cell r="C68">
            <v>-0.1075</v>
          </cell>
          <cell r="D68">
            <v>-8.0500000000000002E-2</v>
          </cell>
          <cell r="E68">
            <v>-5.3999999999999999E-2</v>
          </cell>
          <cell r="F68">
            <v>-2.7E-2</v>
          </cell>
          <cell r="G68">
            <v>0</v>
          </cell>
        </row>
        <row r="69">
          <cell r="B69" t="str">
            <v>Gran San Juan</v>
          </cell>
          <cell r="C69">
            <v>-5.0500000000000003E-2</v>
          </cell>
          <cell r="D69">
            <v>-3.7999999999999999E-2</v>
          </cell>
          <cell r="E69">
            <v>-2.5499999999999998E-2</v>
          </cell>
          <cell r="F69">
            <v>-1.2500000000000001E-2</v>
          </cell>
          <cell r="G69">
            <v>0</v>
          </cell>
        </row>
        <row r="70">
          <cell r="B70" t="str">
            <v>Resto de San Juan</v>
          </cell>
          <cell r="C70">
            <v>-7.5999999999999998E-2</v>
          </cell>
          <cell r="D70">
            <v>-5.7000000000000002E-2</v>
          </cell>
          <cell r="E70">
            <v>-3.7999999999999999E-2</v>
          </cell>
          <cell r="F70">
            <v>-1.9E-2</v>
          </cell>
          <cell r="G70">
            <v>0</v>
          </cell>
        </row>
        <row r="71">
          <cell r="B71" t="str">
            <v>Ciudad de San Luis</v>
          </cell>
          <cell r="C71">
            <v>-0.04</v>
          </cell>
          <cell r="D71">
            <v>-0.03</v>
          </cell>
          <cell r="E71">
            <v>-0.02</v>
          </cell>
          <cell r="F71">
            <v>-0.01</v>
          </cell>
          <cell r="G71">
            <v>0</v>
          </cell>
        </row>
        <row r="72">
          <cell r="B72" t="str">
            <v>Resto de San Luis</v>
          </cell>
          <cell r="C72">
            <v>-5.0500000000000003E-2</v>
          </cell>
          <cell r="D72">
            <v>-3.7999999999999999E-2</v>
          </cell>
          <cell r="E72">
            <v>-2.5499999999999998E-2</v>
          </cell>
          <cell r="F72">
            <v>-1.2500000000000001E-2</v>
          </cell>
          <cell r="G72">
            <v>0</v>
          </cell>
        </row>
        <row r="73">
          <cell r="B73" t="str">
            <v>Santa Cruz - Caleta Olivia</v>
          </cell>
          <cell r="C73">
            <v>-8.6499999999999994E-2</v>
          </cell>
          <cell r="D73">
            <v>-6.5000000000000002E-2</v>
          </cell>
          <cell r="E73">
            <v>-4.2999999999999997E-2</v>
          </cell>
          <cell r="F73">
            <v>-2.1499999999999998E-2</v>
          </cell>
          <cell r="G73">
            <v>0</v>
          </cell>
        </row>
        <row r="74">
          <cell r="B74" t="str">
            <v>Santa Cruz - Río Gallegos</v>
          </cell>
          <cell r="C74">
            <v>-8.6499999999999994E-2</v>
          </cell>
          <cell r="D74">
            <v>-6.5000000000000002E-2</v>
          </cell>
          <cell r="E74">
            <v>-4.2999999999999997E-2</v>
          </cell>
          <cell r="F74">
            <v>-2.1499999999999998E-2</v>
          </cell>
          <cell r="G74">
            <v>0</v>
          </cell>
        </row>
        <row r="75">
          <cell r="B75" t="str">
            <v>Resto de Santa Cruz</v>
          </cell>
          <cell r="C75">
            <v>-9.7000000000000003E-2</v>
          </cell>
          <cell r="D75">
            <v>-7.2999999999999995E-2</v>
          </cell>
          <cell r="E75">
            <v>-4.8500000000000001E-2</v>
          </cell>
          <cell r="F75">
            <v>-2.4500000000000001E-2</v>
          </cell>
          <cell r="G75">
            <v>0</v>
          </cell>
        </row>
        <row r="76">
          <cell r="B76" t="str">
            <v>Santa Fe - General Obligado</v>
          </cell>
          <cell r="C76">
            <v>-7.5999999999999998E-2</v>
          </cell>
          <cell r="D76">
            <v>-5.7000000000000002E-2</v>
          </cell>
          <cell r="E76">
            <v>-3.7999999999999999E-2</v>
          </cell>
          <cell r="F76">
            <v>-1.9E-2</v>
          </cell>
          <cell r="G76">
            <v>0</v>
          </cell>
        </row>
        <row r="77">
          <cell r="B77" t="str">
            <v>Santa Fe - San Javier</v>
          </cell>
          <cell r="C77">
            <v>-7.5999999999999998E-2</v>
          </cell>
          <cell r="D77">
            <v>-5.7000000000000002E-2</v>
          </cell>
          <cell r="E77">
            <v>-3.7999999999999999E-2</v>
          </cell>
          <cell r="F77">
            <v>-1.9E-2</v>
          </cell>
          <cell r="G77">
            <v>0</v>
          </cell>
        </row>
        <row r="78">
          <cell r="B78" t="str">
            <v>Santa Fe y Santo Tomé</v>
          </cell>
          <cell r="C78">
            <v>-2.9499999999999998E-2</v>
          </cell>
          <cell r="D78">
            <v>-2.1999999999999999E-2</v>
          </cell>
          <cell r="E78">
            <v>-1.4999999999999999E-2</v>
          </cell>
          <cell r="F78">
            <v>-7.4999999999999997E-3</v>
          </cell>
          <cell r="G78">
            <v>0</v>
          </cell>
        </row>
        <row r="79">
          <cell r="B79" t="str">
            <v>Santa Fe - 9 de Julio</v>
          </cell>
          <cell r="C79">
            <v>-7.5999999999999998E-2</v>
          </cell>
          <cell r="D79">
            <v>-5.7000000000000002E-2</v>
          </cell>
          <cell r="E79">
            <v>-3.7999999999999999E-2</v>
          </cell>
          <cell r="F79">
            <v>-1.9E-2</v>
          </cell>
          <cell r="G79">
            <v>0</v>
          </cell>
        </row>
        <row r="80">
          <cell r="B80" t="str">
            <v>Santa Fe - Vera</v>
          </cell>
          <cell r="C80">
            <v>-7.5999999999999998E-2</v>
          </cell>
          <cell r="D80">
            <v>-5.7000000000000002E-2</v>
          </cell>
          <cell r="E80">
            <v>-3.7999999999999999E-2</v>
          </cell>
          <cell r="F80">
            <v>-1.9E-2</v>
          </cell>
          <cell r="G80">
            <v>0</v>
          </cell>
        </row>
        <row r="81">
          <cell r="B81" t="str">
            <v>Resto de Santa Fe</v>
          </cell>
          <cell r="C81">
            <v>-2.9499999999999998E-2</v>
          </cell>
          <cell r="D81">
            <v>-2.1999999999999999E-2</v>
          </cell>
          <cell r="E81">
            <v>-1.4999999999999999E-2</v>
          </cell>
          <cell r="F81">
            <v>-7.4999999999999997E-3</v>
          </cell>
          <cell r="G81">
            <v>0</v>
          </cell>
        </row>
        <row r="82">
          <cell r="B82" t="str">
            <v>Ciudad de Santiago del Estero y La Banda</v>
          </cell>
          <cell r="C82">
            <v>-0.1075</v>
          </cell>
          <cell r="D82">
            <v>-8.0500000000000002E-2</v>
          </cell>
          <cell r="E82">
            <v>-5.3999999999999999E-2</v>
          </cell>
          <cell r="F82">
            <v>-2.7E-2</v>
          </cell>
          <cell r="G82">
            <v>0</v>
          </cell>
        </row>
        <row r="83">
          <cell r="B83" t="str">
            <v>Santiago del Estero - Ojo de Agua</v>
          </cell>
          <cell r="C83">
            <v>-7.5999999999999998E-2</v>
          </cell>
          <cell r="D83">
            <v>-5.7000000000000002E-2</v>
          </cell>
          <cell r="E83">
            <v>-3.7999999999999999E-2</v>
          </cell>
          <cell r="F83">
            <v>-1.9E-2</v>
          </cell>
          <cell r="G83">
            <v>0</v>
          </cell>
        </row>
        <row r="84">
          <cell r="B84" t="str">
            <v>Santiago del Estero - Quebrachos</v>
          </cell>
          <cell r="C84">
            <v>-7.5999999999999998E-2</v>
          </cell>
          <cell r="D84">
            <v>-5.7000000000000002E-2</v>
          </cell>
          <cell r="E84">
            <v>-3.7999999999999999E-2</v>
          </cell>
          <cell r="F84">
            <v>-1.9E-2</v>
          </cell>
          <cell r="G84">
            <v>0</v>
          </cell>
        </row>
        <row r="85">
          <cell r="B85" t="str">
            <v>Santiago del Estero - Rivadavia</v>
          </cell>
          <cell r="C85">
            <v>-7.5999999999999998E-2</v>
          </cell>
          <cell r="D85">
            <v>-5.7000000000000002E-2</v>
          </cell>
          <cell r="E85">
            <v>-3.7999999999999999E-2</v>
          </cell>
          <cell r="F85">
            <v>-1.9E-2</v>
          </cell>
          <cell r="G85">
            <v>0</v>
          </cell>
        </row>
        <row r="86">
          <cell r="B86" t="str">
            <v>Tierra del Fuego - Río Grande</v>
          </cell>
          <cell r="C86">
            <v>-8.6499999999999994E-2</v>
          </cell>
          <cell r="D86">
            <v>-6.5000000000000002E-2</v>
          </cell>
          <cell r="E86">
            <v>-4.2999999999999997E-2</v>
          </cell>
          <cell r="F86">
            <v>-2.1499999999999998E-2</v>
          </cell>
          <cell r="G86">
            <v>0</v>
          </cell>
        </row>
        <row r="87">
          <cell r="B87" t="str">
            <v>Tierra del Fuego - Ushuaia</v>
          </cell>
          <cell r="C87">
            <v>-8.6499999999999994E-2</v>
          </cell>
          <cell r="D87">
            <v>-6.5000000000000002E-2</v>
          </cell>
          <cell r="E87">
            <v>-4.2999999999999997E-2</v>
          </cell>
          <cell r="F87">
            <v>-2.1499999999999998E-2</v>
          </cell>
          <cell r="G87">
            <v>0</v>
          </cell>
        </row>
        <row r="88">
          <cell r="B88" t="str">
            <v>Resto de Tierra del Fuego</v>
          </cell>
          <cell r="C88">
            <v>-9.7000000000000003E-2</v>
          </cell>
          <cell r="D88">
            <v>-7.2999999999999995E-2</v>
          </cell>
          <cell r="E88">
            <v>-4.8500000000000001E-2</v>
          </cell>
          <cell r="F88">
            <v>-2.4500000000000001E-2</v>
          </cell>
          <cell r="G88">
            <v>0</v>
          </cell>
        </row>
        <row r="89">
          <cell r="B89" t="str">
            <v>Gran Tucumán</v>
          </cell>
          <cell r="C89">
            <v>-7.5999999999999998E-2</v>
          </cell>
          <cell r="D89">
            <v>-5.7000000000000002E-2</v>
          </cell>
          <cell r="E89">
            <v>-3.7999999999999999E-2</v>
          </cell>
          <cell r="F89">
            <v>-1.9E-2</v>
          </cell>
          <cell r="G89">
            <v>0</v>
          </cell>
        </row>
        <row r="90">
          <cell r="B90" t="str">
            <v>Resto de Tucumán</v>
          </cell>
          <cell r="C90">
            <v>-8.6499999999999994E-2</v>
          </cell>
          <cell r="D90">
            <v>-6.5000000000000002E-2</v>
          </cell>
          <cell r="E90">
            <v>-4.2999999999999997E-2</v>
          </cell>
          <cell r="F90">
            <v>-2.1499999999999998E-2</v>
          </cell>
          <cell r="G90">
            <v>0</v>
          </cell>
        </row>
      </sheetData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Resumen"/>
      <sheetName val="Tiempos y Costos por Fase"/>
      <sheetName val="Tiempos"/>
      <sheetName val="Gráficos"/>
      <sheetName val="Costos"/>
      <sheetName val="Resultado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6">
          <cell r="G6" t="str">
            <v>ACONDICIONAR EL POZO</v>
          </cell>
          <cell r="K6" t="str">
            <v>Horas</v>
          </cell>
        </row>
        <row r="7">
          <cell r="G7" t="str">
            <v>BAJAR INSTALACION</v>
          </cell>
          <cell r="K7" t="str">
            <v>Dias</v>
          </cell>
        </row>
        <row r="8">
          <cell r="G8" t="str">
            <v>CASING / CEMENTACION</v>
          </cell>
          <cell r="K8" t="str">
            <v>mts/hrs</v>
          </cell>
        </row>
        <row r="9">
          <cell r="G9" t="str">
            <v>CONECTAR / DESCONECTAR RISER</v>
          </cell>
          <cell r="K9" t="str">
            <v>mts/dia</v>
          </cell>
        </row>
        <row r="10">
          <cell r="G10" t="str">
            <v>ENSAYOS DE POZO</v>
          </cell>
          <cell r="K10" t="str">
            <v>hrs/mts</v>
          </cell>
        </row>
        <row r="11">
          <cell r="G11" t="str">
            <v>ESTIMULACION</v>
          </cell>
        </row>
        <row r="12">
          <cell r="G12" t="str">
            <v>EVALUACION DE FORMACION</v>
          </cell>
        </row>
        <row r="13">
          <cell r="G13" t="str">
            <v>LOGGING P/ DIAGNOSTICO</v>
          </cell>
        </row>
        <row r="14">
          <cell r="G14" t="str">
            <v>MODIFICACIONES O REPARACIONES DE EQUIPO</v>
          </cell>
        </row>
        <row r="15">
          <cell r="G15" t="str">
            <v>MONTA / DESMONTA / TRANSPORTA / DESLIZA</v>
          </cell>
        </row>
        <row r="16">
          <cell r="G16" t="str">
            <v>PERFORACION</v>
          </cell>
        </row>
        <row r="17">
          <cell r="G17" t="str">
            <v>PREPARACION DE LOCACION</v>
          </cell>
        </row>
        <row r="18">
          <cell r="G18" t="str">
            <v>PROBLEMAS APRISIONAMIENTO Y PESCA</v>
          </cell>
        </row>
        <row r="19">
          <cell r="G19" t="str">
            <v>PROBLEMAS CONTROL DE POZO</v>
          </cell>
        </row>
        <row r="20">
          <cell r="G20" t="str">
            <v>PROBLEMAS DE SIDETRACK</v>
          </cell>
        </row>
        <row r="21">
          <cell r="G21" t="str">
            <v>PROBLEMAS ENTUB,CEMENT Y LOGGING</v>
          </cell>
        </row>
        <row r="22">
          <cell r="G22" t="str">
            <v>PROBLEMAS PERDIDA DE CIRCULACION</v>
          </cell>
        </row>
        <row r="23">
          <cell r="G23" t="str">
            <v>PROBLEMAS, ACONDICIONAR EL POZO</v>
          </cell>
        </row>
        <row r="24">
          <cell r="G24" t="str">
            <v>PUNZADOS</v>
          </cell>
        </row>
        <row r="25">
          <cell r="G25" t="str">
            <v>RESTAURAR LOCACION</v>
          </cell>
        </row>
        <row r="26">
          <cell r="G26" t="str">
            <v>SACAR INSTALACION EXISTENTE</v>
          </cell>
        </row>
        <row r="27">
          <cell r="G27" t="str">
            <v>SALUD, SEGURIDAD Y MEDIO AMBIENTE</v>
          </cell>
        </row>
        <row r="28">
          <cell r="G28" t="str">
            <v>TAPONAR Y ABANDONAR / ABANDONO TEMPORAL</v>
          </cell>
        </row>
        <row r="29">
          <cell r="G29" t="str">
            <v>TRABAJOS DE PRODUCCION</v>
          </cell>
        </row>
      </sheetData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ntroles procesos"/>
      <sheetName val="Errores importacion"/>
      <sheetName val="CONVERSORA"/>
      <sheetName val="TRANSPORTE"/>
      <sheetName val="O_Procesar SyS"/>
      <sheetName val="O_Resumen SyS"/>
      <sheetName val="O_Procesar Aux"/>
    </sheetNames>
    <sheetDataSet>
      <sheetData sheetId="0"/>
      <sheetData sheetId="1">
        <row r="29">
          <cell r="B29" t="str">
            <v>Modulo IFRS-1</v>
          </cell>
        </row>
        <row r="30">
          <cell r="B30" t="str">
            <v>Modulo IFRS-2</v>
          </cell>
        </row>
        <row r="31">
          <cell r="B31" t="str">
            <v>Modulo IFRS-3</v>
          </cell>
        </row>
        <row r="32">
          <cell r="B32" t="str">
            <v>Modulo IFRS-4</v>
          </cell>
        </row>
        <row r="33">
          <cell r="B33" t="str">
            <v>Modulo IFRS-5</v>
          </cell>
        </row>
        <row r="34">
          <cell r="B34" t="str">
            <v>Modulo IFRS-6</v>
          </cell>
        </row>
        <row r="35">
          <cell r="B35" t="str">
            <v>Modulo IFRS-7</v>
          </cell>
        </row>
        <row r="36">
          <cell r="B36" t="str">
            <v>Modulo IFRS-Cuentas SyS 1 y 2</v>
          </cell>
        </row>
        <row r="37">
          <cell r="B37" t="str">
            <v>Schema Bilancio IFRS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40-18-P-RI-002"/>
      <sheetName val="Sold. y Gammagraf."/>
      <sheetName val="Aislación"/>
      <sheetName val="Tracing"/>
      <sheetName val="Pintura Ext"/>
      <sheetName val="1240_18_P_RI_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Estructura Actual"/>
      <sheetName val="Resumen"/>
      <sheetName val="Resumen WO"/>
      <sheetName val="Resumen HH102"/>
      <sheetName val="Resumen HH220"/>
      <sheetName val="Datos Básicos"/>
      <sheetName val="Itemizado"/>
      <sheetName val="Organigrama"/>
      <sheetName val="Mod"/>
      <sheetName val="DatosMOD"/>
      <sheetName val="MOI"/>
      <sheetName val="DatosMOI"/>
      <sheetName val="OrgZon"/>
      <sheetName val="DatosZon"/>
      <sheetName val="CSoc"/>
      <sheetName val="GdP"/>
      <sheetName val="Mat"/>
      <sheetName val="Htas"/>
      <sheetName val="Equ"/>
      <sheetName val="CyL"/>
      <sheetName val="DatosEqu"/>
      <sheetName val="Sub"/>
      <sheetName val="Fle"/>
      <sheetName val="Bases"/>
      <sheetName val="GVs"/>
      <sheetName val="Ing"/>
      <sheetName val="CFinanc"/>
      <sheetName val="Seg"/>
      <sheetName val="EPP y Vestuario"/>
      <sheetName val="TARIFAS DINAMIC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7">
          <cell r="I7" t="str">
            <v>COSTO TOTAL ALQUILER</v>
          </cell>
        </row>
        <row r="8">
          <cell r="H8" t="str">
            <v>Propios</v>
          </cell>
          <cell r="I8" t="str">
            <v>a  3eros.</v>
          </cell>
          <cell r="J8" t="str">
            <v>Propios</v>
          </cell>
        </row>
        <row r="9">
          <cell r="H9">
            <v>1500</v>
          </cell>
          <cell r="J9">
            <v>0</v>
          </cell>
        </row>
        <row r="10">
          <cell r="H10">
            <v>0</v>
          </cell>
          <cell r="I10">
            <v>15000</v>
          </cell>
          <cell r="J10">
            <v>0</v>
          </cell>
        </row>
        <row r="11">
          <cell r="H11">
            <v>1800</v>
          </cell>
          <cell r="I11">
            <v>0</v>
          </cell>
          <cell r="J11">
            <v>0</v>
          </cell>
        </row>
        <row r="12">
          <cell r="H12">
            <v>1800</v>
          </cell>
          <cell r="I12">
            <v>0</v>
          </cell>
          <cell r="J12">
            <v>11250</v>
          </cell>
        </row>
        <row r="13">
          <cell r="I13">
            <v>17500</v>
          </cell>
          <cell r="J13">
            <v>0</v>
          </cell>
        </row>
        <row r="14">
          <cell r="H14">
            <v>0</v>
          </cell>
          <cell r="I14">
            <v>0</v>
          </cell>
          <cell r="J14">
            <v>0</v>
          </cell>
        </row>
        <row r="15">
          <cell r="H15">
            <v>0</v>
          </cell>
          <cell r="I15">
            <v>0</v>
          </cell>
          <cell r="J15">
            <v>0</v>
          </cell>
        </row>
        <row r="16">
          <cell r="H16">
            <v>0</v>
          </cell>
          <cell r="I16">
            <v>0</v>
          </cell>
          <cell r="J16">
            <v>0</v>
          </cell>
        </row>
        <row r="17">
          <cell r="I17">
            <v>0</v>
          </cell>
          <cell r="J17">
            <v>0</v>
          </cell>
        </row>
        <row r="18">
          <cell r="I18">
            <v>0</v>
          </cell>
          <cell r="J18">
            <v>0</v>
          </cell>
        </row>
        <row r="19">
          <cell r="H19">
            <v>120000</v>
          </cell>
          <cell r="I19">
            <v>0</v>
          </cell>
          <cell r="J19">
            <v>2500</v>
          </cell>
        </row>
        <row r="20">
          <cell r="H20">
            <v>42750</v>
          </cell>
          <cell r="I20">
            <v>0</v>
          </cell>
          <cell r="J20">
            <v>890.625</v>
          </cell>
        </row>
        <row r="21">
          <cell r="H21">
            <v>15000</v>
          </cell>
          <cell r="I21">
            <v>0</v>
          </cell>
          <cell r="J21">
            <v>312.5</v>
          </cell>
        </row>
        <row r="22">
          <cell r="H22">
            <v>15000</v>
          </cell>
          <cell r="I22">
            <v>0</v>
          </cell>
          <cell r="J22">
            <v>312.5</v>
          </cell>
        </row>
        <row r="23">
          <cell r="I23">
            <v>0</v>
          </cell>
        </row>
        <row r="24">
          <cell r="I24">
            <v>0</v>
          </cell>
        </row>
        <row r="25">
          <cell r="H25">
            <v>2500</v>
          </cell>
          <cell r="I25">
            <v>0</v>
          </cell>
          <cell r="J25">
            <v>10000</v>
          </cell>
        </row>
        <row r="26">
          <cell r="I26">
            <v>0</v>
          </cell>
          <cell r="J26">
            <v>0</v>
          </cell>
        </row>
        <row r="27">
          <cell r="H27" t="str">
            <v xml:space="preserve">Total Costos Mensuales  </v>
          </cell>
          <cell r="I27">
            <v>32500</v>
          </cell>
          <cell r="J27">
            <v>25265.625</v>
          </cell>
        </row>
        <row r="29">
          <cell r="I29" t="str">
            <v>COSTO TOTAL POR</v>
          </cell>
        </row>
        <row r="30">
          <cell r="H30" t="str">
            <v>Propios</v>
          </cell>
          <cell r="I30" t="str">
            <v xml:space="preserve"> 3eros.</v>
          </cell>
          <cell r="J30" t="str">
            <v>Propios</v>
          </cell>
        </row>
        <row r="31">
          <cell r="I31">
            <v>0</v>
          </cell>
          <cell r="J31">
            <v>0</v>
          </cell>
        </row>
        <row r="32">
          <cell r="I32">
            <v>0</v>
          </cell>
          <cell r="J32">
            <v>0</v>
          </cell>
        </row>
        <row r="33">
          <cell r="I33">
            <v>0</v>
          </cell>
          <cell r="J33">
            <v>0</v>
          </cell>
        </row>
        <row r="34">
          <cell r="I34">
            <v>0</v>
          </cell>
          <cell r="J34">
            <v>0</v>
          </cell>
        </row>
        <row r="35">
          <cell r="I35">
            <v>0</v>
          </cell>
          <cell r="J35">
            <v>0</v>
          </cell>
        </row>
        <row r="36">
          <cell r="I36">
            <v>0</v>
          </cell>
          <cell r="J36">
            <v>0</v>
          </cell>
        </row>
        <row r="37">
          <cell r="I37">
            <v>0</v>
          </cell>
          <cell r="J37">
            <v>0</v>
          </cell>
        </row>
        <row r="38">
          <cell r="I38">
            <v>0</v>
          </cell>
          <cell r="J38">
            <v>0</v>
          </cell>
        </row>
        <row r="39">
          <cell r="I39">
            <v>0</v>
          </cell>
          <cell r="J39">
            <v>0</v>
          </cell>
        </row>
        <row r="40">
          <cell r="I40">
            <v>0</v>
          </cell>
          <cell r="J40">
            <v>0</v>
          </cell>
        </row>
        <row r="41">
          <cell r="I41">
            <v>0</v>
          </cell>
          <cell r="J41">
            <v>0</v>
          </cell>
        </row>
        <row r="42">
          <cell r="I42">
            <v>0</v>
          </cell>
          <cell r="J42">
            <v>0</v>
          </cell>
        </row>
        <row r="43">
          <cell r="I43">
            <v>0</v>
          </cell>
          <cell r="J43">
            <v>0</v>
          </cell>
        </row>
        <row r="44">
          <cell r="I44">
            <v>0</v>
          </cell>
          <cell r="J44">
            <v>0</v>
          </cell>
        </row>
        <row r="45">
          <cell r="I45">
            <v>0</v>
          </cell>
          <cell r="J45">
            <v>0</v>
          </cell>
        </row>
        <row r="47">
          <cell r="H47" t="str">
            <v xml:space="preserve">Subtotal no Amortizables </v>
          </cell>
          <cell r="I47">
            <v>0</v>
          </cell>
          <cell r="J47">
            <v>0</v>
          </cell>
        </row>
        <row r="49">
          <cell r="I49" t="str">
            <v>COSTO TOTAL POR</v>
          </cell>
        </row>
        <row r="50">
          <cell r="H50" t="str">
            <v>Propios</v>
          </cell>
          <cell r="I50" t="str">
            <v xml:space="preserve"> 3eros.</v>
          </cell>
          <cell r="J50" t="str">
            <v>Propios</v>
          </cell>
        </row>
        <row r="51">
          <cell r="I51">
            <v>0</v>
          </cell>
          <cell r="J51">
            <v>0</v>
          </cell>
        </row>
        <row r="52">
          <cell r="I52">
            <v>0</v>
          </cell>
          <cell r="J52">
            <v>0</v>
          </cell>
        </row>
        <row r="53">
          <cell r="H53">
            <v>210000</v>
          </cell>
          <cell r="I53">
            <v>0</v>
          </cell>
          <cell r="J53">
            <v>0</v>
          </cell>
        </row>
        <row r="54">
          <cell r="I54">
            <v>0</v>
          </cell>
          <cell r="J54">
            <v>0</v>
          </cell>
        </row>
        <row r="56">
          <cell r="H56" t="str">
            <v>Subtotal Montajes y Desmontajes  $</v>
          </cell>
          <cell r="I56">
            <v>0</v>
          </cell>
          <cell r="J56">
            <v>0</v>
          </cell>
        </row>
        <row r="57">
          <cell r="I57" t="str">
            <v>Terceros</v>
          </cell>
          <cell r="J57" t="str">
            <v>Propios</v>
          </cell>
        </row>
        <row r="58">
          <cell r="I58">
            <v>32500</v>
          </cell>
          <cell r="J58">
            <v>25265.625</v>
          </cell>
        </row>
        <row r="59">
          <cell r="I59" t="str">
            <v>VALOR MENSUAL DE OBRADOR Y CAMPAMENTO $/mes</v>
          </cell>
          <cell r="J59">
            <v>57765.625</v>
          </cell>
        </row>
      </sheetData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"/>
      <sheetName val="BASE DE DATOS"/>
      <sheetName val="PAE"/>
    </sheetNames>
    <sheetDataSet>
      <sheetData sheetId="0" refreshError="1">
        <row r="1">
          <cell r="A1">
            <v>30</v>
          </cell>
        </row>
        <row r="3">
          <cell r="A3">
            <v>60</v>
          </cell>
        </row>
      </sheetData>
      <sheetData sheetId="1"/>
      <sheetData sheetId="2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DAT"/>
      <sheetName val="BASE-API"/>
      <sheetName val="BD NUEVA"/>
      <sheetName val="ESPARRAGOS - RJ"/>
      <sheetName val="PESO CAÑERIA"/>
      <sheetName val="VOL.AGUA"/>
      <sheetName val="Datos"/>
      <sheetName val="RESUMEN GRAL"/>
      <sheetName val="#¡REF"/>
      <sheetName val="AC.CO.#150"/>
      <sheetName val="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</sheetNames>
    <sheetDataSet>
      <sheetData sheetId="0" refreshError="1">
        <row r="48">
          <cell r="F48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leases Details"/>
      <sheetName val="Macro1"/>
    </sheetNames>
    <sheetDataSet>
      <sheetData sheetId="0"/>
      <sheetData sheetId="1"/>
      <sheetData sheetId="2">
        <row r="314">
          <cell r="A314" t="str">
            <v>Recover</v>
          </cell>
        </row>
      </sheetData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42">
          <cell r="Q42">
            <v>0.15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u$s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AR64ESCG00</v>
          </cell>
        </row>
        <row r="3">
          <cell r="A3" t="str">
            <v>AR64ESCM00</v>
          </cell>
        </row>
        <row r="4">
          <cell r="A4" t="str">
            <v>AR64ESCP00</v>
          </cell>
        </row>
        <row r="5">
          <cell r="A5" t="str">
            <v>AR64ESCP19</v>
          </cell>
        </row>
        <row r="6">
          <cell r="A6" t="str">
            <v>AR64ESCP20</v>
          </cell>
        </row>
        <row r="7">
          <cell r="A7" t="str">
            <v>AR64ESCP21</v>
          </cell>
        </row>
        <row r="8">
          <cell r="A8" t="str">
            <v>AR64ESCP22</v>
          </cell>
        </row>
        <row r="9">
          <cell r="A9" t="str">
            <v>AR64ESCP23</v>
          </cell>
        </row>
        <row r="10">
          <cell r="A10" t="str">
            <v>AR64ESCP24</v>
          </cell>
        </row>
        <row r="11">
          <cell r="A11" t="str">
            <v>AR64ESCP25</v>
          </cell>
        </row>
        <row r="12">
          <cell r="A12" t="str">
            <v>AR64ESCP26</v>
          </cell>
        </row>
        <row r="13">
          <cell r="A13" t="str">
            <v>AR64ESCP27</v>
          </cell>
        </row>
        <row r="14">
          <cell r="A14" t="str">
            <v>AR64ESCP28</v>
          </cell>
        </row>
        <row r="15">
          <cell r="A15" t="str">
            <v>AR64ESCP29</v>
          </cell>
        </row>
        <row r="16">
          <cell r="A16" t="str">
            <v>AR64ESCP30</v>
          </cell>
        </row>
        <row r="17">
          <cell r="A17" t="str">
            <v>AR64ESCP31</v>
          </cell>
        </row>
        <row r="18">
          <cell r="A18" t="str">
            <v>AR64ESCP32</v>
          </cell>
        </row>
        <row r="19">
          <cell r="A19" t="str">
            <v>AR64ESCP33</v>
          </cell>
        </row>
        <row r="20">
          <cell r="A20" t="str">
            <v>AR64ESCP34</v>
          </cell>
        </row>
        <row r="21">
          <cell r="A21" t="str">
            <v>AR64ESCP35</v>
          </cell>
        </row>
        <row r="22">
          <cell r="A22" t="str">
            <v>AR64ESCP36</v>
          </cell>
        </row>
        <row r="23">
          <cell r="A23" t="str">
            <v>AR64ESCP37</v>
          </cell>
        </row>
        <row r="24">
          <cell r="A24" t="str">
            <v>AR64ESCP38</v>
          </cell>
        </row>
        <row r="25">
          <cell r="A25" t="str">
            <v>AR64ESCP39</v>
          </cell>
        </row>
        <row r="26">
          <cell r="A26" t="str">
            <v>AR64ESCP40</v>
          </cell>
        </row>
        <row r="27">
          <cell r="A27" t="str">
            <v>AR64ESCP42</v>
          </cell>
        </row>
        <row r="28">
          <cell r="A28" t="str">
            <v>AR64ESCP43</v>
          </cell>
        </row>
        <row r="29">
          <cell r="A29" t="str">
            <v>AR64ESCP44</v>
          </cell>
        </row>
        <row r="30">
          <cell r="A30" t="str">
            <v>AR64ESCP45</v>
          </cell>
        </row>
        <row r="31">
          <cell r="A31" t="str">
            <v>AR64ESCP46</v>
          </cell>
        </row>
        <row r="32">
          <cell r="A32" t="str">
            <v>AR64ESCP47</v>
          </cell>
        </row>
        <row r="33">
          <cell r="A33" t="str">
            <v>AR64ESCP48</v>
          </cell>
        </row>
        <row r="34">
          <cell r="A34" t="str">
            <v>AR64ESCP49</v>
          </cell>
        </row>
        <row r="35">
          <cell r="A35" t="str">
            <v>AR64ESCP50</v>
          </cell>
        </row>
        <row r="36">
          <cell r="A36" t="str">
            <v>AR64ESCP51</v>
          </cell>
        </row>
        <row r="37">
          <cell r="A37" t="str">
            <v>AR64ESCP52</v>
          </cell>
        </row>
        <row r="38">
          <cell r="A38" t="str">
            <v>AR64ESCP53</v>
          </cell>
        </row>
        <row r="39">
          <cell r="A39" t="str">
            <v>AR64ESCP54</v>
          </cell>
        </row>
        <row r="40">
          <cell r="A40" t="str">
            <v>AR64ESCP55</v>
          </cell>
        </row>
        <row r="41">
          <cell r="A41" t="str">
            <v>AR64ESCP56</v>
          </cell>
        </row>
        <row r="42">
          <cell r="A42" t="str">
            <v>AR64ESCPA2</v>
          </cell>
        </row>
        <row r="43">
          <cell r="A43" t="str">
            <v>AR64ESCPA3</v>
          </cell>
        </row>
        <row r="44">
          <cell r="A44" t="str">
            <v>AR64ESCS00</v>
          </cell>
        </row>
      </sheetData>
      <sheetData sheetId="8"/>
      <sheetData sheetId="9"/>
      <sheetData sheetId="10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Solic provisión $ SCI UTE"/>
      <sheetName val="Solic provisión $ SCI UTE PESA"/>
      <sheetName val="Solic provisión $ SCI O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$ GETRA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AR03ESIG00</v>
          </cell>
        </row>
        <row r="3">
          <cell r="A3" t="str">
            <v>AR03ESIM00</v>
          </cell>
        </row>
        <row r="4">
          <cell r="A4" t="str">
            <v>AR03ESIP00</v>
          </cell>
        </row>
        <row r="5">
          <cell r="A5" t="str">
            <v>AR03ESIP57</v>
          </cell>
        </row>
        <row r="6">
          <cell r="A6" t="str">
            <v>AR03ESIP59</v>
          </cell>
        </row>
        <row r="7">
          <cell r="A7" t="str">
            <v>AR03ESIP60</v>
          </cell>
        </row>
        <row r="8">
          <cell r="A8" t="str">
            <v>AR03ESIP61</v>
          </cell>
        </row>
        <row r="9">
          <cell r="A9" t="str">
            <v>AR03ESIP62</v>
          </cell>
        </row>
        <row r="10">
          <cell r="A10" t="str">
            <v>AR03ESIP63</v>
          </cell>
        </row>
        <row r="11">
          <cell r="A11" t="str">
            <v>AR03ESIP64</v>
          </cell>
        </row>
        <row r="12">
          <cell r="A12" t="str">
            <v>AR03ESIP65</v>
          </cell>
        </row>
        <row r="13">
          <cell r="A13" t="str">
            <v>AR03ESIP66</v>
          </cell>
        </row>
        <row r="14">
          <cell r="A14" t="str">
            <v>AR03ESIP67</v>
          </cell>
        </row>
        <row r="15">
          <cell r="A15" t="str">
            <v>AR03ESIP69</v>
          </cell>
        </row>
        <row r="16">
          <cell r="A16" t="str">
            <v>AR03ESIP70</v>
          </cell>
        </row>
        <row r="17">
          <cell r="A17" t="str">
            <v>AR03ESIP71</v>
          </cell>
        </row>
        <row r="18">
          <cell r="A18" t="str">
            <v>AR03ESIP72</v>
          </cell>
        </row>
        <row r="19">
          <cell r="A19" t="str">
            <v>AR03ESIP73</v>
          </cell>
        </row>
        <row r="20">
          <cell r="A20" t="str">
            <v>AR03ESIP73</v>
          </cell>
        </row>
        <row r="21">
          <cell r="A21" t="str">
            <v>AR03ESIP74</v>
          </cell>
        </row>
        <row r="22">
          <cell r="A22" t="str">
            <v>AR03ESIP76</v>
          </cell>
        </row>
        <row r="23">
          <cell r="A23" t="str">
            <v>AR03ESIP77</v>
          </cell>
        </row>
        <row r="24">
          <cell r="A24" t="str">
            <v>AR03ESIP77</v>
          </cell>
        </row>
        <row r="25">
          <cell r="A25" t="str">
            <v>AR03ESIP78</v>
          </cell>
        </row>
        <row r="26">
          <cell r="A26" t="str">
            <v>AR03ESIP79</v>
          </cell>
        </row>
        <row r="27">
          <cell r="A27" t="str">
            <v>AR03ESIP80</v>
          </cell>
        </row>
        <row r="28">
          <cell r="A28" t="str">
            <v>AR03ESIP81</v>
          </cell>
        </row>
        <row r="29">
          <cell r="A29" t="str">
            <v>AR03ESIP82</v>
          </cell>
        </row>
        <row r="30">
          <cell r="A30" t="str">
            <v>AR03ESIP83</v>
          </cell>
        </row>
        <row r="31">
          <cell r="A31" t="str">
            <v>AR03ESIP84</v>
          </cell>
        </row>
        <row r="32">
          <cell r="A32" t="str">
            <v>AR03ESIP85</v>
          </cell>
        </row>
        <row r="33">
          <cell r="A33" t="str">
            <v>AR03ESIP86</v>
          </cell>
        </row>
        <row r="34">
          <cell r="A34" t="str">
            <v>AR03ESIP87</v>
          </cell>
        </row>
        <row r="35">
          <cell r="A35" t="str">
            <v>AR03ESIP88</v>
          </cell>
        </row>
        <row r="36">
          <cell r="A36" t="str">
            <v>AR03ESIP88</v>
          </cell>
        </row>
        <row r="37">
          <cell r="A37" t="str">
            <v>AR03ESIP90</v>
          </cell>
        </row>
        <row r="38">
          <cell r="A38" t="str">
            <v>AR03ESIP92</v>
          </cell>
        </row>
        <row r="39">
          <cell r="A39" t="str">
            <v>AR03ESIP93</v>
          </cell>
        </row>
        <row r="40">
          <cell r="A40" t="str">
            <v>AR03ESIP94</v>
          </cell>
        </row>
        <row r="41">
          <cell r="A41" t="str">
            <v>AR03ESIP94</v>
          </cell>
        </row>
        <row r="42">
          <cell r="A42" t="str">
            <v>AR03ESIP95</v>
          </cell>
        </row>
        <row r="43">
          <cell r="A43" t="str">
            <v>AR03ESIP96</v>
          </cell>
        </row>
        <row r="44">
          <cell r="A44" t="str">
            <v>AR03ESIS00</v>
          </cell>
        </row>
        <row r="45">
          <cell r="A45" t="str">
            <v>100000225 OC</v>
          </cell>
        </row>
      </sheetData>
      <sheetData sheetId="9" refreshError="1"/>
      <sheetData sheetId="10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$ SCI UTE PESA"/>
      <sheetName val="Solic provisión u$s SCI O"/>
      <sheetName val="Solic provisión $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u$s GETRAN"/>
      <sheetName val="Solic provisión $ GETRA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AR03ESOG00</v>
          </cell>
        </row>
        <row r="3">
          <cell r="A3" t="str">
            <v>AR03ESOP14</v>
          </cell>
        </row>
        <row r="4">
          <cell r="A4" t="str">
            <v>AR03ESOP01</v>
          </cell>
        </row>
      </sheetData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lling"/>
      <sheetName val="DataCombos"/>
      <sheetName val="DataCombos2"/>
      <sheetName val="Validacion"/>
    </sheetNames>
    <sheetDataSet>
      <sheetData sheetId="0" refreshError="1"/>
      <sheetData sheetId="1" refreshError="1"/>
      <sheetData sheetId="2">
        <row r="6">
          <cell r="D6" t="str">
            <v>N / A</v>
          </cell>
        </row>
        <row r="7">
          <cell r="D7" t="str">
            <v>—</v>
          </cell>
        </row>
        <row r="8">
          <cell r="D8" t="str">
            <v>DFS</v>
          </cell>
        </row>
        <row r="9">
          <cell r="D9" t="str">
            <v>DFSB</v>
          </cell>
        </row>
        <row r="10">
          <cell r="D10" t="str">
            <v>DFSB3</v>
          </cell>
        </row>
        <row r="11">
          <cell r="D11" t="str">
            <v>DFSB3LT</v>
          </cell>
        </row>
        <row r="12">
          <cell r="D12" t="str">
            <v>DFSB3LT3G</v>
          </cell>
        </row>
        <row r="13">
          <cell r="D13" t="str">
            <v>DFSC</v>
          </cell>
        </row>
        <row r="14">
          <cell r="D14" t="str">
            <v>DFSC3</v>
          </cell>
        </row>
        <row r="15">
          <cell r="D15" t="str">
            <v>DFSC3UT</v>
          </cell>
        </row>
        <row r="16">
          <cell r="D16" t="str">
            <v>DFSC3UT3GHL</v>
          </cell>
        </row>
        <row r="17">
          <cell r="D17" t="str">
            <v>DFST</v>
          </cell>
        </row>
        <row r="18">
          <cell r="D18" t="str">
            <v>DFST3</v>
          </cell>
        </row>
        <row r="19">
          <cell r="D19" t="str">
            <v>DFST3G</v>
          </cell>
        </row>
        <row r="20">
          <cell r="D20" t="str">
            <v>DFST3GHL</v>
          </cell>
        </row>
        <row r="21">
          <cell r="D21" t="str">
            <v>DFST3HL</v>
          </cell>
        </row>
        <row r="22">
          <cell r="D22" t="str">
            <v>ESP</v>
          </cell>
        </row>
        <row r="23">
          <cell r="D23" t="str">
            <v>FSB</v>
          </cell>
        </row>
        <row r="24">
          <cell r="D24" t="str">
            <v>FSB1</v>
          </cell>
        </row>
        <row r="25">
          <cell r="D25" t="str">
            <v>FSB3</v>
          </cell>
        </row>
        <row r="26">
          <cell r="D26" t="str">
            <v>FSB3DB</v>
          </cell>
        </row>
        <row r="27">
          <cell r="D27" t="str">
            <v>FSB3G</v>
          </cell>
        </row>
        <row r="28">
          <cell r="D28" t="str">
            <v>FSB3HL</v>
          </cell>
        </row>
        <row r="29">
          <cell r="D29" t="str">
            <v>FSB3HLPFS</v>
          </cell>
        </row>
        <row r="30">
          <cell r="D30" t="str">
            <v>FSB3PFS</v>
          </cell>
        </row>
        <row r="31">
          <cell r="D31" t="str">
            <v>FSB3UT</v>
          </cell>
        </row>
        <row r="32">
          <cell r="D32" t="str">
            <v>FSBHL</v>
          </cell>
        </row>
        <row r="33">
          <cell r="D33" t="str">
            <v>FSBLT3</v>
          </cell>
        </row>
        <row r="34">
          <cell r="D34" t="str">
            <v>FSBLT3PL</v>
          </cell>
        </row>
        <row r="35">
          <cell r="D35" t="str">
            <v>FSBLTG3PL</v>
          </cell>
        </row>
        <row r="36">
          <cell r="D36" t="str">
            <v>FSBUT3PLHL</v>
          </cell>
        </row>
        <row r="37">
          <cell r="D37" t="str">
            <v>FSBUTG3PLHL</v>
          </cell>
        </row>
        <row r="38">
          <cell r="D38" t="str">
            <v>FSBX</v>
          </cell>
        </row>
        <row r="39">
          <cell r="D39" t="str">
            <v>FSBX1</v>
          </cell>
        </row>
        <row r="40">
          <cell r="D40" t="str">
            <v>FSBX3</v>
          </cell>
        </row>
        <row r="41">
          <cell r="D41" t="str">
            <v>FSBLTX3</v>
          </cell>
        </row>
        <row r="42">
          <cell r="D42" t="str">
            <v>FSBLTX3PL</v>
          </cell>
        </row>
        <row r="43">
          <cell r="D43" t="str">
            <v>FSC</v>
          </cell>
        </row>
        <row r="44">
          <cell r="D44" t="str">
            <v>FSC2</v>
          </cell>
        </row>
        <row r="45">
          <cell r="D45" t="str">
            <v>FSC3</v>
          </cell>
        </row>
        <row r="46">
          <cell r="D46" t="str">
            <v>FSCG</v>
          </cell>
        </row>
        <row r="47">
          <cell r="D47" t="str">
            <v>FSCGX</v>
          </cell>
        </row>
        <row r="48">
          <cell r="D48" t="str">
            <v>FSCS2</v>
          </cell>
        </row>
        <row r="49">
          <cell r="D49" t="str">
            <v>FSCUT3PL</v>
          </cell>
        </row>
        <row r="50">
          <cell r="D50" t="str">
            <v>FSCUT3PL2PFS</v>
          </cell>
        </row>
        <row r="51">
          <cell r="D51" t="str">
            <v>FSCUT3PLHL</v>
          </cell>
        </row>
        <row r="52">
          <cell r="D52" t="str">
            <v>FSCUT3PLHLPFS</v>
          </cell>
        </row>
        <row r="53">
          <cell r="D53" t="str">
            <v>FSCUT3PLPFS</v>
          </cell>
        </row>
        <row r="54">
          <cell r="D54" t="str">
            <v>FSCUTG3PL</v>
          </cell>
        </row>
        <row r="55">
          <cell r="D55" t="str">
            <v>FSCUTG3PL2PFS</v>
          </cell>
        </row>
        <row r="56">
          <cell r="D56" t="str">
            <v>FSCUTG3PLHL</v>
          </cell>
        </row>
        <row r="57">
          <cell r="D57" t="str">
            <v>FSCUTG3PLHLPFS</v>
          </cell>
        </row>
        <row r="58">
          <cell r="D58" t="str">
            <v>FSCUTG3PLPFS</v>
          </cell>
        </row>
        <row r="59">
          <cell r="D59" t="str">
            <v>FSCX</v>
          </cell>
        </row>
        <row r="60">
          <cell r="D60" t="str">
            <v>FSCX2</v>
          </cell>
        </row>
        <row r="61">
          <cell r="D61" t="str">
            <v>FSCX3</v>
          </cell>
        </row>
        <row r="62">
          <cell r="D62" t="str">
            <v>FSCX3</v>
          </cell>
        </row>
        <row r="63">
          <cell r="D63" t="str">
            <v>FSCUTX3PL</v>
          </cell>
        </row>
        <row r="64">
          <cell r="D64" t="str">
            <v>FSF</v>
          </cell>
        </row>
        <row r="65">
          <cell r="D65" t="str">
            <v>FSFDB INV</v>
          </cell>
        </row>
        <row r="66">
          <cell r="D66" t="str">
            <v>FSFB</v>
          </cell>
        </row>
        <row r="67">
          <cell r="D67" t="str">
            <v>FSFB3</v>
          </cell>
        </row>
        <row r="68">
          <cell r="D68" t="str">
            <v>FSFBX</v>
          </cell>
        </row>
        <row r="69">
          <cell r="D69" t="str">
            <v>FSFBX3</v>
          </cell>
        </row>
        <row r="70">
          <cell r="D70" t="str">
            <v>FSFCT</v>
          </cell>
        </row>
        <row r="71">
          <cell r="D71" t="str">
            <v>FSFT</v>
          </cell>
        </row>
        <row r="72">
          <cell r="D72" t="str">
            <v>FSFT3</v>
          </cell>
        </row>
        <row r="73">
          <cell r="D73" t="str">
            <v>FSFTDB</v>
          </cell>
        </row>
        <row r="74">
          <cell r="D74" t="str">
            <v>FSFTG</v>
          </cell>
        </row>
        <row r="75">
          <cell r="D75" t="str">
            <v>FSFTS</v>
          </cell>
        </row>
        <row r="76">
          <cell r="D76" t="str">
            <v>FSFTX</v>
          </cell>
        </row>
        <row r="77">
          <cell r="D77" t="str">
            <v>FSFTX3</v>
          </cell>
        </row>
        <row r="78">
          <cell r="D78" t="str">
            <v>FST</v>
          </cell>
        </row>
        <row r="79">
          <cell r="D79" t="str">
            <v>FST C2</v>
          </cell>
        </row>
        <row r="80">
          <cell r="D80" t="str">
            <v>FST DB</v>
          </cell>
        </row>
        <row r="81">
          <cell r="D81" t="str">
            <v>FST G</v>
          </cell>
        </row>
        <row r="82">
          <cell r="D82" t="str">
            <v>FST GX</v>
          </cell>
        </row>
        <row r="83">
          <cell r="D83" t="str">
            <v>FST X</v>
          </cell>
        </row>
        <row r="84">
          <cell r="D84" t="str">
            <v>FST1</v>
          </cell>
        </row>
        <row r="85">
          <cell r="D85" t="str">
            <v>FST3</v>
          </cell>
        </row>
        <row r="86">
          <cell r="D86" t="str">
            <v>FST3 2PFS</v>
          </cell>
        </row>
        <row r="87">
          <cell r="D87" t="str">
            <v>FST3 DB</v>
          </cell>
        </row>
        <row r="88">
          <cell r="D88" t="str">
            <v>FST3 G</v>
          </cell>
        </row>
        <row r="89">
          <cell r="D89" t="str">
            <v>FST3 GHL</v>
          </cell>
        </row>
        <row r="90">
          <cell r="D90" t="str">
            <v>FST3 HL</v>
          </cell>
        </row>
        <row r="91">
          <cell r="D91" t="str">
            <v>FST3 PFS</v>
          </cell>
        </row>
        <row r="92">
          <cell r="D92" t="str">
            <v>FST3 X</v>
          </cell>
        </row>
        <row r="93">
          <cell r="D93" t="str">
            <v>FST3LT</v>
          </cell>
        </row>
        <row r="94">
          <cell r="D94" t="str">
            <v>FST3UT</v>
          </cell>
        </row>
        <row r="95">
          <cell r="D95" t="str">
            <v>FSTLT</v>
          </cell>
        </row>
        <row r="96">
          <cell r="D96" t="str">
            <v>FSTUT</v>
          </cell>
        </row>
        <row r="97">
          <cell r="D97" t="str">
            <v>GSB</v>
          </cell>
        </row>
        <row r="98">
          <cell r="D98" t="str">
            <v>GSB1</v>
          </cell>
        </row>
        <row r="99">
          <cell r="D99" t="str">
            <v>GSB1G</v>
          </cell>
        </row>
        <row r="100">
          <cell r="D100" t="str">
            <v>GSB3</v>
          </cell>
        </row>
        <row r="101">
          <cell r="D101" t="str">
            <v>GSB3DB</v>
          </cell>
        </row>
        <row r="102">
          <cell r="D102" t="str">
            <v>GSB3G</v>
          </cell>
        </row>
        <row r="103">
          <cell r="D103" t="str">
            <v>GSB3LT</v>
          </cell>
        </row>
        <row r="104">
          <cell r="D104" t="str">
            <v>GSB3LTDB</v>
          </cell>
        </row>
        <row r="105">
          <cell r="D105" t="str">
            <v>GSBUT3HL</v>
          </cell>
        </row>
        <row r="106">
          <cell r="D106" t="str">
            <v>GSBUTG3HL</v>
          </cell>
        </row>
        <row r="107">
          <cell r="D107" t="str">
            <v>GSB3LTG</v>
          </cell>
        </row>
        <row r="108">
          <cell r="D108" t="str">
            <v>GSB3LTHLPFS</v>
          </cell>
        </row>
        <row r="109">
          <cell r="D109" t="str">
            <v>GSB3LTHL</v>
          </cell>
        </row>
        <row r="110">
          <cell r="D110" t="str">
            <v>GSBDB</v>
          </cell>
        </row>
        <row r="111">
          <cell r="D111" t="str">
            <v>GSBG</v>
          </cell>
        </row>
        <row r="112">
          <cell r="D112" t="str">
            <v>GSBG1</v>
          </cell>
        </row>
        <row r="113">
          <cell r="D113" t="str">
            <v>GSBX</v>
          </cell>
        </row>
        <row r="114">
          <cell r="D114" t="str">
            <v>GSB1X</v>
          </cell>
        </row>
        <row r="115">
          <cell r="D115" t="str">
            <v>GSB3X</v>
          </cell>
        </row>
        <row r="116">
          <cell r="D116" t="str">
            <v>GSB3LTX</v>
          </cell>
        </row>
        <row r="117">
          <cell r="D117" t="str">
            <v>GSC</v>
          </cell>
        </row>
        <row r="118">
          <cell r="D118" t="str">
            <v>GSC1</v>
          </cell>
        </row>
        <row r="119">
          <cell r="D119" t="str">
            <v>GSC2</v>
          </cell>
        </row>
        <row r="120">
          <cell r="D120" t="str">
            <v>GSC3</v>
          </cell>
        </row>
        <row r="121">
          <cell r="D121" t="str">
            <v>GSC3PFS</v>
          </cell>
        </row>
        <row r="122">
          <cell r="D122" t="str">
            <v>GSC3HLPFS</v>
          </cell>
        </row>
        <row r="123">
          <cell r="D123" t="str">
            <v>GSC3G</v>
          </cell>
        </row>
        <row r="124">
          <cell r="D124" t="str">
            <v>GSC3GPFSVT</v>
          </cell>
        </row>
        <row r="125">
          <cell r="D125" t="str">
            <v>GSC3GHL</v>
          </cell>
        </row>
        <row r="126">
          <cell r="D126" t="str">
            <v>GSC3HL</v>
          </cell>
        </row>
        <row r="127">
          <cell r="D127" t="str">
            <v>GSCG</v>
          </cell>
        </row>
        <row r="128">
          <cell r="D128" t="str">
            <v>GSCGX</v>
          </cell>
        </row>
        <row r="129">
          <cell r="D129" t="str">
            <v>GSCX</v>
          </cell>
        </row>
        <row r="130">
          <cell r="D130" t="str">
            <v>GSCX3</v>
          </cell>
        </row>
        <row r="131">
          <cell r="D131" t="str">
            <v>GSD</v>
          </cell>
        </row>
        <row r="132">
          <cell r="D132" t="str">
            <v>GST</v>
          </cell>
        </row>
        <row r="133">
          <cell r="D133" t="str">
            <v>GST2</v>
          </cell>
        </row>
        <row r="134">
          <cell r="D134" t="str">
            <v>GST3</v>
          </cell>
        </row>
        <row r="135">
          <cell r="D135" t="str">
            <v>GST3X</v>
          </cell>
        </row>
        <row r="136">
          <cell r="D136" t="str">
            <v>GSTC2</v>
          </cell>
        </row>
        <row r="137">
          <cell r="D137" t="str">
            <v>GSTC3</v>
          </cell>
        </row>
        <row r="138">
          <cell r="D138" t="str">
            <v>GSTCX2</v>
          </cell>
        </row>
        <row r="139">
          <cell r="D139" t="str">
            <v>GSTDB</v>
          </cell>
        </row>
        <row r="140">
          <cell r="D140" t="str">
            <v>GSTF</v>
          </cell>
        </row>
        <row r="141">
          <cell r="D141" t="str">
            <v>GSTG</v>
          </cell>
        </row>
        <row r="142">
          <cell r="D142" t="str">
            <v>GSTG2</v>
          </cell>
        </row>
        <row r="143">
          <cell r="D143" t="str">
            <v>GSTG3</v>
          </cell>
        </row>
        <row r="144">
          <cell r="D144" t="str">
            <v>GSTGC2</v>
          </cell>
        </row>
        <row r="145">
          <cell r="D145" t="str">
            <v>GSTGDB</v>
          </cell>
        </row>
        <row r="146">
          <cell r="D146" t="str">
            <v>GSTGX</v>
          </cell>
        </row>
        <row r="147">
          <cell r="D147" t="str">
            <v>GSTX</v>
          </cell>
        </row>
        <row r="148">
          <cell r="D148" t="str">
            <v>GSTX2</v>
          </cell>
        </row>
        <row r="149">
          <cell r="D149" t="str">
            <v>GSTX3</v>
          </cell>
        </row>
        <row r="150">
          <cell r="D150" t="str">
            <v>GSTXC2</v>
          </cell>
        </row>
        <row r="151">
          <cell r="D151" t="str">
            <v>GSTXDB</v>
          </cell>
        </row>
        <row r="152">
          <cell r="D152" t="str">
            <v>HSB</v>
          </cell>
        </row>
        <row r="153">
          <cell r="D153" t="str">
            <v>HSB1</v>
          </cell>
        </row>
        <row r="154">
          <cell r="D154" t="str">
            <v>HSB3HL</v>
          </cell>
        </row>
        <row r="155">
          <cell r="D155" t="str">
            <v>HSB3</v>
          </cell>
        </row>
        <row r="156">
          <cell r="D156" t="str">
            <v>HSBX</v>
          </cell>
        </row>
        <row r="157">
          <cell r="D157" t="str">
            <v>HSC</v>
          </cell>
        </row>
        <row r="158">
          <cell r="D158" t="str">
            <v>HSC3</v>
          </cell>
        </row>
        <row r="159">
          <cell r="D159" t="str">
            <v>HSCG2</v>
          </cell>
        </row>
        <row r="160">
          <cell r="D160" t="str">
            <v>HSCP</v>
          </cell>
        </row>
        <row r="161">
          <cell r="D161" t="str">
            <v>HSCS</v>
          </cell>
        </row>
        <row r="162">
          <cell r="D162" t="str">
            <v>HSCS2</v>
          </cell>
        </row>
        <row r="163">
          <cell r="D163" t="str">
            <v>HSCT2</v>
          </cell>
        </row>
        <row r="164">
          <cell r="D164" t="str">
            <v>HSCT3</v>
          </cell>
        </row>
        <row r="165">
          <cell r="D165" t="str">
            <v>REDA</v>
          </cell>
        </row>
      </sheetData>
      <sheetData sheetId="3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FE00"/>
      <sheetName val="Conversion to Injector-AFE"/>
      <sheetName val="ce23"/>
      <sheetName val="programa4-8-04"/>
      <sheetName val="InfConv"/>
      <sheetName val="WO2008"/>
      <sheetName val="Caratula AFE2008"/>
      <sheetName val="Conversion to Injector-AFE004"/>
      <sheetName val="InfPull_10_08"/>
      <sheetName val="WO2009"/>
      <sheetName val="Caratula AFE2009"/>
      <sheetName val="Conversion to Injector-AFE-2009"/>
      <sheetName val="InfTer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 refreshError="1">
        <row r="3">
          <cell r="J3" t="str">
            <v xml:space="preserve">Seleccionar </v>
          </cell>
          <cell r="K3" t="str">
            <v xml:space="preserve">Seleccionar </v>
          </cell>
        </row>
        <row r="4">
          <cell r="K4" t="str">
            <v xml:space="preserve">SI </v>
          </cell>
        </row>
        <row r="5">
          <cell r="K5" t="str">
            <v>NO</v>
          </cell>
        </row>
        <row r="6">
          <cell r="K6" t="str">
            <v xml:space="preserve">a veces 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ENERO 2016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Abril 2014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">
          <cell r="B4" t="str">
            <v>Geofísica</v>
          </cell>
        </row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  <sheetName val="Instructivo"/>
    </sheetNames>
    <sheetDataSet>
      <sheetData sheetId="0" refreshError="1">
        <row r="50">
          <cell r="H50" t="str">
            <v>m³/m³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ntander"/>
      <sheetName val="InfoSant"/>
      <sheetName val="Comparación"/>
      <sheetName val="TablaGral"/>
      <sheetName val="Hoja1"/>
      <sheetName val="Estad"/>
      <sheetName val="Resumen"/>
      <sheetName val="CG"/>
      <sheetName val="Proveedores"/>
      <sheetName val="Vol"/>
      <sheetName val="FormatoCotiz"/>
      <sheetName val="IP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9">
          <cell r="H9">
            <v>670</v>
          </cell>
        </row>
      </sheetData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LL98"/>
    </sheetNames>
    <definedNames>
      <definedName name="VOLV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res1104.se.gov.ar/consultaprecios.eess.php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34"/>
  <sheetViews>
    <sheetView showGridLines="0" topLeftCell="A13" zoomScaleNormal="100" workbookViewId="0">
      <selection activeCell="E24" sqref="E24"/>
    </sheetView>
  </sheetViews>
  <sheetFormatPr baseColWidth="10" defaultRowHeight="19.5" x14ac:dyDescent="0.25"/>
  <cols>
    <col min="1" max="1" width="11.42578125" style="8"/>
    <col min="2" max="4" width="15.7109375" style="8" customWidth="1"/>
    <col min="5" max="5" width="40.7109375" style="8" customWidth="1"/>
    <col min="6" max="7" width="10.7109375" style="8" customWidth="1"/>
    <col min="8" max="8" width="26.28515625" style="8" customWidth="1"/>
    <col min="9" max="257" width="11.42578125" style="8"/>
    <col min="258" max="260" width="15.7109375" style="8" customWidth="1"/>
    <col min="261" max="261" width="40.7109375" style="8" customWidth="1"/>
    <col min="262" max="264" width="10.7109375" style="8" customWidth="1"/>
    <col min="265" max="513" width="11.42578125" style="8"/>
    <col min="514" max="516" width="15.7109375" style="8" customWidth="1"/>
    <col min="517" max="517" width="40.7109375" style="8" customWidth="1"/>
    <col min="518" max="520" width="10.7109375" style="8" customWidth="1"/>
    <col min="521" max="769" width="11.42578125" style="8"/>
    <col min="770" max="772" width="15.7109375" style="8" customWidth="1"/>
    <col min="773" max="773" width="40.7109375" style="8" customWidth="1"/>
    <col min="774" max="776" width="10.7109375" style="8" customWidth="1"/>
    <col min="777" max="1025" width="11.42578125" style="8"/>
    <col min="1026" max="1028" width="15.7109375" style="8" customWidth="1"/>
    <col min="1029" max="1029" width="40.7109375" style="8" customWidth="1"/>
    <col min="1030" max="1032" width="10.7109375" style="8" customWidth="1"/>
    <col min="1033" max="1281" width="11.42578125" style="8"/>
    <col min="1282" max="1284" width="15.7109375" style="8" customWidth="1"/>
    <col min="1285" max="1285" width="40.7109375" style="8" customWidth="1"/>
    <col min="1286" max="1288" width="10.7109375" style="8" customWidth="1"/>
    <col min="1289" max="1537" width="11.42578125" style="8"/>
    <col min="1538" max="1540" width="15.7109375" style="8" customWidth="1"/>
    <col min="1541" max="1541" width="40.7109375" style="8" customWidth="1"/>
    <col min="1542" max="1544" width="10.7109375" style="8" customWidth="1"/>
    <col min="1545" max="1793" width="11.42578125" style="8"/>
    <col min="1794" max="1796" width="15.7109375" style="8" customWidth="1"/>
    <col min="1797" max="1797" width="40.7109375" style="8" customWidth="1"/>
    <col min="1798" max="1800" width="10.7109375" style="8" customWidth="1"/>
    <col min="1801" max="2049" width="11.42578125" style="8"/>
    <col min="2050" max="2052" width="15.7109375" style="8" customWidth="1"/>
    <col min="2053" max="2053" width="40.7109375" style="8" customWidth="1"/>
    <col min="2054" max="2056" width="10.7109375" style="8" customWidth="1"/>
    <col min="2057" max="2305" width="11.42578125" style="8"/>
    <col min="2306" max="2308" width="15.7109375" style="8" customWidth="1"/>
    <col min="2309" max="2309" width="40.7109375" style="8" customWidth="1"/>
    <col min="2310" max="2312" width="10.7109375" style="8" customWidth="1"/>
    <col min="2313" max="2561" width="11.42578125" style="8"/>
    <col min="2562" max="2564" width="15.7109375" style="8" customWidth="1"/>
    <col min="2565" max="2565" width="40.7109375" style="8" customWidth="1"/>
    <col min="2566" max="2568" width="10.7109375" style="8" customWidth="1"/>
    <col min="2569" max="2817" width="11.42578125" style="8"/>
    <col min="2818" max="2820" width="15.7109375" style="8" customWidth="1"/>
    <col min="2821" max="2821" width="40.7109375" style="8" customWidth="1"/>
    <col min="2822" max="2824" width="10.7109375" style="8" customWidth="1"/>
    <col min="2825" max="3073" width="11.42578125" style="8"/>
    <col min="3074" max="3076" width="15.7109375" style="8" customWidth="1"/>
    <col min="3077" max="3077" width="40.7109375" style="8" customWidth="1"/>
    <col min="3078" max="3080" width="10.7109375" style="8" customWidth="1"/>
    <col min="3081" max="3329" width="11.42578125" style="8"/>
    <col min="3330" max="3332" width="15.7109375" style="8" customWidth="1"/>
    <col min="3333" max="3333" width="40.7109375" style="8" customWidth="1"/>
    <col min="3334" max="3336" width="10.7109375" style="8" customWidth="1"/>
    <col min="3337" max="3585" width="11.42578125" style="8"/>
    <col min="3586" max="3588" width="15.7109375" style="8" customWidth="1"/>
    <col min="3589" max="3589" width="40.7109375" style="8" customWidth="1"/>
    <col min="3590" max="3592" width="10.7109375" style="8" customWidth="1"/>
    <col min="3593" max="3841" width="11.42578125" style="8"/>
    <col min="3842" max="3844" width="15.7109375" style="8" customWidth="1"/>
    <col min="3845" max="3845" width="40.7109375" style="8" customWidth="1"/>
    <col min="3846" max="3848" width="10.7109375" style="8" customWidth="1"/>
    <col min="3849" max="4097" width="11.42578125" style="8"/>
    <col min="4098" max="4100" width="15.7109375" style="8" customWidth="1"/>
    <col min="4101" max="4101" width="40.7109375" style="8" customWidth="1"/>
    <col min="4102" max="4104" width="10.7109375" style="8" customWidth="1"/>
    <col min="4105" max="4353" width="11.42578125" style="8"/>
    <col min="4354" max="4356" width="15.7109375" style="8" customWidth="1"/>
    <col min="4357" max="4357" width="40.7109375" style="8" customWidth="1"/>
    <col min="4358" max="4360" width="10.7109375" style="8" customWidth="1"/>
    <col min="4361" max="4609" width="11.42578125" style="8"/>
    <col min="4610" max="4612" width="15.7109375" style="8" customWidth="1"/>
    <col min="4613" max="4613" width="40.7109375" style="8" customWidth="1"/>
    <col min="4614" max="4616" width="10.7109375" style="8" customWidth="1"/>
    <col min="4617" max="4865" width="11.42578125" style="8"/>
    <col min="4866" max="4868" width="15.7109375" style="8" customWidth="1"/>
    <col min="4869" max="4869" width="40.7109375" style="8" customWidth="1"/>
    <col min="4870" max="4872" width="10.7109375" style="8" customWidth="1"/>
    <col min="4873" max="5121" width="11.42578125" style="8"/>
    <col min="5122" max="5124" width="15.7109375" style="8" customWidth="1"/>
    <col min="5125" max="5125" width="40.7109375" style="8" customWidth="1"/>
    <col min="5126" max="5128" width="10.7109375" style="8" customWidth="1"/>
    <col min="5129" max="5377" width="11.42578125" style="8"/>
    <col min="5378" max="5380" width="15.7109375" style="8" customWidth="1"/>
    <col min="5381" max="5381" width="40.7109375" style="8" customWidth="1"/>
    <col min="5382" max="5384" width="10.7109375" style="8" customWidth="1"/>
    <col min="5385" max="5633" width="11.42578125" style="8"/>
    <col min="5634" max="5636" width="15.7109375" style="8" customWidth="1"/>
    <col min="5637" max="5637" width="40.7109375" style="8" customWidth="1"/>
    <col min="5638" max="5640" width="10.7109375" style="8" customWidth="1"/>
    <col min="5641" max="5889" width="11.42578125" style="8"/>
    <col min="5890" max="5892" width="15.7109375" style="8" customWidth="1"/>
    <col min="5893" max="5893" width="40.7109375" style="8" customWidth="1"/>
    <col min="5894" max="5896" width="10.7109375" style="8" customWidth="1"/>
    <col min="5897" max="6145" width="11.42578125" style="8"/>
    <col min="6146" max="6148" width="15.7109375" style="8" customWidth="1"/>
    <col min="6149" max="6149" width="40.7109375" style="8" customWidth="1"/>
    <col min="6150" max="6152" width="10.7109375" style="8" customWidth="1"/>
    <col min="6153" max="6401" width="11.42578125" style="8"/>
    <col min="6402" max="6404" width="15.7109375" style="8" customWidth="1"/>
    <col min="6405" max="6405" width="40.7109375" style="8" customWidth="1"/>
    <col min="6406" max="6408" width="10.7109375" style="8" customWidth="1"/>
    <col min="6409" max="6657" width="11.42578125" style="8"/>
    <col min="6658" max="6660" width="15.7109375" style="8" customWidth="1"/>
    <col min="6661" max="6661" width="40.7109375" style="8" customWidth="1"/>
    <col min="6662" max="6664" width="10.7109375" style="8" customWidth="1"/>
    <col min="6665" max="6913" width="11.42578125" style="8"/>
    <col min="6914" max="6916" width="15.7109375" style="8" customWidth="1"/>
    <col min="6917" max="6917" width="40.7109375" style="8" customWidth="1"/>
    <col min="6918" max="6920" width="10.7109375" style="8" customWidth="1"/>
    <col min="6921" max="7169" width="11.42578125" style="8"/>
    <col min="7170" max="7172" width="15.7109375" style="8" customWidth="1"/>
    <col min="7173" max="7173" width="40.7109375" style="8" customWidth="1"/>
    <col min="7174" max="7176" width="10.7109375" style="8" customWidth="1"/>
    <col min="7177" max="7425" width="11.42578125" style="8"/>
    <col min="7426" max="7428" width="15.7109375" style="8" customWidth="1"/>
    <col min="7429" max="7429" width="40.7109375" style="8" customWidth="1"/>
    <col min="7430" max="7432" width="10.7109375" style="8" customWidth="1"/>
    <col min="7433" max="7681" width="11.42578125" style="8"/>
    <col min="7682" max="7684" width="15.7109375" style="8" customWidth="1"/>
    <col min="7685" max="7685" width="40.7109375" style="8" customWidth="1"/>
    <col min="7686" max="7688" width="10.7109375" style="8" customWidth="1"/>
    <col min="7689" max="7937" width="11.42578125" style="8"/>
    <col min="7938" max="7940" width="15.7109375" style="8" customWidth="1"/>
    <col min="7941" max="7941" width="40.7109375" style="8" customWidth="1"/>
    <col min="7942" max="7944" width="10.7109375" style="8" customWidth="1"/>
    <col min="7945" max="8193" width="11.42578125" style="8"/>
    <col min="8194" max="8196" width="15.7109375" style="8" customWidth="1"/>
    <col min="8197" max="8197" width="40.7109375" style="8" customWidth="1"/>
    <col min="8198" max="8200" width="10.7109375" style="8" customWidth="1"/>
    <col min="8201" max="8449" width="11.42578125" style="8"/>
    <col min="8450" max="8452" width="15.7109375" style="8" customWidth="1"/>
    <col min="8453" max="8453" width="40.7109375" style="8" customWidth="1"/>
    <col min="8454" max="8456" width="10.7109375" style="8" customWidth="1"/>
    <col min="8457" max="8705" width="11.42578125" style="8"/>
    <col min="8706" max="8708" width="15.7109375" style="8" customWidth="1"/>
    <col min="8709" max="8709" width="40.7109375" style="8" customWidth="1"/>
    <col min="8710" max="8712" width="10.7109375" style="8" customWidth="1"/>
    <col min="8713" max="8961" width="11.42578125" style="8"/>
    <col min="8962" max="8964" width="15.7109375" style="8" customWidth="1"/>
    <col min="8965" max="8965" width="40.7109375" style="8" customWidth="1"/>
    <col min="8966" max="8968" width="10.7109375" style="8" customWidth="1"/>
    <col min="8969" max="9217" width="11.42578125" style="8"/>
    <col min="9218" max="9220" width="15.7109375" style="8" customWidth="1"/>
    <col min="9221" max="9221" width="40.7109375" style="8" customWidth="1"/>
    <col min="9222" max="9224" width="10.7109375" style="8" customWidth="1"/>
    <col min="9225" max="9473" width="11.42578125" style="8"/>
    <col min="9474" max="9476" width="15.7109375" style="8" customWidth="1"/>
    <col min="9477" max="9477" width="40.7109375" style="8" customWidth="1"/>
    <col min="9478" max="9480" width="10.7109375" style="8" customWidth="1"/>
    <col min="9481" max="9729" width="11.42578125" style="8"/>
    <col min="9730" max="9732" width="15.7109375" style="8" customWidth="1"/>
    <col min="9733" max="9733" width="40.7109375" style="8" customWidth="1"/>
    <col min="9734" max="9736" width="10.7109375" style="8" customWidth="1"/>
    <col min="9737" max="9985" width="11.42578125" style="8"/>
    <col min="9986" max="9988" width="15.7109375" style="8" customWidth="1"/>
    <col min="9989" max="9989" width="40.7109375" style="8" customWidth="1"/>
    <col min="9990" max="9992" width="10.7109375" style="8" customWidth="1"/>
    <col min="9993" max="10241" width="11.42578125" style="8"/>
    <col min="10242" max="10244" width="15.7109375" style="8" customWidth="1"/>
    <col min="10245" max="10245" width="40.7109375" style="8" customWidth="1"/>
    <col min="10246" max="10248" width="10.7109375" style="8" customWidth="1"/>
    <col min="10249" max="10497" width="11.42578125" style="8"/>
    <col min="10498" max="10500" width="15.7109375" style="8" customWidth="1"/>
    <col min="10501" max="10501" width="40.7109375" style="8" customWidth="1"/>
    <col min="10502" max="10504" width="10.7109375" style="8" customWidth="1"/>
    <col min="10505" max="10753" width="11.42578125" style="8"/>
    <col min="10754" max="10756" width="15.7109375" style="8" customWidth="1"/>
    <col min="10757" max="10757" width="40.7109375" style="8" customWidth="1"/>
    <col min="10758" max="10760" width="10.7109375" style="8" customWidth="1"/>
    <col min="10761" max="11009" width="11.42578125" style="8"/>
    <col min="11010" max="11012" width="15.7109375" style="8" customWidth="1"/>
    <col min="11013" max="11013" width="40.7109375" style="8" customWidth="1"/>
    <col min="11014" max="11016" width="10.7109375" style="8" customWidth="1"/>
    <col min="11017" max="11265" width="11.42578125" style="8"/>
    <col min="11266" max="11268" width="15.7109375" style="8" customWidth="1"/>
    <col min="11269" max="11269" width="40.7109375" style="8" customWidth="1"/>
    <col min="11270" max="11272" width="10.7109375" style="8" customWidth="1"/>
    <col min="11273" max="11521" width="11.42578125" style="8"/>
    <col min="11522" max="11524" width="15.7109375" style="8" customWidth="1"/>
    <col min="11525" max="11525" width="40.7109375" style="8" customWidth="1"/>
    <col min="11526" max="11528" width="10.7109375" style="8" customWidth="1"/>
    <col min="11529" max="11777" width="11.42578125" style="8"/>
    <col min="11778" max="11780" width="15.7109375" style="8" customWidth="1"/>
    <col min="11781" max="11781" width="40.7109375" style="8" customWidth="1"/>
    <col min="11782" max="11784" width="10.7109375" style="8" customWidth="1"/>
    <col min="11785" max="12033" width="11.42578125" style="8"/>
    <col min="12034" max="12036" width="15.7109375" style="8" customWidth="1"/>
    <col min="12037" max="12037" width="40.7109375" style="8" customWidth="1"/>
    <col min="12038" max="12040" width="10.7109375" style="8" customWidth="1"/>
    <col min="12041" max="12289" width="11.42578125" style="8"/>
    <col min="12290" max="12292" width="15.7109375" style="8" customWidth="1"/>
    <col min="12293" max="12293" width="40.7109375" style="8" customWidth="1"/>
    <col min="12294" max="12296" width="10.7109375" style="8" customWidth="1"/>
    <col min="12297" max="12545" width="11.42578125" style="8"/>
    <col min="12546" max="12548" width="15.7109375" style="8" customWidth="1"/>
    <col min="12549" max="12549" width="40.7109375" style="8" customWidth="1"/>
    <col min="12550" max="12552" width="10.7109375" style="8" customWidth="1"/>
    <col min="12553" max="12801" width="11.42578125" style="8"/>
    <col min="12802" max="12804" width="15.7109375" style="8" customWidth="1"/>
    <col min="12805" max="12805" width="40.7109375" style="8" customWidth="1"/>
    <col min="12806" max="12808" width="10.7109375" style="8" customWidth="1"/>
    <col min="12809" max="13057" width="11.42578125" style="8"/>
    <col min="13058" max="13060" width="15.7109375" style="8" customWidth="1"/>
    <col min="13061" max="13061" width="40.7109375" style="8" customWidth="1"/>
    <col min="13062" max="13064" width="10.7109375" style="8" customWidth="1"/>
    <col min="13065" max="13313" width="11.42578125" style="8"/>
    <col min="13314" max="13316" width="15.7109375" style="8" customWidth="1"/>
    <col min="13317" max="13317" width="40.7109375" style="8" customWidth="1"/>
    <col min="13318" max="13320" width="10.7109375" style="8" customWidth="1"/>
    <col min="13321" max="13569" width="11.42578125" style="8"/>
    <col min="13570" max="13572" width="15.7109375" style="8" customWidth="1"/>
    <col min="13573" max="13573" width="40.7109375" style="8" customWidth="1"/>
    <col min="13574" max="13576" width="10.7109375" style="8" customWidth="1"/>
    <col min="13577" max="13825" width="11.42578125" style="8"/>
    <col min="13826" max="13828" width="15.7109375" style="8" customWidth="1"/>
    <col min="13829" max="13829" width="40.7109375" style="8" customWidth="1"/>
    <col min="13830" max="13832" width="10.7109375" style="8" customWidth="1"/>
    <col min="13833" max="14081" width="11.42578125" style="8"/>
    <col min="14082" max="14084" width="15.7109375" style="8" customWidth="1"/>
    <col min="14085" max="14085" width="40.7109375" style="8" customWidth="1"/>
    <col min="14086" max="14088" width="10.7109375" style="8" customWidth="1"/>
    <col min="14089" max="14337" width="11.42578125" style="8"/>
    <col min="14338" max="14340" width="15.7109375" style="8" customWidth="1"/>
    <col min="14341" max="14341" width="40.7109375" style="8" customWidth="1"/>
    <col min="14342" max="14344" width="10.7109375" style="8" customWidth="1"/>
    <col min="14345" max="14593" width="11.42578125" style="8"/>
    <col min="14594" max="14596" width="15.7109375" style="8" customWidth="1"/>
    <col min="14597" max="14597" width="40.7109375" style="8" customWidth="1"/>
    <col min="14598" max="14600" width="10.7109375" style="8" customWidth="1"/>
    <col min="14601" max="14849" width="11.42578125" style="8"/>
    <col min="14850" max="14852" width="15.7109375" style="8" customWidth="1"/>
    <col min="14853" max="14853" width="40.7109375" style="8" customWidth="1"/>
    <col min="14854" max="14856" width="10.7109375" style="8" customWidth="1"/>
    <col min="14857" max="15105" width="11.42578125" style="8"/>
    <col min="15106" max="15108" width="15.7109375" style="8" customWidth="1"/>
    <col min="15109" max="15109" width="40.7109375" style="8" customWidth="1"/>
    <col min="15110" max="15112" width="10.7109375" style="8" customWidth="1"/>
    <col min="15113" max="15361" width="11.42578125" style="8"/>
    <col min="15362" max="15364" width="15.7109375" style="8" customWidth="1"/>
    <col min="15365" max="15365" width="40.7109375" style="8" customWidth="1"/>
    <col min="15366" max="15368" width="10.7109375" style="8" customWidth="1"/>
    <col min="15369" max="15617" width="11.42578125" style="8"/>
    <col min="15618" max="15620" width="15.7109375" style="8" customWidth="1"/>
    <col min="15621" max="15621" width="40.7109375" style="8" customWidth="1"/>
    <col min="15622" max="15624" width="10.7109375" style="8" customWidth="1"/>
    <col min="15625" max="15873" width="11.42578125" style="8"/>
    <col min="15874" max="15876" width="15.7109375" style="8" customWidth="1"/>
    <col min="15877" max="15877" width="40.7109375" style="8" customWidth="1"/>
    <col min="15878" max="15880" width="10.7109375" style="8" customWidth="1"/>
    <col min="15881" max="16129" width="11.42578125" style="8"/>
    <col min="16130" max="16132" width="15.7109375" style="8" customWidth="1"/>
    <col min="16133" max="16133" width="40.7109375" style="8" customWidth="1"/>
    <col min="16134" max="16136" width="10.7109375" style="8" customWidth="1"/>
    <col min="16137" max="16384" width="11.42578125" style="8"/>
  </cols>
  <sheetData>
    <row r="1" spans="1:12" x14ac:dyDescent="0.25">
      <c r="B1" s="8" t="s">
        <v>14</v>
      </c>
    </row>
    <row r="3" spans="1:12" x14ac:dyDescent="0.25">
      <c r="B3" s="9" t="s">
        <v>15</v>
      </c>
      <c r="C3" s="9" t="s">
        <v>7</v>
      </c>
      <c r="D3" s="10" t="s">
        <v>16</v>
      </c>
      <c r="E3" s="9" t="s">
        <v>17</v>
      </c>
      <c r="F3" s="10" t="s">
        <v>18</v>
      </c>
      <c r="G3" s="10" t="s">
        <v>19</v>
      </c>
      <c r="H3" s="10" t="s">
        <v>20</v>
      </c>
    </row>
    <row r="4" spans="1:12" ht="25.5" x14ac:dyDescent="0.25">
      <c r="B4" s="11" t="s">
        <v>21</v>
      </c>
      <c r="C4" s="11" t="s">
        <v>22</v>
      </c>
      <c r="D4" s="12">
        <v>0.8</v>
      </c>
      <c r="E4" s="11" t="s">
        <v>23</v>
      </c>
      <c r="F4" s="13">
        <v>338</v>
      </c>
      <c r="G4" s="13" t="s">
        <v>24</v>
      </c>
      <c r="H4" s="14">
        <v>44378</v>
      </c>
      <c r="J4" s="15"/>
      <c r="K4" s="15"/>
    </row>
    <row r="5" spans="1:12" ht="51" x14ac:dyDescent="0.25">
      <c r="B5" s="11" t="s">
        <v>25</v>
      </c>
      <c r="C5" s="11" t="s">
        <v>26</v>
      </c>
      <c r="D5" s="12">
        <f>+J18</f>
        <v>0.17777777777777778</v>
      </c>
      <c r="E5" s="11" t="s">
        <v>27</v>
      </c>
      <c r="F5" s="16">
        <v>78.066000000000003</v>
      </c>
      <c r="G5" s="13" t="s">
        <v>28</v>
      </c>
      <c r="H5" s="14">
        <v>44378</v>
      </c>
      <c r="J5" s="15"/>
      <c r="K5" s="15"/>
    </row>
    <row r="6" spans="1:12" ht="38.25" x14ac:dyDescent="0.25">
      <c r="B6" s="11" t="s">
        <v>29</v>
      </c>
      <c r="C6" s="11" t="s">
        <v>30</v>
      </c>
      <c r="D6" s="12">
        <f>+J19</f>
        <v>7.2222222222222229E-2</v>
      </c>
      <c r="E6" s="11" t="s">
        <v>31</v>
      </c>
      <c r="F6" s="13">
        <v>100</v>
      </c>
      <c r="G6" s="13" t="s">
        <v>28</v>
      </c>
      <c r="H6" s="14">
        <v>44409</v>
      </c>
      <c r="J6" s="15"/>
      <c r="K6" s="15"/>
    </row>
    <row r="7" spans="1:12" x14ac:dyDescent="0.25">
      <c r="B7" s="11" t="s">
        <v>32</v>
      </c>
      <c r="C7" s="11" t="s">
        <v>33</v>
      </c>
      <c r="D7" s="12">
        <f>+J20</f>
        <v>0.05</v>
      </c>
      <c r="E7" s="11" t="s">
        <v>34</v>
      </c>
      <c r="F7" s="13">
        <v>100</v>
      </c>
      <c r="G7" s="13" t="s">
        <v>28</v>
      </c>
      <c r="H7" s="14">
        <v>44378</v>
      </c>
    </row>
    <row r="8" spans="1:12" x14ac:dyDescent="0.25">
      <c r="B8" s="11" t="s">
        <v>2</v>
      </c>
      <c r="C8" s="11" t="s">
        <v>35</v>
      </c>
      <c r="D8" s="12" t="s">
        <v>24</v>
      </c>
      <c r="E8" s="11" t="s">
        <v>36</v>
      </c>
      <c r="F8" s="13">
        <v>103.25</v>
      </c>
      <c r="G8" s="13" t="s">
        <v>28</v>
      </c>
      <c r="H8" s="14">
        <v>44447</v>
      </c>
    </row>
    <row r="11" spans="1:12" x14ac:dyDescent="0.25">
      <c r="H11"/>
    </row>
    <row r="14" spans="1:12" x14ac:dyDescent="0.25">
      <c r="A14" s="59" t="s">
        <v>37</v>
      </c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</row>
    <row r="15" spans="1:12" x14ac:dyDescent="0.25">
      <c r="J15" s="8" t="s">
        <v>38</v>
      </c>
    </row>
    <row r="17" spans="1:12" ht="20.25" customHeight="1" x14ac:dyDescent="0.25">
      <c r="B17" s="60" t="s">
        <v>39</v>
      </c>
      <c r="C17" s="60"/>
      <c r="D17" s="60"/>
      <c r="E17" s="60"/>
      <c r="F17" s="60"/>
      <c r="G17" s="60"/>
      <c r="I17" s="17" t="s">
        <v>21</v>
      </c>
      <c r="J17" s="18">
        <v>0.7</v>
      </c>
      <c r="K17" s="8">
        <f>1-J17</f>
        <v>0.30000000000000004</v>
      </c>
    </row>
    <row r="18" spans="1:12" ht="38.25" x14ac:dyDescent="0.25">
      <c r="B18" s="19" t="s">
        <v>40</v>
      </c>
      <c r="C18" s="19" t="s">
        <v>41</v>
      </c>
      <c r="D18" s="19" t="s">
        <v>42</v>
      </c>
      <c r="E18" s="19" t="s">
        <v>43</v>
      </c>
      <c r="F18" s="19" t="s">
        <v>44</v>
      </c>
      <c r="G18" s="61" t="s">
        <v>45</v>
      </c>
      <c r="I18" s="17" t="s">
        <v>46</v>
      </c>
      <c r="J18" s="18">
        <f>+L18*$K$17</f>
        <v>0.17777777777777778</v>
      </c>
      <c r="K18" s="8">
        <v>0.16</v>
      </c>
      <c r="L18" s="8">
        <f>+K18/SUM($K$18:$K$20)</f>
        <v>0.59259259259259256</v>
      </c>
    </row>
    <row r="19" spans="1:12" x14ac:dyDescent="0.25">
      <c r="B19" s="20" t="s">
        <v>21</v>
      </c>
      <c r="C19" s="20" t="s">
        <v>46</v>
      </c>
      <c r="D19" s="20" t="s">
        <v>29</v>
      </c>
      <c r="E19" s="20" t="s">
        <v>32</v>
      </c>
      <c r="F19" s="19" t="s">
        <v>47</v>
      </c>
      <c r="G19" s="61"/>
      <c r="I19" s="17" t="s">
        <v>48</v>
      </c>
      <c r="J19" s="18">
        <f t="shared" ref="J19:J20" si="0">+L19*$K$17</f>
        <v>7.2222222222222229E-2</v>
      </c>
      <c r="K19" s="8">
        <v>6.5000000000000002E-2</v>
      </c>
      <c r="L19" s="8">
        <f>+K19/SUM($K$18:$K$20)</f>
        <v>0.24074074074074073</v>
      </c>
    </row>
    <row r="20" spans="1:12" ht="25.5" x14ac:dyDescent="0.25">
      <c r="B20" s="19" t="s">
        <v>49</v>
      </c>
      <c r="C20" s="19" t="s">
        <v>50</v>
      </c>
      <c r="D20" s="19" t="s">
        <v>51</v>
      </c>
      <c r="E20" s="19" t="s">
        <v>52</v>
      </c>
      <c r="F20" s="19" t="s">
        <v>53</v>
      </c>
      <c r="G20" s="61"/>
      <c r="I20" s="17" t="s">
        <v>32</v>
      </c>
      <c r="J20" s="18">
        <f t="shared" si="0"/>
        <v>0.05</v>
      </c>
      <c r="K20" s="8">
        <v>4.4999999999999998E-2</v>
      </c>
      <c r="L20" s="8">
        <f>+K20/SUM($K$18:$K$20)</f>
        <v>0.16666666666666666</v>
      </c>
    </row>
    <row r="21" spans="1:12" x14ac:dyDescent="0.25">
      <c r="A21" s="21">
        <v>44013</v>
      </c>
      <c r="B21" s="22">
        <v>275.60000000000002</v>
      </c>
      <c r="C21" s="22">
        <v>38.74</v>
      </c>
      <c r="D21" s="22">
        <v>100</v>
      </c>
      <c r="E21" s="22">
        <v>484.4</v>
      </c>
      <c r="F21" s="22">
        <v>73.5</v>
      </c>
      <c r="G21" s="23"/>
      <c r="I21" s="17"/>
      <c r="J21" s="17">
        <f>SUM(J17:J20)</f>
        <v>1</v>
      </c>
    </row>
    <row r="22" spans="1:12" x14ac:dyDescent="0.25">
      <c r="A22" s="21">
        <v>44378</v>
      </c>
      <c r="B22" s="24">
        <v>338</v>
      </c>
      <c r="C22" s="24">
        <v>64.66</v>
      </c>
      <c r="D22" s="24">
        <v>150</v>
      </c>
      <c r="E22" s="24">
        <v>789.5</v>
      </c>
      <c r="F22" s="24">
        <v>102.5</v>
      </c>
      <c r="G22" s="24"/>
      <c r="I22" s="17" t="s">
        <v>54</v>
      </c>
      <c r="J22" s="25">
        <f>+G23</f>
        <v>1.20738287882255</v>
      </c>
    </row>
    <row r="23" spans="1:12" x14ac:dyDescent="0.25">
      <c r="A23" s="24"/>
      <c r="B23" s="26">
        <f>+B22/B21</f>
        <v>1.2264150943396226</v>
      </c>
      <c r="C23" s="26">
        <f t="shared" ref="C23:E23" si="1">+C22/C21</f>
        <v>1.6690758905524004</v>
      </c>
      <c r="D23" s="26">
        <f t="shared" si="1"/>
        <v>1.5</v>
      </c>
      <c r="E23" s="26">
        <f t="shared" si="1"/>
        <v>1.6298513625103221</v>
      </c>
      <c r="F23" s="26">
        <f>+F21/F22</f>
        <v>0.71707317073170729</v>
      </c>
      <c r="G23" s="26">
        <f>+J17*B23+F23*(J18*C23+J19*D23+J20*E23)</f>
        <v>1.20738287882255</v>
      </c>
    </row>
    <row r="26" spans="1:12" ht="20.25" thickBot="1" x14ac:dyDescent="0.3"/>
    <row r="27" spans="1:12" ht="20.25" thickBot="1" x14ac:dyDescent="0.3">
      <c r="B27" s="27" t="s">
        <v>7</v>
      </c>
      <c r="C27" s="28" t="s">
        <v>55</v>
      </c>
      <c r="D27" s="28" t="s">
        <v>56</v>
      </c>
      <c r="E27" s="28" t="s">
        <v>57</v>
      </c>
    </row>
    <row r="28" spans="1:12" ht="20.25" thickBot="1" x14ac:dyDescent="0.3">
      <c r="B28" s="29" t="s">
        <v>30</v>
      </c>
      <c r="C28" s="30">
        <v>0.56510000000000005</v>
      </c>
      <c r="D28" s="31" t="s">
        <v>58</v>
      </c>
      <c r="E28" s="32" t="s">
        <v>59</v>
      </c>
    </row>
    <row r="29" spans="1:12" ht="20.25" thickBot="1" x14ac:dyDescent="0.3">
      <c r="B29" s="29" t="s">
        <v>60</v>
      </c>
      <c r="C29" s="30">
        <v>8.2400000000000001E-2</v>
      </c>
      <c r="D29" s="33" t="s">
        <v>34</v>
      </c>
      <c r="E29" s="32" t="s">
        <v>61</v>
      </c>
    </row>
    <row r="30" spans="1:12" ht="20.25" thickBot="1" x14ac:dyDescent="0.3">
      <c r="B30" s="29" t="s">
        <v>62</v>
      </c>
      <c r="C30" s="30">
        <v>0.23749999999999999</v>
      </c>
      <c r="D30" s="31" t="s">
        <v>63</v>
      </c>
      <c r="E30" s="32" t="s">
        <v>64</v>
      </c>
    </row>
    <row r="31" spans="1:12" x14ac:dyDescent="0.25">
      <c r="B31" s="62" t="s">
        <v>65</v>
      </c>
      <c r="C31" s="64">
        <v>0.1004</v>
      </c>
      <c r="D31" s="66" t="s">
        <v>66</v>
      </c>
      <c r="E31" s="34" t="s">
        <v>67</v>
      </c>
    </row>
    <row r="32" spans="1:12" ht="20.25" thickBot="1" x14ac:dyDescent="0.3">
      <c r="B32" s="63"/>
      <c r="C32" s="65"/>
      <c r="D32" s="67"/>
      <c r="E32" s="32" t="s">
        <v>68</v>
      </c>
    </row>
    <row r="33" spans="2:5" ht="20.25" thickBot="1" x14ac:dyDescent="0.3">
      <c r="B33" s="29" t="s">
        <v>69</v>
      </c>
      <c r="C33" s="30">
        <v>1.46E-2</v>
      </c>
      <c r="D33" s="35" t="s">
        <v>70</v>
      </c>
      <c r="E33" s="32" t="s">
        <v>71</v>
      </c>
    </row>
    <row r="34" spans="2:5" ht="20.25" thickBot="1" x14ac:dyDescent="0.3">
      <c r="B34" s="36" t="s">
        <v>72</v>
      </c>
      <c r="C34" s="37">
        <v>1</v>
      </c>
      <c r="D34" s="38"/>
      <c r="E34" s="38"/>
    </row>
  </sheetData>
  <mergeCells count="6">
    <mergeCell ref="A14:L14"/>
    <mergeCell ref="B17:G17"/>
    <mergeCell ref="G18:G20"/>
    <mergeCell ref="B31:B32"/>
    <mergeCell ref="C31:C32"/>
    <mergeCell ref="D31:D32"/>
  </mergeCells>
  <hyperlinks>
    <hyperlink ref="E31" r:id="rId1" display="http://res1104.se.gov.ar/consultaprecios.eess.php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5"/>
  <sheetViews>
    <sheetView showGridLines="0" workbookViewId="0">
      <selection activeCell="D11" sqref="D11"/>
    </sheetView>
  </sheetViews>
  <sheetFormatPr baseColWidth="10" defaultRowHeight="15" x14ac:dyDescent="0.25"/>
  <cols>
    <col min="1" max="1" width="1.28515625" customWidth="1"/>
    <col min="2" max="2" width="5.28515625" customWidth="1"/>
    <col min="3" max="3" width="25" customWidth="1"/>
    <col min="4" max="4" width="13.140625" customWidth="1"/>
    <col min="5" max="5" width="12.85546875" customWidth="1"/>
    <col min="6" max="7" width="12.7109375" customWidth="1"/>
  </cols>
  <sheetData>
    <row r="2" spans="2:8" ht="47.25" customHeight="1" x14ac:dyDescent="0.25">
      <c r="B2" s="1" t="s">
        <v>1</v>
      </c>
      <c r="C2" s="1" t="s">
        <v>7</v>
      </c>
      <c r="D2" s="1" t="s">
        <v>6</v>
      </c>
      <c r="E2" s="1" t="s">
        <v>13</v>
      </c>
      <c r="F2" s="1" t="s">
        <v>12</v>
      </c>
      <c r="G2" s="1" t="s">
        <v>73</v>
      </c>
      <c r="H2" s="1" t="s">
        <v>74</v>
      </c>
    </row>
    <row r="3" spans="2:8" ht="69" customHeight="1" x14ac:dyDescent="0.25">
      <c r="B3" s="2">
        <v>1</v>
      </c>
      <c r="C3" s="3" t="s">
        <v>79</v>
      </c>
      <c r="D3" s="3" t="s">
        <v>75</v>
      </c>
      <c r="E3" s="3" t="s">
        <v>80</v>
      </c>
      <c r="F3" s="5" t="e">
        <f>ROUND(K_EERR!#REF!,2)</f>
        <v>#REF!</v>
      </c>
      <c r="G3" s="4" t="e">
        <f>+K_EERR!#REF!</f>
        <v>#REF!</v>
      </c>
      <c r="H3" s="4" t="e">
        <f>+G3*F3</f>
        <v>#REF!</v>
      </c>
    </row>
    <row r="4" spans="2:8" ht="54.75" customHeight="1" x14ac:dyDescent="0.25">
      <c r="B4" s="39">
        <v>2</v>
      </c>
      <c r="C4" s="40" t="s">
        <v>81</v>
      </c>
      <c r="D4" s="39" t="s">
        <v>78</v>
      </c>
      <c r="E4" s="39" t="s">
        <v>82</v>
      </c>
      <c r="F4" s="41" t="e">
        <f>ROUND(K_EERR!#REF!,0)</f>
        <v>#REF!</v>
      </c>
      <c r="G4" s="39">
        <v>1</v>
      </c>
      <c r="H4" s="39" t="e">
        <f>+G4*F4</f>
        <v>#REF!</v>
      </c>
    </row>
    <row r="5" spans="2:8" x14ac:dyDescent="0.25">
      <c r="F5" s="6"/>
      <c r="G5" s="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  <pageSetUpPr autoPageBreaks="0" fitToPage="1"/>
  </sheetPr>
  <dimension ref="A1:O8"/>
  <sheetViews>
    <sheetView showGridLines="0" tabSelected="1" zoomScaleNormal="100" workbookViewId="0">
      <pane ySplit="1" topLeftCell="A2" activePane="bottomLeft" state="frozen"/>
      <selection pane="bottomLeft" activeCell="I14" sqref="I14"/>
    </sheetView>
  </sheetViews>
  <sheetFormatPr baseColWidth="10" defaultColWidth="9.140625" defaultRowHeight="15" x14ac:dyDescent="0.25"/>
  <cols>
    <col min="1" max="1" width="21.28515625" style="43" customWidth="1"/>
    <col min="2" max="2" width="7.7109375" style="43" bestFit="1" customWidth="1"/>
    <col min="3" max="3" width="10.7109375" style="43" customWidth="1"/>
    <col min="4" max="4" width="9" style="43" customWidth="1"/>
    <col min="5" max="5" width="11.140625" style="43" bestFit="1" customWidth="1"/>
    <col min="6" max="6" width="5.5703125" style="43" bestFit="1" customWidth="1"/>
    <col min="7" max="7" width="10.7109375" style="43" bestFit="1" customWidth="1"/>
    <col min="8" max="8" width="3" style="43" customWidth="1"/>
    <col min="9" max="9" width="11.28515625" style="43" customWidth="1"/>
    <col min="10" max="10" width="10.5703125" style="43" customWidth="1"/>
    <col min="11" max="11" width="11.140625" style="43" customWidth="1"/>
    <col min="12" max="12" width="9.85546875" style="43" customWidth="1"/>
    <col min="13" max="13" width="7.42578125" style="43" customWidth="1"/>
    <col min="14" max="15" width="10.7109375" style="43" customWidth="1"/>
    <col min="16" max="16" width="3" style="43" customWidth="1"/>
    <col min="17" max="18" width="12.7109375" style="43" customWidth="1"/>
    <col min="19" max="19" width="3" style="43" customWidth="1"/>
    <col min="20" max="21" width="10.85546875" style="43" customWidth="1"/>
    <col min="22" max="22" width="3" style="43" customWidth="1"/>
    <col min="23" max="23" width="11.85546875" style="43" customWidth="1"/>
    <col min="24" max="24" width="3" style="43" customWidth="1"/>
    <col min="25" max="28" width="9.28515625" style="43" customWidth="1"/>
    <col min="29" max="29" width="2.42578125" style="43" customWidth="1"/>
    <col min="30" max="33" width="9.140625" style="43"/>
    <col min="34" max="34" width="4.28515625" style="43" customWidth="1"/>
    <col min="35" max="16384" width="9.140625" style="43"/>
  </cols>
  <sheetData>
    <row r="1" spans="1:15" ht="7.5" customHeight="1" x14ac:dyDescent="0.25"/>
    <row r="2" spans="1:15" ht="47.25" customHeight="1" x14ac:dyDescent="0.25">
      <c r="A2" s="42" t="s">
        <v>84</v>
      </c>
      <c r="B2" s="51" t="s">
        <v>3</v>
      </c>
      <c r="C2" s="51" t="s">
        <v>83</v>
      </c>
      <c r="D2" s="51" t="s">
        <v>4</v>
      </c>
      <c r="E2" s="51" t="s">
        <v>11</v>
      </c>
      <c r="F2" s="51" t="s">
        <v>0</v>
      </c>
      <c r="G2" s="51" t="s">
        <v>5</v>
      </c>
      <c r="H2" s="52"/>
      <c r="I2" s="51" t="s">
        <v>10</v>
      </c>
      <c r="J2" s="51" t="s">
        <v>8</v>
      </c>
      <c r="K2" s="51" t="s">
        <v>9</v>
      </c>
      <c r="L2" s="51" t="s">
        <v>76</v>
      </c>
      <c r="M2" s="51" t="s">
        <v>77</v>
      </c>
    </row>
    <row r="3" spans="1:15" ht="21.75" customHeight="1" x14ac:dyDescent="0.25">
      <c r="A3" s="44" t="s">
        <v>85</v>
      </c>
      <c r="B3" s="45" t="str">
        <f>+B4</f>
        <v>SO4345</v>
      </c>
      <c r="C3" s="46">
        <f>1.47</f>
        <v>1.47</v>
      </c>
      <c r="D3" s="46">
        <f>760/25/350</f>
        <v>8.6857142857142855E-2</v>
      </c>
      <c r="E3" s="47">
        <f>+D3+C3</f>
        <v>1.5568571428571429</v>
      </c>
      <c r="F3" s="48">
        <f>+G3/E3</f>
        <v>1.6571848045512938</v>
      </c>
      <c r="G3" s="48">
        <v>2.58</v>
      </c>
      <c r="H3" s="52"/>
      <c r="I3" s="49">
        <v>7000</v>
      </c>
      <c r="J3" s="49">
        <f>+I3*E3</f>
        <v>10898</v>
      </c>
      <c r="K3" s="49">
        <f>+I3*G3</f>
        <v>18060</v>
      </c>
      <c r="L3" s="49">
        <f>K3-J3-5.5%*K3</f>
        <v>6168.7</v>
      </c>
      <c r="M3" s="50">
        <f>+L3/K3</f>
        <v>0.3415669988925803</v>
      </c>
      <c r="O3" s="58"/>
    </row>
    <row r="4" spans="1:15" ht="21.75" customHeight="1" x14ac:dyDescent="0.25">
      <c r="A4" s="44" t="s">
        <v>86</v>
      </c>
      <c r="B4" s="45" t="s">
        <v>91</v>
      </c>
      <c r="C4" s="46">
        <f>+C3</f>
        <v>1.47</v>
      </c>
      <c r="D4" s="46">
        <v>0</v>
      </c>
      <c r="E4" s="47">
        <f>+D4+C4</f>
        <v>1.47</v>
      </c>
      <c r="F4" s="48">
        <f>+G4/E4</f>
        <v>1.7551020408163267</v>
      </c>
      <c r="G4" s="48">
        <v>2.58</v>
      </c>
      <c r="H4" s="52"/>
      <c r="I4" s="49">
        <v>24000</v>
      </c>
      <c r="J4" s="49">
        <f>+I4*E4</f>
        <v>35280</v>
      </c>
      <c r="K4" s="49">
        <f>+I4*G4</f>
        <v>61920</v>
      </c>
      <c r="L4" s="49">
        <f>K4-J4-5%*K4</f>
        <v>23544</v>
      </c>
      <c r="M4" s="50">
        <f>+L4/K4</f>
        <v>0.38023255813953488</v>
      </c>
    </row>
    <row r="5" spans="1:15" ht="21.75" customHeight="1" x14ac:dyDescent="0.25">
      <c r="J5" s="55">
        <f>+J4+J3</f>
        <v>46178</v>
      </c>
      <c r="K5" s="55">
        <f>+SUM(K3:K4)</f>
        <v>79980</v>
      </c>
      <c r="L5" s="55">
        <f>+L4+L3</f>
        <v>29712.7</v>
      </c>
      <c r="M5" s="69">
        <f>+(L3*M3+L4*M4)/(L3+L4)</f>
        <v>0.37220514106445624</v>
      </c>
    </row>
    <row r="6" spans="1:15" ht="21.75" customHeight="1" x14ac:dyDescent="0.25">
      <c r="A6" s="54" t="s">
        <v>88</v>
      </c>
      <c r="B6" s="56">
        <v>0.62</v>
      </c>
      <c r="C6" s="57">
        <f>+B6/$B$8-1</f>
        <v>-0.11428571428571421</v>
      </c>
      <c r="D6" s="68" t="s">
        <v>90</v>
      </c>
      <c r="E6" s="68"/>
      <c r="F6" s="68"/>
      <c r="G6" s="68"/>
    </row>
    <row r="7" spans="1:15" ht="21.75" customHeight="1" x14ac:dyDescent="0.25">
      <c r="A7" s="54" t="s">
        <v>87</v>
      </c>
      <c r="B7" s="56">
        <v>0.66</v>
      </c>
      <c r="C7" s="54"/>
      <c r="D7" s="68"/>
      <c r="E7" s="68"/>
      <c r="F7" s="68"/>
      <c r="G7" s="68"/>
    </row>
    <row r="8" spans="1:15" ht="21.75" customHeight="1" x14ac:dyDescent="0.25">
      <c r="A8" s="54" t="s">
        <v>89</v>
      </c>
      <c r="B8" s="56">
        <v>0.7</v>
      </c>
      <c r="C8" s="54">
        <f t="shared" ref="C8" si="0">+B8/$B$8</f>
        <v>1</v>
      </c>
      <c r="D8" s="68"/>
      <c r="E8" s="68"/>
      <c r="F8" s="68"/>
      <c r="G8" s="68"/>
    </row>
  </sheetData>
  <mergeCells count="3">
    <mergeCell ref="D6:G6"/>
    <mergeCell ref="D7:G7"/>
    <mergeCell ref="D8:G8"/>
  </mergeCells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78B67-38EE-4FE7-8905-B8C5069D23AD}">
  <dimension ref="A1"/>
  <sheetViews>
    <sheetView workbookViewId="0">
      <selection activeCell="E13" sqref="E13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47BC7-733E-47CA-AB14-27F296FABCCF}">
  <dimension ref="A1"/>
  <sheetViews>
    <sheetView showGridLines="0" zoomScale="70" zoomScaleNormal="70" workbookViewId="0">
      <selection activeCell="Q17" sqref="Q17"/>
    </sheetView>
  </sheetViews>
  <sheetFormatPr baseColWidth="10" defaultRowHeight="18.75" x14ac:dyDescent="0.3"/>
  <cols>
    <col min="1" max="2" width="11.42578125" style="53"/>
    <col min="3" max="3" width="13.5703125" style="53" bestFit="1" customWidth="1"/>
    <col min="4" max="4" width="11.42578125" style="53"/>
    <col min="5" max="5" width="5.5703125" style="53" bestFit="1" customWidth="1"/>
    <col min="6" max="16384" width="11.42578125" style="53"/>
  </cols>
  <sheetData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5E839-2054-4D61-A411-6EE2E804179F}">
  <dimension ref="A1"/>
  <sheetViews>
    <sheetView workbookViewId="0">
      <selection activeCell="D11" sqref="D1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FAFEA61DE254B44B363149992BD50B3" ma:contentTypeVersion="15" ma:contentTypeDescription="Crear nuevo documento." ma:contentTypeScope="" ma:versionID="a7687b2abb2e5b2b7cbfea3f4e3fb7e1">
  <xsd:schema xmlns:xsd="http://www.w3.org/2001/XMLSchema" xmlns:xs="http://www.w3.org/2001/XMLSchema" xmlns:p="http://schemas.microsoft.com/office/2006/metadata/properties" xmlns:ns2="730269a7-69c5-483f-a552-e74dab880ae2" xmlns:ns3="40de77e2-37bb-4c7a-ab4d-547915d99553" targetNamespace="http://schemas.microsoft.com/office/2006/metadata/properties" ma:root="true" ma:fieldsID="a66b2b815a291b54a697ebfda97dfbb7" ns2:_="" ns3:_="">
    <xsd:import namespace="730269a7-69c5-483f-a552-e74dab880ae2"/>
    <xsd:import namespace="40de77e2-37bb-4c7a-ab4d-547915d995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269a7-69c5-483f-a552-e74dab880a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dbf393ec-c584-4b8d-8e77-20dadb2446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de77e2-37bb-4c7a-ab4d-547915d9955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4e01dc6-12f5-4119-ba22-46abcd2e9c3e}" ma:internalName="TaxCatchAll" ma:showField="CatchAllData" ma:web="40de77e2-37bb-4c7a-ab4d-547915d995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30269a7-69c5-483f-a552-e74dab880ae2">
      <Terms xmlns="http://schemas.microsoft.com/office/infopath/2007/PartnerControls"/>
    </lcf76f155ced4ddcb4097134ff3c332f>
    <TaxCatchAll xmlns="40de77e2-37bb-4c7a-ab4d-547915d99553" xsi:nil="true"/>
  </documentManagement>
</p:properties>
</file>

<file path=customXml/itemProps1.xml><?xml version="1.0" encoding="utf-8"?>
<ds:datastoreItem xmlns:ds="http://schemas.openxmlformats.org/officeDocument/2006/customXml" ds:itemID="{C1C8DC9F-9F1C-4466-8356-34E95259028F}"/>
</file>

<file path=customXml/itemProps2.xml><?xml version="1.0" encoding="utf-8"?>
<ds:datastoreItem xmlns:ds="http://schemas.openxmlformats.org/officeDocument/2006/customXml" ds:itemID="{A25F9A26-ACAC-4C7B-AAEA-8D10980908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DDA6BA8-91BD-45C7-820E-747ACFB892FC}">
  <ds:schemaRefs>
    <ds:schemaRef ds:uri="http://schemas.microsoft.com/office/2006/metadata/properties"/>
    <ds:schemaRef ds:uri="http://schemas.microsoft.com/office/infopath/2007/PartnerControls"/>
    <ds:schemaRef ds:uri="730269a7-69c5-483f-a552-e74dab880ae2"/>
    <ds:schemaRef ds:uri="40de77e2-37bb-4c7a-ab4d-547915d9955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FA</vt:lpstr>
      <vt:lpstr>PC</vt:lpstr>
      <vt:lpstr>K_EERR</vt:lpstr>
      <vt:lpstr>Pedro</vt:lpstr>
      <vt:lpstr>Pliego</vt:lpstr>
      <vt:lpstr>Rta Fer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fserem</dc:creator>
  <cp:lastModifiedBy>Bergerat, Juan Gabriel</cp:lastModifiedBy>
  <dcterms:created xsi:type="dcterms:W3CDTF">2018-08-13T19:18:03Z</dcterms:created>
  <dcterms:modified xsi:type="dcterms:W3CDTF">2023-12-04T14:06:02Z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0x010100CFAFEA61DE254B44B363149992BD50B3</vt:lpwstr>
  </property>
  <property fmtid="{D5CDD505-2E9C-101B-9397-08002B2CF9AE}" pid="3" name="MediaServiceImageTags">
    <vt:lpwstr/>
  </property>
</Properties>
</file>