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3 - 2023/01-Cotizaciones y Licitaciones/130-OESTE-23. PAE. Sec de O2/"/>
    </mc:Choice>
  </mc:AlternateContent>
  <xr:revisionPtr revIDLastSave="374" documentId="11_7BD48B3A4211CC1720E3F4D8441A8813DDA51431" xr6:coauthVersionLast="47" xr6:coauthVersionMax="47" xr10:uidLastSave="{2BC9EC69-C6CA-43E6-90D1-CE51FA555873}"/>
  <bookViews>
    <workbookView xWindow="-120" yWindow="-120" windowWidth="20730" windowHeight="11160" activeTab="2" xr2:uid="{00000000-000D-0000-FFFF-FFFF00000000}"/>
  </bookViews>
  <sheets>
    <sheet name="Fórmulas de Ajuste" sheetId="15" r:id="rId1"/>
    <sheet name="Planilla de Cotizacion" sheetId="14" r:id="rId2"/>
    <sheet name="Planilla de Costos - EERR" sheetId="7" r:id="rId3"/>
    <sheet name="Hoja1" sheetId="16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\0" localSheetId="0">#REF!</definedName>
    <definedName name="\0">#REF!</definedName>
    <definedName name="\00" localSheetId="0">#REF!</definedName>
    <definedName name="\00">#REF!</definedName>
    <definedName name="\1" localSheetId="0">#REF!</definedName>
    <definedName name="\1">#REF!</definedName>
    <definedName name="\2" localSheetId="0">#REF!</definedName>
    <definedName name="\2">#REF!</definedName>
    <definedName name="\A" localSheetId="0">[1]Sheet6!#REF!</definedName>
    <definedName name="\A">[1]Sheet6!#REF!</definedName>
    <definedName name="\A11" localSheetId="0">#REF!</definedName>
    <definedName name="\A11">#REF!</definedName>
    <definedName name="\A15" localSheetId="0">#REF!</definedName>
    <definedName name="\A15">#REF!</definedName>
    <definedName name="\A17" localSheetId="0">#REF!</definedName>
    <definedName name="\A17">#REF!</definedName>
    <definedName name="\A27" localSheetId="0">#REF!</definedName>
    <definedName name="\A27">#REF!</definedName>
    <definedName name="\A28" localSheetId="0">#REF!</definedName>
    <definedName name="\A28">#REF!</definedName>
    <definedName name="\B" localSheetId="0">[1]Sheet6!#REF!</definedName>
    <definedName name="\B">[1]Sheet6!#REF!</definedName>
    <definedName name="\C" localSheetId="0">[1]Sheet6!#REF!</definedName>
    <definedName name="\C">[1]Sheet6!#REF!</definedName>
    <definedName name="\D" localSheetId="0">[1]Sheet6!#REF!</definedName>
    <definedName name="\D">[1]Sheet6!#REF!</definedName>
    <definedName name="\E" localSheetId="0">[1]Sheet6!#REF!</definedName>
    <definedName name="\E">[1]Sheet6!#REF!</definedName>
    <definedName name="\EDIT" localSheetId="0">#REF!</definedName>
    <definedName name="\EDIT">#REF!</definedName>
    <definedName name="\EPSNSEL" localSheetId="0">#REF!</definedName>
    <definedName name="\EPSNSEL">#REF!</definedName>
    <definedName name="\f" localSheetId="0">#REF!</definedName>
    <definedName name="\f">#REF!</definedName>
    <definedName name="\g" localSheetId="0">#REF!</definedName>
    <definedName name="\g">#REF!</definedName>
    <definedName name="\j" localSheetId="0">#REF!</definedName>
    <definedName name="\j">#REF!</definedName>
    <definedName name="\K" localSheetId="0">[1]Sheet6!#REF!</definedName>
    <definedName name="\K">[1]Sheet6!#REF!</definedName>
    <definedName name="\l" localSheetId="0">#REF!</definedName>
    <definedName name="\l">#REF!</definedName>
    <definedName name="\LJSEL" localSheetId="0">#REF!</definedName>
    <definedName name="\LJSEL">#REF!</definedName>
    <definedName name="\m" localSheetId="0">#REF!</definedName>
    <definedName name="\m">#REF!</definedName>
    <definedName name="\MESS" localSheetId="0">#REF!</definedName>
    <definedName name="\MESS">#REF!</definedName>
    <definedName name="\MESS0" localSheetId="0">#REF!</definedName>
    <definedName name="\MESS0">#REF!</definedName>
    <definedName name="\MESS1" localSheetId="0">#REF!</definedName>
    <definedName name="\MESS1">#REF!</definedName>
    <definedName name="\MESS2" localSheetId="0">#REF!</definedName>
    <definedName name="\MESS2">#REF!</definedName>
    <definedName name="\P" localSheetId="0">[1]Sheet6!#REF!</definedName>
    <definedName name="\P">[1]Sheet6!#REF!</definedName>
    <definedName name="\PALL" localSheetId="0">#REF!</definedName>
    <definedName name="\PALL">#REF!</definedName>
    <definedName name="\PRES" localSheetId="0">#REF!</definedName>
    <definedName name="\PRES">#REF!</definedName>
    <definedName name="\PRES1" localSheetId="0">#REF!</definedName>
    <definedName name="\PRES1">#REF!</definedName>
    <definedName name="\r" localSheetId="0">#REF!</definedName>
    <definedName name="\r">#REF!</definedName>
    <definedName name="\s" localSheetId="0">[2]costo!#REF!</definedName>
    <definedName name="\s">[2]costo!#REF!</definedName>
    <definedName name="\t" localSheetId="0">#REF!</definedName>
    <definedName name="\t">#REF!</definedName>
    <definedName name="\v" localSheetId="0">#REF!</definedName>
    <definedName name="\v">#REF!</definedName>
    <definedName name="\w" localSheetId="0">[2]costo!#REF!</definedName>
    <definedName name="\w">[2]costo!#REF!</definedName>
    <definedName name="\Y" localSheetId="0">[1]Sheet6!#REF!</definedName>
    <definedName name="\Y">[1]Sheet6!#REF!</definedName>
    <definedName name="\Z" localSheetId="0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0">#REF!</definedName>
    <definedName name="_____________F">#REF!</definedName>
    <definedName name="_____________PAG1" localSheetId="0">#REF!</definedName>
    <definedName name="_____________PAG1">#REF!</definedName>
    <definedName name="_____________PAG2" localSheetId="0">#REF!</definedName>
    <definedName name="_____________PAG2">#REF!</definedName>
    <definedName name="_____________PAG3" localSheetId="0">#REF!</definedName>
    <definedName name="_____________PAG3">#REF!</definedName>
    <definedName name="____________F" localSheetId="0">#REF!</definedName>
    <definedName name="____________F">#REF!</definedName>
    <definedName name="____________PAG1" localSheetId="0">#REF!</definedName>
    <definedName name="____________PAG1">#REF!</definedName>
    <definedName name="____________PAG2" localSheetId="0">#REF!</definedName>
    <definedName name="____________PAG2">#REF!</definedName>
    <definedName name="____________PAG3" localSheetId="0">#REF!</definedName>
    <definedName name="____________PAG3">#REF!</definedName>
    <definedName name="___________F" localSheetId="0">#REF!</definedName>
    <definedName name="___________F">#REF!</definedName>
    <definedName name="___________PAG1" localSheetId="0">#REF!</definedName>
    <definedName name="___________PAG1">#REF!</definedName>
    <definedName name="___________PAG2" localSheetId="0">#REF!</definedName>
    <definedName name="___________PAG2">#REF!</definedName>
    <definedName name="___________PAG3" localSheetId="0">#REF!</definedName>
    <definedName name="___________PAG3">#REF!</definedName>
    <definedName name="__________F" localSheetId="0">#REF!</definedName>
    <definedName name="__________F">#REF!</definedName>
    <definedName name="__________PAG1" localSheetId="0">#REF!</definedName>
    <definedName name="__________PAG1">#REF!</definedName>
    <definedName name="__________PAG2" localSheetId="0">#REF!</definedName>
    <definedName name="__________PAG2">#REF!</definedName>
    <definedName name="__________PAG3" localSheetId="0">#REF!</definedName>
    <definedName name="__________PAG3">#REF!</definedName>
    <definedName name="_________F" localSheetId="0">#REF!</definedName>
    <definedName name="_________F">#REF!</definedName>
    <definedName name="_________PAG1" localSheetId="0">#REF!</definedName>
    <definedName name="_________PAG1">#REF!</definedName>
    <definedName name="_________PAG2" localSheetId="0">#REF!</definedName>
    <definedName name="_________PAG2">#REF!</definedName>
    <definedName name="_________PAG3" localSheetId="0">#REF!</definedName>
    <definedName name="_________PAG3">#REF!</definedName>
    <definedName name="________F" localSheetId="0">#REF!</definedName>
    <definedName name="________F">#REF!</definedName>
    <definedName name="________PAG1" localSheetId="0">#REF!</definedName>
    <definedName name="________PAG1">#REF!</definedName>
    <definedName name="________PAG2" localSheetId="0">#REF!</definedName>
    <definedName name="________PAG2">#REF!</definedName>
    <definedName name="________PAG3" localSheetId="0">#REF!</definedName>
    <definedName name="________PAG3">#REF!</definedName>
    <definedName name="_______F" localSheetId="0">#REF!</definedName>
    <definedName name="_______F">#REF!</definedName>
    <definedName name="_______PAG1" localSheetId="0">#REF!</definedName>
    <definedName name="_______PAG1">#REF!</definedName>
    <definedName name="_______PAG2" localSheetId="0">#REF!</definedName>
    <definedName name="_______PAG2">#REF!</definedName>
    <definedName name="_______PAG3" localSheetId="0">#REF!</definedName>
    <definedName name="_______PAG3">#REF!</definedName>
    <definedName name="______F" localSheetId="0">#REF!</definedName>
    <definedName name="______F">#REF!</definedName>
    <definedName name="______PAG1" localSheetId="0">#REF!</definedName>
    <definedName name="______PAG1">#REF!</definedName>
    <definedName name="______PAG2" localSheetId="0">#REF!</definedName>
    <definedName name="______PAG2">#REF!</definedName>
    <definedName name="______PAG3" localSheetId="0">#REF!</definedName>
    <definedName name="______PAG3">#REF!</definedName>
    <definedName name="______r">#REF!</definedName>
    <definedName name="_____F" localSheetId="0">#REF!</definedName>
    <definedName name="_____F">#REF!</definedName>
    <definedName name="_____PAG1" localSheetId="0">#REF!</definedName>
    <definedName name="_____PAG1">#REF!</definedName>
    <definedName name="_____PAG2" localSheetId="0">#REF!</definedName>
    <definedName name="_____PAG2">#REF!</definedName>
    <definedName name="_____PAG3" localSheetId="0">#REF!</definedName>
    <definedName name="_____PAG3">#REF!</definedName>
    <definedName name="_____r">#REF!</definedName>
    <definedName name="____F" localSheetId="0">#REF!</definedName>
    <definedName name="____F">#REF!</definedName>
    <definedName name="____PAG1" localSheetId="0">#REF!</definedName>
    <definedName name="____PAG1">#REF!</definedName>
    <definedName name="____PAG2" localSheetId="0">#REF!</definedName>
    <definedName name="____PAG2">#REF!</definedName>
    <definedName name="____PAG3" localSheetId="0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 localSheetId="0">#REF!</definedName>
    <definedName name="___F">#REF!</definedName>
    <definedName name="___PAG1" localSheetId="0">#REF!</definedName>
    <definedName name="___PAG1">#REF!</definedName>
    <definedName name="___PAG2" localSheetId="0">#REF!</definedName>
    <definedName name="___PAG2">#REF!</definedName>
    <definedName name="___PAG3" localSheetId="0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localSheetId="0" hidden="1">[3]INFREP!$A$1:$A$1</definedName>
    <definedName name="__123Graph_D" hidden="1">[4]INFREP!$A$1:$A$1</definedName>
    <definedName name="__123Graph_X" hidden="1">[1]Sheet2!$C$23:$C$228</definedName>
    <definedName name="__AAA1" localSheetId="0">[1]Sheet6!#REF!</definedName>
    <definedName name="__AAA1">[1]Sheet6!#REF!</definedName>
    <definedName name="__ABA40" localSheetId="0">[1]Sheet4!#REF!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 localSheetId="0">#REF!</definedName>
    <definedName name="__F">#REF!</definedName>
    <definedName name="__PAG1" localSheetId="0">#REF!</definedName>
    <definedName name="__PAG1">#REF!</definedName>
    <definedName name="__PAG2" localSheetId="0">#REF!</definedName>
    <definedName name="__PAG2">#REF!</definedName>
    <definedName name="__PAG3" localSheetId="0">#REF!</definedName>
    <definedName name="__PAG3">#REF!</definedName>
    <definedName name="__r">#REF!</definedName>
    <definedName name="__SEG2" localSheetId="0">[1]Sheet5!#REF!</definedName>
    <definedName name="__SEG2">[1]Sheet5!#REF!</definedName>
    <definedName name="__TER2" localSheetId="0">[1]Sheet5!#REF!</definedName>
    <definedName name="__TER2">[1]Sheet5!#REF!</definedName>
    <definedName name="_1">#N/A</definedName>
    <definedName name="_11" localSheetId="0">[2]costo!#REF!</definedName>
    <definedName name="_11">[2]costo!#REF!</definedName>
    <definedName name="_12" localSheetId="0">[2]costo!#REF!</definedName>
    <definedName name="_12">[2]costo!#REF!</definedName>
    <definedName name="_13" localSheetId="0">[2]costo!#REF!</definedName>
    <definedName name="_13">[2]costo!#REF!</definedName>
    <definedName name="_14" localSheetId="0">[2]costo!#REF!</definedName>
    <definedName name="_14">[2]costo!#REF!</definedName>
    <definedName name="_15" localSheetId="0">[2]costo!#REF!</definedName>
    <definedName name="_15">[2]costo!#REF!</definedName>
    <definedName name="_16" localSheetId="0">[2]costo!#REF!</definedName>
    <definedName name="_16">[2]costo!#REF!</definedName>
    <definedName name="_17" localSheetId="0">[2]costo!#REF!</definedName>
    <definedName name="_17">[2]costo!#REF!</definedName>
    <definedName name="_2" localSheetId="0">[2]costo!#REF!</definedName>
    <definedName name="_2">[2]costo!#REF!</definedName>
    <definedName name="_2011_01_BASE_INTEGRADA">#REF!</definedName>
    <definedName name="_21" localSheetId="0">[2]costo!#REF!</definedName>
    <definedName name="_21">[2]costo!#REF!</definedName>
    <definedName name="_22" localSheetId="0">[2]costo!#REF!</definedName>
    <definedName name="_22">[2]costo!#REF!</definedName>
    <definedName name="_23" localSheetId="0">[2]costo!#REF!</definedName>
    <definedName name="_23">[2]costo!#REF!</definedName>
    <definedName name="_24" localSheetId="0">[2]costo!#REF!</definedName>
    <definedName name="_24">[2]costo!#REF!</definedName>
    <definedName name="_26" localSheetId="0">[2]costo!#REF!</definedName>
    <definedName name="_26">[2]costo!#REF!</definedName>
    <definedName name="_27" localSheetId="0">[2]costo!#REF!</definedName>
    <definedName name="_27">[2]costo!#REF!</definedName>
    <definedName name="_3" localSheetId="0">[2]costo!#REF!</definedName>
    <definedName name="_3">[2]costo!#REF!</definedName>
    <definedName name="_4" localSheetId="0">[2]costo!#REF!</definedName>
    <definedName name="_4">[2]costo!#REF!</definedName>
    <definedName name="_5" localSheetId="0">[2]costo!#REF!</definedName>
    <definedName name="_5">[2]costo!#REF!</definedName>
    <definedName name="_6" localSheetId="0">[2]costo!#REF!</definedName>
    <definedName name="_6">[2]costo!#REF!</definedName>
    <definedName name="_7" localSheetId="0">[2]costo!#REF!</definedName>
    <definedName name="_7">[2]costo!#REF!</definedName>
    <definedName name="_COM1" localSheetId="0">#REF!</definedName>
    <definedName name="_COM1">#REF!</definedName>
    <definedName name="_COM2" localSheetId="0">#REF!</definedName>
    <definedName name="_COM2">#REF!</definedName>
    <definedName name="_COM3" localSheetId="0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 localSheetId="0">#REF!</definedName>
    <definedName name="_F">#REF!</definedName>
    <definedName name="_FC" localSheetId="0">#REF!</definedName>
    <definedName name="_FC">#REF!</definedName>
    <definedName name="_Fill" localSheetId="0" hidden="1">#REF!</definedName>
    <definedName name="_Fill" hidden="1">#REF!</definedName>
    <definedName name="_GOR2" localSheetId="0">#REF!</definedName>
    <definedName name="_GOR2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Lab1">[5]MiniDB!$D$69</definedName>
    <definedName name="_Lab2">[5]MiniDB!$D$70</definedName>
    <definedName name="_Lab3">[5]MiniDB!$D$71</definedName>
    <definedName name="_Lab4">[5]MiniDB!$D$72</definedName>
    <definedName name="_Lab5">[5]MiniDB!$D$73</definedName>
    <definedName name="_MACRO">#N/A</definedName>
    <definedName name="_MSG2" localSheetId="0">#REF!</definedName>
    <definedName name="_MSG2">#REF!</definedName>
    <definedName name="_MTR1" localSheetId="0">#REF!</definedName>
    <definedName name="_MTR1">#REF!</definedName>
    <definedName name="_Oil1">[5]MiniDB!$D$22</definedName>
    <definedName name="_Oil2">[5]MiniDB!$D$23</definedName>
    <definedName name="_Oil3">[5]MiniDB!$D$24</definedName>
    <definedName name="_Order1" hidden="1">255</definedName>
    <definedName name="_Order2" hidden="1">255</definedName>
    <definedName name="_P" localSheetId="0">#REF!</definedName>
    <definedName name="_P">#REF!</definedName>
    <definedName name="_PAG1" localSheetId="0">#REF!</definedName>
    <definedName name="_PAG1">#REF!</definedName>
    <definedName name="_PAG2" localSheetId="0">#REF!</definedName>
    <definedName name="_PAG2">#REF!</definedName>
    <definedName name="_PAG3" localSheetId="0">#REF!</definedName>
    <definedName name="_PAG3">#REF!</definedName>
    <definedName name="_pc97">'[6]PC97 98'!$A$7</definedName>
    <definedName name="_PCO1" localSheetId="0">#REF!</definedName>
    <definedName name="_PCO1">#REF!</definedName>
    <definedName name="_PCO2" localSheetId="0">#REF!</definedName>
    <definedName name="_PCO2">#REF!</definedName>
    <definedName name="_PCO3" localSheetId="0">#REF!</definedName>
    <definedName name="_PCO3">#REF!</definedName>
    <definedName name="_PCO4" localSheetId="0">#REF!</definedName>
    <definedName name="_PCO4">#REF!</definedName>
    <definedName name="_Pdb1">[5]MiniDB!$D$11</definedName>
    <definedName name="_Pdb2">[5]MiniDB!$D$8</definedName>
    <definedName name="_Pdb3">[5]MiniDB!$D$3</definedName>
    <definedName name="_PDG1" localSheetId="0">#REF!</definedName>
    <definedName name="_PDG1">#REF!</definedName>
    <definedName name="_PDG2" localSheetId="0">#REF!</definedName>
    <definedName name="_PDG2">#REF!</definedName>
    <definedName name="_PDG3" localSheetId="0">#REF!</definedName>
    <definedName name="_PDG3">#REF!</definedName>
    <definedName name="_PDG4" localSheetId="0">#REF!</definedName>
    <definedName name="_PDG4">#REF!</definedName>
    <definedName name="_PDG5" localSheetId="0">#REF!</definedName>
    <definedName name="_PDG5">#REF!</definedName>
    <definedName name="_PDG6" localSheetId="0">#REF!</definedName>
    <definedName name="_PDG6">#REF!</definedName>
    <definedName name="_r">#REF!</definedName>
    <definedName name="_RC5" localSheetId="0">#REF!</definedName>
    <definedName name="_RC5">#REF!</definedName>
    <definedName name="_Regression_Int" hidden="1">1</definedName>
    <definedName name="_Rgo1">[5]MiniDB!$D$52</definedName>
    <definedName name="_Rgo2">[5]MiniDB!$D$53</definedName>
    <definedName name="_Rgo3">[5]MiniDB!$D$54</definedName>
    <definedName name="_Rgo4">[5]MiniDB!$D$55</definedName>
    <definedName name="_Sort" localSheetId="0" hidden="1">#REF!</definedName>
    <definedName name="_Sort" hidden="1">#REF!</definedName>
    <definedName name="_Tdb1">[5]MiniDB!$D$28</definedName>
    <definedName name="_Tdb2">[5]MiniDB!$D$29</definedName>
    <definedName name="_Tdb3">[5]MiniDB!$D$30</definedName>
    <definedName name="_TP" localSheetId="0">#REF!</definedName>
    <definedName name="_TP">#REF!</definedName>
    <definedName name="_TPF" localSheetId="0">#REF!</definedName>
    <definedName name="_TPF">#REF!</definedName>
    <definedName name="_WO2006" localSheetId="0">[7]InfRep.11_2003!#REF!</definedName>
    <definedName name="_WO2006">[7]InfRep.11_2003!#REF!</definedName>
    <definedName name="_WTI1" localSheetId="0">#REF!</definedName>
    <definedName name="_WTI1">#REF!</definedName>
    <definedName name="_WTI2" localSheetId="0">#REF!</definedName>
    <definedName name="_WTI2">#REF!</definedName>
    <definedName name="_WTI3" localSheetId="0">#REF!</definedName>
    <definedName name="_WTI3">#REF!</definedName>
    <definedName name="_WTI4" localSheetId="0">#REF!</definedName>
    <definedName name="_WTI4">#REF!</definedName>
    <definedName name="_x002">'[8]500'!$A$1:$N$60</definedName>
    <definedName name="_X01">'[8]500'!$A$1:$N$60</definedName>
    <definedName name="A" localSheetId="0">#REF!</definedName>
    <definedName name="A">#REF!</definedName>
    <definedName name="A_IMPRESION_IM" localSheetId="0">#REF!</definedName>
    <definedName name="A_IMPRESION_IM">#REF!</definedName>
    <definedName name="A_impresión_IM" localSheetId="0">#REF!</definedName>
    <definedName name="A_impresión_IM">#REF!</definedName>
    <definedName name="A_IMPRESIÚN_IM" localSheetId="0">#REF!</definedName>
    <definedName name="A_IMPRESIÚN_IM">#REF!</definedName>
    <definedName name="A_pozo">[5]MiniDB!$D$39</definedName>
    <definedName name="aa" hidden="1">#REF!</definedName>
    <definedName name="aaaa" hidden="1">#REF!</definedName>
    <definedName name="AbrirImprimir">[9]!AbrirImprimir</definedName>
    <definedName name="ACT" localSheetId="0">#REF!</definedName>
    <definedName name="ACT">#REF!</definedName>
    <definedName name="Actual" localSheetId="0">#REF!</definedName>
    <definedName name="Actual">#REF!</definedName>
    <definedName name="Adic" localSheetId="0">[10]CS!$A$31:$A$38</definedName>
    <definedName name="Adic">[11]CS!$A$31:$A$38</definedName>
    <definedName name="ADIC_CCT" localSheetId="0">[12]BD_ADICIONALES.PETROLERO!$A$8:$A$14</definedName>
    <definedName name="ADIC_CCT">[13]BD_ADICIONALES!$A$8:$A$14</definedName>
    <definedName name="ADIC_IMPORTE" localSheetId="0">[12]BD_ADICIONALES.PETROLERO!$BE$8:$FL$14</definedName>
    <definedName name="ADIC_IMPORTE">[13]BD_ADICIONALES!$B$8:$ER$14</definedName>
    <definedName name="Adic_Intern">#REF!</definedName>
    <definedName name="ADIC_ITEM" localSheetId="0">[12]BD_ADICIONALES.PETROLERO!$BE$6:$FL$6</definedName>
    <definedName name="ADIC_ITEM">[13]BD_ADICIONALES!$B$6:$ET$6</definedName>
    <definedName name="ADIC_MES" localSheetId="0">[12]BD_ADICIONALES.PETROLERO!$BE$7:$FL$7</definedName>
    <definedName name="ADIC_MES">[13]BD_ADICIONALES!$B$7:$FQ$7</definedName>
    <definedName name="ADIC_PROVINCIA">[14]BD_ADICIONALES!$B$8:$B$16</definedName>
    <definedName name="Administración">#REF!</definedName>
    <definedName name="Afe_Buscado" localSheetId="0">[15]Cotizaciones!#REF!</definedName>
    <definedName name="Afe_Buscado">[15]Cotizaciones!#REF!</definedName>
    <definedName name="Agua" localSheetId="0">#REF!</definedName>
    <definedName name="Agua">#REF!</definedName>
    <definedName name="AGUA.INY" localSheetId="0">#REF!</definedName>
    <definedName name="AGUA.INY">#REF!</definedName>
    <definedName name="AGUA_ACTUAL_YAC11" localSheetId="0">'[16]producción por yac-bloques'!#REF!</definedName>
    <definedName name="AGUA_ACTUAL_YAC11">'[16]producción por yac-bloques'!#REF!</definedName>
    <definedName name="aisla150" localSheetId="0">#REF!</definedName>
    <definedName name="aisla150">#REF!</definedName>
    <definedName name="aisla600" localSheetId="0">#REF!</definedName>
    <definedName name="aisla600">#REF!</definedName>
    <definedName name="amamam">#N/A</definedName>
    <definedName name="amamama">#N/A</definedName>
    <definedName name="AMORT">#N/A</definedName>
    <definedName name="Amperaje" localSheetId="0">#REF!</definedName>
    <definedName name="Amperaje">#REF!</definedName>
    <definedName name="Analisis" localSheetId="0">#REF!</definedName>
    <definedName name="Analisis">#REF!</definedName>
    <definedName name="Analisis_Final" localSheetId="0">#REF!</definedName>
    <definedName name="Analisis_Final">#REF!</definedName>
    <definedName name="anioIni">[17]TABLERO!$C$6</definedName>
    <definedName name="anlisis" localSheetId="0">#REF!</definedName>
    <definedName name="anlisis">#REF!</definedName>
    <definedName name="ANSW" localSheetId="0">#REF!</definedName>
    <definedName name="ANSW">#REF!</definedName>
    <definedName name="AOF">[5]MiniDB!$D$43</definedName>
    <definedName name="API" localSheetId="0">#REF!</definedName>
    <definedName name="API">#REF!</definedName>
    <definedName name="APIDB">[18]API!$A$2:$M$102</definedName>
    <definedName name="aqerqwer" hidden="1">#REF!</definedName>
    <definedName name="areaniv" localSheetId="0">#REF!</definedName>
    <definedName name="areaniv">#REF!</definedName>
    <definedName name="ary" localSheetId="0">#REF!</definedName>
    <definedName name="ary">#REF!</definedName>
    <definedName name="asd" localSheetId="0">#REF!</definedName>
    <definedName name="asd">#REF!</definedName>
    <definedName name="asdf" localSheetId="0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 localSheetId="0">#REF!</definedName>
    <definedName name="B">#REF!</definedName>
    <definedName name="B_pozo">[5]MiniDB!$D$40</definedName>
    <definedName name="B4450.">#REF!</definedName>
    <definedName name="Bacterias" localSheetId="0">'[19]Ultima Medicion'!$V$1:$W$5</definedName>
    <definedName name="Bacterias">'[20]Ultima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[21]Dic2001!$A$12:$I$112</definedName>
    <definedName name="Base6">#REF!</definedName>
    <definedName name="Base7">#REF!</definedName>
    <definedName name="BaseDatos" localSheetId="0">#REF!</definedName>
    <definedName name="BaseDatos">#REF!</definedName>
    <definedName name="_xlnm.Database" localSheetId="0">#REF!</definedName>
    <definedName name="_xlnm.Database">#REF!</definedName>
    <definedName name="BaseGastos">#REF!</definedName>
    <definedName name="bb">#REF!</definedName>
    <definedName name="bbaINY" localSheetId="0">'[19]Impulsion Bomba Inyectora'!$A$4:$U$231</definedName>
    <definedName name="bbaINY">'[20]Impulsion Bomba Inyectora'!$A$4:$U$231</definedName>
    <definedName name="Bbl">[22]Tablas!$I$4</definedName>
    <definedName name="BHP" localSheetId="0">#REF!</definedName>
    <definedName name="BHP">#REF!</definedName>
    <definedName name="BHT" localSheetId="0">#REF!</definedName>
    <definedName name="BHT">#REF!</definedName>
    <definedName name="bipp">[23]SPLITS!#REF!</definedName>
    <definedName name="BOLIVARES">#REF!</definedName>
    <definedName name="Bolívares">#REF!</definedName>
    <definedName name="Bolívares_MRIL">#REF!</definedName>
    <definedName name="BOMBAS">#N/A</definedName>
    <definedName name="Bono">[21]Dic2001!$F$12:$F$112</definedName>
    <definedName name="BorrarHoja">[9]!BorrarHoja</definedName>
    <definedName name="BorrarProducc">[24]Production!$C$6:$L$306</definedName>
    <definedName name="brantes" localSheetId="0">[25]Sheet1!#REF!</definedName>
    <definedName name="brantes">[25]Sheet1!#REF!</definedName>
    <definedName name="brdesp" localSheetId="0">[25]Sheet1!#REF!</definedName>
    <definedName name="brdesp">[25]Sheet1!#REF!</definedName>
    <definedName name="BRUTA" localSheetId="0">#REF!</definedName>
    <definedName name="BRUTA">#REF!</definedName>
    <definedName name="Bruta_Antes" localSheetId="0">#REF!</definedName>
    <definedName name="Bruta_Antes">#REF!</definedName>
    <definedName name="Bruta_despues" localSheetId="0">#REF!</definedName>
    <definedName name="Bruta_despues">#REF!</definedName>
    <definedName name="BSW" localSheetId="0">#REF!</definedName>
    <definedName name="BSW">#REF!</definedName>
    <definedName name="BUILDUP" localSheetId="0">#REF!</definedName>
    <definedName name="BUILDUP">#REF!</definedName>
    <definedName name="C_" localSheetId="0">#REF!</definedName>
    <definedName name="C_">#REF!</definedName>
    <definedName name="c_Afe" localSheetId="0">#REF!</definedName>
    <definedName name="c_Afe">#REF!</definedName>
    <definedName name="c_Analisis" localSheetId="0">#REF!</definedName>
    <definedName name="c_Analisis">#REF!</definedName>
    <definedName name="c_Equipo" localSheetId="0">#REF!</definedName>
    <definedName name="c_Equipo">#REF!</definedName>
    <definedName name="c_Estado" localSheetId="0">#REF!</definedName>
    <definedName name="c_Estado">#REF!</definedName>
    <definedName name="c_Fin" localSheetId="0">#REF!</definedName>
    <definedName name="c_Fin">#REF!</definedName>
    <definedName name="c_Inicio" localSheetId="0">#REF!</definedName>
    <definedName name="c_Inicio">#REF!</definedName>
    <definedName name="c_Objetivo" localSheetId="0">#REF!</definedName>
    <definedName name="c_Objetivo">#REF!</definedName>
    <definedName name="C_pozo" localSheetId="0">[5]MiniDB!$D$41</definedName>
    <definedName name="c_Pozo">#REF!</definedName>
    <definedName name="CA" localSheetId="0">#REF!</definedName>
    <definedName name="CA">#REF!</definedName>
    <definedName name="cables" localSheetId="0">#REF!</definedName>
    <definedName name="cables">#REF!</definedName>
    <definedName name="CALCULOS" localSheetId="0">#REF!</definedName>
    <definedName name="CALCULOS">#REF!</definedName>
    <definedName name="CALIB" localSheetId="0">#REF!</definedName>
    <definedName name="CALIB">#REF!</definedName>
    <definedName name="CALIB1" localSheetId="0">#REF!</definedName>
    <definedName name="CALIB1">#REF!</definedName>
    <definedName name="CAMBIO">#REF!</definedName>
    <definedName name="CamionerosPozos">#REF!</definedName>
    <definedName name="Camisa">'[26]Coef.'!$J$112:$J$115</definedName>
    <definedName name="CANO" localSheetId="0">#REF!</definedName>
    <definedName name="CANO">#REF!</definedName>
    <definedName name="Cant_CV">#REF!</definedName>
    <definedName name="Cant_turnos">#REF!</definedName>
    <definedName name="CANTESP" localSheetId="0">#REF!</definedName>
    <definedName name="CANTESP">#REF!</definedName>
    <definedName name="CARGAR" localSheetId="0">#REF!</definedName>
    <definedName name="CARGAR">#REF!</definedName>
    <definedName name="Cargo">#REF!</definedName>
    <definedName name="Carrera" localSheetId="0">#REF!</definedName>
    <definedName name="Carrera">#REF!</definedName>
    <definedName name="cash" localSheetId="0">#REF!</definedName>
    <definedName name="cash">#REF!</definedName>
    <definedName name="Categoria" localSheetId="0">[27]Hoja3!$A$2:$A$9</definedName>
    <definedName name="Categoria">[28]Hoja3!$A$2:$A$9</definedName>
    <definedName name="Catepp" localSheetId="0">[10]GdP!$F$5:$K$5</definedName>
    <definedName name="Catepp">[11]GdP!$F$5:$K$5</definedName>
    <definedName name="Catot" localSheetId="0">[10]GdP!$F$61:$K$61</definedName>
    <definedName name="Catot">[11]GdP!$F$61:$K$61</definedName>
    <definedName name="CBIOBOMBAS">'[29]CAMBIO DE BOMBA'!$A$1:$J$59</definedName>
    <definedName name="CBIOBOMBASPERDIDA">'[29]CAMBIO DE BOMBA'!$A$136:$J$199</definedName>
    <definedName name="CBIOBOMBASTOTAL">'[29]CAMBIO DE BOMBA'!$A$66:$J$129</definedName>
    <definedName name="cc">#REF!</definedName>
    <definedName name="ccc" localSheetId="0">#REF!</definedName>
    <definedName name="ccc">#REF!</definedName>
    <definedName name="CCT_1" localSheetId="0">#REF!</definedName>
    <definedName name="CCT_1">#REF!</definedName>
    <definedName name="CCT_2" localSheetId="0">#REF!</definedName>
    <definedName name="CCT_2">#REF!</definedName>
    <definedName name="Ce" localSheetId="0">#REF!</definedName>
    <definedName name="Ce">#REF!</definedName>
    <definedName name="Ce35A">[30]Pulling!$C$24</definedName>
    <definedName name="CeCos">[31]CeCos!$D$2:$D$1842</definedName>
    <definedName name="Celdasaborrar">[32]Planilla!$B$9:$C$33,[32]Planilla!$BG$8:$BM$33</definedName>
    <definedName name="CENTENARIO" localSheetId="0">#REF!</definedName>
    <definedName name="CENTENARIO">#REF!</definedName>
    <definedName name="CF" localSheetId="0">#REF!</definedName>
    <definedName name="CF">#REF!</definedName>
    <definedName name="cftr">'[33]500'!$A$1:$N$61</definedName>
    <definedName name="CH_DATE" localSheetId="0">#REF!</definedName>
    <definedName name="CH_DATE">#REF!</definedName>
    <definedName name="CH_PAGE" localSheetId="0">#REF!</definedName>
    <definedName name="CH_PAGE">#REF!</definedName>
    <definedName name="chapa" localSheetId="0">#REF!</definedName>
    <definedName name="chapa">#REF!</definedName>
    <definedName name="CHECK" localSheetId="0">#REF!</definedName>
    <definedName name="CHECK">#REF!</definedName>
    <definedName name="cia">#REF!</definedName>
    <definedName name="CINCO">"Lista desplegable 1"</definedName>
    <definedName name="Ciudad">#REF!</definedName>
    <definedName name="Clor1">[5]MiniDB!$D$21</definedName>
    <definedName name="Clor2">[5]MiniDB!$D$20</definedName>
    <definedName name="Clor3">[5]MiniDB!$D$19</definedName>
    <definedName name="cmax" localSheetId="0">#REF!</definedName>
    <definedName name="cmax">#REF!</definedName>
    <definedName name="cmin" localSheetId="0">#REF!</definedName>
    <definedName name="cmin">#REF!</definedName>
    <definedName name="CNT" localSheetId="0">#REF!</definedName>
    <definedName name="CNT">#REF!</definedName>
    <definedName name="CNTR" localSheetId="0">#REF!</definedName>
    <definedName name="CNTR">#REF!</definedName>
    <definedName name="Co">#REF!</definedName>
    <definedName name="cober1">[34]Hoja1!$F$3:$F$6</definedName>
    <definedName name="Cobertura">[35]Cobertura!$K$12:$K$13</definedName>
    <definedName name="code">[18]Data!$I$13</definedName>
    <definedName name="coef">'[36]COEF. C'!$A$5:$B$104</definedName>
    <definedName name="Cola_camisa">'[26]Coef.'!$J$117:$J$122</definedName>
    <definedName name="COLOR" localSheetId="0">#REF!</definedName>
    <definedName name="COLOR">#REF!</definedName>
    <definedName name="columna1" localSheetId="0">#REF!</definedName>
    <definedName name="columna1">#REF!</definedName>
    <definedName name="columna10" localSheetId="0">#REF!</definedName>
    <definedName name="columna10">#REF!</definedName>
    <definedName name="columna11" localSheetId="0">#REF!</definedName>
    <definedName name="columna11">#REF!</definedName>
    <definedName name="columna12" localSheetId="0">#REF!</definedName>
    <definedName name="columna12">#REF!</definedName>
    <definedName name="columna13" localSheetId="0">#REF!</definedName>
    <definedName name="columna13">#REF!</definedName>
    <definedName name="columna14" localSheetId="0">#REF!</definedName>
    <definedName name="columna14">#REF!</definedName>
    <definedName name="columna2" localSheetId="0">#REF!</definedName>
    <definedName name="columna2">#REF!</definedName>
    <definedName name="columna3" localSheetId="0">#REF!</definedName>
    <definedName name="columna3">#REF!</definedName>
    <definedName name="columna4" localSheetId="0">#REF!</definedName>
    <definedName name="columna4">#REF!</definedName>
    <definedName name="columna5" localSheetId="0">#REF!</definedName>
    <definedName name="columna5">#REF!</definedName>
    <definedName name="columna6" localSheetId="0">#REF!</definedName>
    <definedName name="columna6">#REF!</definedName>
    <definedName name="columna7" localSheetId="0">#REF!</definedName>
    <definedName name="columna7">#REF!</definedName>
    <definedName name="columna8" localSheetId="0">#REF!</definedName>
    <definedName name="columna8">#REF!</definedName>
    <definedName name="columna9" localSheetId="0">#REF!</definedName>
    <definedName name="columna9">#REF!</definedName>
    <definedName name="CombPerf" localSheetId="0">#REF!</definedName>
    <definedName name="CombPerf">#REF!</definedName>
    <definedName name="CombustibleF4000" localSheetId="0">#REF!</definedName>
    <definedName name="CombustibleF4000">#REF!</definedName>
    <definedName name="CombustibleRanger" localSheetId="0">#REF!</definedName>
    <definedName name="CombustibleRanger">#REF!</definedName>
    <definedName name="CombustibleRetro" localSheetId="0">#REF!</definedName>
    <definedName name="CombustibleRetro">#REF!</definedName>
    <definedName name="COMENT" localSheetId="0">#REF!</definedName>
    <definedName name="COMENT">#REF!</definedName>
    <definedName name="Comer" localSheetId="0">#REF!</definedName>
    <definedName name="Comer">#REF!</definedName>
    <definedName name="Comerc" localSheetId="0">#REF!</definedName>
    <definedName name="Comerc">#REF!</definedName>
    <definedName name="CompC" localSheetId="0">#REF!</definedName>
    <definedName name="CompC">#REF!</definedName>
    <definedName name="ComprPeriods">[24]Production!$P$4</definedName>
    <definedName name="cond">[18]Data!$J$13</definedName>
    <definedName name="CONT\Y" localSheetId="0">[1]Sheet6!#REF!</definedName>
    <definedName name="CONT\Y">[1]Sheet6!#REF!</definedName>
    <definedName name="Contacto">#REF!</definedName>
    <definedName name="CONTADOR" localSheetId="0">[1]Sheet6!#REF!</definedName>
    <definedName name="CONTADOR">[1]Sheet6!#REF!</definedName>
    <definedName name="continua" localSheetId="0">'Fórmulas de Ajuste'!continua</definedName>
    <definedName name="continua">[0]!continua</definedName>
    <definedName name="controasist">[37]Hoja1!$H$1:$H$4</definedName>
    <definedName name="Control" localSheetId="0">#REF!</definedName>
    <definedName name="Control">#REF!</definedName>
    <definedName name="CONTROLADOR" localSheetId="0">[1]Sheet6!#REF!</definedName>
    <definedName name="CONTROLADOR">[1]Sheet6!#REF!</definedName>
    <definedName name="conv1">[18]Data!$AF$3</definedName>
    <definedName name="conv2">[18]Data!$AF$4</definedName>
    <definedName name="conv3">[18]Data!$AF$5</definedName>
    <definedName name="Conyuge">#REF!</definedName>
    <definedName name="Conyuge1">#REF!</definedName>
    <definedName name="CORROSION">#N/A</definedName>
    <definedName name="costos_diectos">'[38]Cuadro de Resultados'!#REF!</definedName>
    <definedName name="COTA" localSheetId="0">#REF!</definedName>
    <definedName name="COTA">#REF!</definedName>
    <definedName name="Coti" localSheetId="0">#REF!</definedName>
    <definedName name="Coti">#REF!</definedName>
    <definedName name="Coti_01">[39]Tablas!$D$4</definedName>
    <definedName name="Coti_02">[39]Tablas!$D$5</definedName>
    <definedName name="Coti_03">[39]Tablas!$D$6</definedName>
    <definedName name="Coti_04">[39]Tablas!$D$7</definedName>
    <definedName name="Coti_05">[39]Tablas!$D$8</definedName>
    <definedName name="Coti_06">[39]Tablas!$D$9</definedName>
    <definedName name="Coti_07">[39]Tablas!$D$10</definedName>
    <definedName name="Coti_08">[39]Tablas!$D$11</definedName>
    <definedName name="Coti_09">[39]Tablas!$D$12</definedName>
    <definedName name="Coti_10">[39]Tablas!$D$13</definedName>
    <definedName name="Coti_11">[39]Tablas!$D$14</definedName>
    <definedName name="Coti_12">[39]Tablas!$D$15</definedName>
    <definedName name="cotiz">'[32]WO 1'!$Q$53</definedName>
    <definedName name="CP" localSheetId="0">#REF!</definedName>
    <definedName name="CP">#REF!</definedName>
    <definedName name="CPG" localSheetId="0">#REF!</definedName>
    <definedName name="CPG">#REF!</definedName>
    <definedName name="CPL" localSheetId="0">#REF!</definedName>
    <definedName name="CPL">#REF!</definedName>
    <definedName name="Criterio">#REF!</definedName>
    <definedName name="CS" localSheetId="0">#REF!</definedName>
    <definedName name="CS">#REF!</definedName>
    <definedName name="CSUB2" localSheetId="0">#REF!</definedName>
    <definedName name="CSUB2">#REF!</definedName>
    <definedName name="CUAR" localSheetId="0">[1]Sheet6!#REF!</definedName>
    <definedName name="CUAR">[1]Sheet6!#REF!</definedName>
    <definedName name="CUAR2" localSheetId="0">[1]Sheet5!#REF!</definedName>
    <definedName name="CUAR2">[1]Sheet5!#REF!</definedName>
    <definedName name="Cuartil1">[5]MiniDB!$D$46</definedName>
    <definedName name="Cuartil2">[5]MiniDB!$D$47</definedName>
    <definedName name="Cuartil3">[5]MiniDB!$D$48</definedName>
    <definedName name="Cuenta">#REF!</definedName>
    <definedName name="Curvaprog" localSheetId="0">#REF!</definedName>
    <definedName name="Curvaprog">#REF!</definedName>
    <definedName name="CUST" localSheetId="0">#REF!</definedName>
    <definedName name="CUST">#REF!</definedName>
    <definedName name="D" localSheetId="0">#REF!</definedName>
    <definedName name="D">#REF!</definedName>
    <definedName name="D_pozo">[5]MiniDB!$D$42</definedName>
    <definedName name="DATA_PRES.DIN" localSheetId="0">#REF!</definedName>
    <definedName name="DATA_PRES.DIN">#REF!</definedName>
    <definedName name="DATA_PRES_DIN" localSheetId="0">#REF!</definedName>
    <definedName name="DATA_PRES_DIN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 localSheetId="0">#REF!</definedName>
    <definedName name="DATE">#REF!</definedName>
    <definedName name="DATE0" localSheetId="0">#REF!</definedName>
    <definedName name="DATE0">#REF!</definedName>
    <definedName name="datos" localSheetId="0">[40]RUBROS!$A$2:$B$562</definedName>
    <definedName name="DATOS">[41]DATOS!$A$1:$B$29</definedName>
    <definedName name="Datosaingresar" localSheetId="0">#REF!</definedName>
    <definedName name="Datosaingresar">#REF!</definedName>
    <definedName name="datosimp" localSheetId="0">#REF!</definedName>
    <definedName name="datosimp">#REF!</definedName>
    <definedName name="datosparo" localSheetId="0">#REF!</definedName>
    <definedName name="datosparo">#REF!</definedName>
    <definedName name="dd" localSheetId="0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 localSheetId="0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'[29]PESCA DE V-B'!$A$69:$J$133</definedName>
    <definedName name="det">#REF!</definedName>
    <definedName name="dete">#REF!</definedName>
    <definedName name="dhsl" localSheetId="0">#REF!</definedName>
    <definedName name="dhsl">#REF!</definedName>
    <definedName name="diagrama" localSheetId="0">#REF!</definedName>
    <definedName name="diagrama">#REF!</definedName>
    <definedName name="diam">[18]Data!$E$7</definedName>
    <definedName name="Días_a_cubrir">#REF!</definedName>
    <definedName name="Días_descanso_titular">#REF!</definedName>
    <definedName name="Días_trabajdos_titular">#REF!</definedName>
    <definedName name="DIC">'[42]Informe global'!$A$6:$AA$107</definedName>
    <definedName name="DIFF" localSheetId="0">#REF!</definedName>
    <definedName name="DIFF">#REF!</definedName>
    <definedName name="Dirección">#REF!</definedName>
    <definedName name="dlev">[18]Data!$D$11</definedName>
    <definedName name="Do">#REF!</definedName>
    <definedName name="Dolar" localSheetId="0">#REF!</definedName>
    <definedName name="Dolar">#REF!</definedName>
    <definedName name="Dólar" localSheetId="0">#REF!</definedName>
    <definedName name="Dólar">#REF!</definedName>
    <definedName name="DOLARES">#REF!</definedName>
    <definedName name="Dólares">#REF!</definedName>
    <definedName name="Dólares_MRIL">#REF!</definedName>
    <definedName name="dp">[18]Data!$H$7</definedName>
    <definedName name="DR_" localSheetId="0">#REF!</definedName>
    <definedName name="DR_">#REF!</definedName>
    <definedName name="DR_1" localSheetId="0">#REF!</definedName>
    <definedName name="DR_1">#REF!</definedName>
    <definedName name="drf" localSheetId="0">#REF!</definedName>
    <definedName name="drf">#REF!</definedName>
    <definedName name="dro">[18]Data!$D$17</definedName>
    <definedName name="drw">[18]Data!$D$19</definedName>
    <definedName name="DTOMAT8">#N/A</definedName>
    <definedName name="DTORMAT">#N/A</definedName>
    <definedName name="DTORSER">#N/A</definedName>
    <definedName name="DTOSER8">#N/A</definedName>
    <definedName name="dyyi" localSheetId="0">#REF!</definedName>
    <definedName name="dyyi">#REF!</definedName>
    <definedName name="E" localSheetId="0">#REF!</definedName>
    <definedName name="E">#REF!</definedName>
    <definedName name="EC_ANtes" localSheetId="0">#REF!</definedName>
    <definedName name="EC_ANtes">#REF!</definedName>
    <definedName name="ec_despues" localSheetId="0">#REF!</definedName>
    <definedName name="ec_despues">#REF!</definedName>
    <definedName name="ecant" localSheetId="0">[25]Sheet1!#REF!</definedName>
    <definedName name="ecant">[25]Sheet1!#REF!</definedName>
    <definedName name="ecdesp" localSheetId="0">[25]Sheet1!#REF!</definedName>
    <definedName name="ecdesp">[25]Sheet1!#REF!</definedName>
    <definedName name="EDIT2" localSheetId="0">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0">#REF!</definedName>
    <definedName name="ejecucion">#REF!</definedName>
    <definedName name="EL__PORVENIR" localSheetId="0">#REF!</definedName>
    <definedName name="EL__PORVENIR">#REF!</definedName>
    <definedName name="ELAPS" localSheetId="0">#REF!</definedName>
    <definedName name="ELAPS">#REF!</definedName>
    <definedName name="Empresa">[43]Hoja1!$B$55:$B$56</definedName>
    <definedName name="EMPRESA_DEL_GRUPO">#REF!</definedName>
    <definedName name="END" localSheetId="0">'Fórmulas de Ajuste'!END</definedName>
    <definedName name="END">[0]!END</definedName>
    <definedName name="entAPI" localSheetId="0">#REF!</definedName>
    <definedName name="entAPI">#REF!</definedName>
    <definedName name="entBAF" localSheetId="0">'[19]Entrada Tk Bafle'!$A$7:$P$81</definedName>
    <definedName name="entBAF">'[20]Entrada Tk Bafle'!$A$7:$P$81</definedName>
    <definedName name="enter150" localSheetId="0">#REF!</definedName>
    <definedName name="enter150">#REF!</definedName>
    <definedName name="enter600" localSheetId="0">#REF!</definedName>
    <definedName name="enter600">#REF!</definedName>
    <definedName name="entidad" localSheetId="0">#REF!</definedName>
    <definedName name="entidad">#REF!</definedName>
    <definedName name="EQUIPAMIENTO" localSheetId="0">#REF!</definedName>
    <definedName name="EQUIPAMIENTO">#REF!</definedName>
    <definedName name="equipo" localSheetId="0">#REF!</definedName>
    <definedName name="equipo">#REF!</definedName>
    <definedName name="EquipoBASE" localSheetId="0">#REF!</definedName>
    <definedName name="EquipoBASE">#REF!</definedName>
    <definedName name="EquipoCIS" localSheetId="0">#REF!</definedName>
    <definedName name="EquipoCIS">#REF!</definedName>
    <definedName name="EquipoFUGAS" localSheetId="0">#REF!</definedName>
    <definedName name="EquipoFUGAS">#REF!</definedName>
    <definedName name="EquipoPAT" localSheetId="0">#REF!</definedName>
    <definedName name="EquipoPAT">#REF!</definedName>
    <definedName name="EquipoPCM" localSheetId="0">#REF!</definedName>
    <definedName name="EquipoPCM">#REF!</definedName>
    <definedName name="EquiposPC" localSheetId="0">#REF!</definedName>
    <definedName name="EquiposPC">#REF!</definedName>
    <definedName name="er" localSheetId="0">#REF!</definedName>
    <definedName name="er">#REF!</definedName>
    <definedName name="esc1bbainy" localSheetId="0">#REF!</definedName>
    <definedName name="esc1bbainy">#REF!</definedName>
    <definedName name="esc1ipe843" localSheetId="0">#REF!</definedName>
    <definedName name="esc1ipe843">#REF!</definedName>
    <definedName name="esc1salfw" localSheetId="0">#REF!</definedName>
    <definedName name="esc1salfw">#REF!</definedName>
    <definedName name="Escala">#REF!</definedName>
    <definedName name="Escala2">#REF!</definedName>
    <definedName name="ESPA" localSheetId="0">#REF!</definedName>
    <definedName name="ESPA">#REF!</definedName>
    <definedName name="Est" localSheetId="0">[10]GE!$I$5:$I$36</definedName>
    <definedName name="Est">[11]GE!$I$5:$I$36</definedName>
    <definedName name="et" localSheetId="0">#REF!</definedName>
    <definedName name="et">#REF!</definedName>
    <definedName name="ETAPA" localSheetId="0">[44]MODELO!$D$7</definedName>
    <definedName name="ETAPA">[45]MODELO!$D$7</definedName>
    <definedName name="EVI">#REF!</definedName>
    <definedName name="ex_despues" localSheetId="0">#REF!</definedName>
    <definedName name="ex_despues">#REF!</definedName>
    <definedName name="exdesp" localSheetId="0">[25]Sheet1!#REF!</definedName>
    <definedName name="exdesp">[25]Sheet1!#REF!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 localSheetId="0">#REF!</definedName>
    <definedName name="FB">#REF!</definedName>
    <definedName name="FC.DURACION" localSheetId="0">'[12]FUERA DE CONVENIO'!#REF!</definedName>
    <definedName name="FC.DURACION">#REF!</definedName>
    <definedName name="FC.MES" localSheetId="0">'[12]FUERA DE CONVENIO'!$D$8</definedName>
    <definedName name="FC.MES">#REF!</definedName>
    <definedName name="Fd">[46]ESPESOR!$C$15</definedName>
    <definedName name="Fecha" localSheetId="0">#REF!</definedName>
    <definedName name="Fecha">#REF!</definedName>
    <definedName name="Fecha_Antes" localSheetId="0">#REF!</definedName>
    <definedName name="Fecha_Antes">#REF!</definedName>
    <definedName name="Fecha_Cierre">'[15]Datos Generales'!$C$3</definedName>
    <definedName name="Fecha_despues" localSheetId="0">#REF!</definedName>
    <definedName name="Fecha_despues">#REF!</definedName>
    <definedName name="Fecha1">[5]MiniDB!$D$10</definedName>
    <definedName name="Fecha2">[5]MiniDB!$D$7</definedName>
    <definedName name="Fecha3">[5]MiniDB!$D$2</definedName>
    <definedName name="FECHAFINAL" localSheetId="0">[1]Sheet5!#REF!</definedName>
    <definedName name="FECHAFINAL">[1]Sheet5!#REF!</definedName>
    <definedName name="FECHAFINAL1" localSheetId="0">[1]Sheet5!#REF!</definedName>
    <definedName name="FECHAFINAL1">[1]Sheet5!#REF!</definedName>
    <definedName name="FECHAINICIAL" localSheetId="0">[1]Sheet5!#REF!</definedName>
    <definedName name="FECHAINICIAL">[1]Sheet5!#REF!</definedName>
    <definedName name="FECHAINICIAL1" localSheetId="0">[1]Sheet5!#REF!</definedName>
    <definedName name="FECHAINICIAL1">[1]Sheet5!#REF!</definedName>
    <definedName name="fechant" localSheetId="0">[25]Sheet1!#REF!</definedName>
    <definedName name="fechant">[25]Sheet1!#REF!</definedName>
    <definedName name="fechdesp" localSheetId="0">[25]Sheet1!#REF!</definedName>
    <definedName name="fechdesp">[25]Sheet1!#REF!</definedName>
    <definedName name="ff">#REF!</definedName>
    <definedName name="FG" localSheetId="0">#REF!</definedName>
    <definedName name="FG">#REF!</definedName>
    <definedName name="FIEL" localSheetId="0">#REF!</definedName>
    <definedName name="FIEL">#REF!</definedName>
    <definedName name="FIL" localSheetId="0">#REF!</definedName>
    <definedName name="FIL">#REF!</definedName>
    <definedName name="FixedC" localSheetId="0">#REF!</definedName>
    <definedName name="FixedC">#REF!</definedName>
    <definedName name="FL_ID">[5]MiniDB!$D$36</definedName>
    <definedName name="FL_length">[5]MiniDB!$D$35</definedName>
    <definedName name="Fluido" localSheetId="0">#REF!</definedName>
    <definedName name="Fluido">#REF!</definedName>
    <definedName name="Fono">#REF!</definedName>
    <definedName name="Ford4000" localSheetId="0">#REF!</definedName>
    <definedName name="Ford4000">#REF!</definedName>
    <definedName name="FORM" localSheetId="0">#REF!</definedName>
    <definedName name="FORM">#REF!</definedName>
    <definedName name="FORMAC" localSheetId="0">#REF!</definedName>
    <definedName name="FORMAC">#REF!</definedName>
    <definedName name="Format">'[47]Base General'!#REF!</definedName>
    <definedName name="FPDe">[18]Data!$D$13</definedName>
    <definedName name="FPV" localSheetId="0">#REF!</definedName>
    <definedName name="FPV">#REF!</definedName>
    <definedName name="Frec_1">[5]MiniDB!$D$57</definedName>
    <definedName name="Frec_2">[5]MiniDB!$D$58</definedName>
    <definedName name="Frec_3">[5]MiniDB!$D$59</definedName>
    <definedName name="Frec_4">[5]MiniDB!$D$60</definedName>
    <definedName name="Frec_5">[5]MiniDB!$D$61</definedName>
    <definedName name="Frec_6">[5]MiniDB!$D$62</definedName>
    <definedName name="FS" localSheetId="0">#REF!</definedName>
    <definedName name="FS">#REF!</definedName>
    <definedName name="FSDFSD">#N/A</definedName>
    <definedName name="Ft">[46]ESPESOR!$C$16</definedName>
    <definedName name="FTF" localSheetId="0">#REF!</definedName>
    <definedName name="FTF">#REF!</definedName>
    <definedName name="FU" localSheetId="0">#REF!</definedName>
    <definedName name="FU">#REF!</definedName>
    <definedName name="fv">#REF!</definedName>
    <definedName name="fyioo" localSheetId="0">#REF!</definedName>
    <definedName name="fyioo">#REF!</definedName>
    <definedName name="G" localSheetId="0">#REF!</definedName>
    <definedName name="G">#REF!</definedName>
    <definedName name="G.1" localSheetId="0">#REF!</definedName>
    <definedName name="G.1">#REF!</definedName>
    <definedName name="G.2" localSheetId="0">#REF!</definedName>
    <definedName name="G.2">#REF!</definedName>
    <definedName name="G.3" localSheetId="0">#REF!</definedName>
    <definedName name="G.3">#REF!</definedName>
    <definedName name="gamma">#REF!</definedName>
    <definedName name="Gan_no_Imp">#REF!</definedName>
    <definedName name="Gan_no_imp1">#REF!</definedName>
    <definedName name="Gas" localSheetId="0">#REF!</definedName>
    <definedName name="Gas">#REF!</definedName>
    <definedName name="GAS.INY" localSheetId="0">#REF!</definedName>
    <definedName name="GAS.INY">#REF!</definedName>
    <definedName name="GAS_A" localSheetId="0">#REF!</definedName>
    <definedName name="GAS_A">#REF!</definedName>
    <definedName name="Gas_Antes" localSheetId="0">#REF!</definedName>
    <definedName name="Gas_Antes">#REF!</definedName>
    <definedName name="Gas_despues" localSheetId="0">#REF!</definedName>
    <definedName name="Gas_despues">#REF!</definedName>
    <definedName name="gasant" localSheetId="0">[25]Sheet1!#REF!</definedName>
    <definedName name="gasant">[25]Sheet1!#REF!</definedName>
    <definedName name="gasdesp" localSheetId="0">[25]Sheet1!#REF!</definedName>
    <definedName name="gasdesp">[25]Sheet1!#REF!</definedName>
    <definedName name="GassepModelo">[48]DataCombos2!$B$6:$B$88</definedName>
    <definedName name="GAST" localSheetId="0">#REF!</definedName>
    <definedName name="GAST">#REF!</definedName>
    <definedName name="GC3500_PRICES">'[49]MASTER TABLE'!$I$547:$I$564</definedName>
    <definedName name="GDEP" localSheetId="0">#REF!</definedName>
    <definedName name="GDEP">#REF!</definedName>
    <definedName name="GENERAL">#N/A</definedName>
    <definedName name="GETDAT" localSheetId="0">#REF!</definedName>
    <definedName name="GETDAT">#REF!</definedName>
    <definedName name="gf">#REF!</definedName>
    <definedName name="GG" localSheetId="0">#REF!</definedName>
    <definedName name="GG">#REF!</definedName>
    <definedName name="GGRA" localSheetId="0">#REF!</definedName>
    <definedName name="GGRA">#REF!</definedName>
    <definedName name="GL" localSheetId="0">#REF!</definedName>
    <definedName name="GL">#REF!</definedName>
    <definedName name="GM3D" localSheetId="0">#REF!</definedName>
    <definedName name="GM3D">#REF!</definedName>
    <definedName name="GOR" localSheetId="0">#REF!</definedName>
    <definedName name="GOR">#REF!</definedName>
    <definedName name="Gor_Antes" localSheetId="0">#REF!</definedName>
    <definedName name="Gor_Antes">#REF!</definedName>
    <definedName name="GOR_despues" localSheetId="0">#REF!</definedName>
    <definedName name="GOR_despues">#REF!</definedName>
    <definedName name="gorant" localSheetId="0">[25]Sheet1!#REF!</definedName>
    <definedName name="gorant">[25]Sheet1!#REF!</definedName>
    <definedName name="GPM" localSheetId="0">#REF!</definedName>
    <definedName name="GPM">#REF!</definedName>
    <definedName name="_xlnm.Recorder">#REF!</definedName>
    <definedName name="GRABAR" localSheetId="0">#REF!</definedName>
    <definedName name="GRABAR">#REF!</definedName>
    <definedName name="GrabarCambios">[9]!GrabarCambios</definedName>
    <definedName name="GRABARDIAS" localSheetId="0">[1]Sheet6!#REF!</definedName>
    <definedName name="GRABARDIAS">[1]Sheet6!#REF!</definedName>
    <definedName name="grade">[18]Data!$K$13</definedName>
    <definedName name="Guardias_por_turno">#REF!</definedName>
    <definedName name="h">#REF!</definedName>
    <definedName name="H2O" localSheetId="0">#REF!</definedName>
    <definedName name="H2O">#REF!</definedName>
    <definedName name="hdp" localSheetId="0">[50]WTPO0197!#REF!</definedName>
    <definedName name="hdp">[50]WTPO0197!#REF!</definedName>
    <definedName name="HeatValue" localSheetId="0">#REF!</definedName>
    <definedName name="HeatValue">#REF!</definedName>
    <definedName name="HERRA" localSheetId="0">#REF!</definedName>
    <definedName name="HERRA">#REF!</definedName>
    <definedName name="herramientas">[51]Equipos!#REF!</definedName>
    <definedName name="hh">#REF!</definedName>
    <definedName name="hi" localSheetId="0">#REF!</definedName>
    <definedName name="hi">#REF!</definedName>
    <definedName name="Hijo1">#REF!</definedName>
    <definedName name="Hijos">#REF!</definedName>
    <definedName name="hoja2" localSheetId="0">#REF!</definedName>
    <definedName name="hoja2">#REF!</definedName>
    <definedName name="hoja3" localSheetId="0">#REF!</definedName>
    <definedName name="hoja3">#REF!</definedName>
    <definedName name="hoja4" localSheetId="0">#REF!</definedName>
    <definedName name="hoja4">#REF!</definedName>
    <definedName name="hoja5" localSheetId="0">'[19]Salida Tk Bafle'!$A$7:$P$500</definedName>
    <definedName name="hoja5">'[20]Salida Tk Bafle'!$A$7:$P$500</definedName>
    <definedName name="hoja6" localSheetId="0">'[19]Impulsion Bomba Inyectora'!$A$4:$U$502</definedName>
    <definedName name="hoja6">'[20]Impulsion Bomba Inyectora'!$A$4:$U$502</definedName>
    <definedName name="Horas_por_turno">#REF!</definedName>
    <definedName name="horasp" localSheetId="0">#REF!</definedName>
    <definedName name="horasp">#REF!</definedName>
    <definedName name="HP" localSheetId="0">#REF!</definedName>
    <definedName name="HP">#REF!</definedName>
    <definedName name="hsd" localSheetId="0">#REF!</definedName>
    <definedName name="hsd">#REF!</definedName>
    <definedName name="HVGI" localSheetId="0">#REF!</definedName>
    <definedName name="HVGI">#REF!</definedName>
    <definedName name="HVGS" localSheetId="0">#REF!</definedName>
    <definedName name="HVGS">#REF!</definedName>
    <definedName name="HVLS" localSheetId="0">#REF!</definedName>
    <definedName name="HVLS">#REF!</definedName>
    <definedName name="i">#REF!</definedName>
    <definedName name="IB" localSheetId="0">#REF!</definedName>
    <definedName name="IB">#REF!</definedName>
    <definedName name="iff" localSheetId="0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 localSheetId="0">#REF!</definedName>
    <definedName name="Impuestos">#REF!</definedName>
    <definedName name="imputa">'[52]Canon Taller '!$I$15:$J$19</definedName>
    <definedName name="Income" localSheetId="0">#REF!</definedName>
    <definedName name="Income">#REF!</definedName>
    <definedName name="Indices">[53]Validaciones!$B$79:$B$83</definedName>
    <definedName name="InfoGlob">'[54]Informe global'!$A$6:$AA$90</definedName>
    <definedName name="INI" localSheetId="0">#REF!</definedName>
    <definedName name="INI">#REF!</definedName>
    <definedName name="INICIAL" localSheetId="0">[1]Sheet5!#REF!</definedName>
    <definedName name="INICIAL">[1]Sheet5!#REF!</definedName>
    <definedName name="inicio" localSheetId="0">#REF!</definedName>
    <definedName name="inicio">#REF!</definedName>
    <definedName name="InjectionVC">[24]Datos!$F$66</definedName>
    <definedName name="Insumos_Directo_Indirecto">[55]Validaciones!$B$61:$B$63</definedName>
    <definedName name="INT" localSheetId="0">#REF!</definedName>
    <definedName name="INT">#REF!</definedName>
    <definedName name="INV" localSheetId="0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0">#REF!</definedName>
    <definedName name="Inversiones">#REF!</definedName>
    <definedName name="Investment" localSheetId="0">#REF!</definedName>
    <definedName name="Investment">#REF!</definedName>
    <definedName name="Inygas" localSheetId="0">#REF!</definedName>
    <definedName name="Inygas">#REF!</definedName>
    <definedName name="IS" localSheetId="0">#REF!</definedName>
    <definedName name="IS">#REF!</definedName>
    <definedName name="ITB" localSheetId="0">#REF!</definedName>
    <definedName name="ITB">#REF!</definedName>
    <definedName name="IVA">#REF!</definedName>
    <definedName name="IVA_AÑO">[56]IVA!$C$6:$G$6</definedName>
    <definedName name="IVA_IMPORTE">[56]IVA!$C$7:$G$90</definedName>
    <definedName name="IVA_JURISDICCION">[56]IVA!$B$7:$B$90</definedName>
    <definedName name="j" localSheetId="0">#REF!</definedName>
    <definedName name="j">#REF!</definedName>
    <definedName name="jj">#REF!</definedName>
    <definedName name="JJJF">'[8]PROD DIA Y MES'!$A$1:$P$55</definedName>
    <definedName name="k">#REF!</definedName>
    <definedName name="KFAC" localSheetId="0">#REF!</definedName>
    <definedName name="KFAC">#REF!</definedName>
    <definedName name="kk">#REF!</definedName>
    <definedName name="L._DEL__MOJON_____JARILLOSA_____PTO._SILVA" localSheetId="0">#REF!</definedName>
    <definedName name="L._DEL__MOJON_____JARILLOSA_____PTO._SILVA">#REF!</definedName>
    <definedName name="LABEL" localSheetId="0">#REF!</definedName>
    <definedName name="LABEL">#REF!</definedName>
    <definedName name="lapso" localSheetId="0">#REF!</definedName>
    <definedName name="lapso">#REF!</definedName>
    <definedName name="Lavadero" localSheetId="0">#REF!</definedName>
    <definedName name="Lavadero">#REF!</definedName>
    <definedName name="Lim_inf">[5]MiniDB!$D$51</definedName>
    <definedName name="Lim_sup">[5]MiniDB!$D$56</definedName>
    <definedName name="LIN" localSheetId="0">#REF!</definedName>
    <definedName name="LIN">#REF!</definedName>
    <definedName name="ListaActividades">[57]Datos!$G$6:$G$29</definedName>
    <definedName name="ListaCombustibles" localSheetId="0">#REF!</definedName>
    <definedName name="ListaCombustibles">#REF!</definedName>
    <definedName name="ListaModelos">'[58]Controles procesos'!$B$29:$B$37</definedName>
    <definedName name="ListaNeumaticos" localSheetId="0">#REF!</definedName>
    <definedName name="ListaNeumaticos">#REF!</definedName>
    <definedName name="ListaSueldos" localSheetId="0">#REF!</definedName>
    <definedName name="ListaSueldos">#REF!</definedName>
    <definedName name="ListaTiemposUnidades">[57]Datos!$K$6:$K$10</definedName>
    <definedName name="ll">#REF!</definedName>
    <definedName name="LOC">#REF!</definedName>
    <definedName name="LubeF4000" localSheetId="0">#REF!</definedName>
    <definedName name="LubeF4000">#REF!</definedName>
    <definedName name="LubePerf" localSheetId="0">#REF!</definedName>
    <definedName name="LubePerf">#REF!</definedName>
    <definedName name="LubeRanger" localSheetId="0">#REF!</definedName>
    <definedName name="LubeRanger">#REF!</definedName>
    <definedName name="LubeRetro" localSheetId="0">#REF!</definedName>
    <definedName name="LubeRetro">#REF!</definedName>
    <definedName name="M" localSheetId="0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0">'Fórmulas de Ajuste'!Macro1</definedName>
    <definedName name="Macro1">[0]!Macro1</definedName>
    <definedName name="Macro10" localSheetId="0">'Fórmulas de Ajuste'!Macro10</definedName>
    <definedName name="Macro10">[0]!Macro10</definedName>
    <definedName name="Macro2" localSheetId="0">'Fórmulas de Ajuste'!Macro2</definedName>
    <definedName name="Macro2">[0]!Macro2</definedName>
    <definedName name="Macro20" localSheetId="0">'Fórmulas de Ajuste'!Macro20</definedName>
    <definedName name="Macro20">[0]!Macro20</definedName>
    <definedName name="Macro4">[9]!Macro4</definedName>
    <definedName name="Macro6" localSheetId="0">'Fórmulas de Ajuste'!Macro6</definedName>
    <definedName name="Macro6">[0]!Macro6</definedName>
    <definedName name="Macro60" localSheetId="0">'Fórmulas de Ajuste'!Macro60</definedName>
    <definedName name="Macro60">[0]!Macro60</definedName>
    <definedName name="Macro7" localSheetId="0">'Fórmulas de Ajuste'!Macro7</definedName>
    <definedName name="Macro7">[0]!Macro7</definedName>
    <definedName name="Macro70" localSheetId="0">'Fórmulas de Ajuste'!Macro70</definedName>
    <definedName name="Macro70">[0]!Macro70</definedName>
    <definedName name="ManejoDefensivo" localSheetId="0">#REF!</definedName>
    <definedName name="ManejoDefensivo">#REF!</definedName>
    <definedName name="maquina1">[37]Hoja1!$E$1:$E$14</definedName>
    <definedName name="Máquinas" localSheetId="0">[10]Maq!$A$6:$A$33</definedName>
    <definedName name="Máquinas">[11]Maq!$A$6:$A$33</definedName>
    <definedName name="mas">#REF!</definedName>
    <definedName name="MATE">'[59]1240-18-P-RI-002'!#REF!</definedName>
    <definedName name="Materiales" localSheetId="0">[10]Mat!$A$4:$A$305</definedName>
    <definedName name="Materiales">[11]Mat!$A$4:$A$305</definedName>
    <definedName name="Maxima">[5]MiniDB!$D$49</definedName>
    <definedName name="MedicinaLaboral" localSheetId="0">#REF!</definedName>
    <definedName name="MedicinaLaboral">#REF!</definedName>
    <definedName name="Menor">'[52]Sop Dif '!#REF!</definedName>
    <definedName name="menos">#REF!</definedName>
    <definedName name="MENSAJE_DIAS" localSheetId="0">[1]Sheet6!#REF!</definedName>
    <definedName name="MENSAJE_DIAS">[1]Sheet6!#REF!</definedName>
    <definedName name="MENU" localSheetId="0">#REF!</definedName>
    <definedName name="MENU">#REF!</definedName>
    <definedName name="MENUS" localSheetId="0">#REF!</definedName>
    <definedName name="MENUS">#REF!</definedName>
    <definedName name="mermas">#REF!</definedName>
    <definedName name="MES" localSheetId="0">#REF!</definedName>
    <definedName name="MES">#REF!</definedName>
    <definedName name="min">#REF!</definedName>
    <definedName name="Minima">[5]MiniDB!$D$45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[37]Hoja1!$F$1:$F$5</definedName>
    <definedName name="Módulo3.Sector2">[9]!Módulo3.Sector2</definedName>
    <definedName name="Módulo4.Sector3">[9]!Módulo4.Sector3</definedName>
    <definedName name="Módulo5.Sector4">[9]!Módulo5.Sector4</definedName>
    <definedName name="Módulo6.Sector5">[9]!Módulo6.Sector5</definedName>
    <definedName name="MOI">#REF!</definedName>
    <definedName name="Moneda">[15]Resumen!$X$2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 localSheetId="0">#REF!</definedName>
    <definedName name="movimiento">#REF!</definedName>
    <definedName name="MOVPARAFINA">'[29]PERDIDA DE TBG.'!$A$71:$J$132</definedName>
    <definedName name="MOVTBGACIDO">'[29]PERDIDA DE TBG.'!$A$207:$J$268</definedName>
    <definedName name="MOVTBGARENACARB">'[29]PERDIDA DE TBG.'!$A$139:$J$200</definedName>
    <definedName name="MSG" localSheetId="0">#REF!</definedName>
    <definedName name="MSG">#REF!</definedName>
    <definedName name="MSG0" localSheetId="0">#REF!</definedName>
    <definedName name="MSG0">#REF!</definedName>
    <definedName name="MtoF4000" localSheetId="0">#REF!</definedName>
    <definedName name="MtoF4000">#REF!</definedName>
    <definedName name="MtoPerf" localSheetId="0">#REF!</definedName>
    <definedName name="MtoPerf">#REF!</definedName>
    <definedName name="MtoRanger" localSheetId="0">#REF!</definedName>
    <definedName name="MtoRanger">#REF!</definedName>
    <definedName name="MtoRetro" localSheetId="0">#REF!</definedName>
    <definedName name="MtoRetro">#REF!</definedName>
    <definedName name="MtoTrailer" localSheetId="0">#REF!</definedName>
    <definedName name="MtoTrailer">#REF!</definedName>
    <definedName name="MTR" localSheetId="0">#REF!</definedName>
    <definedName name="MTR">#REF!</definedName>
    <definedName name="MTRD" localSheetId="0">#REF!</definedName>
    <definedName name="MTRD">#REF!</definedName>
    <definedName name="MTRT" localSheetId="0">#REF!</definedName>
    <definedName name="MTRT">#REF!</definedName>
    <definedName name="MU">#REF!</definedName>
    <definedName name="MW" localSheetId="0">#REF!</definedName>
    <definedName name="MW">#REF!</definedName>
    <definedName name="n">#REF!</definedName>
    <definedName name="N°CCT">'[14]MO - Petrolero Privado'!$E$10</definedName>
    <definedName name="nbreTotal1" localSheetId="0">#REF!</definedName>
    <definedName name="nbreTotal1">#REF!</definedName>
    <definedName name="nbreTotal10" localSheetId="0">#REF!</definedName>
    <definedName name="nbreTotal10">#REF!</definedName>
    <definedName name="nbreTotal2" localSheetId="0">#REF!</definedName>
    <definedName name="nbreTotal2">#REF!</definedName>
    <definedName name="nbreTotal3" localSheetId="0">#REF!</definedName>
    <definedName name="nbreTotal3">#REF!</definedName>
    <definedName name="nbreTotal4" localSheetId="0">#REF!</definedName>
    <definedName name="nbreTotal4">#REF!</definedName>
    <definedName name="nbreTotal5" localSheetId="0">#REF!</definedName>
    <definedName name="nbreTotal5">#REF!</definedName>
    <definedName name="nbreTotal6" localSheetId="0">#REF!</definedName>
    <definedName name="nbreTotal6">#REF!</definedName>
    <definedName name="NDATE" localSheetId="0">#REF!</definedName>
    <definedName name="NDATE">#REF!</definedName>
    <definedName name="Neta" localSheetId="0">#REF!</definedName>
    <definedName name="Neta">#REF!</definedName>
    <definedName name="Neta_Antes" localSheetId="0">#REF!</definedName>
    <definedName name="Neta_Antes">#REF!</definedName>
    <definedName name="Neta_despues" localSheetId="0">#REF!</definedName>
    <definedName name="Neta_despues">#REF!</definedName>
    <definedName name="netant" localSheetId="0">[25]Sheet1!#REF!</definedName>
    <definedName name="netant">[25]Sheet1!#REF!</definedName>
    <definedName name="netdesp" localSheetId="0">[25]Sheet1!#REF!</definedName>
    <definedName name="netdesp">[25]Sheet1!#REF!</definedName>
    <definedName name="Neto_Arg">#REF!</definedName>
    <definedName name="Neto_Arg_T">#REF!</definedName>
    <definedName name="Netos_país">'[42]Netos  país'!$A$6:$I$107</definedName>
    <definedName name="NeumaticosF4000" localSheetId="0">#REF!</definedName>
    <definedName name="NeumaticosF4000">#REF!</definedName>
    <definedName name="NeumaticosPerf" localSheetId="0">#REF!</definedName>
    <definedName name="NeumaticosPerf">#REF!</definedName>
    <definedName name="NeumaticosRanger" localSheetId="0">#REF!</definedName>
    <definedName name="NeumaticosRanger">#REF!</definedName>
    <definedName name="NeumaticosRetro" localSheetId="0">#REF!</definedName>
    <definedName name="NeumaticosRetro">#REF!</definedName>
    <definedName name="NeumaticosTrailer" localSheetId="0">#REF!</definedName>
    <definedName name="NeumaticosTrailer">#REF!</definedName>
    <definedName name="NEUQUEN__DISTRICT" localSheetId="0">#REF!</definedName>
    <definedName name="NEUQUEN__DISTRICT">#REF!</definedName>
    <definedName name="niveles" localSheetId="0">#REF!</definedName>
    <definedName name="niveles">#REF!</definedName>
    <definedName name="NOAMORT">[60]Bases!$H$7:$O$60</definedName>
    <definedName name="NOMBRE">#REF!</definedName>
    <definedName name="Normal">[5]MiniDB!$D$44</definedName>
    <definedName name="nro" localSheetId="0">#REF!</definedName>
    <definedName name="nro">#REF!</definedName>
    <definedName name="NROW" localSheetId="0">#REF!</definedName>
    <definedName name="NROW">#REF!</definedName>
    <definedName name="NROWF" localSheetId="0">#REF!</definedName>
    <definedName name="NROWF">#REF!</definedName>
    <definedName name="NTIME" localSheetId="0">#REF!</definedName>
    <definedName name="NTIME">#REF!</definedName>
    <definedName name="NUEDTO.S">#N/A</definedName>
    <definedName name="NUEDTOA">#N/A</definedName>
    <definedName name="NUEDTOP">#N/A</definedName>
    <definedName name="NUEVA" localSheetId="0">#REF!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 localSheetId="0">#REF!</definedName>
    <definedName name="obs_Antes">#REF!</definedName>
    <definedName name="obs_despues" localSheetId="0">#REF!</definedName>
    <definedName name="obs_despues">#REF!</definedName>
    <definedName name="obsant" localSheetId="0">[25]Sheet1!#REF!</definedName>
    <definedName name="obsant">[25]Sheet1!#REF!</definedName>
    <definedName name="obsdesp" localSheetId="0">[25]Sheet1!#REF!</definedName>
    <definedName name="obsdesp">[25]Sheet1!#REF!</definedName>
    <definedName name="Observation">[5]MiniDB!$D$34</definedName>
    <definedName name="OGRA" localSheetId="0">#REF!</definedName>
    <definedName name="OGRA">#REF!</definedName>
    <definedName name="OGRA_C" localSheetId="0">#REF!</definedName>
    <definedName name="OGRA_C">#REF!</definedName>
    <definedName name="OILMTR" localSheetId="0">#REF!</definedName>
    <definedName name="OILMTR">#REF!</definedName>
    <definedName name="OilReserves">[24]Datos!$F$13</definedName>
    <definedName name="OILT" localSheetId="0">#REF!</definedName>
    <definedName name="OILT">#REF!</definedName>
    <definedName name="OiltransC" localSheetId="0">#REF!</definedName>
    <definedName name="OiltransC">#REF!</definedName>
    <definedName name="OPC_ELEG" localSheetId="0">[1]Sheet5!#REF!</definedName>
    <definedName name="OPC_ELEG">[1]Sheet5!#REF!</definedName>
    <definedName name="operador" localSheetId="0">#REF!</definedName>
    <definedName name="operador">#REF!</definedName>
    <definedName name="Operadores">#REF!</definedName>
    <definedName name="ORDEN">#REF!</definedName>
    <definedName name="ORID" localSheetId="0">#REF!</definedName>
    <definedName name="ORID">#REF!</definedName>
    <definedName name="Orif3">[5]MiniDB!$D$5</definedName>
    <definedName name="orifa" localSheetId="0">[25]Sheet1!#REF!</definedName>
    <definedName name="orifa">[25]Sheet1!#REF!</definedName>
    <definedName name="orifd" localSheetId="0">[25]Sheet1!#REF!</definedName>
    <definedName name="orifd">[25]Sheet1!#REF!</definedName>
    <definedName name="Orificio" localSheetId="0">#REF!</definedName>
    <definedName name="Orificio">#REF!</definedName>
    <definedName name="orificio_Antes" localSheetId="0">#REF!</definedName>
    <definedName name="orificio_Antes">#REF!</definedName>
    <definedName name="orificio_despues" localSheetId="0">#REF!</definedName>
    <definedName name="orificio_despues">#REF!</definedName>
    <definedName name="ot" localSheetId="0">#REF!</definedName>
    <definedName name="ot">#REF!</definedName>
    <definedName name="OtherVC" localSheetId="0">#REF!</definedName>
    <definedName name="OtherVC">#REF!</definedName>
    <definedName name="Otros" localSheetId="0">[10]Otros!$A$4:$A$303</definedName>
    <definedName name="Otros">[11]Otros!$A$4:$A$303</definedName>
    <definedName name="Overhead" localSheetId="0">#REF!</definedName>
    <definedName name="Overhead">#REF!</definedName>
    <definedName name="p">#REF!</definedName>
    <definedName name="P.1" localSheetId="0">#REF!</definedName>
    <definedName name="P.1">#REF!</definedName>
    <definedName name="P.2" localSheetId="0">#REF!</definedName>
    <definedName name="P.2">#REF!</definedName>
    <definedName name="P.3" localSheetId="0">#REF!</definedName>
    <definedName name="P.3">#REF!</definedName>
    <definedName name="P.4" localSheetId="0">#REF!</definedName>
    <definedName name="P.4">#REF!</definedName>
    <definedName name="P.5" localSheetId="0">#REF!</definedName>
    <definedName name="P.5">#REF!</definedName>
    <definedName name="P.6" localSheetId="0">#REF!</definedName>
    <definedName name="P.6">#REF!</definedName>
    <definedName name="P.7" localSheetId="0">#REF!</definedName>
    <definedName name="P.7">#REF!</definedName>
    <definedName name="P.A.">#N/A</definedName>
    <definedName name="pa" localSheetId="0">#REF!</definedName>
    <definedName name="pa">#REF!</definedName>
    <definedName name="pat">#REF!</definedName>
    <definedName name="PatenteRanger" localSheetId="0">#REF!</definedName>
    <definedName name="PatenteRanger">#REF!</definedName>
    <definedName name="PatenteSeguroCENT" localSheetId="0">#REF!</definedName>
    <definedName name="PatenteSeguroCENT">#REF!</definedName>
    <definedName name="Pb" localSheetId="0">#REF!</definedName>
    <definedName name="Pb">#REF!</definedName>
    <definedName name="Pboca" localSheetId="0">#REF!</definedName>
    <definedName name="Pboca">#REF!</definedName>
    <definedName name="pbp_Antes" localSheetId="0">#REF!</definedName>
    <definedName name="pbp_Antes">#REF!</definedName>
    <definedName name="pbp_despues" localSheetId="0">#REF!</definedName>
    <definedName name="pbp_despues">#REF!</definedName>
    <definedName name="PC" localSheetId="0">#REF!</definedName>
    <definedName name="PC">#REF!</definedName>
    <definedName name="Pcolumna" localSheetId="0">#REF!</definedName>
    <definedName name="Pcolumna">#REF!</definedName>
    <definedName name="Pdb_Comp">[5]MiniDB!$D$38</definedName>
    <definedName name="pdepth">[18]Data!$D$9</definedName>
    <definedName name="PE_Obs">[5]MiniDB!$D$37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0">#REF!</definedName>
    <definedName name="PERF">#REF!</definedName>
    <definedName name="Perforador" localSheetId="0">#REF!</definedName>
    <definedName name="Perforador">#REF!</definedName>
    <definedName name="PERICAM">[61]PARAM!$A$3</definedName>
    <definedName name="Personal" localSheetId="0">[10]MO!$A$3:$A$128</definedName>
    <definedName name="Personal">[11]MO!$A$3:$A$128</definedName>
    <definedName name="PESOS150" localSheetId="0">#REF!</definedName>
    <definedName name="PESOS150">#REF!</definedName>
    <definedName name="pesos600" localSheetId="0">#REF!</definedName>
    <definedName name="pesos600">#REF!</definedName>
    <definedName name="PESOS83">'[62]#¡REF'!$K$28</definedName>
    <definedName name="PESOS85" localSheetId="0">'[62]RESUMEN GRAL'!#REF!</definedName>
    <definedName name="PESOS85">'[62]RESUMEN GRAL'!#REF!</definedName>
    <definedName name="Petróleo_y_Gas_Occidente">#REF!</definedName>
    <definedName name="Pf" localSheetId="0">#REF!</definedName>
    <definedName name="Pf">#REF!</definedName>
    <definedName name="PGAS1" localSheetId="0">#REF!</definedName>
    <definedName name="PGAS1">#REF!</definedName>
    <definedName name="PGAS2" localSheetId="0">#REF!</definedName>
    <definedName name="PGAS2">#REF!</definedName>
    <definedName name="PGAS3" localSheetId="0">#REF!</definedName>
    <definedName name="PGAS3">#REF!</definedName>
    <definedName name="PGAS4" localSheetId="0">#REF!</definedName>
    <definedName name="PGAS4">#REF!</definedName>
    <definedName name="PGAS5" localSheetId="0">#REF!</definedName>
    <definedName name="PGAS5">#REF!</definedName>
    <definedName name="PGAS6" localSheetId="0">#REF!</definedName>
    <definedName name="PGAS6">#REF!</definedName>
    <definedName name="PHDG" localSheetId="0">#REF!</definedName>
    <definedName name="PHDG">#REF!</definedName>
    <definedName name="PHGAS" localSheetId="0">#REF!</definedName>
    <definedName name="PHGAS">#REF!</definedName>
    <definedName name="PHMED" localSheetId="0">#REF!</definedName>
    <definedName name="PHMED">#REF!</definedName>
    <definedName name="PHRES" localSheetId="0">#REF!</definedName>
    <definedName name="PHRES">#REF!</definedName>
    <definedName name="PHTAN" localSheetId="0">#REF!</definedName>
    <definedName name="PHTAN">#REF!</definedName>
    <definedName name="pilREV" localSheetId="0">'[19]Pileta Revestida'!$A$7:$P$54</definedName>
    <definedName name="pilREV">'[20]Pileta Revestida'!$A$7:$P$54</definedName>
    <definedName name="PINCUPLA">'[29]PESCA DE V-B'!$A$135:$J$195</definedName>
    <definedName name="Pinyeccion" localSheetId="0">#REF!</definedName>
    <definedName name="Pinyeccion">#REF!</definedName>
    <definedName name="PKR" localSheetId="0">#REF!</definedName>
    <definedName name="PKR">#REF!</definedName>
    <definedName name="PLA" localSheetId="0">#REF!</definedName>
    <definedName name="PLA">#REF!</definedName>
    <definedName name="PLANILLAS" localSheetId="0">#REF!</definedName>
    <definedName name="PLANILLAS">#REF!</definedName>
    <definedName name="PLANTA__DE__GAS__CENTENARIO" localSheetId="0">#REF!</definedName>
    <definedName name="PLANTA__DE__GAS__CENTENARIO">#REF!</definedName>
    <definedName name="Plin1">[5]MiniDB!$D$15</definedName>
    <definedName name="Plin2">[5]MiniDB!$D$14</definedName>
    <definedName name="Plin3">[5]MiniDB!$D$13</definedName>
    <definedName name="Plinea" localSheetId="0">#REF!</definedName>
    <definedName name="Plinea">#REF!</definedName>
    <definedName name="PLPG1" localSheetId="0">#REF!</definedName>
    <definedName name="PLPG1">#REF!</definedName>
    <definedName name="PLPG2" localSheetId="0">#REF!</definedName>
    <definedName name="PLPG2">#REF!</definedName>
    <definedName name="PLPG3" localSheetId="0">#REF!</definedName>
    <definedName name="PLPG3">#REF!</definedName>
    <definedName name="PLPG4" localSheetId="0">#REF!</definedName>
    <definedName name="PLPG4">#REF!</definedName>
    <definedName name="plunger">[18]Data!$D$7</definedName>
    <definedName name="PM" localSheetId="0">#REF!</definedName>
    <definedName name="PM">#REF!</definedName>
    <definedName name="PMED1" localSheetId="0">#REF!</definedName>
    <definedName name="PMED1">#REF!</definedName>
    <definedName name="PMED2" localSheetId="0">#REF!</definedName>
    <definedName name="PMED2">#REF!</definedName>
    <definedName name="PMED3" localSheetId="0">#REF!</definedName>
    <definedName name="PMED3">#REF!</definedName>
    <definedName name="PMED4" localSheetId="0">#REF!</definedName>
    <definedName name="PMED4">#REF!</definedName>
    <definedName name="PMED5" localSheetId="0">#REF!</definedName>
    <definedName name="PMED5">#REF!</definedName>
    <definedName name="PMED6" localSheetId="0">#REF!</definedName>
    <definedName name="PMED6">#REF!</definedName>
    <definedName name="Porc_T0">[5]MiniDB!$D$63</definedName>
    <definedName name="Porc_T1">[5]MiniDB!$D$64</definedName>
    <definedName name="Porc_T2">[5]MiniDB!$D$65</definedName>
    <definedName name="Porc_T3">[5]MiniDB!$D$66</definedName>
    <definedName name="Porc_T4">[5]MiniDB!$D$67</definedName>
    <definedName name="Porc_T5">[5]MiniDB!$D$68</definedName>
    <definedName name="Pozo" localSheetId="0">[5]MiniDB!$D$1</definedName>
    <definedName name="pozo">#REF!</definedName>
    <definedName name="Pozos">#REF!</definedName>
    <definedName name="pp">[46]ESPESOR!$C$13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0">#REF!</definedName>
    <definedName name="PRES1">#REF!</definedName>
    <definedName name="PRES2" localSheetId="0">#REF!</definedName>
    <definedName name="PRES2">#REF!</definedName>
    <definedName name="PRES3" localSheetId="0">#REF!</definedName>
    <definedName name="PRES3">#REF!</definedName>
    <definedName name="PRES4" localSheetId="0">#REF!</definedName>
    <definedName name="PRES4">#REF!</definedName>
    <definedName name="PRES5" localSheetId="0">#REF!</definedName>
    <definedName name="PRES5">#REF!</definedName>
    <definedName name="PRES6" localSheetId="0">#REF!</definedName>
    <definedName name="PRES6">#REF!</definedName>
    <definedName name="PresionCO2">#REF!</definedName>
    <definedName name="PRIM" localSheetId="0">[1]Sheet6!#REF!</definedName>
    <definedName name="PRIM">[1]Sheet6!#REF!</definedName>
    <definedName name="PRIM2" localSheetId="0">[1]Sheet5!#REF!</definedName>
    <definedName name="PRIM2">[1]Sheet5!#REF!</definedName>
    <definedName name="print" localSheetId="0">#REF!</definedName>
    <definedName name="print">#REF!</definedName>
    <definedName name="Print_Area_MI" localSheetId="0">#REF!</definedName>
    <definedName name="Print_Area_MI">#REF!</definedName>
    <definedName name="Print_Titles_MI" localSheetId="0">#REF!</definedName>
    <definedName name="Print_Titles_MI">#REF!</definedName>
    <definedName name="print1" localSheetId="0">#REF!,#REF!</definedName>
    <definedName name="print1">#REF!,#REF!</definedName>
    <definedName name="PROCESANDO2" localSheetId="0">[1]Sheet5!#REF!</definedName>
    <definedName name="PROCESANDO2">[1]Sheet5!#REF!</definedName>
    <definedName name="ProdCorr" localSheetId="0">#REF!</definedName>
    <definedName name="ProdCorr">#REF!</definedName>
    <definedName name="Prodexp">[24]Datos!$F$74</definedName>
    <definedName name="production" localSheetId="0">#REF!</definedName>
    <definedName name="production">#REF!</definedName>
    <definedName name="prof" localSheetId="0">#REF!</definedName>
    <definedName name="prof">#REF!</definedName>
    <definedName name="Proveedores">#REF!</definedName>
    <definedName name="PROVINCIA">'[14]MO - Petrolero Privado'!$E$8</definedName>
    <definedName name="PRTR" localSheetId="0">#REF!</definedName>
    <definedName name="PRTR">#REF!</definedName>
    <definedName name="Psep1">[5]MiniDB!$D$18</definedName>
    <definedName name="Psep2">[5]MiniDB!$D$17</definedName>
    <definedName name="Psep3">[5]MiniDB!$D$16</definedName>
    <definedName name="PTAN1" localSheetId="0">#REF!</definedName>
    <definedName name="PTAN1">#REF!</definedName>
    <definedName name="PTAN2" localSheetId="0">#REF!</definedName>
    <definedName name="PTAN2">#REF!</definedName>
    <definedName name="PTAN3" localSheetId="0">#REF!</definedName>
    <definedName name="PTAN3">#REF!</definedName>
    <definedName name="PTAN4" localSheetId="0">#REF!</definedName>
    <definedName name="PTAN4">#REF!</definedName>
    <definedName name="PTAN5" localSheetId="0">#REF!</definedName>
    <definedName name="PTAN5">#REF!</definedName>
    <definedName name="PTAN6" localSheetId="0">#REF!</definedName>
    <definedName name="PTAN6">#REF!</definedName>
    <definedName name="PUESTO__TOUQUET" localSheetId="0">#REF!</definedName>
    <definedName name="PUESTO__TOUQUET">#REF!</definedName>
    <definedName name="PUN" localSheetId="0">#REF!</definedName>
    <definedName name="PUN">#REF!</definedName>
    <definedName name="Puntos_con_telemetria">#REF!</definedName>
    <definedName name="PZ.1" localSheetId="0">#REF!</definedName>
    <definedName name="PZ.1">#REF!</definedName>
    <definedName name="PZ.2" localSheetId="0">#REF!</definedName>
    <definedName name="PZ.2">#REF!</definedName>
    <definedName name="PZ.3" localSheetId="0">#REF!</definedName>
    <definedName name="PZ.3">#REF!</definedName>
    <definedName name="PZ.4" localSheetId="0">#REF!</definedName>
    <definedName name="PZ.4">#REF!</definedName>
    <definedName name="q">#REF!</definedName>
    <definedName name="Qab">[63]Datos!$F$48</definedName>
    <definedName name="Qabg" localSheetId="0">#REF!</definedName>
    <definedName name="Qabg">#REF!</definedName>
    <definedName name="Qabo" localSheetId="0">#REF!</definedName>
    <definedName name="Qabo">#REF!</definedName>
    <definedName name="qfh" localSheetId="0">#REF!</definedName>
    <definedName name="qfh">#REF!</definedName>
    <definedName name="QG" localSheetId="0">#REF!</definedName>
    <definedName name="QG">#REF!</definedName>
    <definedName name="Qgas1">[5]MiniDB!$D$12</definedName>
    <definedName name="Qgas2">[5]MiniDB!$D$9</definedName>
    <definedName name="Qgas3">[5]MiniDB!$D$4</definedName>
    <definedName name="Qig" localSheetId="0">#REF!</definedName>
    <definedName name="Qig">#REF!</definedName>
    <definedName name="Qio" localSheetId="0">#REF!</definedName>
    <definedName name="Qio">#REF!</definedName>
    <definedName name="QO" localSheetId="0">#REF!</definedName>
    <definedName name="QO">#REF!</definedName>
    <definedName name="Qs" localSheetId="0">#REF!</definedName>
    <definedName name="Qs">#REF!</definedName>
    <definedName name="QUEM" localSheetId="0">#REF!</definedName>
    <definedName name="QUEM">#REF!</definedName>
    <definedName name="QW" localSheetId="0">#REF!</definedName>
    <definedName name="QW">#REF!</definedName>
    <definedName name="qwer" localSheetId="0">#REF!</definedName>
    <definedName name="qwer">#REF!</definedName>
    <definedName name="R_Social">#REF!</definedName>
    <definedName name="RangerCD4x2" localSheetId="0">#REF!</definedName>
    <definedName name="RangerCD4x2">#REF!</definedName>
    <definedName name="RangerCD4x4" localSheetId="0">#REF!</definedName>
    <definedName name="RangerCD4x4">#REF!</definedName>
    <definedName name="RangerCS4x2" localSheetId="0">#REF!</definedName>
    <definedName name="RangerCS4x2">#REF!</definedName>
    <definedName name="RangerCS4x4" localSheetId="0">#REF!</definedName>
    <definedName name="RangerCS4x4">#REF!</definedName>
    <definedName name="rango_500" localSheetId="0">#REF!</definedName>
    <definedName name="rango_500">#REF!</definedName>
    <definedName name="rango_505" localSheetId="0">#REF!</definedName>
    <definedName name="rango_505">#REF!</definedName>
    <definedName name="rango_514" localSheetId="0">#REF!</definedName>
    <definedName name="rango_514">#REF!</definedName>
    <definedName name="rango_aclara_505" localSheetId="0">#REF!</definedName>
    <definedName name="rango_aclara_505">#REF!</definedName>
    <definedName name="rango_aclara_514" localSheetId="0">#REF!</definedName>
    <definedName name="rango_aclara_514">#REF!</definedName>
    <definedName name="Rango_P">[5]MiniDB!$D$50</definedName>
    <definedName name="rango_produccion" localSheetId="0">#REF!</definedName>
    <definedName name="rango_produccion">#REF!</definedName>
    <definedName name="rango_produccion_total" localSheetId="0">#REF!</definedName>
    <definedName name="rango_produccion_total">#REF!</definedName>
    <definedName name="RANGOIMPRESION">#REF!</definedName>
    <definedName name="rara">#REF!</definedName>
    <definedName name="Recover">[64]Macro1!$A$314</definedName>
    <definedName name="RECUP" localSheetId="0">#REF!</definedName>
    <definedName name="RECUP">#REF!</definedName>
    <definedName name="RED" localSheetId="0">#REF!</definedName>
    <definedName name="RED">#REF!</definedName>
    <definedName name="Refin" localSheetId="0">#REF!</definedName>
    <definedName name="Refin">#REF!</definedName>
    <definedName name="region2">[37]Hoja1!$G$1:$G$5</definedName>
    <definedName name="renglon">#REF!</definedName>
    <definedName name="Rep">'[52]Sop Dif '!$K$5</definedName>
    <definedName name="reparacion" localSheetId="0">#REF!</definedName>
    <definedName name="reparacion">#REF!</definedName>
    <definedName name="RES" localSheetId="0">[61]PARAM!$A$1</definedName>
    <definedName name="RES">#REF!</definedName>
    <definedName name="residuales">#REF!</definedName>
    <definedName name="resu150" localSheetId="0">#REF!</definedName>
    <definedName name="resu150">#REF!</definedName>
    <definedName name="resum600" localSheetId="0">#REF!</definedName>
    <definedName name="resum600">#REF!</definedName>
    <definedName name="RETRO" localSheetId="0">#REF!</definedName>
    <definedName name="RETRO">#REF!</definedName>
    <definedName name="ROOT" localSheetId="0">#REF!</definedName>
    <definedName name="ROOT">#REF!</definedName>
    <definedName name="rotacion" localSheetId="0">#REF!</definedName>
    <definedName name="rotacion">#REF!</definedName>
    <definedName name="ROTTBGYMOVROTTBG">'[29]PERDIDA DE TBG.'!$A$1:$J$63</definedName>
    <definedName name="ROWS" localSheetId="0">#REF!</definedName>
    <definedName name="ROWS">#REF!</definedName>
    <definedName name="Roygas" localSheetId="0">#REF!</definedName>
    <definedName name="Roygas">#REF!</definedName>
    <definedName name="Royoil" localSheetId="0">#REF!</definedName>
    <definedName name="Royoil">#REF!</definedName>
    <definedName name="rpm">[18]Data!$K$9</definedName>
    <definedName name="rr">[18]Data!$H$9</definedName>
    <definedName name="rrrrrrrrrrrrrr">#REF!</definedName>
    <definedName name="RUT">#REF!</definedName>
    <definedName name="S" localSheetId="0">#REF!</definedName>
    <definedName name="s">[65]Datos!$Q$42</definedName>
    <definedName name="sal" localSheetId="0">#REF!</definedName>
    <definedName name="sal">#REF!</definedName>
    <definedName name="SALABA40" localSheetId="0">[1]Sheet4!#REF!</definedName>
    <definedName name="SALABA40">[1]Sheet4!#REF!</definedName>
    <definedName name="salAPI" localSheetId="0">#REF!</definedName>
    <definedName name="salAPI">#REF!</definedName>
    <definedName name="SALARIOS">#REF!</definedName>
    <definedName name="salBAF" localSheetId="0">'[19]Salida Tk Bafle'!$A$7:$P$84</definedName>
    <definedName name="salBAF">'[20]Salida Tk Bafle'!$A$7:$P$84</definedName>
    <definedName name="Salesret" localSheetId="0">#REF!</definedName>
    <definedName name="Salesret">#REF!</definedName>
    <definedName name="Salinidad" localSheetId="0">#REF!</definedName>
    <definedName name="Salinidad">#REF!</definedName>
    <definedName name="Salinidad_Antes" localSheetId="0">#REF!</definedName>
    <definedName name="Salinidad_Antes">#REF!</definedName>
    <definedName name="Salinidad_despues" localSheetId="0">#REF!</definedName>
    <definedName name="Salinidad_despues">#REF!</definedName>
    <definedName name="SAPBEXdnldView" hidden="1">"BDBYBWNAUJ42UM403UEV7H72C"</definedName>
    <definedName name="SAPBEXsysID" hidden="1">"BP2"</definedName>
    <definedName name="SCI_UTE">'[66]CECO - SCI - SCI PESA'!$A$2:$A$44</definedName>
    <definedName name="SCII">'[67]CECO - SCII'!$A$2:$A$45</definedName>
    <definedName name="SCIO">'[68]CECO - SCIO'!$A$2:$A$4</definedName>
    <definedName name="SDAT" localSheetId="0">#REF!</definedName>
    <definedName name="SDAT">#REF!</definedName>
    <definedName name="Sector">#REF!</definedName>
    <definedName name="Sector1">[9]!Sector1</definedName>
    <definedName name="Sector2">#N/A</definedName>
    <definedName name="SectorTanque1">[9]!SectorTanque1</definedName>
    <definedName name="SEG" localSheetId="0">[1]Sheet6!#REF!</definedName>
    <definedName name="SEG">[1]Sheet6!#REF!</definedName>
    <definedName name="Segurodeobra">[51]MOI!#REF!</definedName>
    <definedName name="SeguroRanger" localSheetId="0">#REF!</definedName>
    <definedName name="SeguroRanger">#REF!</definedName>
    <definedName name="SELECCION" localSheetId="0">[1]Sheet5!#REF!</definedName>
    <definedName name="SELECCION">[1]Sheet5!#REF!</definedName>
    <definedName name="SelloModelo">[69]DataCombos2!$D$6:$D$165</definedName>
    <definedName name="Semanas_por_mes">#REF!</definedName>
    <definedName name="SEPAR" localSheetId="0">#REF!</definedName>
    <definedName name="SEPAR">#REF!</definedName>
    <definedName name="SERIE" localSheetId="0">#REF!</definedName>
    <definedName name="SERIE">#REF!</definedName>
    <definedName name="sf">[18]Data!$J$14</definedName>
    <definedName name="SH" localSheetId="0">[70]InfTerm!#REF!</definedName>
    <definedName name="SH">[70]InfTerm!#REF!</definedName>
    <definedName name="shdf" localSheetId="0">#REF!</definedName>
    <definedName name="shdf">#REF!</definedName>
    <definedName name="sino">[37]Hoja1!$D$1:$D$3</definedName>
    <definedName name="SINO2">[71]Hoja1!$K$3:$K$6</definedName>
    <definedName name="sl">[18]Data!$J$5</definedName>
    <definedName name="Sp">[46]ESPESOR!$C$14</definedName>
    <definedName name="spm">[18]Data!$L$5</definedName>
    <definedName name="spmt">[18]Data!$K$5</definedName>
    <definedName name="srdata">[18]Data!$R$3:$U$6</definedName>
    <definedName name="Srink" localSheetId="0">#REF!</definedName>
    <definedName name="Srink">#REF!</definedName>
    <definedName name="srl">[18]Data!$K$16</definedName>
    <definedName name="sry" localSheetId="0">#REF!</definedName>
    <definedName name="sry">#REF!</definedName>
    <definedName name="ss" localSheetId="0">'[72]Informe Mensual'!#REF!</definedName>
    <definedName name="SS">[70]InfTerm!#REF!</definedName>
    <definedName name="sss">'[72]Informe Mensual'!#REF!</definedName>
    <definedName name="ssssssss">'[73]Informe Mensual'!#REF!</definedName>
    <definedName name="STARP" localSheetId="0">#REF!</definedName>
    <definedName name="STARP">#REF!</definedName>
    <definedName name="STAT" localSheetId="0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 localSheetId="0">#REF!</definedName>
    <definedName name="SueldoAyudante">#REF!</definedName>
    <definedName name="SueldoOficial" localSheetId="0">#REF!</definedName>
    <definedName name="SueldoOficial">#REF!</definedName>
    <definedName name="SueldoPerforador" localSheetId="0">#REF!</definedName>
    <definedName name="SueldoPerforador">#REF!</definedName>
    <definedName name="SueldoSupervisor" localSheetId="0">#REF!</definedName>
    <definedName name="SueldoSupervisor">#REF!</definedName>
    <definedName name="sup" localSheetId="0">#REF!</definedName>
    <definedName name="sup">#REF!</definedName>
    <definedName name="t">#REF!</definedName>
    <definedName name="T_Actividad">[55]Validaciones!$B$4:$B$8</definedName>
    <definedName name="T_Gremio">[55]Validaciones!$D$4:$D$38</definedName>
    <definedName name="T_Nro_CCT">[55]Validaciones!$F$4:$F$11</definedName>
    <definedName name="T_Provincia">[55]Validaciones!$B$11:$B$17</definedName>
    <definedName name="T_Relac_con_servic">[55]Validaciones!$B$39:$B$42</definedName>
    <definedName name="T_rubro">[55]Validaciones!$F$19:$F$23</definedName>
    <definedName name="T_sino">[55]Validaciones!$B$28:$B$29</definedName>
    <definedName name="T_Situac_actual">[55]Validaciones!$B$34:$B$35</definedName>
    <definedName name="T_Tipo_neumat" localSheetId="0">[74]Validaciones!$B$46:$B$47</definedName>
    <definedName name="T_Tipo_neumat">[75]Validaciones!$B$46:$B$47</definedName>
    <definedName name="T_UUNN">[55]Validaciones!$B$23:$B$25</definedName>
    <definedName name="TABLA.FC_IMPORTE">[12]BD_ADICIONALES.FC!$B$7:$J$13</definedName>
    <definedName name="TABLA.FC_ITEM">[12]BD_ADICIONALES.FC!$A$7:$A$13</definedName>
    <definedName name="TABLA.FC_MES">[12]BD_ADICIONALES.FC!$B$6:$J$6</definedName>
    <definedName name="TABLA.UOCRA_ADIC.UOCRA">[12]BD_ESCALAS.UOCRA!$K$127:$K$262</definedName>
    <definedName name="TABLA.UOCRA_ADIC.ZONA">[12]BD_ESCALAS.UOCRA!$F$127:$F$262</definedName>
    <definedName name="TABLA.UOCRA_AYUDA.ALIM">[12]BD_ESCALAS.UOCRA!$I$127:$I$262</definedName>
    <definedName name="TABLA.UOCRA_CAMPAMENTO">[12]BD_ESCALAS.UOCRA!$J$127:$J$262</definedName>
    <definedName name="TABLA.UOCRA_CATEGORIA">[12]BD_ESCALAS.UOCRA!$B$127:$B$262</definedName>
    <definedName name="TABLA.UOCRA_HSVIAJE">[12]BD_ESCALAS.UOCRA!$G$127:$G$262</definedName>
    <definedName name="TABLA.UOCRA_IMPORTE">[12]BD_ESCALAS.UOCRA!$E$127:$E$262</definedName>
    <definedName name="TABLA.UOCRA_MES">[12]BD_ESCALAS.UOCRA!$C$127:$C$262</definedName>
    <definedName name="TABLA.UOCRA_VIANDA">[12]BD_ESCALAS.UOCRA!$H$127:$H$262</definedName>
    <definedName name="TABLA.UOCRA_ZONA">[12]BD_ESCALAS.UOCRA!$D$127:$D$262</definedName>
    <definedName name="TABLA_CATEGORIA" localSheetId="0">[12]BD_ESCALAS.PETROLERO!$A$10:$A$105</definedName>
    <definedName name="TABLA_CATEGORIA">[13]BD_ESCALAS!$A$10:$A$105</definedName>
    <definedName name="TABLA_CCT" localSheetId="0">[12]BD_ESCALAS.PETROLERO!$BA$7:$CN$7</definedName>
    <definedName name="TABLA_CCT">[13]BD_ESCALAS!$C$7:$CD$7</definedName>
    <definedName name="TABLA_IMPORTE" localSheetId="0">[12]BD_ESCALAS.PETROLERO!$BA$10:$CN$105</definedName>
    <definedName name="TABLA_IMPORTE">[13]BD_ESCALAS!$C$10:$CD$105</definedName>
    <definedName name="TABLA_MES" localSheetId="0">[12]BD_ESCALAS.PETROLERO!$BA$9:$CN$9</definedName>
    <definedName name="TABLA_MES">[13]BD_ESCALAS!$C$9:$CD$9</definedName>
    <definedName name="TABLA_TURNO" localSheetId="0">[12]BD_ESCALAS.PETROLERO!$B$10:$B$105</definedName>
    <definedName name="TABLA_TURNO">[13]BD_ESCALAS!$B$10:$B$105</definedName>
    <definedName name="TABLA_ZONA" localSheetId="0">[12]BD_ESCALAS.PETROLERO!$BA$8:$CN$8</definedName>
    <definedName name="TABLA_ZONA">[13]BD_ESCALAS!$C$8:$CD$8</definedName>
    <definedName name="tabladatos">#REF!</definedName>
    <definedName name="TableName">"Dummy"</definedName>
    <definedName name="Tanque2">[9]!Tanque2</definedName>
    <definedName name="Tanque3">[9]!Tanque3</definedName>
    <definedName name="Tanque4">[9]!Tanque4</definedName>
    <definedName name="Tanque5">[9]!Tanque5</definedName>
    <definedName name="Tanque6">[9]!Tanque6</definedName>
    <definedName name="TAREAS" localSheetId="0">#REF!</definedName>
    <definedName name="TAREAS">#REF!</definedName>
    <definedName name="tarifa" localSheetId="0">#REF!</definedName>
    <definedName name="tarifa">#REF!</definedName>
    <definedName name="Tb" localSheetId="0">#REF!</definedName>
    <definedName name="Tb">#REF!</definedName>
    <definedName name="TBG">#N/A</definedName>
    <definedName name="Tboca" localSheetId="0">#REF!</definedName>
    <definedName name="Tboca">#REF!</definedName>
    <definedName name="TC" localSheetId="0">#REF!</definedName>
    <definedName name="TC">#REF!</definedName>
    <definedName name="TE" localSheetId="0">#REF!</definedName>
    <definedName name="TE">#REF!</definedName>
    <definedName name="TER" localSheetId="0">[1]Sheet6!#REF!</definedName>
    <definedName name="TER">[1]Sheet6!#REF!</definedName>
    <definedName name="termino" localSheetId="0">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 localSheetId="0">#REF!</definedName>
    <definedName name="Tf">#REF!</definedName>
    <definedName name="TicketAyudante" localSheetId="0">#REF!</definedName>
    <definedName name="TicketAyudante">#REF!</definedName>
    <definedName name="TicketOficial" localSheetId="0">#REF!</definedName>
    <definedName name="TicketOficial">#REF!</definedName>
    <definedName name="TicketPerforador" localSheetId="0">#REF!</definedName>
    <definedName name="TicketPerforador">#REF!</definedName>
    <definedName name="TicketSupervisor" localSheetId="0">#REF!</definedName>
    <definedName name="TicketSupervisor">#REF!</definedName>
    <definedName name="TIME" localSheetId="0">#REF!</definedName>
    <definedName name="TIME">#REF!</definedName>
    <definedName name="TIME1" localSheetId="0">#REF!</definedName>
    <definedName name="TIME1">#REF!</definedName>
    <definedName name="TINC" localSheetId="0">#REF!</definedName>
    <definedName name="TINC">#REF!</definedName>
    <definedName name="TINT" localSheetId="0">#REF!</definedName>
    <definedName name="TINT">#REF!</definedName>
    <definedName name="Tipo_Insumos">[55]Validaciones!$B$69:$B$73</definedName>
    <definedName name="tipo1">[37]Hoja1!$A$1:$A$5</definedName>
    <definedName name="Tipo3">[5]MiniDB!$D$6</definedName>
    <definedName name="tipocliente">[37]Hoja1!$B$1:$B$4</definedName>
    <definedName name="TIPSA">#N/A</definedName>
    <definedName name="TIT_POZOS_PETROLIFEROS" localSheetId="0">#REF!</definedName>
    <definedName name="TIT_POZOS_PETROLIFEROS">#REF!</definedName>
    <definedName name="Titulo">#REF!</definedName>
    <definedName name="Título" localSheetId="0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 localSheetId="0">#REF!</definedName>
    <definedName name="Torque">#REF!</definedName>
    <definedName name="TOT_MES_ACTUAL_OIL" localSheetId="0">#REF!</definedName>
    <definedName name="TOT_MES_ACTUAL_OIL">#REF!</definedName>
    <definedName name="total" localSheetId="0">#REF!</definedName>
    <definedName name="total">#REF!</definedName>
    <definedName name="Total_Agua_OIL_Mes_Actual" localSheetId="0">#REF!</definedName>
    <definedName name="Total_Agua_OIL_Mes_Actual">#REF!</definedName>
    <definedName name="Total_Bolívares">#REF!</definedName>
    <definedName name="TOTAL_CENTENARIO__Field_Gas_Plant" localSheetId="0">#REF!</definedName>
    <definedName name="TOTAL_CENTENARIO__Field_Gas_Plant">#REF!</definedName>
    <definedName name="Total_Dólares">#REF!</definedName>
    <definedName name="Total_Gas_Asoc_Mes_Actual" localSheetId="0">#REF!</definedName>
    <definedName name="Total_Gas_Asoc_Mes_Actual">#REF!</definedName>
    <definedName name="total1" localSheetId="0">#REF!</definedName>
    <definedName name="total1">#REF!</definedName>
    <definedName name="total10" localSheetId="0">#REF!</definedName>
    <definedName name="total10">#REF!</definedName>
    <definedName name="total2" localSheetId="0">#REF!</definedName>
    <definedName name="total2">#REF!</definedName>
    <definedName name="total3" localSheetId="0">#REF!</definedName>
    <definedName name="total3">#REF!</definedName>
    <definedName name="total4" localSheetId="0">#REF!</definedName>
    <definedName name="total4">#REF!</definedName>
    <definedName name="total5" localSheetId="0">#REF!</definedName>
    <definedName name="total5">#REF!</definedName>
    <definedName name="total6" localSheetId="0">#REF!</definedName>
    <definedName name="total6">#REF!</definedName>
    <definedName name="TOTALBBA">'[29]RESUMEN ANUAL'!$A$66:$J$94</definedName>
    <definedName name="TOTALCUERPO">'[29]PESCA DE V-B'!$A$1:$J$63</definedName>
    <definedName name="TOTALFAC" localSheetId="0">#REF!</definedName>
    <definedName name="TOTALFAC">#REF!</definedName>
    <definedName name="TOTALPESC">'[29]RESUMEN ANUAL'!$A$34:$J$62</definedName>
    <definedName name="TOTALPUL">'[29]RESUMEN ANUAL'!$A$1:$J$30</definedName>
    <definedName name="TOTALTBGR">'[29]RESUMEN ANUAL'!$A$98:$J$126</definedName>
    <definedName name="TP" localSheetId="0">#REF!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0">#REF!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[5]MiniDB!$D$31</definedName>
    <definedName name="Tsep2">[5]MiniDB!$D$32</definedName>
    <definedName name="Tsep3">[5]MiniDB!$D$33</definedName>
    <definedName name="TSTN" localSheetId="0">#REF!</definedName>
    <definedName name="TSTN">#REF!</definedName>
    <definedName name="TSTT" localSheetId="0">#REF!</definedName>
    <definedName name="TSTT">#REF!</definedName>
    <definedName name="TT" localSheetId="0">#REF!</definedName>
    <definedName name="TT">#REF!</definedName>
    <definedName name="TUB" localSheetId="0">#REF!</definedName>
    <definedName name="TUB">#REF!</definedName>
    <definedName name="Turngas" localSheetId="0">#REF!</definedName>
    <definedName name="Turngas">#REF!</definedName>
    <definedName name="Turnoil" localSheetId="0">#REF!</definedName>
    <definedName name="Turnoil">#REF!</definedName>
    <definedName name="type" localSheetId="0">#REF!</definedName>
    <definedName name="type">#REF!</definedName>
    <definedName name="u">#REF!</definedName>
    <definedName name="UF">#REF!</definedName>
    <definedName name="UIB">[18]Data!$H$5</definedName>
    <definedName name="Unid.">'[59]1240-18-P-RI-002'!#REF!</definedName>
    <definedName name="Unidadgor">[76]Datos!$H$50</definedName>
    <definedName name="UNION150" localSheetId="0">#REF!</definedName>
    <definedName name="UNION150">#REF!</definedName>
    <definedName name="UNIT" localSheetId="0">#REF!</definedName>
    <definedName name="UNIT">#REF!</definedName>
    <definedName name="UNITC" localSheetId="0">#REF!</definedName>
    <definedName name="UNITC">#REF!</definedName>
    <definedName name="UNITP" localSheetId="0">#REF!</definedName>
    <definedName name="UNITP">#REF!</definedName>
    <definedName name="UNITT" localSheetId="0">#REF!</definedName>
    <definedName name="UNITT">#REF!</definedName>
    <definedName name="UOCRA.DURACION" localSheetId="0">#REF!</definedName>
    <definedName name="UOCRA.DURACION">#REF!</definedName>
    <definedName name="UOCRA.MES" localSheetId="0">[12]UOCRA!$D$8</definedName>
    <definedName name="UOCRA.MES">#REF!</definedName>
    <definedName name="UOCRA.ZONA" localSheetId="0">[12]UOCRA!$D$9</definedName>
    <definedName name="UOCRA.ZONA">#REF!</definedName>
    <definedName name="US">[77]IPC!$H$9</definedName>
    <definedName name="Utilidad">#REF!</definedName>
    <definedName name="UTS">[18]Data!$K$14</definedName>
    <definedName name="uu" localSheetId="0">'Fórmulas de Ajuste'!uu</definedName>
    <definedName name="uu">[0]!uu</definedName>
    <definedName name="v">#REF!</definedName>
    <definedName name="V0" localSheetId="0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 localSheetId="0">#REF!</definedName>
    <definedName name="varios">#REF!</definedName>
    <definedName name="Vehiculos" localSheetId="0">[10]Veh!$A$6:$A$23</definedName>
    <definedName name="Vehiculos">[11]Veh!$A$6:$A$23</definedName>
    <definedName name="Vehículos" localSheetId="0">#REF!</definedName>
    <definedName name="Vehículos">#REF!</definedName>
    <definedName name="VERGUENZA">#REF!</definedName>
    <definedName name="Vestimenta" localSheetId="0">#REF!</definedName>
    <definedName name="Vestimenta">#REF!</definedName>
    <definedName name="VfluidC">[24]Datos!$F$62</definedName>
    <definedName name="VgasC" localSheetId="0">#REF!</definedName>
    <definedName name="VgasC">#REF!</definedName>
    <definedName name="Viandas" localSheetId="0">#REF!</definedName>
    <definedName name="Viandas">#REF!</definedName>
    <definedName name="VInjecC">[24]Datos!$F$66</definedName>
    <definedName name="VM" localSheetId="0">#REF!</definedName>
    <definedName name="VM">#REF!</definedName>
    <definedName name="VnpozosC">[24]Datos!$F$72</definedName>
    <definedName name="VoilC" localSheetId="0">#REF!</definedName>
    <definedName name="VoilC">#REF!</definedName>
    <definedName name="VOLVER">[78]!VOLVER</definedName>
    <definedName name="vp">[18]Data!$H$16</definedName>
    <definedName name="VtasNetas">#REF!</definedName>
    <definedName name="VwatC" localSheetId="0">[24]Datos!#REF!</definedName>
    <definedName name="VwatC">[24]Datos!#REF!</definedName>
    <definedName name="VwellC" localSheetId="0">#REF!</definedName>
    <definedName name="VwellC">#REF!</definedName>
    <definedName name="w">#REF!</definedName>
    <definedName name="Water1">[5]MiniDB!$D$25</definedName>
    <definedName name="Water2">[5]MiniDB!$D$26</definedName>
    <definedName name="Water3">[5]MiniDB!$D$27</definedName>
    <definedName name="wc">[18]Data!$D$15</definedName>
    <definedName name="WCOM" localSheetId="0">#REF!</definedName>
    <definedName name="WCOM">#REF!</definedName>
    <definedName name="WCOM1" localSheetId="0">#REF!</definedName>
    <definedName name="WCOM1">#REF!</definedName>
    <definedName name="WELL" localSheetId="0">#REF!</definedName>
    <definedName name="WELL">#REF!</definedName>
    <definedName name="WF" localSheetId="0">#REF!</definedName>
    <definedName name="WF">#REF!</definedName>
    <definedName name="Winterest" localSheetId="0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0" hidden="1">{#N/A,#N/A,FALSE,"SERIE_150";#N/A,#N/A,FALSE,"SERIE_600 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0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0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0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0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 localSheetId="0">#REF!</definedName>
    <definedName name="WSAL">#REF!</definedName>
    <definedName name="WTI_01">[22]Tablas!$E$4</definedName>
    <definedName name="WTI_02">[22]Tablas!$E$5</definedName>
    <definedName name="WTI_03">[22]Tablas!$E$6</definedName>
    <definedName name="WTI_04">[22]Tablas!$E$7</definedName>
    <definedName name="WTI_05">[22]Tablas!$E$8</definedName>
    <definedName name="WTI_06">[22]Tablas!$E$9</definedName>
    <definedName name="WTI_07">[22]Tablas!$E$10</definedName>
    <definedName name="WTI_08">[22]Tablas!$E$11</definedName>
    <definedName name="WTI_09">[22]Tablas!$E$12</definedName>
    <definedName name="WTI_10">[22]Tablas!$E$13</definedName>
    <definedName name="WTI_11">[22]Tablas!$E$14</definedName>
    <definedName name="WTI_12">[22]Tablas!$E$15</definedName>
    <definedName name="wtrhy" localSheetId="0">#REF!</definedName>
    <definedName name="wtrhy">#REF!</definedName>
    <definedName name="ww" localSheetId="0">#REF!</definedName>
    <definedName name="ww">#REF!</definedName>
    <definedName name="wwww" localSheetId="0">#REF!</definedName>
    <definedName name="wwww">#REF!</definedName>
    <definedName name="x" localSheetId="0">#REF!</definedName>
    <definedName name="X">'[33]500'!$A$1:$N$61</definedName>
    <definedName name="xx">[46]ESPESOR!$B$21</definedName>
    <definedName name="xxx" localSheetId="0">#REF!</definedName>
    <definedName name="xxx">#REF!</definedName>
    <definedName name="xxxx" localSheetId="0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0">#REF!</definedName>
    <definedName name="Y">#REF!</definedName>
    <definedName name="Y_2" localSheetId="0">#REF!</definedName>
    <definedName name="Y_2">#REF!</definedName>
    <definedName name="YACI" localSheetId="0">#REF!</definedName>
    <definedName name="YACI">#REF!</definedName>
    <definedName name="Yacimiento" localSheetId="0">[43]Hoja1!$B$57:$B$65</definedName>
    <definedName name="YACIMIENTO">'[16]resumen mensual de producción'!$C$6</definedName>
    <definedName name="yak" localSheetId="0">#REF!</definedName>
    <definedName name="yak">#REF!</definedName>
    <definedName name="yar" localSheetId="0">#REF!</definedName>
    <definedName name="yar">#REF!</definedName>
    <definedName name="Yes_No">'[26]Coef.'!$J$112:$J$113</definedName>
    <definedName name="Z" localSheetId="0">#REF!</definedName>
    <definedName name="Z">#REF!</definedName>
    <definedName name="zagz" localSheetId="0">#REF!</definedName>
    <definedName name="zagz">#REF!</definedName>
    <definedName name="ZAP" localSheetId="0">#REF!</definedName>
    <definedName name="ZAP">#REF!</definedName>
    <definedName name="Zb" localSheetId="0">#REF!</definedName>
    <definedName name="Zb">#REF!</definedName>
    <definedName name="zdgjzfg" localSheetId="0">#REF!</definedName>
    <definedName name="zdgjzfg">#REF!</definedName>
    <definedName name="Zona">[55]Validaciones!$B$51:$B$57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7" l="1"/>
  <c r="C3" i="7"/>
  <c r="K4" i="7"/>
  <c r="O8" i="7"/>
  <c r="B3" i="7"/>
  <c r="C6" i="7" l="1"/>
  <c r="C8" i="7"/>
  <c r="D3" i="7"/>
  <c r="C4" i="7"/>
  <c r="E3" i="7" l="1"/>
  <c r="E4" i="7"/>
  <c r="J4" i="7" l="1"/>
  <c r="L4" i="7" s="1"/>
  <c r="M4" i="7" s="1"/>
  <c r="F4" i="7"/>
  <c r="J3" i="7"/>
  <c r="F3" i="7"/>
  <c r="K3" i="7"/>
  <c r="L3" i="7" l="1"/>
  <c r="M3" i="7" s="1"/>
  <c r="K5" i="7"/>
  <c r="E12" i="16" l="1"/>
  <c r="D6" i="16"/>
  <c r="F3" i="14" l="1"/>
  <c r="F4" i="14"/>
  <c r="H4" i="14" s="1"/>
  <c r="G3" i="14" l="1"/>
  <c r="H3" i="14" l="1"/>
  <c r="F23" i="15"/>
  <c r="E23" i="15"/>
  <c r="D23" i="15"/>
  <c r="C23" i="15"/>
  <c r="B23" i="15"/>
  <c r="L20" i="15"/>
  <c r="J20" i="15" s="1"/>
  <c r="D7" i="15" s="1"/>
  <c r="L19" i="15"/>
  <c r="J19" i="15" s="1"/>
  <c r="D6" i="15" s="1"/>
  <c r="L18" i="15"/>
  <c r="J18" i="15" s="1"/>
  <c r="D5" i="15" s="1"/>
  <c r="K17" i="15"/>
  <c r="J21" i="15" l="1"/>
  <c r="G23" i="15"/>
  <c r="J22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3" authorId="0" shapeId="0" xr:uid="{C2AA3BCC-5207-4A30-953C-DDD92D5428FB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4" authorId="0" shapeId="0" xr:uid="{20E9266C-6251-4A2D-ABDE-3734D9374391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sharedStrings.xml><?xml version="1.0" encoding="utf-8"?>
<sst xmlns="http://schemas.openxmlformats.org/spreadsheetml/2006/main" count="112" uniqueCount="98">
  <si>
    <t>K</t>
  </si>
  <si>
    <t>Ítem</t>
  </si>
  <si>
    <t>TC</t>
  </si>
  <si>
    <t>Producto</t>
  </si>
  <si>
    <t>Flete [u$d/litro]</t>
  </si>
  <si>
    <t>Precio [u$d/litro]</t>
  </si>
  <si>
    <t>Denominación comercial</t>
  </si>
  <si>
    <t>Descripción</t>
  </si>
  <si>
    <t>Costo Total [u$d/litro]</t>
  </si>
  <si>
    <t>Venta [u$d/mes]</t>
  </si>
  <si>
    <t>Consumo estimado  [litros]</t>
  </si>
  <si>
    <t>CR con flete [u$d/lt]</t>
  </si>
  <si>
    <t>Precio [u$d/lt]</t>
  </si>
  <si>
    <t>Unidad de Presentación</t>
  </si>
  <si>
    <t>Provisión de PQs</t>
  </si>
  <si>
    <t>Factor</t>
  </si>
  <si>
    <t>Ponderación</t>
  </si>
  <si>
    <t>Fuente</t>
  </si>
  <si>
    <t>Valor Base</t>
  </si>
  <si>
    <t>Moneda</t>
  </si>
  <si>
    <r>
      <t>Fecha Valor Base [X</t>
    </r>
    <r>
      <rPr>
        <vertAlign val="subscript"/>
        <sz val="10"/>
        <color theme="0"/>
        <rFont val="Exo 2"/>
      </rPr>
      <t>o</t>
    </r>
    <r>
      <rPr>
        <sz val="10"/>
        <color theme="0"/>
        <rFont val="Exo 2"/>
      </rPr>
      <t>]</t>
    </r>
  </si>
  <si>
    <t>WPU</t>
  </si>
  <si>
    <t>PPI (Producer price index)</t>
  </si>
  <si>
    <t>US bureau of labor statistics - Chemicals and allied products (WPU06)</t>
  </si>
  <si>
    <t>-</t>
  </si>
  <si>
    <t>GO</t>
  </si>
  <si>
    <t>Solventes</t>
  </si>
  <si>
    <t>Precio surtidor Gas Oil grado 3 s/imp., YPF, publicado por la Secretaría de Energía de la Nación, para la ciudad de Neuquen (Islas Malvinas e Ilia)</t>
  </si>
  <si>
    <t>AR$</t>
  </si>
  <si>
    <t>MO</t>
  </si>
  <si>
    <t>Mano de Obra</t>
  </si>
  <si>
    <t>Según Sueldo testigo A determinar donde se evidencien todas las componentes salariales normales Y habituales.</t>
  </si>
  <si>
    <t>IPIM</t>
  </si>
  <si>
    <t>Insumos</t>
  </si>
  <si>
    <t>IPIM, NG</t>
  </si>
  <si>
    <t>Tipo de Cambio</t>
  </si>
  <si>
    <t>Cotización Billete Venta - Dólar Banco Nación</t>
  </si>
  <si>
    <t>Proyección</t>
  </si>
  <si>
    <t>factor jul20 a jul21</t>
  </si>
  <si>
    <t>jul-20-jul21</t>
  </si>
  <si>
    <t>MATERIAS PRIMAS</t>
  </si>
  <si>
    <t>SOLVENTES</t>
  </si>
  <si>
    <t>MANO DE OBRA</t>
  </si>
  <si>
    <t>GASTOS E INSUMOS</t>
  </si>
  <si>
    <t>TASA DE CAMBIO USD</t>
  </si>
  <si>
    <t>FACTOR DE AJUSTE</t>
  </si>
  <si>
    <t>S</t>
  </si>
  <si>
    <t>D</t>
  </si>
  <si>
    <t>M</t>
  </si>
  <si>
    <t>(WPU06)</t>
  </si>
  <si>
    <t xml:space="preserve">(Gas Oil Grado 2) </t>
  </si>
  <si>
    <t>(Indice Salarial CCT 605/10)</t>
  </si>
  <si>
    <t>(IPIM Nivel General)</t>
  </si>
  <si>
    <t>(Tasa de Cambio)</t>
  </si>
  <si>
    <t>FA</t>
  </si>
  <si>
    <t>Incidencia</t>
  </si>
  <si>
    <t>Índice</t>
  </si>
  <si>
    <t>Observaciones</t>
  </si>
  <si>
    <t>MOP</t>
  </si>
  <si>
    <t>Según Sueldo testigo a determinar donde se evidencien todas las componentes salariales normales y habituales.</t>
  </si>
  <si>
    <t>Resto</t>
  </si>
  <si>
    <t>IPIM, Nivel General, publicado por INDEC ipm_08_21.pdf. Base 0 para Nivel General Cuadro 2 fijado en 2,2 puntos.</t>
  </si>
  <si>
    <t>Equipos</t>
  </si>
  <si>
    <t>IPIM 34</t>
  </si>
  <si>
    <t>IPIM 34, publicado por INDEC ipm_08_21.pdf. Base 0 para Vehículos automotores, carrocerías y repuestos Cuadro 2 fijado en 2,6 puntos.</t>
  </si>
  <si>
    <t>Combustibles y Lubricantes</t>
  </si>
  <si>
    <t>Gas Oil</t>
  </si>
  <si>
    <t>Precio surtidor Gas Oil grado 3, YPF, publicado por la Secretaría de Energía de la Nación, para la ciudad de Rincón de los sauces, Provincia de Neuquén (http://res1104.se.gov.ar/consultaprecios.eess.php)</t>
  </si>
  <si>
    <t>Valor Base 0 $ 102,70 por litro</t>
  </si>
  <si>
    <t>Instrumentos y Subcontratos</t>
  </si>
  <si>
    <t>U$D</t>
  </si>
  <si>
    <t>Valor dólar Billete tipo Vendedor publicado por el Banco de la Nación Argentina correspondiente al día anterior al cierre del mes anterior al que se aplica la revisión. Valor base 0 $ 101,75 por unidad.</t>
  </si>
  <si>
    <t>TOTAL</t>
  </si>
  <si>
    <t>Cantidad [Litros]</t>
  </si>
  <si>
    <t>Precio Total [USD]</t>
  </si>
  <si>
    <t>DS533</t>
  </si>
  <si>
    <t>CP USD</t>
  </si>
  <si>
    <t>CP %</t>
  </si>
  <si>
    <t>Flete</t>
  </si>
  <si>
    <t>HCL 30%</t>
  </si>
  <si>
    <t>IBC descartable de 1.000 lts</t>
  </si>
  <si>
    <t>Flete desde Tartagal a Yacimiento Palmar Lagro</t>
  </si>
  <si>
    <t>unidad</t>
  </si>
  <si>
    <t>CR + Imp Pais [u$d/lt]</t>
  </si>
  <si>
    <t>Prestado</t>
  </si>
  <si>
    <t>Meses</t>
  </si>
  <si>
    <t>Internet</t>
  </si>
  <si>
    <t>Mes inicial</t>
  </si>
  <si>
    <t>acá te pago (522-390)</t>
  </si>
  <si>
    <t>Opción</t>
  </si>
  <si>
    <t>NQN</t>
  </si>
  <si>
    <t>GSJ</t>
  </si>
  <si>
    <t>Total</t>
  </si>
  <si>
    <t>Concentración solicitada</t>
  </si>
  <si>
    <t>Concentración SO4345</t>
  </si>
  <si>
    <t>Concentración Clar</t>
  </si>
  <si>
    <t>Tenemos que andar con 11% menos</t>
  </si>
  <si>
    <t>SO4345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</si>
</sst>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0.0%"/>
    <numFmt numFmtId="167" formatCode="0.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Exo 2"/>
    </font>
    <font>
      <sz val="10"/>
      <color theme="0"/>
      <name val="Exo 2"/>
    </font>
    <font>
      <vertAlign val="subscript"/>
      <sz val="10"/>
      <color theme="0"/>
      <name val="Exo 2"/>
    </font>
    <font>
      <sz val="10"/>
      <color theme="1"/>
      <name val="Exo 2"/>
    </font>
    <font>
      <sz val="8"/>
      <color rgb="FF000000"/>
      <name val="Arial"/>
      <family val="2"/>
    </font>
    <font>
      <b/>
      <sz val="16"/>
      <color theme="0"/>
      <name val="Exo 2"/>
    </font>
    <font>
      <b/>
      <sz val="10"/>
      <color theme="1"/>
      <name val="Arial"/>
      <family val="2"/>
    </font>
    <font>
      <b/>
      <sz val="16"/>
      <color theme="1"/>
      <name val="Exo 2"/>
    </font>
    <font>
      <b/>
      <i/>
      <sz val="10"/>
      <color theme="1"/>
      <name val="Arial"/>
      <family val="2"/>
    </font>
    <font>
      <sz val="12"/>
      <color theme="1"/>
      <name val="Exo 2"/>
    </font>
    <font>
      <b/>
      <sz val="12"/>
      <color theme="1"/>
      <name val="Arial"/>
      <family val="2"/>
    </font>
    <font>
      <b/>
      <sz val="9"/>
      <color theme="1"/>
      <name val="HelveticaNeueLT Std"/>
      <family val="2"/>
    </font>
    <font>
      <sz val="9"/>
      <color theme="1"/>
      <name val="HelveticaNeueLT Std"/>
      <family val="2"/>
    </font>
    <font>
      <sz val="9"/>
      <color theme="0"/>
      <name val="Exo"/>
    </font>
    <font>
      <sz val="9"/>
      <name val="Exo"/>
    </font>
    <font>
      <b/>
      <sz val="9"/>
      <name val="Exo"/>
    </font>
    <font>
      <b/>
      <sz val="9"/>
      <color theme="0"/>
      <name val="Exo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DCE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</cellStyleXfs>
  <cellXfs count="87">
    <xf numFmtId="0" fontId="0" fillId="0" borderId="0" xfId="0"/>
    <xf numFmtId="0" fontId="4" fillId="4" borderId="1" xfId="3" applyFont="1" applyFill="1" applyBorder="1" applyAlignment="1">
      <alignment horizontal="center" vertical="center" wrapText="1"/>
    </xf>
    <xf numFmtId="0" fontId="3" fillId="0" borderId="1" xfId="3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3" fontId="3" fillId="0" borderId="1" xfId="3" applyNumberFormat="1" applyBorder="1" applyAlignment="1">
      <alignment horizontal="center" vertical="center" wrapText="1"/>
    </xf>
    <xf numFmtId="4" fontId="3" fillId="0" borderId="1" xfId="3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8" fillId="0" borderId="0" xfId="0" applyFont="1"/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166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3" fontId="12" fillId="0" borderId="0" xfId="0" applyNumberFormat="1" applyFont="1" applyAlignment="1">
      <alignment horizontal="center" vertical="center"/>
    </xf>
    <xf numFmtId="0" fontId="8" fillId="0" borderId="1" xfId="0" applyFont="1" applyBorder="1"/>
    <xf numFmtId="0" fontId="15" fillId="0" borderId="1" xfId="0" applyFont="1" applyBorder="1"/>
    <xf numFmtId="0" fontId="14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 wrapText="1"/>
    </xf>
    <xf numFmtId="17" fontId="17" fillId="0" borderId="3" xfId="0" applyNumberFormat="1" applyFont="1" applyBorder="1" applyAlignment="1">
      <alignment horizontal="center"/>
    </xf>
    <xf numFmtId="0" fontId="18" fillId="8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2" fontId="8" fillId="0" borderId="1" xfId="0" applyNumberFormat="1" applyFont="1" applyBorder="1"/>
    <xf numFmtId="2" fontId="17" fillId="0" borderId="1" xfId="0" applyNumberFormat="1" applyFont="1" applyBorder="1" applyAlignment="1">
      <alignment horizontal="center"/>
    </xf>
    <xf numFmtId="0" fontId="19" fillId="9" borderId="4" xfId="0" applyFont="1" applyFill="1" applyBorder="1" applyAlignment="1">
      <alignment horizontal="center" vertical="center"/>
    </xf>
    <xf numFmtId="0" fontId="19" fillId="9" borderId="5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7" xfId="0" applyNumberFormat="1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left" vertical="center" indent="2"/>
    </xf>
    <xf numFmtId="0" fontId="19" fillId="0" borderId="7" xfId="0" applyFont="1" applyBorder="1" applyAlignment="1">
      <alignment horizontal="left" vertical="center" indent="2"/>
    </xf>
    <xf numFmtId="0" fontId="7" fillId="0" borderId="9" xfId="15" applyBorder="1" applyAlignment="1">
      <alignment horizontal="left" vertical="center" indent="2"/>
    </xf>
    <xf numFmtId="0" fontId="20" fillId="0" borderId="7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 indent="2"/>
    </xf>
    <xf numFmtId="9" fontId="20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0" xfId="2" applyFont="1" applyAlignment="1">
      <alignment horizontal="center" vertical="center" wrapText="1"/>
    </xf>
    <xf numFmtId="14" fontId="22" fillId="5" borderId="1" xfId="2" applyNumberFormat="1" applyFont="1" applyFill="1" applyBorder="1" applyAlignment="1">
      <alignment horizontal="center" vertical="center" wrapText="1"/>
    </xf>
    <xf numFmtId="0" fontId="22" fillId="5" borderId="1" xfId="2" applyFont="1" applyFill="1" applyBorder="1" applyAlignment="1">
      <alignment horizontal="center" vertical="center" wrapText="1"/>
    </xf>
    <xf numFmtId="167" fontId="22" fillId="5" borderId="1" xfId="2" applyNumberFormat="1" applyFont="1" applyFill="1" applyBorder="1" applyAlignment="1">
      <alignment horizontal="center" vertical="center" wrapText="1"/>
    </xf>
    <xf numFmtId="2" fontId="22" fillId="5" borderId="1" xfId="1" applyNumberFormat="1" applyFont="1" applyFill="1" applyBorder="1" applyAlignment="1">
      <alignment horizontal="center" vertical="center" wrapText="1"/>
    </xf>
    <xf numFmtId="2" fontId="23" fillId="5" borderId="1" xfId="1" applyNumberFormat="1" applyFont="1" applyFill="1" applyBorder="1" applyAlignment="1">
      <alignment horizontal="center" vertical="center" wrapText="1"/>
    </xf>
    <xf numFmtId="3" fontId="22" fillId="5" borderId="1" xfId="1" applyNumberFormat="1" applyFont="1" applyFill="1" applyBorder="1" applyAlignment="1">
      <alignment horizontal="center" vertical="center" wrapText="1"/>
    </xf>
    <xf numFmtId="4" fontId="22" fillId="5" borderId="1" xfId="1" applyNumberFormat="1" applyFont="1" applyFill="1" applyBorder="1" applyAlignment="1">
      <alignment horizontal="center" vertical="center" wrapText="1"/>
    </xf>
    <xf numFmtId="9" fontId="22" fillId="5" borderId="1" xfId="13" applyFont="1" applyFill="1" applyBorder="1" applyAlignment="1">
      <alignment horizontal="center" vertical="center" wrapText="1"/>
    </xf>
    <xf numFmtId="0" fontId="24" fillId="3" borderId="1" xfId="1" applyFont="1" applyFill="1" applyBorder="1" applyAlignment="1">
      <alignment horizontal="center" vertical="center" wrapText="1"/>
    </xf>
    <xf numFmtId="0" fontId="23" fillId="0" borderId="0" xfId="2" applyFont="1" applyAlignment="1">
      <alignment vertical="center" wrapText="1"/>
    </xf>
    <xf numFmtId="0" fontId="25" fillId="0" borderId="10" xfId="0" applyFont="1" applyBorder="1"/>
    <xf numFmtId="0" fontId="25" fillId="0" borderId="11" xfId="0" applyFont="1" applyBorder="1" applyAlignment="1">
      <alignment horizontal="center"/>
    </xf>
    <xf numFmtId="0" fontId="25" fillId="0" borderId="12" xfId="0" applyFont="1" applyBorder="1"/>
    <xf numFmtId="0" fontId="25" fillId="0" borderId="0" xfId="0" applyFont="1"/>
    <xf numFmtId="0" fontId="25" fillId="0" borderId="13" xfId="0" applyFont="1" applyBorder="1"/>
    <xf numFmtId="0" fontId="25" fillId="0" borderId="0" xfId="0" applyFont="1" applyAlignment="1">
      <alignment horizontal="center"/>
    </xf>
    <xf numFmtId="0" fontId="25" fillId="0" borderId="14" xfId="0" applyFont="1" applyBorder="1"/>
    <xf numFmtId="167" fontId="25" fillId="0" borderId="0" xfId="0" applyNumberFormat="1" applyFont="1" applyAlignment="1">
      <alignment horizontal="center"/>
    </xf>
    <xf numFmtId="0" fontId="25" fillId="0" borderId="10" xfId="0" applyFont="1" applyBorder="1" applyAlignment="1">
      <alignment horizontal="center"/>
    </xf>
    <xf numFmtId="17" fontId="25" fillId="0" borderId="11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7" fontId="25" fillId="0" borderId="0" xfId="0" applyNumberFormat="1" applyFont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17" fontId="25" fillId="0" borderId="16" xfId="0" applyNumberFormat="1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2" fillId="0" borderId="1" xfId="2" applyFont="1" applyBorder="1" applyAlignment="1">
      <alignment horizontal="center" vertical="center" wrapText="1"/>
    </xf>
    <xf numFmtId="0" fontId="23" fillId="0" borderId="1" xfId="2" applyFont="1" applyBorder="1" applyAlignment="1">
      <alignment horizontal="center" vertical="center" wrapText="1"/>
    </xf>
    <xf numFmtId="3" fontId="23" fillId="0" borderId="1" xfId="2" applyNumberFormat="1" applyFont="1" applyBorder="1" applyAlignment="1">
      <alignment horizontal="center" vertical="center" wrapText="1"/>
    </xf>
    <xf numFmtId="9" fontId="22" fillId="0" borderId="1" xfId="2" applyNumberFormat="1" applyFont="1" applyBorder="1" applyAlignment="1">
      <alignment horizontal="center" vertical="center" wrapText="1"/>
    </xf>
    <xf numFmtId="9" fontId="22" fillId="0" borderId="1" xfId="13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4" fillId="6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10" fontId="20" fillId="0" borderId="8" xfId="0" applyNumberFormat="1" applyFont="1" applyBorder="1" applyAlignment="1">
      <alignment horizontal="center" vertical="center"/>
    </xf>
    <xf numFmtId="10" fontId="20" fillId="0" borderId="6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2" fillId="0" borderId="1" xfId="2" applyFont="1" applyBorder="1" applyAlignment="1">
      <alignment horizontal="center" vertical="center" wrapText="1"/>
    </xf>
    <xf numFmtId="9" fontId="22" fillId="0" borderId="0" xfId="13" applyFont="1" applyAlignment="1">
      <alignment horizontal="center" vertical="center" wrapText="1"/>
    </xf>
  </cellXfs>
  <cellStyles count="16">
    <cellStyle name="Hipervínculo" xfId="15" builtinId="8"/>
    <cellStyle name="Millares 2" xfId="11" xr:uid="{00000000-0005-0000-0000-000001000000}"/>
    <cellStyle name="Moneda 3" xfId="12" xr:uid="{00000000-0005-0000-0000-000002000000}"/>
    <cellStyle name="Normal" xfId="0" builtinId="0"/>
    <cellStyle name="Normal 100" xfId="2" xr:uid="{00000000-0005-0000-0000-000004000000}"/>
    <cellStyle name="Normal 13 2" xfId="14" xr:uid="{00000000-0005-0000-0000-000005000000}"/>
    <cellStyle name="Normal 17" xfId="6" xr:uid="{00000000-0005-0000-0000-000006000000}"/>
    <cellStyle name="Normal 2" xfId="3" xr:uid="{00000000-0005-0000-0000-000007000000}"/>
    <cellStyle name="Normal 2 2" xfId="4" xr:uid="{00000000-0005-0000-0000-000008000000}"/>
    <cellStyle name="Normal 2 2 3" xfId="5" xr:uid="{00000000-0005-0000-0000-000009000000}"/>
    <cellStyle name="Normal 2 7" xfId="8" xr:uid="{00000000-0005-0000-0000-00000A000000}"/>
    <cellStyle name="Normal 250 2" xfId="1" xr:uid="{00000000-0005-0000-0000-00000B000000}"/>
    <cellStyle name="Normal 4 5" xfId="9" xr:uid="{00000000-0005-0000-0000-00000C000000}"/>
    <cellStyle name="Porcentaje" xfId="13" builtinId="5"/>
    <cellStyle name="Porcentaje 2" xfId="7" xr:uid="{00000000-0005-0000-0000-00000E000000}"/>
    <cellStyle name="Porcentaje 3 2" xfId="10" xr:uid="{00000000-0005-0000-0000-00000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63" Type="http://schemas.openxmlformats.org/officeDocument/2006/relationships/externalLink" Target="externalLinks/externalLink59.xml"/><Relationship Id="rId68" Type="http://schemas.openxmlformats.org/officeDocument/2006/relationships/externalLink" Target="externalLinks/externalLink64.xml"/><Relationship Id="rId84" Type="http://schemas.openxmlformats.org/officeDocument/2006/relationships/styles" Target="styles.xml"/><Relationship Id="rId89" Type="http://schemas.openxmlformats.org/officeDocument/2006/relationships/customXml" Target="../customXml/item3.xml"/><Relationship Id="rId16" Type="http://schemas.openxmlformats.org/officeDocument/2006/relationships/externalLink" Target="externalLinks/externalLink12.xml"/><Relationship Id="rId11" Type="http://schemas.openxmlformats.org/officeDocument/2006/relationships/externalLink" Target="externalLinks/externalLink7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74" Type="http://schemas.openxmlformats.org/officeDocument/2006/relationships/externalLink" Target="externalLinks/externalLink70.xml"/><Relationship Id="rId79" Type="http://schemas.openxmlformats.org/officeDocument/2006/relationships/externalLink" Target="externalLinks/externalLink75.xml"/><Relationship Id="rId5" Type="http://schemas.openxmlformats.org/officeDocument/2006/relationships/externalLink" Target="externalLinks/externalLink1.xml"/><Relationship Id="rId90" Type="http://schemas.microsoft.com/office/2006/relationships/vbaProject" Target="vbaProject.bin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externalLink" Target="externalLinks/externalLink60.xml"/><Relationship Id="rId69" Type="http://schemas.openxmlformats.org/officeDocument/2006/relationships/externalLink" Target="externalLinks/externalLink65.xml"/><Relationship Id="rId77" Type="http://schemas.openxmlformats.org/officeDocument/2006/relationships/externalLink" Target="externalLinks/externalLink73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72" Type="http://schemas.openxmlformats.org/officeDocument/2006/relationships/externalLink" Target="externalLinks/externalLink68.xml"/><Relationship Id="rId80" Type="http://schemas.openxmlformats.org/officeDocument/2006/relationships/externalLink" Target="externalLinks/externalLink76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openxmlformats.org/officeDocument/2006/relationships/externalLink" Target="externalLinks/externalLink63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externalLink" Target="externalLinks/externalLink58.xml"/><Relationship Id="rId70" Type="http://schemas.openxmlformats.org/officeDocument/2006/relationships/externalLink" Target="externalLinks/externalLink66.xml"/><Relationship Id="rId75" Type="http://schemas.openxmlformats.org/officeDocument/2006/relationships/externalLink" Target="externalLinks/externalLink71.xml"/><Relationship Id="rId83" Type="http://schemas.openxmlformats.org/officeDocument/2006/relationships/theme" Target="theme/theme1.xml"/><Relationship Id="rId88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externalLink" Target="externalLinks/externalLink56.xml"/><Relationship Id="rId65" Type="http://schemas.openxmlformats.org/officeDocument/2006/relationships/externalLink" Target="externalLinks/externalLink61.xml"/><Relationship Id="rId73" Type="http://schemas.openxmlformats.org/officeDocument/2006/relationships/externalLink" Target="externalLinks/externalLink69.xml"/><Relationship Id="rId78" Type="http://schemas.openxmlformats.org/officeDocument/2006/relationships/externalLink" Target="externalLinks/externalLink74.xml"/><Relationship Id="rId81" Type="http://schemas.openxmlformats.org/officeDocument/2006/relationships/externalLink" Target="externalLinks/externalLink77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Relationship Id="rId34" Type="http://schemas.openxmlformats.org/officeDocument/2006/relationships/externalLink" Target="externalLinks/externalLink30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76" Type="http://schemas.openxmlformats.org/officeDocument/2006/relationships/externalLink" Target="externalLinks/externalLink72.xml"/><Relationship Id="rId7" Type="http://schemas.openxmlformats.org/officeDocument/2006/relationships/externalLink" Target="externalLinks/externalLink3.xml"/><Relationship Id="rId71" Type="http://schemas.openxmlformats.org/officeDocument/2006/relationships/externalLink" Target="externalLinks/externalLink6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5.xml"/><Relationship Id="rId24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66" Type="http://schemas.openxmlformats.org/officeDocument/2006/relationships/externalLink" Target="externalLinks/externalLink62.xml"/><Relationship Id="rId87" Type="http://schemas.openxmlformats.org/officeDocument/2006/relationships/customXml" Target="../customXml/item1.xml"/><Relationship Id="rId61" Type="http://schemas.openxmlformats.org/officeDocument/2006/relationships/externalLink" Target="externalLinks/externalLink57.xml"/><Relationship Id="rId82" Type="http://schemas.openxmlformats.org/officeDocument/2006/relationships/externalLink" Target="externalLinks/externalLink78.xml"/><Relationship Id="rId19" Type="http://schemas.openxmlformats.org/officeDocument/2006/relationships/externalLink" Target="externalLinks/externalLink1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445433</xdr:colOff>
      <xdr:row>9</xdr:row>
      <xdr:rowOff>52669</xdr:rowOff>
    </xdr:from>
    <xdr:ext cx="8706971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𝟏𝟕𝟖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𝟎𝟕𝟐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𝟎𝟓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5C1F710-F4B0-4E43-B464-4D3B01B3E3C4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〖𝑪𝒐𝒆𝒇. 𝑨𝒋𝒖𝒔𝒕𝒆 𝒅𝒆 𝒑𝒓𝒆𝒄𝒊𝒐𝒔〗_𝒏=𝟎,𝟕𝟎×〖𝑾𝑷𝑼〗_𝒏/〖𝑾𝑷𝑼〗_𝒐 +[𝟎,𝟏𝟕𝟖×〖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+𝟎,𝟎𝟕𝟐×〖𝑴𝑶〗_𝒏/〖𝑴𝑶〗_𝒐 +𝟎,𝟎𝟓×〖𝑰𝑷𝑰𝑴〗_𝒏/〖𝑰𝑷𝑰𝑴〗_𝒐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28575</xdr:colOff>
      <xdr:row>24</xdr:row>
      <xdr:rowOff>9525</xdr:rowOff>
    </xdr:from>
    <xdr:to>
      <xdr:col>10</xdr:col>
      <xdr:colOff>417636</xdr:colOff>
      <xdr:row>28</xdr:row>
      <xdr:rowOff>95112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6991350"/>
          <a:ext cx="11714286" cy="11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227139</xdr:colOff>
      <xdr:row>10</xdr:row>
      <xdr:rowOff>104774</xdr:rowOff>
    </xdr:from>
    <xdr:to>
      <xdr:col>6</xdr:col>
      <xdr:colOff>248486</xdr:colOff>
      <xdr:row>22</xdr:row>
      <xdr:rowOff>181425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7D8C4A3-E751-B20C-6900-FA3417F1F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7139" y="2838449"/>
          <a:ext cx="4383797" cy="2362651"/>
        </a:xfrm>
        <a:prstGeom prst="rect">
          <a:avLst/>
        </a:prstGeom>
      </xdr:spPr>
    </xdr:pic>
    <xdr:clientData/>
  </xdr:twoCellAnchor>
  <xdr:twoCellAnchor editAs="oneCell">
    <xdr:from>
      <xdr:col>4</xdr:col>
      <xdr:colOff>588764</xdr:colOff>
      <xdr:row>7</xdr:row>
      <xdr:rowOff>152400</xdr:rowOff>
    </xdr:from>
    <xdr:to>
      <xdr:col>14</xdr:col>
      <xdr:colOff>124895</xdr:colOff>
      <xdr:row>23</xdr:row>
      <xdr:rowOff>105371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D506A19-EE96-A2E0-4457-CD11F783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4889" y="2228850"/>
          <a:ext cx="5546406" cy="308669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26</xdr:row>
      <xdr:rowOff>15075</xdr:rowOff>
    </xdr:from>
    <xdr:to>
      <xdr:col>10</xdr:col>
      <xdr:colOff>677553</xdr:colOff>
      <xdr:row>33</xdr:row>
      <xdr:rowOff>124075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BA7F829-4057-D819-4D0F-CF4159D4E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5796750"/>
          <a:ext cx="7373628" cy="144250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34</xdr:row>
      <xdr:rowOff>180975</xdr:rowOff>
    </xdr:from>
    <xdr:to>
      <xdr:col>16</xdr:col>
      <xdr:colOff>96529</xdr:colOff>
      <xdr:row>48</xdr:row>
      <xdr:rowOff>86084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A99E52D-0A2A-C17E-B72C-4196976C5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4900" y="7486650"/>
          <a:ext cx="9164329" cy="25721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Apertura%20de%20Costos%20Tipo%20PAE%20-%20vfinal%201.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ll/Configuraci&#243;n%20local/Archivos%20temporales%20de%20Internet/Content.IE5/1R4XPPCF/Planta%20de%20Inyeccion%20-%20Cerro%20Drago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miculi/Mis%20documentos/Miculian%20Pablo/Bolland%20&amp;%20Cia/Costeo%20preliminar%20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ectores\Producci&#243;n\DARIO\PRESUP%202004\CONSOLIDADO%20FINAL%20MEDANITO%20C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Configuraci&#243;n%20local/Temp/Copia%20de%20NUEVO%20ANEXO%20III%20V7%2049_%20AJ_CCT%2053-6346-12%20mh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1">
          <cell r="D41">
            <v>1004566.3479349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/>
      <sheetData sheetId="5"/>
      <sheetData sheetId="6"/>
      <sheetData sheetId="7"/>
      <sheetData sheetId="8">
        <row r="5">
          <cell r="I5" t="str">
            <v>SOLDADORES</v>
          </cell>
        </row>
        <row r="6">
          <cell r="I6" t="str">
            <v>CAÑISTAS</v>
          </cell>
        </row>
        <row r="7">
          <cell r="I7" t="str">
            <v>RETROEXCAVADORA</v>
          </cell>
        </row>
        <row r="8">
          <cell r="I8" t="str">
            <v>LABORATORISTAS</v>
          </cell>
        </row>
        <row r="9">
          <cell r="I9" t="str">
            <v>OPERADORES DE PLANTA KK</v>
          </cell>
        </row>
        <row r="10">
          <cell r="I10" t="str">
            <v>OPERADORES DE PLANTA PC</v>
          </cell>
        </row>
        <row r="11">
          <cell r="I11" t="str">
            <v>OPERADORES DE PRODUCCION</v>
          </cell>
        </row>
        <row r="12">
          <cell r="I12" t="str">
            <v>SOPORTES DE PRODUCCIÓN</v>
          </cell>
        </row>
      </sheetData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  <row r="9">
          <cell r="D9" t="str">
            <v>Zona 2</v>
          </cell>
        </row>
      </sheetData>
      <sheetData sheetId="3"/>
      <sheetData sheetId="4">
        <row r="7"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</row>
        <row r="8"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</row>
        <row r="9">
          <cell r="BH9">
            <v>43862</v>
          </cell>
          <cell r="BI9">
            <v>43862</v>
          </cell>
          <cell r="BJ9">
            <v>43862</v>
          </cell>
          <cell r="BQ9">
            <v>43739</v>
          </cell>
          <cell r="BR9">
            <v>43739</v>
          </cell>
          <cell r="BS9">
            <v>43739</v>
          </cell>
          <cell r="BT9">
            <v>43739</v>
          </cell>
          <cell r="BX9">
            <v>43739</v>
          </cell>
          <cell r="BY9">
            <v>43739</v>
          </cell>
          <cell r="BZ9">
            <v>43739</v>
          </cell>
          <cell r="CA9">
            <v>43862</v>
          </cell>
          <cell r="CB9">
            <v>43862</v>
          </cell>
          <cell r="CC9">
            <v>43862</v>
          </cell>
          <cell r="CD9">
            <v>43862</v>
          </cell>
          <cell r="CE9">
            <v>43862</v>
          </cell>
          <cell r="CF9">
            <v>43862</v>
          </cell>
          <cell r="CG9">
            <v>43862</v>
          </cell>
          <cell r="CH9">
            <v>43862</v>
          </cell>
          <cell r="CI9">
            <v>43862</v>
          </cell>
          <cell r="CJ9">
            <v>43862</v>
          </cell>
        </row>
        <row r="10">
          <cell r="A10" t="str">
            <v>INGRESANTE</v>
          </cell>
          <cell r="B10" t="str">
            <v>D</v>
          </cell>
          <cell r="BH10">
            <v>14439</v>
          </cell>
          <cell r="BI10">
            <v>20503</v>
          </cell>
          <cell r="BJ10">
            <v>23536</v>
          </cell>
          <cell r="BR10">
            <v>13456</v>
          </cell>
          <cell r="BS10">
            <v>19108</v>
          </cell>
          <cell r="BT10">
            <v>21933</v>
          </cell>
          <cell r="BX10">
            <v>13456</v>
          </cell>
          <cell r="BY10">
            <v>19108</v>
          </cell>
          <cell r="BZ10">
            <v>21933</v>
          </cell>
          <cell r="CH10">
            <v>14439</v>
          </cell>
          <cell r="CI10">
            <v>20503</v>
          </cell>
          <cell r="CJ10">
            <v>23536</v>
          </cell>
        </row>
        <row r="11">
          <cell r="A11" t="str">
            <v>INGRESANTE</v>
          </cell>
          <cell r="B11" t="str">
            <v>A</v>
          </cell>
          <cell r="BH11">
            <v>19204</v>
          </cell>
          <cell r="BI11">
            <v>27269</v>
          </cell>
          <cell r="BJ11">
            <v>31303</v>
          </cell>
          <cell r="BR11">
            <v>17896</v>
          </cell>
          <cell r="BS11">
            <v>25414</v>
          </cell>
          <cell r="BT11">
            <v>29171</v>
          </cell>
          <cell r="BX11">
            <v>17896</v>
          </cell>
          <cell r="BY11">
            <v>25414</v>
          </cell>
          <cell r="BZ11">
            <v>29171</v>
          </cell>
          <cell r="CH11">
            <v>19204</v>
          </cell>
          <cell r="CI11">
            <v>27269</v>
          </cell>
          <cell r="CJ11">
            <v>31303</v>
          </cell>
        </row>
        <row r="12">
          <cell r="A12" t="str">
            <v>INGRESANTE</v>
          </cell>
          <cell r="B12" t="str">
            <v>B</v>
          </cell>
          <cell r="BH12">
            <v>17616</v>
          </cell>
          <cell r="BI12">
            <v>25014</v>
          </cell>
          <cell r="BJ12">
            <v>28714</v>
          </cell>
          <cell r="BR12">
            <v>16416</v>
          </cell>
          <cell r="BS12">
            <v>23312</v>
          </cell>
          <cell r="BT12">
            <v>26758</v>
          </cell>
          <cell r="BX12">
            <v>16416</v>
          </cell>
          <cell r="BY12">
            <v>23312</v>
          </cell>
          <cell r="BZ12">
            <v>26758</v>
          </cell>
          <cell r="CH12">
            <v>17616</v>
          </cell>
          <cell r="CI12">
            <v>25014</v>
          </cell>
          <cell r="CJ12">
            <v>28714</v>
          </cell>
        </row>
        <row r="13">
          <cell r="A13" t="str">
            <v>INGRESANTE</v>
          </cell>
          <cell r="B13" t="str">
            <v>Y</v>
          </cell>
          <cell r="BH13">
            <v>15161</v>
          </cell>
          <cell r="BI13">
            <v>21528</v>
          </cell>
          <cell r="BJ13">
            <v>24713</v>
          </cell>
          <cell r="BR13">
            <v>14129</v>
          </cell>
          <cell r="BS13">
            <v>20063</v>
          </cell>
          <cell r="BT13">
            <v>23030</v>
          </cell>
          <cell r="BX13">
            <v>14129</v>
          </cell>
          <cell r="BY13">
            <v>20063</v>
          </cell>
          <cell r="BZ13">
            <v>23030</v>
          </cell>
          <cell r="CH13">
            <v>15161</v>
          </cell>
          <cell r="CI13">
            <v>21528</v>
          </cell>
          <cell r="CJ13">
            <v>24713</v>
          </cell>
        </row>
        <row r="14">
          <cell r="A14" t="str">
            <v>A</v>
          </cell>
          <cell r="B14" t="str">
            <v>D</v>
          </cell>
          <cell r="BH14">
            <v>14731</v>
          </cell>
          <cell r="BI14">
            <v>20918</v>
          </cell>
          <cell r="BJ14">
            <v>24012</v>
          </cell>
          <cell r="BR14">
            <v>13728</v>
          </cell>
          <cell r="BS14">
            <v>19494</v>
          </cell>
          <cell r="BT14">
            <v>22377</v>
          </cell>
          <cell r="BX14">
            <v>13728</v>
          </cell>
          <cell r="BY14">
            <v>19494</v>
          </cell>
          <cell r="BZ14">
            <v>22377</v>
          </cell>
          <cell r="CH14">
            <v>14731</v>
          </cell>
          <cell r="CI14">
            <v>20918</v>
          </cell>
          <cell r="CJ14">
            <v>24012</v>
          </cell>
        </row>
        <row r="15">
          <cell r="A15" t="str">
            <v>A</v>
          </cell>
          <cell r="B15" t="str">
            <v>A</v>
          </cell>
          <cell r="BH15">
            <v>19592</v>
          </cell>
          <cell r="BI15">
            <v>27821</v>
          </cell>
          <cell r="BJ15">
            <v>31936</v>
          </cell>
          <cell r="BR15">
            <v>18258</v>
          </cell>
          <cell r="BS15">
            <v>25927</v>
          </cell>
          <cell r="BT15">
            <v>29761</v>
          </cell>
          <cell r="BX15">
            <v>18258</v>
          </cell>
          <cell r="BY15">
            <v>25927</v>
          </cell>
          <cell r="BZ15">
            <v>29761</v>
          </cell>
          <cell r="CH15">
            <v>19592</v>
          </cell>
          <cell r="CI15">
            <v>27821</v>
          </cell>
          <cell r="CJ15">
            <v>31936</v>
          </cell>
        </row>
        <row r="16">
          <cell r="A16" t="str">
            <v>A</v>
          </cell>
          <cell r="B16" t="str">
            <v>B</v>
          </cell>
          <cell r="BH16">
            <v>17972</v>
          </cell>
          <cell r="BI16">
            <v>25520</v>
          </cell>
          <cell r="BJ16">
            <v>29295</v>
          </cell>
          <cell r="BR16">
            <v>16748</v>
          </cell>
          <cell r="BS16">
            <v>23783</v>
          </cell>
          <cell r="BT16">
            <v>27300</v>
          </cell>
          <cell r="BX16">
            <v>16748</v>
          </cell>
          <cell r="BY16">
            <v>23783</v>
          </cell>
          <cell r="BZ16">
            <v>27300</v>
          </cell>
          <cell r="CH16">
            <v>17972</v>
          </cell>
          <cell r="CI16">
            <v>25520</v>
          </cell>
          <cell r="CJ16">
            <v>29295</v>
          </cell>
        </row>
        <row r="17">
          <cell r="A17" t="str">
            <v>A</v>
          </cell>
          <cell r="B17" t="str">
            <v>Y</v>
          </cell>
          <cell r="BH17">
            <v>15468</v>
          </cell>
          <cell r="BI17">
            <v>21964</v>
          </cell>
          <cell r="BJ17">
            <v>25213</v>
          </cell>
          <cell r="BR17">
            <v>14414</v>
          </cell>
          <cell r="BS17">
            <v>20469</v>
          </cell>
          <cell r="BT17">
            <v>23496</v>
          </cell>
          <cell r="BX17">
            <v>14414</v>
          </cell>
          <cell r="BY17">
            <v>20469</v>
          </cell>
          <cell r="BZ17">
            <v>23496</v>
          </cell>
          <cell r="CH17">
            <v>15468</v>
          </cell>
          <cell r="CI17">
            <v>21964</v>
          </cell>
          <cell r="CJ17">
            <v>25213</v>
          </cell>
        </row>
        <row r="18">
          <cell r="A18" t="str">
            <v>B</v>
          </cell>
          <cell r="B18" t="str">
            <v>D</v>
          </cell>
          <cell r="BH18">
            <v>15039</v>
          </cell>
          <cell r="BI18">
            <v>21355</v>
          </cell>
          <cell r="BJ18">
            <v>24514</v>
          </cell>
          <cell r="BR18">
            <v>14015</v>
          </cell>
          <cell r="BS18">
            <v>19901</v>
          </cell>
          <cell r="BT18">
            <v>22844</v>
          </cell>
          <cell r="BX18">
            <v>14015</v>
          </cell>
          <cell r="BY18">
            <v>19901</v>
          </cell>
          <cell r="BZ18">
            <v>22844</v>
          </cell>
          <cell r="CH18">
            <v>15039</v>
          </cell>
          <cell r="CI18">
            <v>21355</v>
          </cell>
          <cell r="CJ18">
            <v>24514</v>
          </cell>
        </row>
        <row r="19">
          <cell r="A19" t="str">
            <v>B</v>
          </cell>
          <cell r="B19" t="str">
            <v>A</v>
          </cell>
          <cell r="BH19">
            <v>20002</v>
          </cell>
          <cell r="BI19">
            <v>28402</v>
          </cell>
          <cell r="BJ19">
            <v>32604</v>
          </cell>
          <cell r="BR19">
            <v>18640</v>
          </cell>
          <cell r="BS19">
            <v>26468</v>
          </cell>
          <cell r="BT19">
            <v>30383</v>
          </cell>
          <cell r="BX19">
            <v>18640</v>
          </cell>
          <cell r="BY19">
            <v>26468</v>
          </cell>
          <cell r="BZ19">
            <v>30383</v>
          </cell>
          <cell r="CH19">
            <v>20002</v>
          </cell>
          <cell r="CI19">
            <v>28402</v>
          </cell>
          <cell r="CJ19">
            <v>32604</v>
          </cell>
        </row>
        <row r="20">
          <cell r="A20" t="str">
            <v>B</v>
          </cell>
          <cell r="B20" t="str">
            <v>B</v>
          </cell>
          <cell r="BH20">
            <v>18348</v>
          </cell>
          <cell r="BI20">
            <v>26053</v>
          </cell>
          <cell r="BJ20">
            <v>29907</v>
          </cell>
          <cell r="BR20">
            <v>17098</v>
          </cell>
          <cell r="BS20">
            <v>24279</v>
          </cell>
          <cell r="BT20">
            <v>27870</v>
          </cell>
          <cell r="BX20">
            <v>17098</v>
          </cell>
          <cell r="BY20">
            <v>24279</v>
          </cell>
          <cell r="BZ20">
            <v>27870</v>
          </cell>
          <cell r="CH20">
            <v>18348</v>
          </cell>
          <cell r="CI20">
            <v>26053</v>
          </cell>
          <cell r="CJ20">
            <v>29907</v>
          </cell>
        </row>
        <row r="21">
          <cell r="A21" t="str">
            <v>B</v>
          </cell>
          <cell r="B21" t="str">
            <v>Y</v>
          </cell>
          <cell r="BH21">
            <v>15791</v>
          </cell>
          <cell r="BI21">
            <v>22423</v>
          </cell>
          <cell r="BJ21">
            <v>25740</v>
          </cell>
          <cell r="BR21">
            <v>14716</v>
          </cell>
          <cell r="BS21">
            <v>20896</v>
          </cell>
          <cell r="BT21">
            <v>23986</v>
          </cell>
          <cell r="BX21">
            <v>14716</v>
          </cell>
          <cell r="BY21">
            <v>20896</v>
          </cell>
          <cell r="BZ21">
            <v>23986</v>
          </cell>
          <cell r="CH21">
            <v>15791</v>
          </cell>
          <cell r="CI21">
            <v>22423</v>
          </cell>
          <cell r="CJ21">
            <v>25740</v>
          </cell>
        </row>
        <row r="22">
          <cell r="A22" t="str">
            <v>C</v>
          </cell>
          <cell r="B22" t="str">
            <v>D</v>
          </cell>
          <cell r="BH22">
            <v>15364</v>
          </cell>
          <cell r="BI22">
            <v>21817</v>
          </cell>
          <cell r="BJ22">
            <v>25043</v>
          </cell>
          <cell r="BR22">
            <v>14318</v>
          </cell>
          <cell r="BS22">
            <v>20332</v>
          </cell>
          <cell r="BT22">
            <v>23338</v>
          </cell>
          <cell r="BX22">
            <v>14318</v>
          </cell>
          <cell r="BY22">
            <v>20332</v>
          </cell>
          <cell r="BZ22">
            <v>23338</v>
          </cell>
          <cell r="CH22">
            <v>15364</v>
          </cell>
          <cell r="CI22">
            <v>21817</v>
          </cell>
          <cell r="CJ22">
            <v>25043</v>
          </cell>
        </row>
        <row r="23">
          <cell r="A23" t="str">
            <v>C</v>
          </cell>
          <cell r="B23" t="str">
            <v>A</v>
          </cell>
          <cell r="BH23">
            <v>20434</v>
          </cell>
          <cell r="BI23">
            <v>29017</v>
          </cell>
          <cell r="BJ23">
            <v>33307</v>
          </cell>
          <cell r="BR23">
            <v>19043</v>
          </cell>
          <cell r="BS23">
            <v>27042</v>
          </cell>
          <cell r="BT23">
            <v>31040</v>
          </cell>
          <cell r="BX23">
            <v>19043</v>
          </cell>
          <cell r="BY23">
            <v>27042</v>
          </cell>
          <cell r="BZ23">
            <v>31040</v>
          </cell>
          <cell r="CH23">
            <v>20434</v>
          </cell>
          <cell r="CI23">
            <v>29017</v>
          </cell>
          <cell r="CJ23">
            <v>33307</v>
          </cell>
        </row>
        <row r="24">
          <cell r="A24" t="str">
            <v>C</v>
          </cell>
          <cell r="B24" t="str">
            <v>B</v>
          </cell>
          <cell r="BH24">
            <v>18744</v>
          </cell>
          <cell r="BI24">
            <v>26617</v>
          </cell>
          <cell r="BJ24">
            <v>30552</v>
          </cell>
          <cell r="BR24">
            <v>17468</v>
          </cell>
          <cell r="BS24">
            <v>24805</v>
          </cell>
          <cell r="BT24">
            <v>28472</v>
          </cell>
          <cell r="BX24">
            <v>17468</v>
          </cell>
          <cell r="BY24">
            <v>24805</v>
          </cell>
          <cell r="BZ24">
            <v>28472</v>
          </cell>
          <cell r="CH24">
            <v>18744</v>
          </cell>
          <cell r="CI24">
            <v>26617</v>
          </cell>
          <cell r="CJ24">
            <v>30552</v>
          </cell>
        </row>
        <row r="25">
          <cell r="A25" t="str">
            <v>C</v>
          </cell>
          <cell r="B25" t="str">
            <v>Y</v>
          </cell>
          <cell r="BH25">
            <v>16132</v>
          </cell>
          <cell r="BI25">
            <v>22908</v>
          </cell>
          <cell r="BJ25">
            <v>26295</v>
          </cell>
          <cell r="BR25">
            <v>15034</v>
          </cell>
          <cell r="BS25">
            <v>21349</v>
          </cell>
          <cell r="BT25">
            <v>24505</v>
          </cell>
          <cell r="BX25">
            <v>15034</v>
          </cell>
          <cell r="BY25">
            <v>21349</v>
          </cell>
          <cell r="BZ25">
            <v>24505</v>
          </cell>
          <cell r="CH25">
            <v>16132</v>
          </cell>
          <cell r="CI25">
            <v>22908</v>
          </cell>
          <cell r="CJ25">
            <v>26295</v>
          </cell>
        </row>
        <row r="26">
          <cell r="A26" t="str">
            <v>D</v>
          </cell>
          <cell r="B26" t="str">
            <v>D</v>
          </cell>
          <cell r="BH26">
            <v>15785</v>
          </cell>
          <cell r="BI26">
            <v>22415</v>
          </cell>
          <cell r="BJ26">
            <v>25730</v>
          </cell>
          <cell r="BR26">
            <v>14710</v>
          </cell>
          <cell r="BS26">
            <v>20888</v>
          </cell>
          <cell r="BT26">
            <v>23977</v>
          </cell>
          <cell r="BX26">
            <v>14710</v>
          </cell>
          <cell r="BY26">
            <v>20888</v>
          </cell>
          <cell r="BZ26">
            <v>23977</v>
          </cell>
          <cell r="CH26">
            <v>15785</v>
          </cell>
          <cell r="CI26">
            <v>22415</v>
          </cell>
          <cell r="CJ26">
            <v>25730</v>
          </cell>
        </row>
        <row r="27">
          <cell r="A27" t="str">
            <v>D</v>
          </cell>
          <cell r="B27" t="str">
            <v>A</v>
          </cell>
          <cell r="BH27">
            <v>20994</v>
          </cell>
          <cell r="BI27">
            <v>29812</v>
          </cell>
          <cell r="BJ27">
            <v>34221</v>
          </cell>
          <cell r="BR27">
            <v>19564</v>
          </cell>
          <cell r="BS27">
            <v>27781</v>
          </cell>
          <cell r="BT27">
            <v>31889</v>
          </cell>
          <cell r="BX27">
            <v>19564</v>
          </cell>
          <cell r="BY27">
            <v>27781</v>
          </cell>
          <cell r="BZ27">
            <v>31889</v>
          </cell>
          <cell r="CH27">
            <v>20994</v>
          </cell>
          <cell r="CI27">
            <v>29812</v>
          </cell>
          <cell r="CJ27">
            <v>34221</v>
          </cell>
        </row>
        <row r="28">
          <cell r="A28" t="str">
            <v>D</v>
          </cell>
          <cell r="B28" t="str">
            <v>B</v>
          </cell>
          <cell r="BH28">
            <v>19258</v>
          </cell>
          <cell r="BI28">
            <v>27346</v>
          </cell>
          <cell r="BJ28">
            <v>31391</v>
          </cell>
          <cell r="BR28">
            <v>17946</v>
          </cell>
          <cell r="BS28">
            <v>25483</v>
          </cell>
          <cell r="BT28">
            <v>29252</v>
          </cell>
          <cell r="BX28">
            <v>17946</v>
          </cell>
          <cell r="BY28">
            <v>25483</v>
          </cell>
          <cell r="BZ28">
            <v>29252</v>
          </cell>
          <cell r="CH28">
            <v>19258</v>
          </cell>
          <cell r="CI28">
            <v>27346</v>
          </cell>
          <cell r="CJ28">
            <v>31391</v>
          </cell>
        </row>
        <row r="29">
          <cell r="A29" t="str">
            <v>D</v>
          </cell>
          <cell r="B29" t="str">
            <v>Y</v>
          </cell>
          <cell r="BH29">
            <v>16574</v>
          </cell>
          <cell r="BI29">
            <v>23536</v>
          </cell>
          <cell r="BJ29">
            <v>27017</v>
          </cell>
          <cell r="BR29">
            <v>15446</v>
          </cell>
          <cell r="BS29">
            <v>21932</v>
          </cell>
          <cell r="BT29">
            <v>25176</v>
          </cell>
          <cell r="BX29">
            <v>15446</v>
          </cell>
          <cell r="BY29">
            <v>21932</v>
          </cell>
          <cell r="BZ29">
            <v>25176</v>
          </cell>
          <cell r="CH29">
            <v>16574</v>
          </cell>
          <cell r="CI29">
            <v>23536</v>
          </cell>
          <cell r="CJ29">
            <v>27017</v>
          </cell>
        </row>
        <row r="30">
          <cell r="A30" t="str">
            <v>E</v>
          </cell>
          <cell r="B30" t="str">
            <v>D</v>
          </cell>
          <cell r="BH30">
            <v>16180</v>
          </cell>
          <cell r="BI30">
            <v>22976</v>
          </cell>
          <cell r="BJ30">
            <v>26373</v>
          </cell>
          <cell r="BR30">
            <v>15078</v>
          </cell>
          <cell r="BS30">
            <v>21411</v>
          </cell>
          <cell r="BT30">
            <v>24577</v>
          </cell>
          <cell r="BX30">
            <v>15078</v>
          </cell>
          <cell r="BY30">
            <v>21411</v>
          </cell>
          <cell r="BZ30">
            <v>24577</v>
          </cell>
          <cell r="CH30">
            <v>16180</v>
          </cell>
          <cell r="CI30">
            <v>22976</v>
          </cell>
          <cell r="CJ30">
            <v>26373</v>
          </cell>
        </row>
        <row r="31">
          <cell r="A31" t="str">
            <v>E</v>
          </cell>
          <cell r="B31" t="str">
            <v>A</v>
          </cell>
          <cell r="BH31">
            <v>21519</v>
          </cell>
          <cell r="BI31">
            <v>30558</v>
          </cell>
          <cell r="BJ31">
            <v>35076</v>
          </cell>
          <cell r="BR31">
            <v>20054</v>
          </cell>
          <cell r="BS31">
            <v>28477</v>
          </cell>
          <cell r="BT31">
            <v>32687</v>
          </cell>
          <cell r="BX31">
            <v>20054</v>
          </cell>
          <cell r="BY31">
            <v>28477</v>
          </cell>
          <cell r="BZ31">
            <v>32687</v>
          </cell>
          <cell r="CH31">
            <v>21519</v>
          </cell>
          <cell r="CI31">
            <v>30558</v>
          </cell>
          <cell r="CJ31">
            <v>35076</v>
          </cell>
        </row>
        <row r="32">
          <cell r="A32" t="str">
            <v>E</v>
          </cell>
          <cell r="B32" t="str">
            <v>B</v>
          </cell>
          <cell r="BH32">
            <v>19740</v>
          </cell>
          <cell r="BI32">
            <v>28031</v>
          </cell>
          <cell r="BJ32">
            <v>32175</v>
          </cell>
          <cell r="BR32">
            <v>18395</v>
          </cell>
          <cell r="BS32">
            <v>26121</v>
          </cell>
          <cell r="BT32">
            <v>29984</v>
          </cell>
          <cell r="BX32">
            <v>18395</v>
          </cell>
          <cell r="BY32">
            <v>26121</v>
          </cell>
          <cell r="BZ32">
            <v>29984</v>
          </cell>
          <cell r="CH32">
            <v>19740</v>
          </cell>
          <cell r="CI32">
            <v>28031</v>
          </cell>
          <cell r="CJ32">
            <v>32175</v>
          </cell>
        </row>
        <row r="33">
          <cell r="A33" t="str">
            <v>E</v>
          </cell>
          <cell r="B33" t="str">
            <v>Y</v>
          </cell>
          <cell r="BH33">
            <v>16989</v>
          </cell>
          <cell r="BI33">
            <v>24125</v>
          </cell>
          <cell r="BJ33">
            <v>27692</v>
          </cell>
          <cell r="BR33">
            <v>15832</v>
          </cell>
          <cell r="BS33">
            <v>22482</v>
          </cell>
          <cell r="BT33">
            <v>25806</v>
          </cell>
          <cell r="BX33">
            <v>15832</v>
          </cell>
          <cell r="BY33">
            <v>22482</v>
          </cell>
          <cell r="BZ33">
            <v>25806</v>
          </cell>
          <cell r="CH33">
            <v>16989</v>
          </cell>
          <cell r="CI33">
            <v>24125</v>
          </cell>
          <cell r="CJ33">
            <v>27692</v>
          </cell>
        </row>
        <row r="34">
          <cell r="A34" t="str">
            <v>F</v>
          </cell>
          <cell r="B34" t="str">
            <v>D</v>
          </cell>
          <cell r="BH34">
            <v>16647</v>
          </cell>
          <cell r="BI34">
            <v>23639</v>
          </cell>
          <cell r="BJ34">
            <v>27135</v>
          </cell>
          <cell r="BR34">
            <v>15513</v>
          </cell>
          <cell r="BS34">
            <v>22028</v>
          </cell>
          <cell r="BT34">
            <v>25286</v>
          </cell>
          <cell r="BX34">
            <v>15513</v>
          </cell>
          <cell r="BY34">
            <v>22028</v>
          </cell>
          <cell r="BZ34">
            <v>25286</v>
          </cell>
          <cell r="CH34">
            <v>16647</v>
          </cell>
          <cell r="CI34">
            <v>23639</v>
          </cell>
          <cell r="CJ34">
            <v>27135</v>
          </cell>
        </row>
        <row r="35">
          <cell r="A35" t="str">
            <v>F</v>
          </cell>
          <cell r="B35" t="str">
            <v>A</v>
          </cell>
          <cell r="BH35">
            <v>22141</v>
          </cell>
          <cell r="BI35">
            <v>31440</v>
          </cell>
          <cell r="BJ35">
            <v>36090</v>
          </cell>
          <cell r="BR35">
            <v>20632</v>
          </cell>
          <cell r="BS35">
            <v>29297</v>
          </cell>
          <cell r="BT35">
            <v>33630</v>
          </cell>
          <cell r="BX35">
            <v>20632</v>
          </cell>
          <cell r="BY35">
            <v>29297</v>
          </cell>
          <cell r="BZ35">
            <v>33630</v>
          </cell>
          <cell r="CH35">
            <v>22141</v>
          </cell>
          <cell r="CI35">
            <v>31440</v>
          </cell>
          <cell r="CJ35">
            <v>36090</v>
          </cell>
        </row>
        <row r="36">
          <cell r="A36" t="str">
            <v>F</v>
          </cell>
          <cell r="B36" t="str">
            <v>B</v>
          </cell>
          <cell r="BH36">
            <v>20309</v>
          </cell>
          <cell r="BI36">
            <v>28840</v>
          </cell>
          <cell r="BJ36">
            <v>33105</v>
          </cell>
          <cell r="BR36">
            <v>18926</v>
          </cell>
          <cell r="BS36">
            <v>26874</v>
          </cell>
          <cell r="BT36">
            <v>30849</v>
          </cell>
          <cell r="BX36">
            <v>18926</v>
          </cell>
          <cell r="BY36">
            <v>26874</v>
          </cell>
          <cell r="BZ36">
            <v>30849</v>
          </cell>
          <cell r="CH36">
            <v>20309</v>
          </cell>
          <cell r="CI36">
            <v>28840</v>
          </cell>
          <cell r="CJ36">
            <v>33105</v>
          </cell>
        </row>
        <row r="37">
          <cell r="A37" t="str">
            <v>F</v>
          </cell>
          <cell r="B37" t="str">
            <v>Y</v>
          </cell>
          <cell r="BH37">
            <v>17479</v>
          </cell>
          <cell r="BI37">
            <v>24821</v>
          </cell>
          <cell r="BJ37">
            <v>28492</v>
          </cell>
          <cell r="BR37">
            <v>16289</v>
          </cell>
          <cell r="BS37">
            <v>23129</v>
          </cell>
          <cell r="BT37">
            <v>26550</v>
          </cell>
          <cell r="BX37">
            <v>16289</v>
          </cell>
          <cell r="BY37">
            <v>23129</v>
          </cell>
          <cell r="BZ37">
            <v>26550</v>
          </cell>
          <cell r="CH37">
            <v>17479</v>
          </cell>
          <cell r="CI37">
            <v>24821</v>
          </cell>
          <cell r="CJ37">
            <v>28492</v>
          </cell>
        </row>
        <row r="38">
          <cell r="A38" t="str">
            <v>G</v>
          </cell>
          <cell r="B38" t="str">
            <v>D</v>
          </cell>
          <cell r="BH38">
            <v>17294</v>
          </cell>
          <cell r="BI38">
            <v>24557</v>
          </cell>
          <cell r="BJ38">
            <v>28189</v>
          </cell>
          <cell r="BR38">
            <v>16117</v>
          </cell>
          <cell r="BS38">
            <v>22886</v>
          </cell>
          <cell r="BT38">
            <v>26271</v>
          </cell>
          <cell r="BX38">
            <v>16117</v>
          </cell>
          <cell r="BY38">
            <v>22886</v>
          </cell>
          <cell r="BZ38">
            <v>26271</v>
          </cell>
          <cell r="CH38">
            <v>17294</v>
          </cell>
          <cell r="CI38">
            <v>24557</v>
          </cell>
          <cell r="CJ38">
            <v>28189</v>
          </cell>
        </row>
        <row r="39">
          <cell r="A39" t="str">
            <v>G</v>
          </cell>
          <cell r="B39" t="str">
            <v>A</v>
          </cell>
          <cell r="BH39">
            <v>23001</v>
          </cell>
          <cell r="BI39">
            <v>32661</v>
          </cell>
          <cell r="BJ39">
            <v>37491</v>
          </cell>
          <cell r="BR39">
            <v>21436</v>
          </cell>
          <cell r="BS39">
            <v>30438</v>
          </cell>
          <cell r="BT39">
            <v>34940</v>
          </cell>
          <cell r="BX39">
            <v>21436</v>
          </cell>
          <cell r="BY39">
            <v>30438</v>
          </cell>
          <cell r="BZ39">
            <v>34940</v>
          </cell>
          <cell r="CH39">
            <v>23001</v>
          </cell>
          <cell r="CI39">
            <v>32661</v>
          </cell>
          <cell r="CJ39">
            <v>37491</v>
          </cell>
        </row>
        <row r="40">
          <cell r="A40" t="str">
            <v>G</v>
          </cell>
          <cell r="B40" t="str">
            <v>B</v>
          </cell>
          <cell r="BH40">
            <v>21099</v>
          </cell>
          <cell r="BI40">
            <v>29960</v>
          </cell>
          <cell r="BJ40">
            <v>34391</v>
          </cell>
          <cell r="BR40">
            <v>19663</v>
          </cell>
          <cell r="BS40">
            <v>27921</v>
          </cell>
          <cell r="BT40">
            <v>32051</v>
          </cell>
          <cell r="BX40">
            <v>19663</v>
          </cell>
          <cell r="BY40">
            <v>27921</v>
          </cell>
          <cell r="BZ40">
            <v>32051</v>
          </cell>
          <cell r="CH40">
            <v>21099</v>
          </cell>
          <cell r="CI40">
            <v>29960</v>
          </cell>
          <cell r="CJ40">
            <v>34391</v>
          </cell>
        </row>
        <row r="41">
          <cell r="A41" t="str">
            <v>G</v>
          </cell>
          <cell r="B41" t="str">
            <v>Y</v>
          </cell>
          <cell r="BH41">
            <v>18159</v>
          </cell>
          <cell r="BI41">
            <v>25785</v>
          </cell>
          <cell r="BJ41">
            <v>29598</v>
          </cell>
          <cell r="BR41">
            <v>16923</v>
          </cell>
          <cell r="BS41">
            <v>24030</v>
          </cell>
          <cell r="BT41">
            <v>27585</v>
          </cell>
          <cell r="BX41">
            <v>16923</v>
          </cell>
          <cell r="BY41">
            <v>24030</v>
          </cell>
          <cell r="BZ41">
            <v>27585</v>
          </cell>
          <cell r="CH41">
            <v>18159</v>
          </cell>
          <cell r="CI41">
            <v>25785</v>
          </cell>
          <cell r="CJ41">
            <v>29598</v>
          </cell>
        </row>
        <row r="42">
          <cell r="A42" t="str">
            <v>H</v>
          </cell>
          <cell r="B42" t="str">
            <v>D</v>
          </cell>
          <cell r="BH42">
            <v>18008</v>
          </cell>
          <cell r="BI42">
            <v>25571</v>
          </cell>
          <cell r="BJ42">
            <v>29353</v>
          </cell>
          <cell r="BR42">
            <v>16782</v>
          </cell>
          <cell r="BS42">
            <v>23830</v>
          </cell>
          <cell r="BT42">
            <v>27355</v>
          </cell>
          <cell r="BX42">
            <v>16782</v>
          </cell>
          <cell r="BY42">
            <v>23830</v>
          </cell>
          <cell r="BZ42">
            <v>27355</v>
          </cell>
          <cell r="CH42">
            <v>18008</v>
          </cell>
          <cell r="CI42">
            <v>25571</v>
          </cell>
          <cell r="CJ42">
            <v>29353</v>
          </cell>
        </row>
        <row r="43">
          <cell r="A43" t="str">
            <v>H</v>
          </cell>
          <cell r="B43" t="str">
            <v>A</v>
          </cell>
          <cell r="BH43">
            <v>23951</v>
          </cell>
          <cell r="BI43">
            <v>34009</v>
          </cell>
          <cell r="BJ43">
            <v>39039</v>
          </cell>
          <cell r="BR43">
            <v>22320</v>
          </cell>
          <cell r="BS43">
            <v>31694</v>
          </cell>
          <cell r="BT43">
            <v>36382</v>
          </cell>
          <cell r="BX43">
            <v>22320</v>
          </cell>
          <cell r="BY43">
            <v>31694</v>
          </cell>
          <cell r="BZ43">
            <v>36382</v>
          </cell>
          <cell r="CH43">
            <v>23951</v>
          </cell>
          <cell r="CI43">
            <v>34009</v>
          </cell>
          <cell r="CJ43">
            <v>39039</v>
          </cell>
        </row>
        <row r="44">
          <cell r="A44" t="str">
            <v>H</v>
          </cell>
          <cell r="B44" t="str">
            <v>B</v>
          </cell>
          <cell r="BH44">
            <v>21970</v>
          </cell>
          <cell r="BI44">
            <v>31197</v>
          </cell>
          <cell r="BJ44">
            <v>35811</v>
          </cell>
          <cell r="BR44">
            <v>20474</v>
          </cell>
          <cell r="BS44">
            <v>29073</v>
          </cell>
          <cell r="BT44">
            <v>33373</v>
          </cell>
          <cell r="BX44">
            <v>20474</v>
          </cell>
          <cell r="BY44">
            <v>29073</v>
          </cell>
          <cell r="BZ44">
            <v>33373</v>
          </cell>
          <cell r="CH44">
            <v>21970</v>
          </cell>
          <cell r="CI44">
            <v>31197</v>
          </cell>
          <cell r="CJ44">
            <v>35811</v>
          </cell>
        </row>
        <row r="45">
          <cell r="A45" t="str">
            <v>H</v>
          </cell>
          <cell r="B45" t="str">
            <v>Y</v>
          </cell>
          <cell r="BH45">
            <v>18908</v>
          </cell>
          <cell r="BI45">
            <v>26850</v>
          </cell>
          <cell r="BJ45">
            <v>30821</v>
          </cell>
          <cell r="BR45">
            <v>17621</v>
          </cell>
          <cell r="BS45">
            <v>25022</v>
          </cell>
          <cell r="BT45">
            <v>28723</v>
          </cell>
          <cell r="BX45">
            <v>17621</v>
          </cell>
          <cell r="BY45">
            <v>25022</v>
          </cell>
          <cell r="BZ45">
            <v>28723</v>
          </cell>
          <cell r="CH45">
            <v>18908</v>
          </cell>
          <cell r="CI45">
            <v>26850</v>
          </cell>
          <cell r="CJ45">
            <v>30821</v>
          </cell>
        </row>
        <row r="46">
          <cell r="A46" t="str">
            <v>I</v>
          </cell>
          <cell r="B46" t="str">
            <v>D</v>
          </cell>
          <cell r="BH46">
            <v>19014</v>
          </cell>
          <cell r="BI46">
            <v>27000</v>
          </cell>
          <cell r="BJ46">
            <v>30993</v>
          </cell>
          <cell r="BR46">
            <v>17720</v>
          </cell>
          <cell r="BS46">
            <v>25162</v>
          </cell>
          <cell r="BT46">
            <v>28884</v>
          </cell>
          <cell r="BX46">
            <v>17720</v>
          </cell>
          <cell r="BY46">
            <v>25162</v>
          </cell>
          <cell r="BZ46">
            <v>28884</v>
          </cell>
          <cell r="CH46">
            <v>19014</v>
          </cell>
          <cell r="CI46">
            <v>27000</v>
          </cell>
          <cell r="CJ46">
            <v>30993</v>
          </cell>
        </row>
        <row r="47">
          <cell r="A47" t="str">
            <v>I</v>
          </cell>
          <cell r="B47" t="str">
            <v>A</v>
          </cell>
          <cell r="BH47">
            <v>25289</v>
          </cell>
          <cell r="BI47">
            <v>35910</v>
          </cell>
          <cell r="BJ47">
            <v>41221</v>
          </cell>
          <cell r="BR47">
            <v>23568</v>
          </cell>
          <cell r="BS47">
            <v>33465</v>
          </cell>
          <cell r="BT47">
            <v>38416</v>
          </cell>
          <cell r="BX47">
            <v>23568</v>
          </cell>
          <cell r="BY47">
            <v>33465</v>
          </cell>
          <cell r="BZ47">
            <v>38416</v>
          </cell>
          <cell r="CH47">
            <v>25289</v>
          </cell>
          <cell r="CI47">
            <v>35910</v>
          </cell>
          <cell r="CJ47">
            <v>41221</v>
          </cell>
        </row>
        <row r="48">
          <cell r="A48" t="str">
            <v>I</v>
          </cell>
          <cell r="B48" t="str">
            <v>B</v>
          </cell>
          <cell r="BH48">
            <v>23197</v>
          </cell>
          <cell r="BI48">
            <v>32940</v>
          </cell>
          <cell r="BJ48">
            <v>37811</v>
          </cell>
          <cell r="BR48">
            <v>21618</v>
          </cell>
          <cell r="BS48">
            <v>30698</v>
          </cell>
          <cell r="BT48">
            <v>35238</v>
          </cell>
          <cell r="BX48">
            <v>21618</v>
          </cell>
          <cell r="BY48">
            <v>30698</v>
          </cell>
          <cell r="BZ48">
            <v>35238</v>
          </cell>
          <cell r="CH48">
            <v>23197</v>
          </cell>
          <cell r="CI48">
            <v>32940</v>
          </cell>
          <cell r="CJ48">
            <v>37811</v>
          </cell>
        </row>
        <row r="49">
          <cell r="A49" t="str">
            <v>I</v>
          </cell>
          <cell r="B49" t="str">
            <v>Y</v>
          </cell>
          <cell r="BH49">
            <v>19965</v>
          </cell>
          <cell r="BI49">
            <v>28350</v>
          </cell>
          <cell r="BJ49">
            <v>32543</v>
          </cell>
          <cell r="BR49">
            <v>18606</v>
          </cell>
          <cell r="BS49">
            <v>26420</v>
          </cell>
          <cell r="BT49">
            <v>30328</v>
          </cell>
          <cell r="BX49">
            <v>18606</v>
          </cell>
          <cell r="BY49">
            <v>26420</v>
          </cell>
          <cell r="BZ49">
            <v>30328</v>
          </cell>
          <cell r="CH49">
            <v>19965</v>
          </cell>
          <cell r="CI49">
            <v>28350</v>
          </cell>
          <cell r="CJ49">
            <v>32543</v>
          </cell>
        </row>
        <row r="50">
          <cell r="A50" t="str">
            <v>J</v>
          </cell>
          <cell r="B50" t="str">
            <v>D</v>
          </cell>
          <cell r="BH50">
            <v>20442</v>
          </cell>
          <cell r="BI50">
            <v>29028</v>
          </cell>
          <cell r="BJ50">
            <v>33320</v>
          </cell>
          <cell r="BR50">
            <v>19050</v>
          </cell>
          <cell r="BS50">
            <v>27051</v>
          </cell>
          <cell r="BT50">
            <v>31052</v>
          </cell>
          <cell r="BX50">
            <v>19050</v>
          </cell>
          <cell r="BY50">
            <v>27051</v>
          </cell>
          <cell r="BZ50">
            <v>31052</v>
          </cell>
          <cell r="CH50">
            <v>20442</v>
          </cell>
          <cell r="CI50">
            <v>29028</v>
          </cell>
          <cell r="CJ50">
            <v>33320</v>
          </cell>
        </row>
        <row r="51">
          <cell r="A51" t="str">
            <v>J</v>
          </cell>
          <cell r="B51" t="str">
            <v>A</v>
          </cell>
          <cell r="BH51">
            <v>27188</v>
          </cell>
          <cell r="BI51">
            <v>38607</v>
          </cell>
          <cell r="BJ51">
            <v>44316</v>
          </cell>
          <cell r="BR51">
            <v>25337</v>
          </cell>
          <cell r="BS51">
            <v>35978</v>
          </cell>
          <cell r="BT51">
            <v>41299</v>
          </cell>
          <cell r="BX51">
            <v>25337</v>
          </cell>
          <cell r="BY51">
            <v>35978</v>
          </cell>
          <cell r="BZ51">
            <v>41299</v>
          </cell>
          <cell r="CH51">
            <v>27188</v>
          </cell>
          <cell r="CI51">
            <v>38607</v>
          </cell>
          <cell r="CJ51">
            <v>44316</v>
          </cell>
        </row>
        <row r="52">
          <cell r="A52" t="str">
            <v>J</v>
          </cell>
          <cell r="B52" t="str">
            <v>B</v>
          </cell>
          <cell r="BH52">
            <v>24939</v>
          </cell>
          <cell r="BI52">
            <v>35414</v>
          </cell>
          <cell r="BJ52">
            <v>40650</v>
          </cell>
          <cell r="BR52">
            <v>23241</v>
          </cell>
          <cell r="BS52">
            <v>33002</v>
          </cell>
          <cell r="BT52">
            <v>37883</v>
          </cell>
          <cell r="BX52">
            <v>23241</v>
          </cell>
          <cell r="BY52">
            <v>33002</v>
          </cell>
          <cell r="BZ52">
            <v>37883</v>
          </cell>
          <cell r="CH52">
            <v>24939</v>
          </cell>
          <cell r="CI52">
            <v>35414</v>
          </cell>
          <cell r="CJ52">
            <v>40650</v>
          </cell>
        </row>
        <row r="53">
          <cell r="A53" t="str">
            <v>J</v>
          </cell>
          <cell r="B53" t="str">
            <v>Y</v>
          </cell>
          <cell r="BH53">
            <v>21464</v>
          </cell>
          <cell r="BI53">
            <v>30479</v>
          </cell>
          <cell r="BJ53">
            <v>34986</v>
          </cell>
          <cell r="BR53">
            <v>20003</v>
          </cell>
          <cell r="BS53">
            <v>28404</v>
          </cell>
          <cell r="BT53">
            <v>32605</v>
          </cell>
          <cell r="BX53">
            <v>20003</v>
          </cell>
          <cell r="BY53">
            <v>28404</v>
          </cell>
          <cell r="BZ53">
            <v>32605</v>
          </cell>
          <cell r="CH53">
            <v>21464</v>
          </cell>
          <cell r="CI53">
            <v>30479</v>
          </cell>
          <cell r="CJ53">
            <v>34986</v>
          </cell>
        </row>
        <row r="54">
          <cell r="A54" t="str">
            <v>K</v>
          </cell>
          <cell r="B54" t="str">
            <v>D</v>
          </cell>
          <cell r="BH54">
            <v>21686</v>
          </cell>
          <cell r="BI54">
            <v>30794</v>
          </cell>
          <cell r="BJ54">
            <v>35348</v>
          </cell>
          <cell r="BR54">
            <v>20210</v>
          </cell>
          <cell r="BS54">
            <v>28698</v>
          </cell>
          <cell r="BT54">
            <v>32942</v>
          </cell>
          <cell r="BX54">
            <v>20210</v>
          </cell>
          <cell r="BY54">
            <v>28698</v>
          </cell>
          <cell r="BZ54">
            <v>32942</v>
          </cell>
          <cell r="CH54">
            <v>21686</v>
          </cell>
          <cell r="CI54">
            <v>30794</v>
          </cell>
          <cell r="CJ54">
            <v>35348</v>
          </cell>
        </row>
        <row r="55">
          <cell r="A55" t="str">
            <v>K</v>
          </cell>
          <cell r="B55" t="str">
            <v>A</v>
          </cell>
          <cell r="BH55">
            <v>28842</v>
          </cell>
          <cell r="BI55">
            <v>40956</v>
          </cell>
          <cell r="BJ55">
            <v>47013</v>
          </cell>
          <cell r="BR55">
            <v>26879</v>
          </cell>
          <cell r="BS55">
            <v>38168</v>
          </cell>
          <cell r="BT55">
            <v>43813</v>
          </cell>
          <cell r="BX55">
            <v>26879</v>
          </cell>
          <cell r="BY55">
            <v>38168</v>
          </cell>
          <cell r="BZ55">
            <v>43813</v>
          </cell>
          <cell r="CH55">
            <v>28842</v>
          </cell>
          <cell r="CI55">
            <v>40956</v>
          </cell>
          <cell r="CJ55">
            <v>47013</v>
          </cell>
        </row>
        <row r="56">
          <cell r="A56" t="str">
            <v>K</v>
          </cell>
          <cell r="B56" t="str">
            <v>B</v>
          </cell>
          <cell r="BH56">
            <v>26457</v>
          </cell>
          <cell r="BI56">
            <v>37569</v>
          </cell>
          <cell r="BJ56">
            <v>43125</v>
          </cell>
          <cell r="BR56">
            <v>24656</v>
          </cell>
          <cell r="BS56">
            <v>35012</v>
          </cell>
          <cell r="BT56">
            <v>40189</v>
          </cell>
          <cell r="BX56">
            <v>24656</v>
          </cell>
          <cell r="BY56">
            <v>35012</v>
          </cell>
          <cell r="BZ56">
            <v>40189</v>
          </cell>
          <cell r="CH56">
            <v>26457</v>
          </cell>
          <cell r="CI56">
            <v>37569</v>
          </cell>
          <cell r="CJ56">
            <v>43125</v>
          </cell>
        </row>
        <row r="57">
          <cell r="A57" t="str">
            <v>K</v>
          </cell>
          <cell r="B57" t="str">
            <v>Y</v>
          </cell>
          <cell r="BH57">
            <v>22770</v>
          </cell>
          <cell r="BI57">
            <v>32334</v>
          </cell>
          <cell r="BJ57">
            <v>37115</v>
          </cell>
          <cell r="BR57">
            <v>21221</v>
          </cell>
          <cell r="BS57">
            <v>30133</v>
          </cell>
          <cell r="BT57">
            <v>34589</v>
          </cell>
          <cell r="BX57">
            <v>21221</v>
          </cell>
          <cell r="BY57">
            <v>30133</v>
          </cell>
          <cell r="BZ57">
            <v>34589</v>
          </cell>
          <cell r="CH57">
            <v>22770</v>
          </cell>
          <cell r="CI57">
            <v>32334</v>
          </cell>
          <cell r="CJ57">
            <v>37115</v>
          </cell>
        </row>
        <row r="58">
          <cell r="A58" t="str">
            <v>L</v>
          </cell>
          <cell r="B58" t="str">
            <v>D</v>
          </cell>
          <cell r="BH58">
            <v>22897</v>
          </cell>
          <cell r="BI58">
            <v>32514</v>
          </cell>
          <cell r="BJ58">
            <v>37322</v>
          </cell>
          <cell r="BR58">
            <v>21338</v>
          </cell>
          <cell r="BS58">
            <v>30300</v>
          </cell>
          <cell r="BT58">
            <v>34781</v>
          </cell>
          <cell r="BX58">
            <v>21338</v>
          </cell>
          <cell r="BY58">
            <v>30300</v>
          </cell>
          <cell r="BZ58">
            <v>34781</v>
          </cell>
          <cell r="CH58">
            <v>22897</v>
          </cell>
          <cell r="CI58">
            <v>32514</v>
          </cell>
          <cell r="CJ58">
            <v>37322</v>
          </cell>
        </row>
        <row r="59">
          <cell r="A59" t="str">
            <v>L</v>
          </cell>
          <cell r="B59" t="str">
            <v>A</v>
          </cell>
          <cell r="BH59">
            <v>30453</v>
          </cell>
          <cell r="BI59">
            <v>43244</v>
          </cell>
          <cell r="BJ59">
            <v>49638</v>
          </cell>
          <cell r="BR59">
            <v>28380</v>
          </cell>
          <cell r="BS59">
            <v>40299</v>
          </cell>
          <cell r="BT59">
            <v>46259</v>
          </cell>
          <cell r="BX59">
            <v>28380</v>
          </cell>
          <cell r="BY59">
            <v>40299</v>
          </cell>
          <cell r="BZ59">
            <v>46259</v>
          </cell>
          <cell r="CH59">
            <v>30453</v>
          </cell>
          <cell r="CI59">
            <v>43244</v>
          </cell>
          <cell r="CJ59">
            <v>49638</v>
          </cell>
        </row>
        <row r="60">
          <cell r="A60" t="str">
            <v>L</v>
          </cell>
          <cell r="B60" t="str">
            <v>B</v>
          </cell>
          <cell r="BH60">
            <v>27934</v>
          </cell>
          <cell r="BI60">
            <v>39667</v>
          </cell>
          <cell r="BJ60">
            <v>45533</v>
          </cell>
          <cell r="BR60">
            <v>26032</v>
          </cell>
          <cell r="BS60">
            <v>36966</v>
          </cell>
          <cell r="BT60">
            <v>42433</v>
          </cell>
          <cell r="BX60">
            <v>26032</v>
          </cell>
          <cell r="BY60">
            <v>36966</v>
          </cell>
          <cell r="BZ60">
            <v>42433</v>
          </cell>
          <cell r="CH60">
            <v>27934</v>
          </cell>
          <cell r="CI60">
            <v>39667</v>
          </cell>
          <cell r="CJ60">
            <v>45533</v>
          </cell>
        </row>
        <row r="61">
          <cell r="A61" t="str">
            <v>L</v>
          </cell>
          <cell r="B61" t="str">
            <v>Y</v>
          </cell>
          <cell r="BH61">
            <v>24042</v>
          </cell>
          <cell r="BI61">
            <v>34140</v>
          </cell>
          <cell r="BJ61">
            <v>39188</v>
          </cell>
          <cell r="BR61">
            <v>22405</v>
          </cell>
          <cell r="BS61">
            <v>31815</v>
          </cell>
          <cell r="BT61">
            <v>36520</v>
          </cell>
          <cell r="BX61">
            <v>22405</v>
          </cell>
          <cell r="BY61">
            <v>31815</v>
          </cell>
          <cell r="BZ61">
            <v>36520</v>
          </cell>
          <cell r="CH61">
            <v>24042</v>
          </cell>
          <cell r="CI61">
            <v>34140</v>
          </cell>
          <cell r="CJ61">
            <v>39188</v>
          </cell>
        </row>
        <row r="62">
          <cell r="A62" t="str">
            <v>M</v>
          </cell>
          <cell r="B62" t="str">
            <v>D</v>
          </cell>
          <cell r="BH62">
            <v>24033</v>
          </cell>
          <cell r="BI62">
            <v>34127</v>
          </cell>
          <cell r="BJ62">
            <v>39174</v>
          </cell>
          <cell r="BR62">
            <v>22397</v>
          </cell>
          <cell r="BS62">
            <v>31804</v>
          </cell>
          <cell r="BT62">
            <v>36507</v>
          </cell>
          <cell r="BX62">
            <v>22397</v>
          </cell>
          <cell r="BY62">
            <v>31804</v>
          </cell>
          <cell r="BZ62">
            <v>36507</v>
          </cell>
          <cell r="CH62">
            <v>24033</v>
          </cell>
          <cell r="CI62">
            <v>34127</v>
          </cell>
          <cell r="CJ62">
            <v>39174</v>
          </cell>
        </row>
        <row r="63">
          <cell r="A63" t="str">
            <v>M</v>
          </cell>
          <cell r="B63" t="str">
            <v>A</v>
          </cell>
          <cell r="BH63">
            <v>31964</v>
          </cell>
          <cell r="BI63">
            <v>45389</v>
          </cell>
          <cell r="BJ63">
            <v>52101</v>
          </cell>
          <cell r="BR63">
            <v>29788</v>
          </cell>
          <cell r="BS63">
            <v>42299</v>
          </cell>
          <cell r="BT63">
            <v>48554</v>
          </cell>
          <cell r="BX63">
            <v>29788</v>
          </cell>
          <cell r="BY63">
            <v>42299</v>
          </cell>
          <cell r="BZ63">
            <v>48554</v>
          </cell>
          <cell r="CH63">
            <v>31964</v>
          </cell>
          <cell r="CI63">
            <v>45389</v>
          </cell>
          <cell r="CJ63">
            <v>52101</v>
          </cell>
        </row>
        <row r="64">
          <cell r="A64" t="str">
            <v>M</v>
          </cell>
          <cell r="B64" t="str">
            <v>B</v>
          </cell>
          <cell r="BH64">
            <v>29320</v>
          </cell>
          <cell r="BI64">
            <v>41635</v>
          </cell>
          <cell r="BJ64">
            <v>47792</v>
          </cell>
          <cell r="BR64">
            <v>27324</v>
          </cell>
          <cell r="BS64">
            <v>38801</v>
          </cell>
          <cell r="BT64">
            <v>44539</v>
          </cell>
          <cell r="BX64">
            <v>27324</v>
          </cell>
          <cell r="BY64">
            <v>38801</v>
          </cell>
          <cell r="BZ64">
            <v>44539</v>
          </cell>
          <cell r="CH64">
            <v>29320</v>
          </cell>
          <cell r="CI64">
            <v>41635</v>
          </cell>
          <cell r="CJ64">
            <v>47792</v>
          </cell>
        </row>
        <row r="65">
          <cell r="A65" t="str">
            <v>M</v>
          </cell>
          <cell r="B65" t="str">
            <v>Y</v>
          </cell>
          <cell r="BH65">
            <v>25235</v>
          </cell>
          <cell r="BI65">
            <v>35833</v>
          </cell>
          <cell r="BJ65">
            <v>41133</v>
          </cell>
          <cell r="BR65">
            <v>23517</v>
          </cell>
          <cell r="BS65">
            <v>33394</v>
          </cell>
          <cell r="BT65">
            <v>38332</v>
          </cell>
          <cell r="BX65">
            <v>23517</v>
          </cell>
          <cell r="BY65">
            <v>33394</v>
          </cell>
          <cell r="BZ65">
            <v>38332</v>
          </cell>
          <cell r="CH65">
            <v>25235</v>
          </cell>
          <cell r="CI65">
            <v>35833</v>
          </cell>
          <cell r="CJ65">
            <v>41133</v>
          </cell>
        </row>
        <row r="66">
          <cell r="A66" t="str">
            <v>N</v>
          </cell>
          <cell r="B66" t="str">
            <v>D</v>
          </cell>
        </row>
        <row r="67">
          <cell r="A67" t="str">
            <v>N</v>
          </cell>
          <cell r="B67" t="str">
            <v>A</v>
          </cell>
        </row>
        <row r="68">
          <cell r="A68" t="str">
            <v>N</v>
          </cell>
          <cell r="B68" t="str">
            <v>B</v>
          </cell>
        </row>
        <row r="69">
          <cell r="A69" t="str">
            <v>N</v>
          </cell>
          <cell r="B69" t="str">
            <v>Y</v>
          </cell>
        </row>
        <row r="70">
          <cell r="A70" t="str">
            <v>I</v>
          </cell>
          <cell r="B70" t="str">
            <v>D</v>
          </cell>
          <cell r="BH70">
            <v>12152</v>
          </cell>
          <cell r="BI70">
            <v>17256</v>
          </cell>
          <cell r="BJ70">
            <v>19808</v>
          </cell>
          <cell r="BR70">
            <v>11325</v>
          </cell>
          <cell r="BS70">
            <v>16082</v>
          </cell>
          <cell r="BT70">
            <v>18460</v>
          </cell>
          <cell r="BX70">
            <v>11325</v>
          </cell>
          <cell r="BY70">
            <v>16082</v>
          </cell>
          <cell r="BZ70">
            <v>18460</v>
          </cell>
          <cell r="CH70">
            <v>12152</v>
          </cell>
          <cell r="CI70">
            <v>17256</v>
          </cell>
          <cell r="CJ70">
            <v>19808</v>
          </cell>
        </row>
        <row r="71">
          <cell r="A71" t="str">
            <v>I</v>
          </cell>
          <cell r="B71" t="str">
            <v>B</v>
          </cell>
          <cell r="BH71">
            <v>14825</v>
          </cell>
          <cell r="BI71">
            <v>21052</v>
          </cell>
          <cell r="BJ71">
            <v>24166</v>
          </cell>
          <cell r="BR71">
            <v>13817</v>
          </cell>
          <cell r="BS71">
            <v>19620</v>
          </cell>
          <cell r="BT71">
            <v>22521</v>
          </cell>
          <cell r="BX71">
            <v>13817</v>
          </cell>
          <cell r="BY71">
            <v>19620</v>
          </cell>
          <cell r="BZ71">
            <v>22521</v>
          </cell>
          <cell r="CH71">
            <v>14825</v>
          </cell>
          <cell r="CI71">
            <v>21052</v>
          </cell>
          <cell r="CJ71">
            <v>24166</v>
          </cell>
        </row>
        <row r="72">
          <cell r="A72" t="str">
            <v>I</v>
          </cell>
          <cell r="B72" t="str">
            <v>A-S</v>
          </cell>
          <cell r="BH72">
            <v>16162</v>
          </cell>
          <cell r="BI72">
            <v>22950</v>
          </cell>
          <cell r="BJ72">
            <v>26345</v>
          </cell>
          <cell r="BR72">
            <v>15062</v>
          </cell>
          <cell r="BS72">
            <v>21389</v>
          </cell>
          <cell r="BT72">
            <v>24552</v>
          </cell>
          <cell r="BX72">
            <v>15062</v>
          </cell>
          <cell r="BY72">
            <v>21389</v>
          </cell>
          <cell r="BZ72">
            <v>24552</v>
          </cell>
          <cell r="CH72">
            <v>16162</v>
          </cell>
          <cell r="CI72">
            <v>22950</v>
          </cell>
          <cell r="CJ72">
            <v>26345</v>
          </cell>
        </row>
        <row r="73">
          <cell r="A73" t="str">
            <v>II</v>
          </cell>
          <cell r="B73" t="str">
            <v>D</v>
          </cell>
          <cell r="BH73">
            <v>12616</v>
          </cell>
          <cell r="BI73">
            <v>17915</v>
          </cell>
          <cell r="BJ73">
            <v>20564</v>
          </cell>
          <cell r="BR73">
            <v>11757</v>
          </cell>
          <cell r="BS73">
            <v>16695</v>
          </cell>
          <cell r="BT73">
            <v>19164</v>
          </cell>
          <cell r="BX73">
            <v>11757</v>
          </cell>
          <cell r="BY73">
            <v>16695</v>
          </cell>
          <cell r="BZ73">
            <v>19164</v>
          </cell>
          <cell r="CH73">
            <v>12616</v>
          </cell>
          <cell r="CI73">
            <v>17915</v>
          </cell>
          <cell r="CJ73">
            <v>20564</v>
          </cell>
        </row>
        <row r="74">
          <cell r="A74" t="str">
            <v>II</v>
          </cell>
          <cell r="B74" t="str">
            <v>B</v>
          </cell>
          <cell r="BH74">
            <v>15392</v>
          </cell>
          <cell r="BI74">
            <v>21856</v>
          </cell>
          <cell r="BJ74">
            <v>25088</v>
          </cell>
          <cell r="BR74">
            <v>14344</v>
          </cell>
          <cell r="BS74">
            <v>20368</v>
          </cell>
          <cell r="BT74">
            <v>23380</v>
          </cell>
          <cell r="BX74">
            <v>14344</v>
          </cell>
          <cell r="BY74">
            <v>20368</v>
          </cell>
          <cell r="BZ74">
            <v>23380</v>
          </cell>
          <cell r="CH74">
            <v>15392</v>
          </cell>
          <cell r="CI74">
            <v>21856</v>
          </cell>
          <cell r="CJ74">
            <v>25088</v>
          </cell>
        </row>
        <row r="75">
          <cell r="A75" t="str">
            <v>II</v>
          </cell>
          <cell r="B75" t="str">
            <v>A-S</v>
          </cell>
          <cell r="BH75">
            <v>16779</v>
          </cell>
          <cell r="BI75">
            <v>23827</v>
          </cell>
          <cell r="BJ75">
            <v>27350</v>
          </cell>
          <cell r="BR75">
            <v>15637</v>
          </cell>
          <cell r="BS75">
            <v>22204</v>
          </cell>
          <cell r="BT75">
            <v>25488</v>
          </cell>
          <cell r="BX75">
            <v>15637</v>
          </cell>
          <cell r="BY75">
            <v>22204</v>
          </cell>
          <cell r="BZ75">
            <v>25488</v>
          </cell>
          <cell r="CH75">
            <v>16779</v>
          </cell>
          <cell r="CI75">
            <v>23827</v>
          </cell>
          <cell r="CJ75">
            <v>27350</v>
          </cell>
        </row>
        <row r="76">
          <cell r="A76" t="str">
            <v>III</v>
          </cell>
          <cell r="B76" t="str">
            <v>D</v>
          </cell>
          <cell r="BH76">
            <v>13142</v>
          </cell>
          <cell r="BI76">
            <v>18662</v>
          </cell>
          <cell r="BJ76">
            <v>21421</v>
          </cell>
          <cell r="BR76">
            <v>12247</v>
          </cell>
          <cell r="BS76">
            <v>17391</v>
          </cell>
          <cell r="BT76">
            <v>19963</v>
          </cell>
          <cell r="BX76">
            <v>12247</v>
          </cell>
          <cell r="BY76">
            <v>17391</v>
          </cell>
          <cell r="BZ76">
            <v>19963</v>
          </cell>
          <cell r="CH76">
            <v>13142</v>
          </cell>
          <cell r="CI76">
            <v>18662</v>
          </cell>
          <cell r="CJ76">
            <v>21421</v>
          </cell>
        </row>
        <row r="77">
          <cell r="A77" t="str">
            <v>III</v>
          </cell>
          <cell r="B77" t="str">
            <v>B</v>
          </cell>
          <cell r="BH77">
            <v>16033</v>
          </cell>
          <cell r="BI77">
            <v>22768</v>
          </cell>
          <cell r="BJ77">
            <v>26134</v>
          </cell>
          <cell r="BR77">
            <v>14941</v>
          </cell>
          <cell r="BS77">
            <v>21217</v>
          </cell>
          <cell r="BT77">
            <v>24355</v>
          </cell>
          <cell r="BX77">
            <v>14941</v>
          </cell>
          <cell r="BY77">
            <v>21217</v>
          </cell>
          <cell r="BZ77">
            <v>24355</v>
          </cell>
          <cell r="CH77">
            <v>16033</v>
          </cell>
          <cell r="CI77">
            <v>22768</v>
          </cell>
          <cell r="CJ77">
            <v>26134</v>
          </cell>
        </row>
        <row r="78">
          <cell r="A78" t="str">
            <v>III</v>
          </cell>
          <cell r="B78" t="str">
            <v>A-S</v>
          </cell>
          <cell r="BH78">
            <v>17479</v>
          </cell>
          <cell r="BI78">
            <v>24820</v>
          </cell>
          <cell r="BJ78">
            <v>28490</v>
          </cell>
          <cell r="BR78">
            <v>16289</v>
          </cell>
          <cell r="BS78">
            <v>23130</v>
          </cell>
          <cell r="BT78">
            <v>26551</v>
          </cell>
          <cell r="BX78">
            <v>16289</v>
          </cell>
          <cell r="BY78">
            <v>23130</v>
          </cell>
          <cell r="BZ78">
            <v>26551</v>
          </cell>
          <cell r="CH78">
            <v>17479</v>
          </cell>
          <cell r="CI78">
            <v>24820</v>
          </cell>
          <cell r="CJ78">
            <v>28490</v>
          </cell>
        </row>
        <row r="79">
          <cell r="A79" t="str">
            <v>IV</v>
          </cell>
          <cell r="B79" t="str">
            <v>D</v>
          </cell>
          <cell r="BH79">
            <v>13784</v>
          </cell>
          <cell r="BI79">
            <v>19573</v>
          </cell>
          <cell r="BJ79">
            <v>22468</v>
          </cell>
          <cell r="BR79">
            <v>12846</v>
          </cell>
          <cell r="BS79">
            <v>18241</v>
          </cell>
          <cell r="BT79">
            <v>20939</v>
          </cell>
          <cell r="BX79">
            <v>12846</v>
          </cell>
          <cell r="BY79">
            <v>18241</v>
          </cell>
          <cell r="BZ79">
            <v>20939</v>
          </cell>
          <cell r="CH79">
            <v>13784</v>
          </cell>
          <cell r="CI79">
            <v>19573</v>
          </cell>
          <cell r="CJ79">
            <v>22468</v>
          </cell>
        </row>
        <row r="80">
          <cell r="A80" t="str">
            <v>IV</v>
          </cell>
          <cell r="B80" t="str">
            <v>B</v>
          </cell>
          <cell r="BH80">
            <v>16816</v>
          </cell>
          <cell r="BI80">
            <v>23879</v>
          </cell>
          <cell r="BJ80">
            <v>27411</v>
          </cell>
          <cell r="BR80">
            <v>15672</v>
          </cell>
          <cell r="BS80">
            <v>22254</v>
          </cell>
          <cell r="BT80">
            <v>25546</v>
          </cell>
          <cell r="BX80">
            <v>15672</v>
          </cell>
          <cell r="BY80">
            <v>22254</v>
          </cell>
          <cell r="BZ80">
            <v>25546</v>
          </cell>
          <cell r="CH80">
            <v>16816</v>
          </cell>
          <cell r="CI80">
            <v>23879</v>
          </cell>
          <cell r="CJ80">
            <v>27411</v>
          </cell>
        </row>
        <row r="81">
          <cell r="A81" t="str">
            <v>IV</v>
          </cell>
          <cell r="B81" t="str">
            <v>A-S</v>
          </cell>
          <cell r="BH81">
            <v>18333</v>
          </cell>
          <cell r="BI81">
            <v>26032</v>
          </cell>
          <cell r="BJ81">
            <v>29882</v>
          </cell>
          <cell r="BR81">
            <v>17085</v>
          </cell>
          <cell r="BS81">
            <v>24261</v>
          </cell>
          <cell r="BT81">
            <v>27849</v>
          </cell>
          <cell r="BX81">
            <v>17085</v>
          </cell>
          <cell r="BY81">
            <v>24261</v>
          </cell>
          <cell r="BZ81">
            <v>27849</v>
          </cell>
          <cell r="CH81">
            <v>18333</v>
          </cell>
          <cell r="CI81">
            <v>26032</v>
          </cell>
          <cell r="CJ81">
            <v>29882</v>
          </cell>
        </row>
        <row r="82">
          <cell r="A82" t="str">
            <v>V</v>
          </cell>
          <cell r="B82" t="str">
            <v>D</v>
          </cell>
          <cell r="BH82">
            <v>14533</v>
          </cell>
          <cell r="BI82">
            <v>20637</v>
          </cell>
          <cell r="BJ82">
            <v>23689</v>
          </cell>
          <cell r="BR82">
            <v>13543</v>
          </cell>
          <cell r="BS82">
            <v>19231</v>
          </cell>
          <cell r="BT82">
            <v>22075</v>
          </cell>
          <cell r="BX82">
            <v>13543</v>
          </cell>
          <cell r="BY82">
            <v>19231</v>
          </cell>
          <cell r="BZ82">
            <v>22075</v>
          </cell>
          <cell r="CH82">
            <v>14533</v>
          </cell>
          <cell r="CI82">
            <v>20637</v>
          </cell>
          <cell r="CJ82">
            <v>23689</v>
          </cell>
        </row>
        <row r="83">
          <cell r="A83" t="str">
            <v>V</v>
          </cell>
          <cell r="B83" t="str">
            <v>B</v>
          </cell>
          <cell r="BH83">
            <v>17730</v>
          </cell>
          <cell r="BI83">
            <v>25177</v>
          </cell>
          <cell r="BJ83">
            <v>28901</v>
          </cell>
          <cell r="BR83">
            <v>16522</v>
          </cell>
          <cell r="BS83">
            <v>23462</v>
          </cell>
          <cell r="BT83">
            <v>26932</v>
          </cell>
          <cell r="BX83">
            <v>16522</v>
          </cell>
          <cell r="BY83">
            <v>23462</v>
          </cell>
          <cell r="BZ83">
            <v>26932</v>
          </cell>
          <cell r="CH83">
            <v>17730</v>
          </cell>
          <cell r="CI83">
            <v>25177</v>
          </cell>
          <cell r="CJ83">
            <v>28901</v>
          </cell>
        </row>
        <row r="84">
          <cell r="A84" t="str">
            <v>V</v>
          </cell>
          <cell r="B84" t="str">
            <v>A-S</v>
          </cell>
          <cell r="BH84">
            <v>19329</v>
          </cell>
          <cell r="BI84">
            <v>27447</v>
          </cell>
          <cell r="BJ84">
            <v>31506</v>
          </cell>
          <cell r="BR84">
            <v>18012</v>
          </cell>
          <cell r="BS84">
            <v>25577</v>
          </cell>
          <cell r="BT84">
            <v>29360</v>
          </cell>
          <cell r="BX84">
            <v>18012</v>
          </cell>
          <cell r="BY84">
            <v>25577</v>
          </cell>
          <cell r="BZ84">
            <v>29360</v>
          </cell>
          <cell r="CH84">
            <v>19329</v>
          </cell>
          <cell r="CI84">
            <v>27447</v>
          </cell>
          <cell r="CJ84">
            <v>31506</v>
          </cell>
        </row>
        <row r="85">
          <cell r="A85" t="str">
            <v>VI</v>
          </cell>
          <cell r="B85" t="str">
            <v>D</v>
          </cell>
          <cell r="BH85">
            <v>15309</v>
          </cell>
          <cell r="BI85">
            <v>21739</v>
          </cell>
          <cell r="BJ85">
            <v>24954</v>
          </cell>
          <cell r="BR85">
            <v>14267</v>
          </cell>
          <cell r="BS85">
            <v>20259</v>
          </cell>
          <cell r="BT85">
            <v>23255</v>
          </cell>
          <cell r="BX85">
            <v>14267</v>
          </cell>
          <cell r="BY85">
            <v>20259</v>
          </cell>
          <cell r="BZ85">
            <v>23255</v>
          </cell>
          <cell r="CH85">
            <v>15309</v>
          </cell>
          <cell r="CI85">
            <v>21739</v>
          </cell>
          <cell r="CJ85">
            <v>24954</v>
          </cell>
        </row>
        <row r="86">
          <cell r="A86" t="str">
            <v>VI</v>
          </cell>
          <cell r="B86" t="str">
            <v>B</v>
          </cell>
          <cell r="BH86">
            <v>18677</v>
          </cell>
          <cell r="BI86">
            <v>26522</v>
          </cell>
          <cell r="BJ86">
            <v>30444</v>
          </cell>
          <cell r="BR86">
            <v>17406</v>
          </cell>
          <cell r="BS86">
            <v>24716</v>
          </cell>
          <cell r="BT86">
            <v>28371</v>
          </cell>
          <cell r="BX86">
            <v>17406</v>
          </cell>
          <cell r="BY86">
            <v>24716</v>
          </cell>
          <cell r="BZ86">
            <v>28371</v>
          </cell>
          <cell r="CH86">
            <v>18677</v>
          </cell>
          <cell r="CI86">
            <v>26522</v>
          </cell>
          <cell r="CJ86">
            <v>30444</v>
          </cell>
        </row>
        <row r="87">
          <cell r="A87" t="str">
            <v>VI</v>
          </cell>
          <cell r="B87" t="str">
            <v>A-S</v>
          </cell>
          <cell r="BH87">
            <v>20361</v>
          </cell>
          <cell r="BI87">
            <v>28913</v>
          </cell>
          <cell r="BJ87">
            <v>33189</v>
          </cell>
          <cell r="BR87">
            <v>18975</v>
          </cell>
          <cell r="BS87">
            <v>26944</v>
          </cell>
          <cell r="BT87">
            <v>30929</v>
          </cell>
          <cell r="BX87">
            <v>18975</v>
          </cell>
          <cell r="BY87">
            <v>26944</v>
          </cell>
          <cell r="BZ87">
            <v>30929</v>
          </cell>
          <cell r="CH87">
            <v>20361</v>
          </cell>
          <cell r="CI87">
            <v>28913</v>
          </cell>
          <cell r="CJ87">
            <v>33189</v>
          </cell>
        </row>
        <row r="88">
          <cell r="A88" t="str">
            <v>VII</v>
          </cell>
          <cell r="B88" t="str">
            <v>D</v>
          </cell>
          <cell r="BH88">
            <v>16710</v>
          </cell>
          <cell r="BI88">
            <v>23728</v>
          </cell>
          <cell r="BJ88">
            <v>27237</v>
          </cell>
          <cell r="BR88">
            <v>15572</v>
          </cell>
          <cell r="BS88">
            <v>22112</v>
          </cell>
          <cell r="BT88">
            <v>25382</v>
          </cell>
          <cell r="BX88">
            <v>15572</v>
          </cell>
          <cell r="BY88">
            <v>22112</v>
          </cell>
          <cell r="BZ88">
            <v>25382</v>
          </cell>
          <cell r="CH88">
            <v>16710</v>
          </cell>
          <cell r="CI88">
            <v>23728</v>
          </cell>
          <cell r="CJ88">
            <v>27237</v>
          </cell>
        </row>
        <row r="89">
          <cell r="A89" t="str">
            <v>VII</v>
          </cell>
          <cell r="B89" t="str">
            <v>B</v>
          </cell>
          <cell r="BH89">
            <v>20386</v>
          </cell>
          <cell r="BI89">
            <v>28948</v>
          </cell>
          <cell r="BJ89">
            <v>33229</v>
          </cell>
          <cell r="BR89">
            <v>18998</v>
          </cell>
          <cell r="BS89">
            <v>26977</v>
          </cell>
          <cell r="BT89">
            <v>30966</v>
          </cell>
          <cell r="BX89">
            <v>18998</v>
          </cell>
          <cell r="BY89">
            <v>26977</v>
          </cell>
          <cell r="BZ89">
            <v>30966</v>
          </cell>
          <cell r="CH89">
            <v>20386</v>
          </cell>
          <cell r="CI89">
            <v>28948</v>
          </cell>
          <cell r="CJ89">
            <v>33229</v>
          </cell>
        </row>
        <row r="90">
          <cell r="A90" t="str">
            <v>VII</v>
          </cell>
          <cell r="B90" t="str">
            <v>A-S</v>
          </cell>
          <cell r="BH90">
            <v>22224</v>
          </cell>
          <cell r="BI90">
            <v>31558</v>
          </cell>
          <cell r="BJ90">
            <v>36225</v>
          </cell>
          <cell r="BR90">
            <v>20711</v>
          </cell>
          <cell r="BS90">
            <v>29409</v>
          </cell>
          <cell r="BT90">
            <v>33758</v>
          </cell>
          <cell r="BX90">
            <v>20711</v>
          </cell>
          <cell r="BY90">
            <v>29409</v>
          </cell>
          <cell r="BZ90">
            <v>33758</v>
          </cell>
          <cell r="CH90">
            <v>22224</v>
          </cell>
          <cell r="CI90">
            <v>31558</v>
          </cell>
          <cell r="CJ90">
            <v>36225</v>
          </cell>
        </row>
        <row r="91">
          <cell r="A91" t="str">
            <v>VIII</v>
          </cell>
          <cell r="B91" t="str">
            <v>D</v>
          </cell>
          <cell r="BH91">
            <v>18343</v>
          </cell>
          <cell r="BI91">
            <v>26047</v>
          </cell>
          <cell r="BJ91">
            <v>29899</v>
          </cell>
          <cell r="BR91">
            <v>17094</v>
          </cell>
          <cell r="BS91">
            <v>24273</v>
          </cell>
          <cell r="BT91">
            <v>27863</v>
          </cell>
          <cell r="BX91">
            <v>17094</v>
          </cell>
          <cell r="BY91">
            <v>24273</v>
          </cell>
          <cell r="BZ91">
            <v>27863</v>
          </cell>
          <cell r="CH91">
            <v>18343</v>
          </cell>
          <cell r="CI91">
            <v>26047</v>
          </cell>
          <cell r="CJ91">
            <v>29899</v>
          </cell>
        </row>
        <row r="92">
          <cell r="A92" t="str">
            <v>VIII</v>
          </cell>
          <cell r="B92" t="str">
            <v>B</v>
          </cell>
          <cell r="BH92">
            <v>22378</v>
          </cell>
          <cell r="BI92">
            <v>31777</v>
          </cell>
          <cell r="BJ92">
            <v>36477</v>
          </cell>
          <cell r="BR92">
            <v>20855</v>
          </cell>
          <cell r="BS92">
            <v>29613</v>
          </cell>
          <cell r="BT92">
            <v>33993</v>
          </cell>
          <cell r="BX92">
            <v>20855</v>
          </cell>
          <cell r="BY92">
            <v>29613</v>
          </cell>
          <cell r="BZ92">
            <v>33993</v>
          </cell>
          <cell r="CH92">
            <v>22378</v>
          </cell>
          <cell r="CI92">
            <v>31777</v>
          </cell>
          <cell r="CJ92">
            <v>36477</v>
          </cell>
        </row>
        <row r="93">
          <cell r="A93" t="str">
            <v>VIII</v>
          </cell>
          <cell r="B93" t="str">
            <v>A-S</v>
          </cell>
          <cell r="BH93">
            <v>24396</v>
          </cell>
          <cell r="BI93">
            <v>34643</v>
          </cell>
          <cell r="BJ93">
            <v>39766</v>
          </cell>
          <cell r="BR93">
            <v>22735</v>
          </cell>
          <cell r="BS93">
            <v>32283</v>
          </cell>
          <cell r="BT93">
            <v>37058</v>
          </cell>
          <cell r="BX93">
            <v>22735</v>
          </cell>
          <cell r="BY93">
            <v>32283</v>
          </cell>
          <cell r="BZ93">
            <v>37058</v>
          </cell>
          <cell r="CH93">
            <v>24396</v>
          </cell>
          <cell r="CI93">
            <v>34643</v>
          </cell>
          <cell r="CJ93">
            <v>39766</v>
          </cell>
        </row>
        <row r="94">
          <cell r="A94" t="str">
            <v>IX</v>
          </cell>
          <cell r="B94" t="str">
            <v>D</v>
          </cell>
          <cell r="BH94">
            <v>20064</v>
          </cell>
          <cell r="BI94">
            <v>28491</v>
          </cell>
          <cell r="BJ94">
            <v>32704</v>
          </cell>
          <cell r="BR94">
            <v>18698</v>
          </cell>
          <cell r="BS94">
            <v>26551</v>
          </cell>
          <cell r="BT94">
            <v>30478</v>
          </cell>
          <cell r="BX94">
            <v>18698</v>
          </cell>
          <cell r="BY94">
            <v>26551</v>
          </cell>
          <cell r="BZ94">
            <v>30478</v>
          </cell>
          <cell r="CH94">
            <v>20064</v>
          </cell>
          <cell r="CI94">
            <v>28491</v>
          </cell>
          <cell r="CJ94">
            <v>32704</v>
          </cell>
        </row>
        <row r="95">
          <cell r="A95" t="str">
            <v>IX</v>
          </cell>
          <cell r="B95" t="str">
            <v>B</v>
          </cell>
          <cell r="BH95">
            <v>24478</v>
          </cell>
          <cell r="BI95">
            <v>34759</v>
          </cell>
          <cell r="BJ95">
            <v>39899</v>
          </cell>
          <cell r="BR95">
            <v>22812</v>
          </cell>
          <cell r="BS95">
            <v>32392</v>
          </cell>
          <cell r="BT95">
            <v>37183</v>
          </cell>
          <cell r="BX95">
            <v>22812</v>
          </cell>
          <cell r="BY95">
            <v>32392</v>
          </cell>
          <cell r="BZ95">
            <v>37183</v>
          </cell>
          <cell r="CH95">
            <v>24478</v>
          </cell>
          <cell r="CI95">
            <v>34759</v>
          </cell>
          <cell r="CJ95">
            <v>39899</v>
          </cell>
        </row>
        <row r="96">
          <cell r="A96" t="str">
            <v>IX</v>
          </cell>
          <cell r="B96" t="str">
            <v>A-S</v>
          </cell>
          <cell r="BH96">
            <v>26685</v>
          </cell>
          <cell r="BI96">
            <v>37893</v>
          </cell>
          <cell r="BJ96">
            <v>43496</v>
          </cell>
          <cell r="BR96">
            <v>24868</v>
          </cell>
          <cell r="BS96">
            <v>35313</v>
          </cell>
          <cell r="BT96">
            <v>40536</v>
          </cell>
          <cell r="BX96">
            <v>24868</v>
          </cell>
          <cell r="BY96">
            <v>35313</v>
          </cell>
          <cell r="BZ96">
            <v>40536</v>
          </cell>
          <cell r="CH96">
            <v>26685</v>
          </cell>
          <cell r="CI96">
            <v>37893</v>
          </cell>
          <cell r="CJ96">
            <v>43496</v>
          </cell>
        </row>
        <row r="97">
          <cell r="A97" t="str">
            <v>X</v>
          </cell>
          <cell r="B97" t="str">
            <v>D</v>
          </cell>
          <cell r="BH97">
            <v>21805</v>
          </cell>
          <cell r="BI97">
            <v>30963</v>
          </cell>
          <cell r="BJ97">
            <v>35542</v>
          </cell>
          <cell r="BR97">
            <v>20321</v>
          </cell>
          <cell r="BS97">
            <v>28856</v>
          </cell>
          <cell r="BT97">
            <v>33123</v>
          </cell>
          <cell r="BX97">
            <v>20321</v>
          </cell>
          <cell r="BY97">
            <v>28856</v>
          </cell>
          <cell r="BZ97">
            <v>33123</v>
          </cell>
          <cell r="CH97">
            <v>21805</v>
          </cell>
          <cell r="CI97">
            <v>30963</v>
          </cell>
          <cell r="CJ97">
            <v>35542</v>
          </cell>
        </row>
        <row r="98">
          <cell r="A98" t="str">
            <v>X</v>
          </cell>
          <cell r="B98" t="str">
            <v>B</v>
          </cell>
          <cell r="BH98">
            <v>26602</v>
          </cell>
          <cell r="BI98">
            <v>37775</v>
          </cell>
          <cell r="BJ98">
            <v>43361</v>
          </cell>
          <cell r="BR98">
            <v>24792</v>
          </cell>
          <cell r="BS98">
            <v>35204</v>
          </cell>
          <cell r="BT98">
            <v>40410</v>
          </cell>
          <cell r="BX98">
            <v>24792</v>
          </cell>
          <cell r="BY98">
            <v>35204</v>
          </cell>
          <cell r="BZ98">
            <v>40410</v>
          </cell>
          <cell r="CH98">
            <v>26602</v>
          </cell>
          <cell r="CI98">
            <v>37775</v>
          </cell>
          <cell r="CJ98">
            <v>43361</v>
          </cell>
        </row>
        <row r="99">
          <cell r="A99" t="str">
            <v>X</v>
          </cell>
          <cell r="B99" t="str">
            <v>A-S</v>
          </cell>
          <cell r="BH99">
            <v>29001</v>
          </cell>
          <cell r="BI99">
            <v>41181</v>
          </cell>
          <cell r="BJ99">
            <v>47271</v>
          </cell>
          <cell r="BR99">
            <v>27027</v>
          </cell>
          <cell r="BS99">
            <v>38378</v>
          </cell>
          <cell r="BT99">
            <v>44054</v>
          </cell>
          <cell r="BX99">
            <v>27027</v>
          </cell>
          <cell r="BY99">
            <v>38378</v>
          </cell>
          <cell r="BZ99">
            <v>44054</v>
          </cell>
          <cell r="CH99">
            <v>29001</v>
          </cell>
          <cell r="CI99">
            <v>41181</v>
          </cell>
          <cell r="CJ99">
            <v>47271</v>
          </cell>
        </row>
        <row r="100">
          <cell r="A100" t="str">
            <v>XI</v>
          </cell>
          <cell r="B100" t="str">
            <v>D</v>
          </cell>
          <cell r="BH100">
            <v>23545</v>
          </cell>
          <cell r="BI100">
            <v>33434</v>
          </cell>
          <cell r="BJ100">
            <v>38378</v>
          </cell>
          <cell r="BR100">
            <v>21942</v>
          </cell>
          <cell r="BS100">
            <v>31158</v>
          </cell>
          <cell r="BT100">
            <v>35765</v>
          </cell>
          <cell r="BX100">
            <v>21942</v>
          </cell>
          <cell r="BY100">
            <v>31158</v>
          </cell>
          <cell r="BZ100">
            <v>35765</v>
          </cell>
          <cell r="CH100">
            <v>23545</v>
          </cell>
          <cell r="CI100">
            <v>33434</v>
          </cell>
          <cell r="CJ100">
            <v>38378</v>
          </cell>
        </row>
        <row r="101">
          <cell r="A101" t="str">
            <v>XI</v>
          </cell>
          <cell r="B101" t="str">
            <v>B</v>
          </cell>
          <cell r="BH101">
            <v>28725</v>
          </cell>
          <cell r="BI101">
            <v>40789</v>
          </cell>
          <cell r="BJ101">
            <v>46821</v>
          </cell>
          <cell r="BR101">
            <v>26769</v>
          </cell>
          <cell r="BS101">
            <v>38013</v>
          </cell>
          <cell r="BT101">
            <v>43633</v>
          </cell>
          <cell r="BX101">
            <v>26769</v>
          </cell>
          <cell r="BY101">
            <v>38013</v>
          </cell>
          <cell r="BZ101">
            <v>43633</v>
          </cell>
          <cell r="CH101">
            <v>28725</v>
          </cell>
          <cell r="CI101">
            <v>40789</v>
          </cell>
          <cell r="CJ101">
            <v>46821</v>
          </cell>
        </row>
        <row r="102">
          <cell r="A102" t="str">
            <v>XI</v>
          </cell>
          <cell r="B102" t="str">
            <v>A-S</v>
          </cell>
          <cell r="BH102">
            <v>31315</v>
          </cell>
          <cell r="BI102">
            <v>44467</v>
          </cell>
          <cell r="BJ102">
            <v>51043</v>
          </cell>
          <cell r="BR102">
            <v>29183</v>
          </cell>
          <cell r="BS102">
            <v>41440</v>
          </cell>
          <cell r="BT102">
            <v>47567</v>
          </cell>
          <cell r="BX102">
            <v>29183</v>
          </cell>
          <cell r="BY102">
            <v>41440</v>
          </cell>
          <cell r="BZ102">
            <v>47567</v>
          </cell>
          <cell r="CH102">
            <v>31315</v>
          </cell>
          <cell r="CI102">
            <v>44467</v>
          </cell>
          <cell r="CJ102">
            <v>51043</v>
          </cell>
        </row>
        <row r="103">
          <cell r="A103" t="str">
            <v>XII</v>
          </cell>
          <cell r="B103" t="str">
            <v>D</v>
          </cell>
          <cell r="BH103">
            <v>25430</v>
          </cell>
          <cell r="BI103">
            <v>36111</v>
          </cell>
          <cell r="BJ103">
            <v>41451</v>
          </cell>
          <cell r="BR103">
            <v>23699</v>
          </cell>
          <cell r="BS103">
            <v>33653</v>
          </cell>
          <cell r="BT103">
            <v>38629</v>
          </cell>
          <cell r="BX103">
            <v>23699</v>
          </cell>
          <cell r="BY103">
            <v>33653</v>
          </cell>
          <cell r="BZ103">
            <v>38629</v>
          </cell>
          <cell r="CH103">
            <v>25430</v>
          </cell>
          <cell r="CI103">
            <v>36111</v>
          </cell>
          <cell r="CJ103">
            <v>41451</v>
          </cell>
        </row>
        <row r="104">
          <cell r="A104" t="str">
            <v>XII</v>
          </cell>
          <cell r="B104" t="str">
            <v>B</v>
          </cell>
          <cell r="BH104">
            <v>31025</v>
          </cell>
          <cell r="BI104">
            <v>44055</v>
          </cell>
          <cell r="BJ104">
            <v>50570</v>
          </cell>
          <cell r="BR104">
            <v>28913</v>
          </cell>
          <cell r="BS104">
            <v>41057</v>
          </cell>
          <cell r="BT104">
            <v>47127</v>
          </cell>
          <cell r="BX104">
            <v>28913</v>
          </cell>
          <cell r="BY104">
            <v>41057</v>
          </cell>
          <cell r="BZ104">
            <v>47127</v>
          </cell>
          <cell r="CH104">
            <v>31025</v>
          </cell>
          <cell r="CI104">
            <v>44055</v>
          </cell>
          <cell r="CJ104">
            <v>50570</v>
          </cell>
        </row>
        <row r="105">
          <cell r="A105" t="str">
            <v>XII</v>
          </cell>
          <cell r="B105" t="str">
            <v>A-S</v>
          </cell>
          <cell r="BH105">
            <v>33822</v>
          </cell>
          <cell r="BI105">
            <v>48028</v>
          </cell>
          <cell r="BJ105">
            <v>55130</v>
          </cell>
          <cell r="BR105">
            <v>31520</v>
          </cell>
          <cell r="BS105">
            <v>44758</v>
          </cell>
          <cell r="BT105">
            <v>51377</v>
          </cell>
          <cell r="BX105">
            <v>31520</v>
          </cell>
          <cell r="BY105">
            <v>44758</v>
          </cell>
          <cell r="BZ105">
            <v>51377</v>
          </cell>
          <cell r="CH105">
            <v>33822</v>
          </cell>
          <cell r="CI105">
            <v>48028</v>
          </cell>
          <cell r="CJ105">
            <v>55130</v>
          </cell>
        </row>
      </sheetData>
      <sheetData sheetId="5">
        <row r="6">
          <cell r="BE6" t="str">
            <v>ASIG. VIANDA COMP. NO REM.</v>
          </cell>
          <cell r="BF6" t="str">
            <v>BONO PAZ SOCIAL</v>
          </cell>
          <cell r="BG6" t="str">
            <v>VIANDA AYUDA ALIMENTARIA</v>
          </cell>
          <cell r="BH6" t="str">
            <v>VIANDA DESAYUNO</v>
          </cell>
          <cell r="BI6" t="str">
            <v>VIANDA MERIENDA</v>
          </cell>
          <cell r="BJ6" t="str">
            <v>VIANDA EXPEDIENTE</v>
          </cell>
          <cell r="BK6" t="str">
            <v>VIANDA ALIMENTACIÓN DIARIA</v>
          </cell>
          <cell r="BL6" t="str">
            <v>Hora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Adic. Yacimiento/Prod.</v>
          </cell>
          <cell r="BS6" t="str">
            <v>ADIC. DISPONIBILIDAD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PP - Guardia Pasiva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</v>
          </cell>
          <cell r="CI6" t="str">
            <v>VIANDA AYUDA ALIMENTARIA</v>
          </cell>
          <cell r="CJ6" t="str">
            <v>VIANDA DESAYUNO</v>
          </cell>
          <cell r="CK6" t="str">
            <v>VIANDA MERIENDA</v>
          </cell>
          <cell r="CL6" t="str">
            <v>VIANDA EXPEDIENTE</v>
          </cell>
          <cell r="CM6" t="str">
            <v>VIANDA ALIMENTACIÓN DIARIA</v>
          </cell>
          <cell r="CN6" t="str">
            <v>Hora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Adic. Yacimiento/Prod.</v>
          </cell>
          <cell r="CU6" t="str">
            <v>ADIC. DISPONIBILIDAD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PP - Guardia Pasiva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</v>
          </cell>
          <cell r="DK6" t="str">
            <v>VIANDA AYUDA ALIMENTARIA</v>
          </cell>
          <cell r="DL6" t="str">
            <v>VIANDA DESAYUNO</v>
          </cell>
          <cell r="DM6" t="str">
            <v>VIANDA MERIENDA</v>
          </cell>
          <cell r="DN6" t="str">
            <v>VIANDA EXPEDIENTE</v>
          </cell>
          <cell r="DO6" t="str">
            <v>VIANDA ALIMENTACIÓN DIARIA</v>
          </cell>
          <cell r="DP6" t="str">
            <v>Hora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Adic. Yacimiento/Prod.</v>
          </cell>
          <cell r="DW6" t="str">
            <v>ADIC. DISPONIBILIDAD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PP - Guardia Pasiva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</v>
          </cell>
          <cell r="EM6" t="str">
            <v>VIANDA AYUDA ALIMENTARIA</v>
          </cell>
          <cell r="EN6" t="str">
            <v>VIANDA DESAYUNO</v>
          </cell>
          <cell r="EO6" t="str">
            <v>VIANDA MERIENDA</v>
          </cell>
          <cell r="EP6" t="str">
            <v>VIANDA EXPEDIENTE</v>
          </cell>
          <cell r="EQ6" t="str">
            <v>VIANDA ALIMENTACIÓN DIARIA</v>
          </cell>
          <cell r="ER6" t="str">
            <v>Hora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Adic. Yacimiento/Prod.</v>
          </cell>
          <cell r="EY6" t="str">
            <v>ADIC. DISPONIBILIDAD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PP - Guardia Pasiva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</row>
        <row r="7">
          <cell r="BE7">
            <v>43525</v>
          </cell>
          <cell r="BF7">
            <v>43525</v>
          </cell>
          <cell r="BG7">
            <v>43525</v>
          </cell>
          <cell r="BH7">
            <v>43525</v>
          </cell>
          <cell r="BI7">
            <v>43525</v>
          </cell>
          <cell r="BJ7">
            <v>43525</v>
          </cell>
          <cell r="BK7">
            <v>43525</v>
          </cell>
          <cell r="BL7">
            <v>43525</v>
          </cell>
          <cell r="BM7">
            <v>43525</v>
          </cell>
          <cell r="BN7">
            <v>43525</v>
          </cell>
          <cell r="BO7">
            <v>43525</v>
          </cell>
          <cell r="BP7">
            <v>43525</v>
          </cell>
          <cell r="BQ7">
            <v>43525</v>
          </cell>
          <cell r="BR7">
            <v>43525</v>
          </cell>
          <cell r="BS7">
            <v>43525</v>
          </cell>
          <cell r="BT7">
            <v>43525</v>
          </cell>
          <cell r="BU7">
            <v>43525</v>
          </cell>
          <cell r="BV7">
            <v>43525</v>
          </cell>
          <cell r="BW7">
            <v>43525</v>
          </cell>
          <cell r="BX7">
            <v>43525</v>
          </cell>
          <cell r="BY7">
            <v>43525</v>
          </cell>
          <cell r="BZ7">
            <v>43525</v>
          </cell>
          <cell r="CA7">
            <v>43525</v>
          </cell>
          <cell r="CB7">
            <v>43525</v>
          </cell>
          <cell r="CC7">
            <v>43525</v>
          </cell>
          <cell r="CD7">
            <v>43525</v>
          </cell>
          <cell r="CE7">
            <v>43525</v>
          </cell>
          <cell r="CF7">
            <v>43525</v>
          </cell>
          <cell r="CG7">
            <v>43617</v>
          </cell>
          <cell r="CH7">
            <v>43617</v>
          </cell>
          <cell r="CI7">
            <v>43617</v>
          </cell>
          <cell r="CJ7">
            <v>43617</v>
          </cell>
          <cell r="CK7">
            <v>43617</v>
          </cell>
          <cell r="CL7">
            <v>43617</v>
          </cell>
          <cell r="CM7">
            <v>43617</v>
          </cell>
          <cell r="CN7">
            <v>43617</v>
          </cell>
          <cell r="CO7">
            <v>43617</v>
          </cell>
          <cell r="CP7">
            <v>43617</v>
          </cell>
          <cell r="CQ7">
            <v>43617</v>
          </cell>
          <cell r="CR7">
            <v>43617</v>
          </cell>
          <cell r="CS7">
            <v>43617</v>
          </cell>
          <cell r="CT7">
            <v>43617</v>
          </cell>
          <cell r="CU7">
            <v>43617</v>
          </cell>
          <cell r="CV7">
            <v>43617</v>
          </cell>
          <cell r="CW7">
            <v>43617</v>
          </cell>
          <cell r="CX7">
            <v>43617</v>
          </cell>
          <cell r="CY7">
            <v>43617</v>
          </cell>
          <cell r="CZ7">
            <v>43617</v>
          </cell>
          <cell r="DA7">
            <v>43617</v>
          </cell>
          <cell r="DB7">
            <v>43617</v>
          </cell>
          <cell r="DC7">
            <v>43617</v>
          </cell>
          <cell r="DD7">
            <v>43617</v>
          </cell>
          <cell r="DE7">
            <v>43617</v>
          </cell>
          <cell r="DF7">
            <v>43617</v>
          </cell>
          <cell r="DG7">
            <v>43617</v>
          </cell>
          <cell r="DH7">
            <v>43617</v>
          </cell>
          <cell r="DI7">
            <v>43739</v>
          </cell>
          <cell r="DJ7">
            <v>43739</v>
          </cell>
          <cell r="DK7">
            <v>43739</v>
          </cell>
          <cell r="DL7">
            <v>43739</v>
          </cell>
          <cell r="DM7">
            <v>43739</v>
          </cell>
          <cell r="DN7">
            <v>43739</v>
          </cell>
          <cell r="DO7">
            <v>43739</v>
          </cell>
          <cell r="DP7">
            <v>43739</v>
          </cell>
          <cell r="DQ7">
            <v>43739</v>
          </cell>
          <cell r="DR7">
            <v>43739</v>
          </cell>
          <cell r="DS7">
            <v>43739</v>
          </cell>
          <cell r="DT7">
            <v>43739</v>
          </cell>
          <cell r="DU7">
            <v>43739</v>
          </cell>
          <cell r="DV7">
            <v>43739</v>
          </cell>
          <cell r="DW7">
            <v>43739</v>
          </cell>
          <cell r="DX7">
            <v>43739</v>
          </cell>
          <cell r="DY7">
            <v>43739</v>
          </cell>
          <cell r="DZ7">
            <v>43739</v>
          </cell>
          <cell r="EA7">
            <v>43739</v>
          </cell>
          <cell r="EB7">
            <v>43739</v>
          </cell>
          <cell r="EC7">
            <v>43739</v>
          </cell>
          <cell r="ED7">
            <v>43739</v>
          </cell>
          <cell r="EE7">
            <v>43739</v>
          </cell>
          <cell r="EF7">
            <v>43739</v>
          </cell>
          <cell r="EG7">
            <v>43739</v>
          </cell>
          <cell r="EH7">
            <v>43739</v>
          </cell>
          <cell r="EI7">
            <v>43739</v>
          </cell>
          <cell r="EJ7">
            <v>43739</v>
          </cell>
          <cell r="EK7">
            <v>43862</v>
          </cell>
          <cell r="EL7">
            <v>43862</v>
          </cell>
          <cell r="EM7">
            <v>43862</v>
          </cell>
          <cell r="EN7">
            <v>43862</v>
          </cell>
          <cell r="EO7">
            <v>43862</v>
          </cell>
          <cell r="EP7">
            <v>43862</v>
          </cell>
          <cell r="EQ7">
            <v>43862</v>
          </cell>
          <cell r="ER7">
            <v>43862</v>
          </cell>
          <cell r="ES7">
            <v>43862</v>
          </cell>
          <cell r="ET7">
            <v>43862</v>
          </cell>
          <cell r="EU7">
            <v>43862</v>
          </cell>
          <cell r="EV7">
            <v>43862</v>
          </cell>
          <cell r="EW7">
            <v>43862</v>
          </cell>
          <cell r="EX7">
            <v>43862</v>
          </cell>
          <cell r="EY7">
            <v>43862</v>
          </cell>
          <cell r="EZ7">
            <v>43862</v>
          </cell>
          <cell r="FA7">
            <v>43862</v>
          </cell>
          <cell r="FB7">
            <v>43862</v>
          </cell>
          <cell r="FC7">
            <v>43862</v>
          </cell>
          <cell r="FD7">
            <v>43862</v>
          </cell>
          <cell r="FE7">
            <v>43862</v>
          </cell>
          <cell r="FF7">
            <v>43862</v>
          </cell>
          <cell r="FG7">
            <v>43862</v>
          </cell>
          <cell r="FH7">
            <v>43862</v>
          </cell>
          <cell r="FI7">
            <v>43862</v>
          </cell>
          <cell r="FJ7">
            <v>43862</v>
          </cell>
          <cell r="FK7">
            <v>43862</v>
          </cell>
          <cell r="FL7">
            <v>43862</v>
          </cell>
        </row>
        <row r="8">
          <cell r="A8" t="str">
            <v>PETROLERO RN, NQN Y LP (644/12)</v>
          </cell>
          <cell r="BE8">
            <v>1846</v>
          </cell>
          <cell r="BF8">
            <v>6214</v>
          </cell>
          <cell r="BG8">
            <v>462</v>
          </cell>
          <cell r="BH8">
            <v>129</v>
          </cell>
          <cell r="BI8">
            <v>129</v>
          </cell>
          <cell r="BJ8">
            <v>462</v>
          </cell>
          <cell r="BK8">
            <v>924</v>
          </cell>
          <cell r="BL8">
            <v>149</v>
          </cell>
          <cell r="BM8" t="str">
            <v>1 Hr Ext + 100%</v>
          </cell>
          <cell r="BN8">
            <v>9939</v>
          </cell>
          <cell r="BO8">
            <v>9939</v>
          </cell>
          <cell r="BR8">
            <v>3481</v>
          </cell>
          <cell r="BS8">
            <v>3481</v>
          </cell>
          <cell r="BT8">
            <v>3481</v>
          </cell>
          <cell r="BU8">
            <v>3481</v>
          </cell>
          <cell r="BV8">
            <v>149</v>
          </cell>
          <cell r="BW8">
            <v>543</v>
          </cell>
          <cell r="BZ8">
            <v>0.06</v>
          </cell>
          <cell r="CA8">
            <v>2121</v>
          </cell>
          <cell r="CB8">
            <v>3180</v>
          </cell>
          <cell r="CC8">
            <v>6357</v>
          </cell>
          <cell r="CD8">
            <v>7420</v>
          </cell>
          <cell r="CE8">
            <v>19078</v>
          </cell>
          <cell r="CF8">
            <v>25759</v>
          </cell>
          <cell r="CG8">
            <v>1846</v>
          </cell>
          <cell r="CH8">
            <v>6835</v>
          </cell>
          <cell r="CI8">
            <v>508</v>
          </cell>
          <cell r="CJ8">
            <v>142</v>
          </cell>
          <cell r="CK8">
            <v>142</v>
          </cell>
          <cell r="CL8">
            <v>508</v>
          </cell>
          <cell r="CM8">
            <v>1016</v>
          </cell>
          <cell r="CN8">
            <v>164</v>
          </cell>
          <cell r="CO8" t="str">
            <v>1 Hr Ext + 100%</v>
          </cell>
          <cell r="CP8">
            <v>10933</v>
          </cell>
          <cell r="CQ8">
            <v>10933</v>
          </cell>
          <cell r="CT8">
            <v>3829</v>
          </cell>
          <cell r="CU8">
            <v>3829</v>
          </cell>
          <cell r="CW8">
            <v>3829</v>
          </cell>
          <cell r="CX8">
            <v>164</v>
          </cell>
          <cell r="CY8">
            <v>597</v>
          </cell>
          <cell r="DB8">
            <v>0.06</v>
          </cell>
          <cell r="DC8">
            <v>2333</v>
          </cell>
          <cell r="DD8">
            <v>3498</v>
          </cell>
          <cell r="DE8">
            <v>6993</v>
          </cell>
          <cell r="DF8">
            <v>8162</v>
          </cell>
          <cell r="DG8">
            <v>20986</v>
          </cell>
          <cell r="DH8">
            <v>28335</v>
          </cell>
          <cell r="DI8">
            <v>1846</v>
          </cell>
          <cell r="DJ8">
            <v>7656</v>
          </cell>
          <cell r="DK8">
            <v>569</v>
          </cell>
          <cell r="DL8">
            <v>159</v>
          </cell>
          <cell r="DM8">
            <v>159</v>
          </cell>
          <cell r="DN8">
            <v>569</v>
          </cell>
          <cell r="DO8">
            <v>1138</v>
          </cell>
          <cell r="DP8">
            <v>184</v>
          </cell>
          <cell r="DQ8" t="str">
            <v>1 HS EXT. + 100%</v>
          </cell>
          <cell r="DR8">
            <v>12245</v>
          </cell>
          <cell r="DS8">
            <v>12245</v>
          </cell>
          <cell r="DV8">
            <v>4289</v>
          </cell>
          <cell r="DW8">
            <v>4289</v>
          </cell>
          <cell r="DY8">
            <v>4289</v>
          </cell>
          <cell r="DZ8">
            <v>184</v>
          </cell>
          <cell r="EA8">
            <v>669</v>
          </cell>
          <cell r="ED8">
            <v>0.06</v>
          </cell>
          <cell r="EE8">
            <v>2613</v>
          </cell>
          <cell r="EF8">
            <v>3918</v>
          </cell>
          <cell r="EG8">
            <v>7832</v>
          </cell>
          <cell r="EH8">
            <v>9141</v>
          </cell>
          <cell r="EI8">
            <v>23504</v>
          </cell>
          <cell r="EJ8">
            <v>31735</v>
          </cell>
          <cell r="EK8">
            <v>1946</v>
          </cell>
          <cell r="EL8">
            <v>8215</v>
          </cell>
          <cell r="EM8">
            <v>611</v>
          </cell>
          <cell r="EN8">
            <v>171</v>
          </cell>
          <cell r="EO8">
            <v>171</v>
          </cell>
          <cell r="EP8">
            <v>611</v>
          </cell>
          <cell r="EQ8">
            <v>1222</v>
          </cell>
          <cell r="ER8">
            <v>197</v>
          </cell>
          <cell r="ES8" t="str">
            <v>1 HS EXT +100%</v>
          </cell>
          <cell r="ET8">
            <v>13139</v>
          </cell>
          <cell r="EU8">
            <v>13139</v>
          </cell>
          <cell r="EX8">
            <v>4602</v>
          </cell>
          <cell r="EY8">
            <v>4602</v>
          </cell>
          <cell r="FA8">
            <v>4602</v>
          </cell>
          <cell r="FB8">
            <v>197</v>
          </cell>
          <cell r="FC8">
            <v>718</v>
          </cell>
          <cell r="FF8">
            <v>0.06</v>
          </cell>
          <cell r="FG8">
            <v>2804</v>
          </cell>
          <cell r="FH8">
            <v>4204</v>
          </cell>
          <cell r="FI8">
            <v>8404</v>
          </cell>
          <cell r="FJ8">
            <v>9809</v>
          </cell>
          <cell r="FK8">
            <v>25221</v>
          </cell>
          <cell r="FL8">
            <v>34053</v>
          </cell>
        </row>
        <row r="9">
          <cell r="A9" t="str">
            <v>PETROLERO FASP (643/12)</v>
          </cell>
          <cell r="BE9">
            <v>1846</v>
          </cell>
          <cell r="BF9">
            <v>6214</v>
          </cell>
          <cell r="BG9">
            <v>462</v>
          </cell>
          <cell r="BH9">
            <v>129</v>
          </cell>
          <cell r="BI9">
            <v>129</v>
          </cell>
          <cell r="BJ9">
            <v>462</v>
          </cell>
          <cell r="BK9">
            <v>924</v>
          </cell>
          <cell r="BL9">
            <v>149</v>
          </cell>
          <cell r="BM9" t="str">
            <v>1 Hr Ext + 100%</v>
          </cell>
          <cell r="BN9">
            <v>9939</v>
          </cell>
          <cell r="BO9">
            <v>9939</v>
          </cell>
          <cell r="BP9">
            <v>0</v>
          </cell>
          <cell r="BQ9">
            <v>3481</v>
          </cell>
          <cell r="BR9">
            <v>3481</v>
          </cell>
          <cell r="BS9">
            <v>3481</v>
          </cell>
          <cell r="BT9">
            <v>3481</v>
          </cell>
          <cell r="BU9">
            <v>3481</v>
          </cell>
          <cell r="BV9">
            <v>149</v>
          </cell>
          <cell r="BW9">
            <v>543</v>
          </cell>
          <cell r="BX9">
            <v>0</v>
          </cell>
          <cell r="BY9">
            <v>0</v>
          </cell>
          <cell r="BZ9">
            <v>0.06</v>
          </cell>
          <cell r="CA9">
            <v>2121</v>
          </cell>
          <cell r="CB9">
            <v>3180</v>
          </cell>
          <cell r="CC9">
            <v>6357</v>
          </cell>
          <cell r="CD9">
            <v>7420</v>
          </cell>
          <cell r="CE9">
            <v>19078</v>
          </cell>
          <cell r="CG9">
            <v>1846</v>
          </cell>
          <cell r="CH9">
            <v>6835</v>
          </cell>
          <cell r="CI9">
            <v>508</v>
          </cell>
          <cell r="CJ9">
            <v>142</v>
          </cell>
          <cell r="CK9">
            <v>142</v>
          </cell>
          <cell r="CL9">
            <v>508</v>
          </cell>
          <cell r="CM9">
            <v>1016</v>
          </cell>
          <cell r="CN9">
            <v>164</v>
          </cell>
          <cell r="CO9" t="str">
            <v>1 Hr Ext + 100%</v>
          </cell>
          <cell r="CP9">
            <v>10933</v>
          </cell>
          <cell r="CQ9">
            <v>10933</v>
          </cell>
          <cell r="CR9">
            <v>0</v>
          </cell>
          <cell r="CS9">
            <v>3829</v>
          </cell>
          <cell r="CT9">
            <v>3829</v>
          </cell>
          <cell r="CU9">
            <v>3829</v>
          </cell>
          <cell r="CV9">
            <v>0</v>
          </cell>
          <cell r="CW9">
            <v>3829</v>
          </cell>
          <cell r="CX9">
            <v>164</v>
          </cell>
          <cell r="CY9">
            <v>597</v>
          </cell>
          <cell r="CZ9">
            <v>0</v>
          </cell>
          <cell r="DA9">
            <v>0</v>
          </cell>
          <cell r="DB9">
            <v>0.06</v>
          </cell>
          <cell r="DC9">
            <v>2333</v>
          </cell>
          <cell r="DD9">
            <v>3498</v>
          </cell>
          <cell r="DE9">
            <v>6993</v>
          </cell>
          <cell r="DF9">
            <v>8162</v>
          </cell>
          <cell r="DG9">
            <v>20986</v>
          </cell>
        </row>
        <row r="10">
          <cell r="A10" t="str">
            <v>PETROLERO CHUBUT (605/10)</v>
          </cell>
          <cell r="BE10">
            <v>1846</v>
          </cell>
          <cell r="BF10">
            <v>6214</v>
          </cell>
          <cell r="BG10">
            <v>462</v>
          </cell>
          <cell r="BH10">
            <v>129</v>
          </cell>
          <cell r="BI10">
            <v>129</v>
          </cell>
          <cell r="BJ10">
            <v>462</v>
          </cell>
          <cell r="BK10">
            <v>924</v>
          </cell>
          <cell r="BL10">
            <v>149</v>
          </cell>
          <cell r="BM10" t="str">
            <v>1 Hr Ext + 100%</v>
          </cell>
          <cell r="BN10">
            <v>9939</v>
          </cell>
          <cell r="BO10">
            <v>9939</v>
          </cell>
          <cell r="BP10">
            <v>0</v>
          </cell>
          <cell r="BQ10">
            <v>3481</v>
          </cell>
          <cell r="BR10">
            <v>3481</v>
          </cell>
          <cell r="BS10">
            <v>3481</v>
          </cell>
          <cell r="BT10">
            <v>3481</v>
          </cell>
          <cell r="BU10">
            <v>3481</v>
          </cell>
          <cell r="BV10">
            <v>149</v>
          </cell>
          <cell r="BW10">
            <v>543</v>
          </cell>
          <cell r="BX10">
            <v>0</v>
          </cell>
          <cell r="BY10">
            <v>0</v>
          </cell>
          <cell r="BZ10">
            <v>0.06</v>
          </cell>
          <cell r="CA10">
            <v>2121</v>
          </cell>
          <cell r="CB10">
            <v>3180</v>
          </cell>
          <cell r="CC10">
            <v>6357</v>
          </cell>
          <cell r="CD10">
            <v>7420</v>
          </cell>
          <cell r="CE10">
            <v>19078</v>
          </cell>
          <cell r="CF10">
            <v>10305</v>
          </cell>
          <cell r="CG10">
            <v>1846</v>
          </cell>
          <cell r="CH10">
            <v>6835</v>
          </cell>
          <cell r="CI10">
            <v>508</v>
          </cell>
          <cell r="CJ10">
            <v>142</v>
          </cell>
          <cell r="CK10">
            <v>142</v>
          </cell>
          <cell r="CL10">
            <v>508</v>
          </cell>
          <cell r="CM10">
            <v>1016</v>
          </cell>
          <cell r="CN10">
            <v>164</v>
          </cell>
          <cell r="CO10" t="str">
            <v>1 Hr Ext + 100%</v>
          </cell>
          <cell r="CP10">
            <v>10933</v>
          </cell>
          <cell r="CQ10">
            <v>10933</v>
          </cell>
          <cell r="CR10">
            <v>0</v>
          </cell>
          <cell r="CS10">
            <v>3829</v>
          </cell>
          <cell r="CT10">
            <v>3829</v>
          </cell>
          <cell r="CU10">
            <v>3829</v>
          </cell>
          <cell r="CV10">
            <v>0</v>
          </cell>
          <cell r="CW10">
            <v>3829</v>
          </cell>
          <cell r="CX10">
            <v>164</v>
          </cell>
          <cell r="CY10">
            <v>597</v>
          </cell>
          <cell r="CZ10">
            <v>0</v>
          </cell>
          <cell r="DA10">
            <v>0</v>
          </cell>
          <cell r="DB10">
            <v>0.06</v>
          </cell>
          <cell r="DC10">
            <v>2333</v>
          </cell>
          <cell r="DD10">
            <v>3498</v>
          </cell>
          <cell r="DE10">
            <v>6993</v>
          </cell>
          <cell r="DF10">
            <v>8162</v>
          </cell>
          <cell r="DG10">
            <v>20986</v>
          </cell>
          <cell r="DH10">
            <v>11385</v>
          </cell>
        </row>
        <row r="11">
          <cell r="A11" t="str">
            <v>JERARQUICO NQN (637/11)</v>
          </cell>
          <cell r="BE11">
            <v>1846</v>
          </cell>
          <cell r="BF11">
            <v>6221</v>
          </cell>
          <cell r="BG11">
            <v>462</v>
          </cell>
          <cell r="BH11">
            <v>129</v>
          </cell>
          <cell r="BI11">
            <v>129</v>
          </cell>
          <cell r="BJ11">
            <v>462</v>
          </cell>
          <cell r="BK11">
            <v>924</v>
          </cell>
          <cell r="BL11">
            <v>149</v>
          </cell>
          <cell r="BM11">
            <v>398</v>
          </cell>
          <cell r="BP11">
            <v>9939</v>
          </cell>
          <cell r="BQ11">
            <v>0</v>
          </cell>
          <cell r="BR11">
            <v>3481</v>
          </cell>
          <cell r="BS11">
            <v>3481</v>
          </cell>
          <cell r="BT11">
            <v>3481</v>
          </cell>
          <cell r="BV11">
            <v>149</v>
          </cell>
          <cell r="BX11">
            <v>477</v>
          </cell>
          <cell r="BY11">
            <v>740</v>
          </cell>
          <cell r="BZ11">
            <v>2918</v>
          </cell>
          <cell r="CA11">
            <v>2918</v>
          </cell>
          <cell r="CB11">
            <v>2918</v>
          </cell>
          <cell r="CC11">
            <v>2918</v>
          </cell>
          <cell r="CD11">
            <v>2918</v>
          </cell>
          <cell r="CE11">
            <v>11672</v>
          </cell>
          <cell r="CG11">
            <v>1846</v>
          </cell>
          <cell r="CH11">
            <v>6843</v>
          </cell>
          <cell r="CI11">
            <v>508</v>
          </cell>
          <cell r="CJ11">
            <v>142</v>
          </cell>
          <cell r="CK11">
            <v>142</v>
          </cell>
          <cell r="CL11">
            <v>508</v>
          </cell>
          <cell r="CM11">
            <v>1016</v>
          </cell>
          <cell r="CN11">
            <v>164</v>
          </cell>
          <cell r="CO11">
            <v>438</v>
          </cell>
          <cell r="CR11">
            <v>10933</v>
          </cell>
          <cell r="CT11">
            <v>3829</v>
          </cell>
          <cell r="CU11">
            <v>3829</v>
          </cell>
          <cell r="CV11">
            <v>3829</v>
          </cell>
          <cell r="CX11">
            <v>164</v>
          </cell>
          <cell r="CZ11">
            <v>525</v>
          </cell>
          <cell r="DA11">
            <v>814</v>
          </cell>
          <cell r="DB11">
            <v>3210</v>
          </cell>
          <cell r="DC11">
            <v>3210</v>
          </cell>
          <cell r="DD11">
            <v>3210</v>
          </cell>
          <cell r="DE11">
            <v>3210</v>
          </cell>
          <cell r="DF11">
            <v>3210</v>
          </cell>
          <cell r="DG11">
            <v>12840</v>
          </cell>
          <cell r="DI11">
            <v>1846</v>
          </cell>
          <cell r="DJ11">
            <v>7664</v>
          </cell>
          <cell r="DK11">
            <v>569</v>
          </cell>
          <cell r="DL11">
            <v>159</v>
          </cell>
          <cell r="DM11">
            <v>159</v>
          </cell>
          <cell r="DN11">
            <v>569</v>
          </cell>
          <cell r="DO11">
            <v>1138</v>
          </cell>
          <cell r="DP11">
            <v>184</v>
          </cell>
          <cell r="DQ11">
            <v>490</v>
          </cell>
          <cell r="DT11">
            <v>12245</v>
          </cell>
          <cell r="DV11">
            <v>4289</v>
          </cell>
          <cell r="DW11">
            <v>4289</v>
          </cell>
          <cell r="DX11">
            <v>4289</v>
          </cell>
          <cell r="DZ11">
            <v>184</v>
          </cell>
          <cell r="EB11">
            <v>588</v>
          </cell>
          <cell r="EC11">
            <v>912</v>
          </cell>
          <cell r="ED11">
            <v>3595</v>
          </cell>
          <cell r="EK11">
            <v>1846</v>
          </cell>
          <cell r="EL11">
            <v>8224</v>
          </cell>
          <cell r="EM11">
            <v>611</v>
          </cell>
          <cell r="EN11">
            <v>171</v>
          </cell>
          <cell r="EO11">
            <v>171</v>
          </cell>
          <cell r="EP11">
            <v>611</v>
          </cell>
          <cell r="EQ11">
            <v>1222</v>
          </cell>
          <cell r="ER11">
            <v>197</v>
          </cell>
          <cell r="ES11">
            <v>526</v>
          </cell>
          <cell r="EV11">
            <v>13139</v>
          </cell>
          <cell r="EX11">
            <v>4602</v>
          </cell>
          <cell r="EY11">
            <v>4602</v>
          </cell>
          <cell r="EZ11">
            <v>4602</v>
          </cell>
          <cell r="FB11">
            <v>191</v>
          </cell>
          <cell r="FD11">
            <v>631</v>
          </cell>
          <cell r="FE11">
            <v>978</v>
          </cell>
          <cell r="FF11">
            <v>3858</v>
          </cell>
        </row>
        <row r="12">
          <cell r="A12" t="str">
            <v>JERARQUICO CUYO (641/11)</v>
          </cell>
          <cell r="BE12">
            <v>1846</v>
          </cell>
          <cell r="BF12">
            <v>6221</v>
          </cell>
          <cell r="BG12">
            <v>462</v>
          </cell>
          <cell r="BH12">
            <v>129</v>
          </cell>
          <cell r="BI12">
            <v>129</v>
          </cell>
          <cell r="BJ12">
            <v>462</v>
          </cell>
          <cell r="BK12">
            <v>924</v>
          </cell>
          <cell r="BL12">
            <v>149</v>
          </cell>
          <cell r="BP12">
            <v>9939</v>
          </cell>
          <cell r="BR12">
            <v>3481</v>
          </cell>
          <cell r="BS12">
            <v>3481</v>
          </cell>
          <cell r="BV12">
            <v>149</v>
          </cell>
          <cell r="BW12">
            <v>0</v>
          </cell>
          <cell r="BX12">
            <v>477</v>
          </cell>
          <cell r="BY12">
            <v>740</v>
          </cell>
          <cell r="BZ12">
            <v>2918</v>
          </cell>
          <cell r="CA12">
            <v>2918</v>
          </cell>
          <cell r="CB12">
            <v>2918</v>
          </cell>
          <cell r="CC12">
            <v>2918</v>
          </cell>
          <cell r="CD12">
            <v>2918</v>
          </cell>
          <cell r="CE12">
            <v>11672</v>
          </cell>
          <cell r="CG12">
            <v>1846</v>
          </cell>
          <cell r="CH12">
            <v>6843</v>
          </cell>
          <cell r="CI12">
            <v>508</v>
          </cell>
          <cell r="CJ12">
            <v>142</v>
          </cell>
          <cell r="CK12">
            <v>142</v>
          </cell>
          <cell r="CL12">
            <v>508</v>
          </cell>
          <cell r="CM12">
            <v>1016</v>
          </cell>
          <cell r="CN12">
            <v>164</v>
          </cell>
          <cell r="CR12">
            <v>10933</v>
          </cell>
          <cell r="CT12">
            <v>3829</v>
          </cell>
          <cell r="CU12">
            <v>3829</v>
          </cell>
          <cell r="CX12">
            <v>164</v>
          </cell>
          <cell r="CY12">
            <v>0</v>
          </cell>
          <cell r="CZ12">
            <v>525</v>
          </cell>
          <cell r="DA12">
            <v>814</v>
          </cell>
          <cell r="DB12">
            <v>3210</v>
          </cell>
          <cell r="DC12">
            <v>3210</v>
          </cell>
          <cell r="DD12">
            <v>3210</v>
          </cell>
          <cell r="DE12">
            <v>3210</v>
          </cell>
          <cell r="DF12">
            <v>3210</v>
          </cell>
          <cell r="DG12">
            <v>12840</v>
          </cell>
        </row>
        <row r="13">
          <cell r="A13" t="str">
            <v>JERARQUICO PAT. AUSTRAL (611/10)</v>
          </cell>
        </row>
        <row r="14">
          <cell r="A14" t="str">
            <v>JERARQUICO STA Y JUJUY</v>
          </cell>
          <cell r="BE14">
            <v>1846</v>
          </cell>
          <cell r="BF14">
            <v>6214</v>
          </cell>
          <cell r="BG14">
            <v>462</v>
          </cell>
          <cell r="BH14">
            <v>129</v>
          </cell>
          <cell r="BI14">
            <v>129</v>
          </cell>
          <cell r="BJ14">
            <v>462</v>
          </cell>
          <cell r="BK14">
            <v>924</v>
          </cell>
          <cell r="BL14">
            <v>0</v>
          </cell>
          <cell r="BM14">
            <v>0</v>
          </cell>
          <cell r="BP14">
            <v>9939</v>
          </cell>
          <cell r="BR14">
            <v>3481</v>
          </cell>
          <cell r="BV14">
            <v>149</v>
          </cell>
          <cell r="BZ14">
            <v>2918</v>
          </cell>
          <cell r="CA14">
            <v>2918</v>
          </cell>
          <cell r="CB14">
            <v>2918</v>
          </cell>
          <cell r="CC14">
            <v>2918</v>
          </cell>
          <cell r="CD14">
            <v>2918</v>
          </cell>
          <cell r="CE14">
            <v>11672</v>
          </cell>
          <cell r="CG14">
            <v>1846</v>
          </cell>
          <cell r="CH14">
            <v>6835</v>
          </cell>
          <cell r="CI14">
            <v>508</v>
          </cell>
          <cell r="CJ14">
            <v>142</v>
          </cell>
          <cell r="CK14">
            <v>142</v>
          </cell>
          <cell r="CL14">
            <v>508</v>
          </cell>
          <cell r="CM14">
            <v>1016</v>
          </cell>
          <cell r="CR14">
            <v>10933</v>
          </cell>
          <cell r="CT14">
            <v>3829</v>
          </cell>
          <cell r="CX14">
            <v>164</v>
          </cell>
          <cell r="DB14">
            <v>3210</v>
          </cell>
          <cell r="DC14">
            <v>3210</v>
          </cell>
          <cell r="DD14">
            <v>3210</v>
          </cell>
          <cell r="DE14">
            <v>3210</v>
          </cell>
          <cell r="DF14">
            <v>3210</v>
          </cell>
          <cell r="DG14">
            <v>12840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/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UBROS"/>
    </sheetNames>
    <sheetDataSet>
      <sheetData sheetId="0">
        <row r="2">
          <cell r="A2" t="str">
            <v>CUENTA OBJETO</v>
          </cell>
          <cell r="B2" t="str">
            <v>Rubro</v>
          </cell>
        </row>
        <row r="3">
          <cell r="A3" t="str">
            <v>5281</v>
          </cell>
          <cell r="B3" t="str">
            <v>04 - Sueldos y Cargas Sociales</v>
          </cell>
        </row>
        <row r="4">
          <cell r="A4" t="str">
            <v>5281</v>
          </cell>
          <cell r="B4" t="str">
            <v>04 - Sueldos y Cargas Sociales</v>
          </cell>
        </row>
        <row r="5">
          <cell r="A5" t="str">
            <v>5281</v>
          </cell>
          <cell r="B5" t="str">
            <v>04 - Sueldos y Cargas Sociales</v>
          </cell>
        </row>
        <row r="6">
          <cell r="A6" t="str">
            <v>5281</v>
          </cell>
          <cell r="B6" t="str">
            <v>04 - Sueldos y Cargas Sociales</v>
          </cell>
        </row>
        <row r="7">
          <cell r="A7" t="str">
            <v>5281</v>
          </cell>
          <cell r="B7" t="str">
            <v>04 - Sueldos y Cargas Sociales</v>
          </cell>
        </row>
        <row r="8">
          <cell r="A8" t="str">
            <v>5281</v>
          </cell>
          <cell r="B8" t="str">
            <v>04 - Sueldos y Cargas Sociales</v>
          </cell>
        </row>
        <row r="9">
          <cell r="A9" t="str">
            <v>5281</v>
          </cell>
          <cell r="B9" t="str">
            <v>04 - Sueldos y Cargas Sociales</v>
          </cell>
        </row>
        <row r="10">
          <cell r="A10" t="str">
            <v>5281</v>
          </cell>
          <cell r="B10" t="str">
            <v>04 - Sueldos y Cargas Sociales</v>
          </cell>
        </row>
        <row r="11">
          <cell r="A11" t="str">
            <v>5321</v>
          </cell>
          <cell r="B11" t="str">
            <v>04 - Sueldos y Cargas Sociales</v>
          </cell>
        </row>
        <row r="12">
          <cell r="A12" t="str">
            <v>5321</v>
          </cell>
          <cell r="B12" t="str">
            <v>04 - Sueldos y Cargas Sociales</v>
          </cell>
        </row>
        <row r="13">
          <cell r="A13" t="str">
            <v>5321</v>
          </cell>
          <cell r="B13" t="str">
            <v>04 - Sueldos y Cargas Sociales</v>
          </cell>
        </row>
        <row r="14">
          <cell r="A14" t="str">
            <v>5321</v>
          </cell>
          <cell r="B14" t="str">
            <v>04 - Sueldos y Cargas Sociales</v>
          </cell>
        </row>
        <row r="15">
          <cell r="A15" t="str">
            <v>5321</v>
          </cell>
          <cell r="B15" t="str">
            <v>04 - Sueldos y Cargas Sociales</v>
          </cell>
        </row>
        <row r="16">
          <cell r="A16" t="str">
            <v>5321</v>
          </cell>
          <cell r="B16" t="str">
            <v>04 - Sueldos y Cargas Sociales</v>
          </cell>
        </row>
        <row r="17">
          <cell r="A17" t="str">
            <v>5321</v>
          </cell>
          <cell r="B17" t="str">
            <v>04 - Sueldos y Cargas Sociales</v>
          </cell>
        </row>
        <row r="18">
          <cell r="A18" t="str">
            <v>5321</v>
          </cell>
          <cell r="B18" t="str">
            <v>04 - Sueldos y Cargas Sociales</v>
          </cell>
        </row>
        <row r="19">
          <cell r="A19" t="str">
            <v>5432</v>
          </cell>
          <cell r="B19" t="str">
            <v>04 - Sueldos y Cargas Sociales</v>
          </cell>
        </row>
        <row r="20">
          <cell r="A20" t="str">
            <v>5432</v>
          </cell>
          <cell r="B20" t="str">
            <v>04 - Sueldos y Cargas Sociales</v>
          </cell>
        </row>
        <row r="21">
          <cell r="A21" t="str">
            <v>5432</v>
          </cell>
          <cell r="B21" t="str">
            <v>04 - Sueldos y Cargas Sociales</v>
          </cell>
        </row>
        <row r="22">
          <cell r="A22" t="str">
            <v>5432</v>
          </cell>
          <cell r="B22" t="str">
            <v>04 - Sueldos y Cargas Sociales</v>
          </cell>
        </row>
        <row r="23">
          <cell r="A23" t="str">
            <v>5432</v>
          </cell>
          <cell r="B23" t="str">
            <v>04 - Sueldos y Cargas Sociales</v>
          </cell>
        </row>
        <row r="24">
          <cell r="A24" t="str">
            <v>5432</v>
          </cell>
          <cell r="B24" t="str">
            <v>04 - Sueldos y Cargas Sociales</v>
          </cell>
        </row>
        <row r="25">
          <cell r="A25" t="str">
            <v>5432</v>
          </cell>
          <cell r="B25" t="str">
            <v>04 - Sueldos y Cargas Sociales</v>
          </cell>
        </row>
        <row r="26">
          <cell r="A26" t="str">
            <v>5432</v>
          </cell>
          <cell r="B26" t="str">
            <v>04 - Sueldos y Cargas Sociales</v>
          </cell>
        </row>
        <row r="27">
          <cell r="A27" t="str">
            <v>5435</v>
          </cell>
          <cell r="B27" t="str">
            <v>04 - Sueldos y Cargas Sociales</v>
          </cell>
        </row>
        <row r="28">
          <cell r="A28" t="str">
            <v>5435</v>
          </cell>
          <cell r="B28" t="str">
            <v>04 - Sueldos y Cargas Sociales</v>
          </cell>
        </row>
        <row r="29">
          <cell r="A29" t="str">
            <v>5435</v>
          </cell>
          <cell r="B29" t="str">
            <v>04 - Sueldos y Cargas Sociales</v>
          </cell>
        </row>
        <row r="30">
          <cell r="A30" t="str">
            <v>5435</v>
          </cell>
          <cell r="B30" t="str">
            <v>04 - Sueldos y Cargas Sociales</v>
          </cell>
        </row>
        <row r="31">
          <cell r="A31" t="str">
            <v>5435</v>
          </cell>
          <cell r="B31" t="str">
            <v>04 - Sueldos y Cargas Sociales</v>
          </cell>
        </row>
        <row r="32">
          <cell r="A32" t="str">
            <v>5435</v>
          </cell>
          <cell r="B32" t="str">
            <v>04 - Sueldos y Cargas Sociales</v>
          </cell>
        </row>
        <row r="33">
          <cell r="A33" t="str">
            <v>5435</v>
          </cell>
          <cell r="B33" t="str">
            <v>04 - Sueldos y Cargas Sociales</v>
          </cell>
        </row>
        <row r="34">
          <cell r="A34" t="str">
            <v>5435</v>
          </cell>
          <cell r="B34" t="str">
            <v>04 - Sueldos y Cargas Sociales</v>
          </cell>
        </row>
        <row r="35">
          <cell r="A35" t="str">
            <v>5451</v>
          </cell>
          <cell r="B35" t="str">
            <v>04 - Sueldos y Cargas Sociales</v>
          </cell>
        </row>
        <row r="36">
          <cell r="A36" t="str">
            <v>5451</v>
          </cell>
          <cell r="B36" t="str">
            <v>04 - Sueldos y Cargas Sociales</v>
          </cell>
        </row>
        <row r="37">
          <cell r="A37" t="str">
            <v>5451</v>
          </cell>
          <cell r="B37" t="str">
            <v>04 - Sueldos y Cargas Sociales</v>
          </cell>
        </row>
        <row r="38">
          <cell r="A38" t="str">
            <v>5451</v>
          </cell>
          <cell r="B38" t="str">
            <v>04 - Sueldos y Cargas Sociales</v>
          </cell>
        </row>
        <row r="39">
          <cell r="A39" t="str">
            <v>5451</v>
          </cell>
          <cell r="B39" t="str">
            <v>04 - Sueldos y Cargas Sociales</v>
          </cell>
        </row>
        <row r="40">
          <cell r="A40" t="str">
            <v>5451</v>
          </cell>
          <cell r="B40" t="str">
            <v>04 - Sueldos y Cargas Sociales</v>
          </cell>
        </row>
        <row r="41">
          <cell r="A41" t="str">
            <v>5451</v>
          </cell>
          <cell r="B41" t="str">
            <v>04 - Sueldos y Cargas Sociales</v>
          </cell>
        </row>
        <row r="42">
          <cell r="A42" t="str">
            <v>5451</v>
          </cell>
          <cell r="B42" t="str">
            <v>04 - Sueldos y Cargas Sociales</v>
          </cell>
        </row>
        <row r="43">
          <cell r="A43" t="str">
            <v>5452</v>
          </cell>
          <cell r="B43" t="str">
            <v>04 - Sueldos y Cargas Sociales</v>
          </cell>
        </row>
        <row r="44">
          <cell r="A44" t="str">
            <v>5452</v>
          </cell>
          <cell r="B44" t="str">
            <v>04 - Sueldos y Cargas Sociales</v>
          </cell>
        </row>
        <row r="45">
          <cell r="A45" t="str">
            <v>5452</v>
          </cell>
          <cell r="B45" t="str">
            <v>04 - Sueldos y Cargas Sociales</v>
          </cell>
        </row>
        <row r="46">
          <cell r="A46" t="str">
            <v>5452</v>
          </cell>
          <cell r="B46" t="str">
            <v>04 - Sueldos y Cargas Sociales</v>
          </cell>
        </row>
        <row r="47">
          <cell r="A47" t="str">
            <v>5452</v>
          </cell>
          <cell r="B47" t="str">
            <v>04 - Sueldos y Cargas Sociales</v>
          </cell>
        </row>
        <row r="48">
          <cell r="A48" t="str">
            <v>5452</v>
          </cell>
          <cell r="B48" t="str">
            <v>04 - Sueldos y Cargas Sociales</v>
          </cell>
        </row>
        <row r="49">
          <cell r="A49" t="str">
            <v>5452</v>
          </cell>
          <cell r="B49" t="str">
            <v>04 - Sueldos y Cargas Sociales</v>
          </cell>
        </row>
        <row r="50">
          <cell r="A50" t="str">
            <v>5452</v>
          </cell>
          <cell r="B50" t="str">
            <v>04 - Sueldos y Cargas Sociales</v>
          </cell>
        </row>
        <row r="51">
          <cell r="A51" t="str">
            <v>5453</v>
          </cell>
          <cell r="B51" t="str">
            <v>04 - Sueldos y Cargas Sociales</v>
          </cell>
        </row>
        <row r="52">
          <cell r="A52" t="str">
            <v>5453</v>
          </cell>
          <cell r="B52" t="str">
            <v>04 - Sueldos y Cargas Sociales</v>
          </cell>
        </row>
        <row r="53">
          <cell r="A53" t="str">
            <v>5453</v>
          </cell>
          <cell r="B53" t="str">
            <v>04 - Sueldos y Cargas Sociales</v>
          </cell>
        </row>
        <row r="54">
          <cell r="A54" t="str">
            <v>5453</v>
          </cell>
          <cell r="B54" t="str">
            <v>04 - Sueldos y Cargas Sociales</v>
          </cell>
        </row>
        <row r="55">
          <cell r="A55" t="str">
            <v>5453</v>
          </cell>
          <cell r="B55" t="str">
            <v>04 - Sueldos y Cargas Sociales</v>
          </cell>
        </row>
        <row r="56">
          <cell r="A56" t="str">
            <v>5453</v>
          </cell>
          <cell r="B56" t="str">
            <v>04 - Sueldos y Cargas Sociales</v>
          </cell>
        </row>
        <row r="57">
          <cell r="A57" t="str">
            <v>5453</v>
          </cell>
          <cell r="B57" t="str">
            <v>04 - Sueldos y Cargas Sociales</v>
          </cell>
        </row>
        <row r="58">
          <cell r="A58" t="str">
            <v>5453</v>
          </cell>
          <cell r="B58" t="str">
            <v>04 - Sueldos y Cargas Sociales</v>
          </cell>
        </row>
        <row r="59">
          <cell r="A59" t="str">
            <v>5521</v>
          </cell>
          <cell r="B59" t="str">
            <v>04 - Sueldos y Cargas Sociales</v>
          </cell>
        </row>
        <row r="60">
          <cell r="A60" t="str">
            <v>5521</v>
          </cell>
          <cell r="B60" t="str">
            <v>04 - Sueldos y Cargas Sociales</v>
          </cell>
        </row>
        <row r="61">
          <cell r="A61" t="str">
            <v>5521</v>
          </cell>
          <cell r="B61" t="str">
            <v>04 - Sueldos y Cargas Sociales</v>
          </cell>
        </row>
        <row r="62">
          <cell r="A62" t="str">
            <v>5521</v>
          </cell>
          <cell r="B62" t="str">
            <v>04 - Sueldos y Cargas Sociales</v>
          </cell>
        </row>
        <row r="63">
          <cell r="A63" t="str">
            <v>5521</v>
          </cell>
          <cell r="B63" t="str">
            <v>04 - Sueldos y Cargas Sociales</v>
          </cell>
        </row>
        <row r="64">
          <cell r="A64" t="str">
            <v>5521</v>
          </cell>
          <cell r="B64" t="str">
            <v>04 - Sueldos y Cargas Sociales</v>
          </cell>
        </row>
        <row r="65">
          <cell r="A65" t="str">
            <v>5521</v>
          </cell>
          <cell r="B65" t="str">
            <v>04 - Sueldos y Cargas Sociales</v>
          </cell>
        </row>
        <row r="66">
          <cell r="A66" t="str">
            <v>5521</v>
          </cell>
          <cell r="B66" t="str">
            <v>04 - Sueldos y Cargas Sociales</v>
          </cell>
        </row>
        <row r="67">
          <cell r="A67" t="str">
            <v>5521</v>
          </cell>
          <cell r="B67" t="str">
            <v>04 - Sueldos y Cargas Sociales</v>
          </cell>
        </row>
        <row r="68">
          <cell r="A68" t="str">
            <v>5527</v>
          </cell>
          <cell r="B68" t="str">
            <v>04 - Sueldos y Cargas Sociales</v>
          </cell>
        </row>
        <row r="69">
          <cell r="A69" t="str">
            <v>5527</v>
          </cell>
          <cell r="B69" t="str">
            <v>04 - Sueldos y Cargas Sociales</v>
          </cell>
        </row>
        <row r="70">
          <cell r="A70" t="str">
            <v>5527</v>
          </cell>
          <cell r="B70" t="str">
            <v>04 - Sueldos y Cargas Sociales</v>
          </cell>
        </row>
        <row r="71">
          <cell r="A71" t="str">
            <v>5527</v>
          </cell>
          <cell r="B71" t="str">
            <v>04 - Sueldos y Cargas Sociales</v>
          </cell>
        </row>
        <row r="72">
          <cell r="A72" t="str">
            <v>5527</v>
          </cell>
          <cell r="B72" t="str">
            <v>04 - Sueldos y Cargas Sociales</v>
          </cell>
        </row>
        <row r="73">
          <cell r="A73" t="str">
            <v>5527</v>
          </cell>
          <cell r="B73" t="str">
            <v>04 - Sueldos y Cargas Sociales</v>
          </cell>
        </row>
        <row r="74">
          <cell r="A74" t="str">
            <v>5527</v>
          </cell>
          <cell r="B74" t="str">
            <v>04 - Sueldos y Cargas Sociales</v>
          </cell>
        </row>
        <row r="75">
          <cell r="A75" t="str">
            <v>5527</v>
          </cell>
          <cell r="B75" t="str">
            <v>04 - Sueldos y Cargas Sociales</v>
          </cell>
        </row>
        <row r="76">
          <cell r="A76" t="str">
            <v>5527</v>
          </cell>
          <cell r="B76" t="str">
            <v>04 - Sueldos y Cargas Sociales</v>
          </cell>
        </row>
        <row r="77">
          <cell r="A77" t="str">
            <v>5534.02</v>
          </cell>
          <cell r="B77" t="str">
            <v>11 - Otros Gastos</v>
          </cell>
        </row>
        <row r="78">
          <cell r="A78" t="str">
            <v>5534.02</v>
          </cell>
          <cell r="B78" t="str">
            <v>04 - Sueldos y Cargas Sociales</v>
          </cell>
        </row>
        <row r="79">
          <cell r="A79" t="str">
            <v>5534.02</v>
          </cell>
          <cell r="B79" t="str">
            <v>04 - Sueldos y Cargas Sociales</v>
          </cell>
        </row>
        <row r="80">
          <cell r="A80" t="str">
            <v>5534.02</v>
          </cell>
          <cell r="B80" t="str">
            <v>04 - Sueldos y Cargas Sociales</v>
          </cell>
        </row>
        <row r="81">
          <cell r="A81" t="str">
            <v>5534.02</v>
          </cell>
          <cell r="B81" t="str">
            <v>04 - Sueldos y Cargas Sociales</v>
          </cell>
        </row>
        <row r="82">
          <cell r="A82" t="str">
            <v>5535</v>
          </cell>
          <cell r="B82" t="str">
            <v>04 - Sueldos y Cargas Sociales</v>
          </cell>
        </row>
        <row r="83">
          <cell r="A83" t="str">
            <v>5535</v>
          </cell>
          <cell r="B83" t="str">
            <v>04 - Sueldos y Cargas Sociales</v>
          </cell>
        </row>
        <row r="84">
          <cell r="A84" t="str">
            <v>5535</v>
          </cell>
          <cell r="B84" t="str">
            <v>04 - Sueldos y Cargas Sociales</v>
          </cell>
        </row>
        <row r="85">
          <cell r="A85" t="str">
            <v>5535</v>
          </cell>
          <cell r="B85" t="str">
            <v>04 - Sueldos y Cargas Sociales</v>
          </cell>
        </row>
        <row r="86">
          <cell r="A86" t="str">
            <v>5535</v>
          </cell>
          <cell r="B86" t="str">
            <v>04 - Sueldos y Cargas Sociales</v>
          </cell>
        </row>
        <row r="87">
          <cell r="A87" t="str">
            <v>5536</v>
          </cell>
          <cell r="B87" t="str">
            <v>04 - Sueldos y Cargas Sociales</v>
          </cell>
        </row>
        <row r="88">
          <cell r="A88" t="str">
            <v>5537</v>
          </cell>
          <cell r="B88" t="str">
            <v>04 - Sueldos y Cargas Sociales</v>
          </cell>
        </row>
        <row r="89">
          <cell r="A89" t="str">
            <v>5537</v>
          </cell>
          <cell r="B89" t="str">
            <v>04 - Sueldos y Cargas Sociales</v>
          </cell>
        </row>
        <row r="90">
          <cell r="A90" t="str">
            <v>5537</v>
          </cell>
          <cell r="B90" t="str">
            <v>04 - Sueldos y Cargas Sociales</v>
          </cell>
        </row>
        <row r="91">
          <cell r="A91" t="str">
            <v>5537</v>
          </cell>
          <cell r="B91" t="str">
            <v>04 - Sueldos y Cargas Sociales</v>
          </cell>
        </row>
        <row r="92">
          <cell r="A92" t="str">
            <v>5537</v>
          </cell>
          <cell r="B92" t="str">
            <v>04 - Sueldos y Cargas Sociales</v>
          </cell>
        </row>
        <row r="93">
          <cell r="A93" t="str">
            <v>5537</v>
          </cell>
          <cell r="B93" t="str">
            <v>04 - Sueldos y Cargas Sociales</v>
          </cell>
        </row>
        <row r="94">
          <cell r="A94" t="str">
            <v>5537</v>
          </cell>
          <cell r="B94" t="str">
            <v>04 - Sueldos y Cargas Sociales</v>
          </cell>
        </row>
        <row r="95">
          <cell r="A95" t="str">
            <v>5537</v>
          </cell>
          <cell r="B95" t="str">
            <v>04 - Sueldos y Cargas Sociales</v>
          </cell>
        </row>
        <row r="96">
          <cell r="A96" t="str">
            <v>5537</v>
          </cell>
          <cell r="B96" t="str">
            <v>04 - Sueldos y Cargas Sociales</v>
          </cell>
        </row>
        <row r="97">
          <cell r="A97" t="str">
            <v>5537</v>
          </cell>
          <cell r="B97" t="str">
            <v>04 - Sueldos y Cargas Sociales</v>
          </cell>
        </row>
        <row r="98">
          <cell r="A98" t="str">
            <v>5538</v>
          </cell>
          <cell r="B98" t="str">
            <v>04 - Sueldos y Cargas Sociales</v>
          </cell>
        </row>
        <row r="99">
          <cell r="A99" t="str">
            <v>5539</v>
          </cell>
          <cell r="B99" t="str">
            <v>04 - Sueldos y Cargas Sociales</v>
          </cell>
        </row>
        <row r="100">
          <cell r="A100" t="str">
            <v>5539</v>
          </cell>
          <cell r="B100" t="str">
            <v>04 - Sueldos y Cargas Sociales</v>
          </cell>
        </row>
        <row r="101">
          <cell r="A101" t="str">
            <v>5539</v>
          </cell>
          <cell r="B101" t="str">
            <v>04 - Sueldos y Cargas Sociales</v>
          </cell>
        </row>
        <row r="102">
          <cell r="A102" t="str">
            <v>5539</v>
          </cell>
          <cell r="B102" t="str">
            <v>04 - Sueldos y Cargas Sociales</v>
          </cell>
        </row>
        <row r="103">
          <cell r="A103" t="str">
            <v>5539</v>
          </cell>
          <cell r="B103" t="str">
            <v>04 - Sueldos y Cargas Sociales</v>
          </cell>
        </row>
        <row r="104">
          <cell r="A104" t="str">
            <v>5539</v>
          </cell>
          <cell r="B104" t="str">
            <v>04 - Sueldos y Cargas Sociales</v>
          </cell>
        </row>
        <row r="105">
          <cell r="A105" t="str">
            <v>5539</v>
          </cell>
          <cell r="B105" t="str">
            <v>04 - Sueldos y Cargas Sociales</v>
          </cell>
        </row>
        <row r="106">
          <cell r="A106" t="str">
            <v>5539</v>
          </cell>
          <cell r="B106" t="str">
            <v>04 - Sueldos y Cargas Sociales</v>
          </cell>
        </row>
        <row r="107">
          <cell r="A107" t="str">
            <v>5540</v>
          </cell>
          <cell r="B107" t="str">
            <v>04 - Sueldos y Cargas Sociales</v>
          </cell>
        </row>
        <row r="108">
          <cell r="A108" t="str">
            <v>5540</v>
          </cell>
          <cell r="B108" t="str">
            <v>04 - Sueldos y Cargas Sociales</v>
          </cell>
        </row>
        <row r="109">
          <cell r="A109" t="str">
            <v>5540</v>
          </cell>
          <cell r="B109" t="str">
            <v>04 - Sueldos y Cargas Sociales</v>
          </cell>
        </row>
        <row r="110">
          <cell r="A110" t="str">
            <v>5540</v>
          </cell>
          <cell r="B110" t="str">
            <v>04 - Sueldos y Cargas Sociales</v>
          </cell>
        </row>
        <row r="111">
          <cell r="A111" t="str">
            <v>5540</v>
          </cell>
          <cell r="B111" t="str">
            <v>04 - Sueldos y Cargas Sociales</v>
          </cell>
        </row>
        <row r="112">
          <cell r="A112" t="str">
            <v>5540</v>
          </cell>
          <cell r="B112" t="str">
            <v>04 - Sueldos y Cargas Sociales</v>
          </cell>
        </row>
        <row r="113">
          <cell r="A113" t="str">
            <v>5540</v>
          </cell>
          <cell r="B113" t="str">
            <v>04 - Sueldos y Cargas Sociales</v>
          </cell>
        </row>
        <row r="114">
          <cell r="A114" t="str">
            <v>5540</v>
          </cell>
          <cell r="B114" t="str">
            <v>04 - Sueldos y Cargas Sociales</v>
          </cell>
        </row>
        <row r="115">
          <cell r="A115" t="str">
            <v>5541</v>
          </cell>
          <cell r="B115" t="str">
            <v>11 - Otros Gastos</v>
          </cell>
        </row>
        <row r="116">
          <cell r="A116" t="str">
            <v>5542</v>
          </cell>
          <cell r="B116" t="str">
            <v>11 - Otros Gastos</v>
          </cell>
        </row>
        <row r="117">
          <cell r="A117" t="str">
            <v>5542</v>
          </cell>
          <cell r="B117" t="str">
            <v>11 - Otros Gastos</v>
          </cell>
        </row>
        <row r="118">
          <cell r="A118" t="str">
            <v>5542</v>
          </cell>
          <cell r="B118" t="str">
            <v>04 - Sueldos y Cargas Sociales</v>
          </cell>
        </row>
        <row r="119">
          <cell r="A119" t="str">
            <v>5542</v>
          </cell>
          <cell r="B119" t="str">
            <v>04 - Sueldos y Cargas Sociales</v>
          </cell>
        </row>
        <row r="120">
          <cell r="A120" t="str">
            <v>5542</v>
          </cell>
          <cell r="B120" t="str">
            <v>04 - Sueldos y Cargas Sociales</v>
          </cell>
        </row>
        <row r="121">
          <cell r="A121" t="str">
            <v>5542</v>
          </cell>
          <cell r="B121" t="str">
            <v>11 - Otros Gastos</v>
          </cell>
        </row>
        <row r="122">
          <cell r="A122" t="str">
            <v>5542</v>
          </cell>
          <cell r="B122" t="str">
            <v>11 - Otros Gastos</v>
          </cell>
        </row>
        <row r="123">
          <cell r="A123" t="str">
            <v>5542</v>
          </cell>
          <cell r="B123" t="str">
            <v>04 - Sueldos y Cargas Sociales</v>
          </cell>
        </row>
        <row r="124">
          <cell r="A124" t="str">
            <v>5542</v>
          </cell>
          <cell r="B124" t="str">
            <v>04 - Sueldos y Cargas Sociales</v>
          </cell>
        </row>
        <row r="125">
          <cell r="A125" t="str">
            <v>5542</v>
          </cell>
          <cell r="B125" t="str">
            <v>04 - Sueldos y Cargas Sociales</v>
          </cell>
        </row>
        <row r="126">
          <cell r="A126" t="str">
            <v>5542</v>
          </cell>
          <cell r="B126" t="str">
            <v>11 - Otros Gastos</v>
          </cell>
        </row>
        <row r="127">
          <cell r="A127" t="str">
            <v>5582</v>
          </cell>
          <cell r="B127" t="str">
            <v>11 - Otros Gastos</v>
          </cell>
        </row>
        <row r="128">
          <cell r="A128" t="str">
            <v>5583</v>
          </cell>
          <cell r="B128" t="str">
            <v>11 - Otros Gastos</v>
          </cell>
        </row>
        <row r="129">
          <cell r="A129" t="str">
            <v>5586</v>
          </cell>
          <cell r="B129" t="str">
            <v>11 - Otros Gastos</v>
          </cell>
        </row>
        <row r="130">
          <cell r="A130" t="str">
            <v>5587</v>
          </cell>
          <cell r="B130" t="str">
            <v>11 - Otros Gastos</v>
          </cell>
        </row>
        <row r="131">
          <cell r="A131" t="str">
            <v>5803</v>
          </cell>
          <cell r="B131" t="str">
            <v>11 - Otros Gastos</v>
          </cell>
        </row>
        <row r="132">
          <cell r="A132" t="str">
            <v>5803</v>
          </cell>
          <cell r="B132" t="str">
            <v>11 - Otros Gastos</v>
          </cell>
        </row>
        <row r="133">
          <cell r="A133" t="str">
            <v>5803</v>
          </cell>
          <cell r="B133" t="str">
            <v>11 - Otros Gastos</v>
          </cell>
        </row>
        <row r="134">
          <cell r="A134" t="str">
            <v>5803</v>
          </cell>
          <cell r="B134" t="str">
            <v>11 - Otros Gastos</v>
          </cell>
        </row>
        <row r="135">
          <cell r="A135" t="str">
            <v>5803</v>
          </cell>
          <cell r="B135" t="str">
            <v>11 - Otros Gastos</v>
          </cell>
        </row>
        <row r="136">
          <cell r="A136" t="str">
            <v>5804</v>
          </cell>
          <cell r="B136" t="str">
            <v>11 - Otros Gastos</v>
          </cell>
        </row>
        <row r="137">
          <cell r="A137" t="str">
            <v>5854</v>
          </cell>
          <cell r="B137" t="str">
            <v>08 - Pulling y Mediciones</v>
          </cell>
        </row>
        <row r="138">
          <cell r="A138" t="str">
            <v>5854</v>
          </cell>
          <cell r="B138" t="str">
            <v>08 - Pulling y Mediciones</v>
          </cell>
        </row>
        <row r="139">
          <cell r="A139" t="str">
            <v>5854</v>
          </cell>
          <cell r="B139" t="str">
            <v>08 - Pulling y Mediciones</v>
          </cell>
        </row>
        <row r="140">
          <cell r="A140" t="str">
            <v>5855</v>
          </cell>
          <cell r="B140" t="str">
            <v>08 - Pulling y Mediciones</v>
          </cell>
        </row>
        <row r="141">
          <cell r="A141" t="str">
            <v>5855</v>
          </cell>
          <cell r="B141" t="str">
            <v>08 - Pulling y Mediciones</v>
          </cell>
        </row>
        <row r="142">
          <cell r="A142" t="str">
            <v>5857</v>
          </cell>
          <cell r="B142" t="str">
            <v>08 - Pulling y Mediciones</v>
          </cell>
        </row>
        <row r="143">
          <cell r="A143" t="str">
            <v>5857</v>
          </cell>
          <cell r="B143" t="str">
            <v>08 - Pulling y Mediciones</v>
          </cell>
        </row>
        <row r="144">
          <cell r="A144" t="str">
            <v>5857</v>
          </cell>
          <cell r="B144" t="str">
            <v>08 - Pulling y Mediciones</v>
          </cell>
        </row>
        <row r="145">
          <cell r="A145" t="str">
            <v>5857.001</v>
          </cell>
          <cell r="B145" t="str">
            <v>08 - Pulling y Mediciones</v>
          </cell>
        </row>
        <row r="146">
          <cell r="A146" t="str">
            <v>5858</v>
          </cell>
          <cell r="B146" t="str">
            <v>08 - Pulling y Mediciones</v>
          </cell>
        </row>
        <row r="147">
          <cell r="A147" t="str">
            <v>5858</v>
          </cell>
          <cell r="B147" t="str">
            <v>08 - Pulling y Mediciones</v>
          </cell>
        </row>
        <row r="148">
          <cell r="A148" t="str">
            <v>5858</v>
          </cell>
          <cell r="B148" t="str">
            <v>08 - Pulling y Mediciones</v>
          </cell>
        </row>
        <row r="149">
          <cell r="A149" t="str">
            <v>5858</v>
          </cell>
          <cell r="B149" t="str">
            <v>08 - Pulling y Mediciones</v>
          </cell>
        </row>
        <row r="150">
          <cell r="A150" t="str">
            <v>5858</v>
          </cell>
          <cell r="B150" t="str">
            <v>08 - Pulling y Mediciones</v>
          </cell>
        </row>
        <row r="151">
          <cell r="A151" t="str">
            <v>5858.001</v>
          </cell>
          <cell r="B151" t="str">
            <v>08 - Pulling y Mediciones</v>
          </cell>
        </row>
        <row r="152">
          <cell r="A152" t="str">
            <v>5858.001</v>
          </cell>
          <cell r="B152" t="str">
            <v>08 - Pulling y Mediciones</v>
          </cell>
        </row>
        <row r="153">
          <cell r="A153" t="str">
            <v>5858.001</v>
          </cell>
          <cell r="B153" t="str">
            <v>08 - Pulling y Mediciones</v>
          </cell>
        </row>
        <row r="154">
          <cell r="A154" t="str">
            <v>5859</v>
          </cell>
          <cell r="B154" t="str">
            <v>08 - Pulling y Mediciones</v>
          </cell>
        </row>
        <row r="155">
          <cell r="A155" t="str">
            <v>5859</v>
          </cell>
          <cell r="B155" t="str">
            <v>08 - Pulling y Mediciones</v>
          </cell>
        </row>
        <row r="156">
          <cell r="A156" t="str">
            <v>5859</v>
          </cell>
          <cell r="B156" t="str">
            <v>08 - Pulling y Mediciones</v>
          </cell>
        </row>
        <row r="157">
          <cell r="A157" t="str">
            <v>5859</v>
          </cell>
          <cell r="B157" t="str">
            <v>08 - Pulling y Mediciones</v>
          </cell>
        </row>
        <row r="158">
          <cell r="A158" t="str">
            <v>5859.001</v>
          </cell>
          <cell r="B158" t="str">
            <v>08 - Pulling y Mediciones</v>
          </cell>
        </row>
        <row r="159">
          <cell r="A159" t="str">
            <v>5859.001</v>
          </cell>
          <cell r="B159" t="str">
            <v>08 - Pulling y Mediciones</v>
          </cell>
        </row>
        <row r="160">
          <cell r="A160" t="str">
            <v>5859.001</v>
          </cell>
          <cell r="B160" t="str">
            <v>08 - Pulling y Mediciones</v>
          </cell>
        </row>
        <row r="161">
          <cell r="A161" t="str">
            <v>5860</v>
          </cell>
          <cell r="B161" t="str">
            <v>08 - Pulling y Mediciones</v>
          </cell>
        </row>
        <row r="162">
          <cell r="A162" t="str">
            <v>5860</v>
          </cell>
          <cell r="B162" t="str">
            <v>08 - Pulling y Mediciones</v>
          </cell>
        </row>
        <row r="163">
          <cell r="A163" t="str">
            <v>5860</v>
          </cell>
          <cell r="B163" t="str">
            <v>08 - Pulling y Mediciones</v>
          </cell>
        </row>
        <row r="164">
          <cell r="A164" t="str">
            <v>5860</v>
          </cell>
          <cell r="B164" t="str">
            <v>08 - Pulling y Mediciones</v>
          </cell>
        </row>
        <row r="165">
          <cell r="A165" t="str">
            <v>5860</v>
          </cell>
          <cell r="B165" t="str">
            <v>08 - Pulling y Mediciones</v>
          </cell>
        </row>
        <row r="166">
          <cell r="A166" t="str">
            <v>5861</v>
          </cell>
          <cell r="B166" t="str">
            <v>08 - Pulling y Mediciones</v>
          </cell>
        </row>
        <row r="167">
          <cell r="A167" t="str">
            <v>5861.001</v>
          </cell>
          <cell r="B167" t="str">
            <v>08 - Pulling y Mediciones</v>
          </cell>
        </row>
        <row r="168">
          <cell r="A168" t="str">
            <v>5862</v>
          </cell>
          <cell r="B168" t="str">
            <v>08 - Pulling y Mediciones</v>
          </cell>
        </row>
        <row r="169">
          <cell r="A169" t="str">
            <v>5862</v>
          </cell>
          <cell r="B169" t="str">
            <v>08 - Pulling y Mediciones</v>
          </cell>
        </row>
        <row r="170">
          <cell r="A170" t="str">
            <v>5862</v>
          </cell>
          <cell r="B170" t="str">
            <v>08 - Pulling y Mediciones</v>
          </cell>
        </row>
        <row r="171">
          <cell r="A171" t="str">
            <v>5862</v>
          </cell>
          <cell r="B171" t="str">
            <v>08 - Pulling y Mediciones</v>
          </cell>
        </row>
        <row r="172">
          <cell r="A172" t="str">
            <v>5862.001</v>
          </cell>
          <cell r="B172" t="str">
            <v>08 - Pulling y Mediciones</v>
          </cell>
        </row>
        <row r="173">
          <cell r="A173" t="str">
            <v>5862.001</v>
          </cell>
          <cell r="B173" t="str">
            <v>08 - Pulling y Mediciones</v>
          </cell>
        </row>
        <row r="174">
          <cell r="A174" t="str">
            <v>5864</v>
          </cell>
          <cell r="B174" t="str">
            <v>07 - Otros Materiales</v>
          </cell>
        </row>
        <row r="175">
          <cell r="A175" t="str">
            <v>5864</v>
          </cell>
          <cell r="B175" t="str">
            <v>07 - Otros Materiales</v>
          </cell>
        </row>
        <row r="176">
          <cell r="A176" t="str">
            <v>5864</v>
          </cell>
          <cell r="B176" t="str">
            <v>07 - Otros Materiales</v>
          </cell>
        </row>
        <row r="177">
          <cell r="A177" t="str">
            <v>5865</v>
          </cell>
          <cell r="B177" t="str">
            <v>07 - Otros Materiales</v>
          </cell>
        </row>
        <row r="178">
          <cell r="A178" t="str">
            <v>5865</v>
          </cell>
          <cell r="B178" t="str">
            <v>07 - Otros Materiales</v>
          </cell>
        </row>
        <row r="179">
          <cell r="A179" t="str">
            <v>5866</v>
          </cell>
          <cell r="B179" t="str">
            <v>08 - Pulling y Mediciones</v>
          </cell>
        </row>
        <row r="180">
          <cell r="A180" t="str">
            <v>5866</v>
          </cell>
          <cell r="B180" t="str">
            <v>08 - Pulling y Mediciones</v>
          </cell>
        </row>
        <row r="181">
          <cell r="A181" t="str">
            <v>5866</v>
          </cell>
          <cell r="B181" t="str">
            <v>08 - Pulling y Mediciones</v>
          </cell>
        </row>
        <row r="182">
          <cell r="A182" t="str">
            <v>5866</v>
          </cell>
          <cell r="B182" t="str">
            <v>08 - Pulling y Mediciones</v>
          </cell>
        </row>
        <row r="183">
          <cell r="A183" t="str">
            <v>5867</v>
          </cell>
          <cell r="B183" t="str">
            <v>08 - Pulling y Mediciones</v>
          </cell>
        </row>
        <row r="184">
          <cell r="A184" t="str">
            <v>5867</v>
          </cell>
          <cell r="B184" t="str">
            <v>08 - Pulling y Mediciones</v>
          </cell>
        </row>
        <row r="185">
          <cell r="A185" t="str">
            <v>5867</v>
          </cell>
          <cell r="B185" t="str">
            <v>08 - Pulling y Mediciones</v>
          </cell>
        </row>
        <row r="186">
          <cell r="A186" t="str">
            <v>5869</v>
          </cell>
          <cell r="B186" t="str">
            <v>08 - Pulling y Mediciones</v>
          </cell>
        </row>
        <row r="187">
          <cell r="A187" t="str">
            <v>5869</v>
          </cell>
          <cell r="B187" t="str">
            <v>08 - Pulling y Mediciones</v>
          </cell>
        </row>
        <row r="188">
          <cell r="A188" t="str">
            <v>5869</v>
          </cell>
          <cell r="B188" t="str">
            <v>08 - Pulling y Mediciones</v>
          </cell>
        </row>
        <row r="189">
          <cell r="A189" t="str">
            <v>5869</v>
          </cell>
          <cell r="B189" t="str">
            <v>08 - Pulling y Mediciones</v>
          </cell>
        </row>
        <row r="190">
          <cell r="A190" t="str">
            <v>5873</v>
          </cell>
          <cell r="B190" t="str">
            <v>07 - Otros Materiales</v>
          </cell>
        </row>
        <row r="191">
          <cell r="A191" t="str">
            <v>5873</v>
          </cell>
          <cell r="B191" t="str">
            <v>07 - Otros Materiales</v>
          </cell>
        </row>
        <row r="192">
          <cell r="A192" t="str">
            <v>5873.001</v>
          </cell>
          <cell r="B192" t="str">
            <v>07 - Otros Materiales</v>
          </cell>
        </row>
        <row r="193">
          <cell r="A193" t="str">
            <v>5874</v>
          </cell>
          <cell r="B193" t="str">
            <v>07 - Otros Materiales</v>
          </cell>
        </row>
        <row r="194">
          <cell r="A194" t="str">
            <v>5874</v>
          </cell>
          <cell r="B194" t="str">
            <v>07 - Otros Materiales</v>
          </cell>
        </row>
        <row r="195">
          <cell r="A195" t="str">
            <v>5874.001</v>
          </cell>
          <cell r="B195" t="str">
            <v>07 - Otros Materiales</v>
          </cell>
        </row>
        <row r="196">
          <cell r="A196" t="str">
            <v>5876</v>
          </cell>
          <cell r="B196" t="str">
            <v>07 - Otros Materiales</v>
          </cell>
        </row>
        <row r="197">
          <cell r="A197" t="str">
            <v>5876</v>
          </cell>
          <cell r="B197" t="str">
            <v>07 - Otros Materiales</v>
          </cell>
        </row>
        <row r="198">
          <cell r="A198" t="str">
            <v>5876.001</v>
          </cell>
          <cell r="B198" t="str">
            <v>07 - Otros Materiales</v>
          </cell>
        </row>
        <row r="199">
          <cell r="A199" t="str">
            <v>5876.001</v>
          </cell>
          <cell r="B199" t="str">
            <v>07 - Otros Materiales</v>
          </cell>
        </row>
        <row r="200">
          <cell r="A200" t="str">
            <v>6004</v>
          </cell>
          <cell r="B200" t="str">
            <v>02 - Contratistas</v>
          </cell>
        </row>
        <row r="201">
          <cell r="A201" t="str">
            <v>6004</v>
          </cell>
          <cell r="B201" t="str">
            <v>02 - Contratistas</v>
          </cell>
        </row>
        <row r="202">
          <cell r="A202" t="str">
            <v>6063</v>
          </cell>
          <cell r="B202" t="str">
            <v>07 - Otros Materiales</v>
          </cell>
        </row>
        <row r="203">
          <cell r="A203" t="str">
            <v>6065</v>
          </cell>
          <cell r="B203" t="str">
            <v>01 - Consumo de Energía/Gas</v>
          </cell>
        </row>
        <row r="204">
          <cell r="A204" t="str">
            <v>6065</v>
          </cell>
          <cell r="B204" t="str">
            <v>01 - Consumo de Energía/Gas</v>
          </cell>
        </row>
        <row r="205">
          <cell r="A205" t="str">
            <v>6065</v>
          </cell>
          <cell r="B205" t="str">
            <v>01 - Consumo de Energía/Gas</v>
          </cell>
        </row>
        <row r="206">
          <cell r="A206" t="str">
            <v>6065</v>
          </cell>
          <cell r="B206" t="str">
            <v>01 - Consumo de Energía/Gas</v>
          </cell>
        </row>
        <row r="207">
          <cell r="A207" t="str">
            <v>6065</v>
          </cell>
          <cell r="B207" t="str">
            <v>01 - Consumo de Energía/Gas</v>
          </cell>
        </row>
        <row r="208">
          <cell r="A208" t="str">
            <v>6065</v>
          </cell>
          <cell r="B208" t="str">
            <v>01 - Consumo de Energía/Gas</v>
          </cell>
        </row>
        <row r="209">
          <cell r="A209" t="str">
            <v>6065</v>
          </cell>
          <cell r="B209" t="str">
            <v>01 - Consumo de Energía/Gas</v>
          </cell>
        </row>
        <row r="210">
          <cell r="A210" t="str">
            <v>6065</v>
          </cell>
          <cell r="B210" t="str">
            <v>01 - Consumo de Energía/Gas</v>
          </cell>
        </row>
        <row r="211">
          <cell r="A211" t="str">
            <v>6065</v>
          </cell>
          <cell r="B211" t="str">
            <v>01 - Consumo de Energía/Gas</v>
          </cell>
        </row>
        <row r="212">
          <cell r="A212" t="str">
            <v>6065</v>
          </cell>
          <cell r="B212" t="str">
            <v>01 - Consumo de Energía/Gas</v>
          </cell>
        </row>
        <row r="213">
          <cell r="A213" t="str">
            <v>6065</v>
          </cell>
          <cell r="B213" t="str">
            <v>01 - Consumo de Energía/Gas</v>
          </cell>
        </row>
        <row r="214">
          <cell r="A214" t="str">
            <v>6065</v>
          </cell>
          <cell r="B214" t="str">
            <v>01 - Consumo de Energía/Gas</v>
          </cell>
        </row>
        <row r="215">
          <cell r="A215" t="str">
            <v>6065</v>
          </cell>
          <cell r="B215" t="str">
            <v>01 - Consumo de Energía/Gas</v>
          </cell>
        </row>
        <row r="216">
          <cell r="A216" t="str">
            <v>6065</v>
          </cell>
          <cell r="B216" t="str">
            <v>01 - Consumo de Energía/Gas</v>
          </cell>
        </row>
        <row r="217">
          <cell r="A217" t="str">
            <v>6066</v>
          </cell>
          <cell r="B217" t="str">
            <v>01 - Consumo de Energía/Gas</v>
          </cell>
        </row>
        <row r="218">
          <cell r="A218" t="str">
            <v>6066</v>
          </cell>
          <cell r="B218" t="str">
            <v>01 - Consumo de Energía/Gas</v>
          </cell>
        </row>
        <row r="219">
          <cell r="A219" t="str">
            <v>6066</v>
          </cell>
          <cell r="B219" t="str">
            <v>01 - Consumo de Energía/Gas</v>
          </cell>
        </row>
        <row r="220">
          <cell r="A220" t="str">
            <v>6066</v>
          </cell>
          <cell r="B220" t="str">
            <v>01 - Consumo de Energía/Gas</v>
          </cell>
        </row>
        <row r="221">
          <cell r="A221" t="str">
            <v>6068</v>
          </cell>
          <cell r="B221" t="str">
            <v>07 - Otros Materiales</v>
          </cell>
        </row>
        <row r="222">
          <cell r="A222" t="str">
            <v>6070</v>
          </cell>
          <cell r="B222" t="str">
            <v>07 - Otros Materiales</v>
          </cell>
        </row>
        <row r="223">
          <cell r="A223" t="str">
            <v>6070</v>
          </cell>
          <cell r="B223" t="str">
            <v>07 - Otros Materiales</v>
          </cell>
        </row>
        <row r="224">
          <cell r="A224" t="str">
            <v>6070</v>
          </cell>
          <cell r="B224" t="str">
            <v>07 - Otros Materiales</v>
          </cell>
        </row>
        <row r="225">
          <cell r="A225" t="str">
            <v>6122</v>
          </cell>
          <cell r="B225" t="str">
            <v>07 - Otros Materiales</v>
          </cell>
        </row>
        <row r="226">
          <cell r="A226" t="str">
            <v>6122</v>
          </cell>
          <cell r="B226" t="str">
            <v>07 - Otros Materiales</v>
          </cell>
        </row>
        <row r="227">
          <cell r="A227" t="str">
            <v>6122</v>
          </cell>
          <cell r="B227" t="str">
            <v>07 - Otros Materiales</v>
          </cell>
        </row>
        <row r="228">
          <cell r="A228" t="str">
            <v>6122</v>
          </cell>
          <cell r="B228" t="str">
            <v>07 - Otros Materiales</v>
          </cell>
        </row>
        <row r="229">
          <cell r="A229" t="str">
            <v>6122</v>
          </cell>
          <cell r="B229" t="str">
            <v>07 - Otros Materiales</v>
          </cell>
        </row>
        <row r="230">
          <cell r="A230" t="str">
            <v>6124</v>
          </cell>
          <cell r="B230" t="str">
            <v>07 - Otros Materiales</v>
          </cell>
        </row>
        <row r="231">
          <cell r="A231" t="str">
            <v>6124</v>
          </cell>
          <cell r="B231" t="str">
            <v>07 - Otros Materiales</v>
          </cell>
        </row>
        <row r="232">
          <cell r="A232" t="str">
            <v>6124</v>
          </cell>
          <cell r="B232" t="str">
            <v>07 - Otros Materiales</v>
          </cell>
        </row>
        <row r="233">
          <cell r="A233" t="str">
            <v>6125</v>
          </cell>
          <cell r="B233" t="str">
            <v>07 - Otros Materiales</v>
          </cell>
        </row>
        <row r="234">
          <cell r="A234" t="str">
            <v>6125</v>
          </cell>
          <cell r="B234" t="str">
            <v>07 - Otros Materiales</v>
          </cell>
        </row>
        <row r="235">
          <cell r="A235" t="str">
            <v>6126</v>
          </cell>
          <cell r="B235" t="str">
            <v>07 - Otros Materiales</v>
          </cell>
        </row>
        <row r="236">
          <cell r="A236" t="str">
            <v>6126</v>
          </cell>
          <cell r="B236" t="str">
            <v>07 - Otros Materiales</v>
          </cell>
        </row>
        <row r="237">
          <cell r="A237" t="str">
            <v>6127</v>
          </cell>
          <cell r="B237" t="str">
            <v>07 - Otros Materiales</v>
          </cell>
        </row>
        <row r="238">
          <cell r="A238" t="str">
            <v>6128</v>
          </cell>
          <cell r="B238" t="str">
            <v>07 - Otros Materiales</v>
          </cell>
        </row>
        <row r="239">
          <cell r="A239" t="str">
            <v>6128</v>
          </cell>
          <cell r="B239" t="str">
            <v>07 - Otros Materiales</v>
          </cell>
        </row>
        <row r="240">
          <cell r="A240" t="str">
            <v>6129</v>
          </cell>
          <cell r="B240" t="str">
            <v>07 - Otros Materiales</v>
          </cell>
        </row>
        <row r="241">
          <cell r="A241" t="str">
            <v>6129</v>
          </cell>
          <cell r="B241" t="str">
            <v>07 - Otros Materiales</v>
          </cell>
        </row>
        <row r="242">
          <cell r="A242" t="str">
            <v>6129</v>
          </cell>
          <cell r="B242" t="str">
            <v>07 - Otros Materiales</v>
          </cell>
        </row>
        <row r="243">
          <cell r="A243" t="str">
            <v>6129</v>
          </cell>
          <cell r="B243" t="str">
            <v>07 - Otros Materiales</v>
          </cell>
        </row>
        <row r="244">
          <cell r="A244" t="str">
            <v>6129</v>
          </cell>
          <cell r="B244" t="str">
            <v>07 - Otros Materiales</v>
          </cell>
        </row>
        <row r="245">
          <cell r="A245" t="str">
            <v>6129</v>
          </cell>
          <cell r="B245" t="str">
            <v>07 - Otros Materiales</v>
          </cell>
        </row>
        <row r="246">
          <cell r="A246" t="str">
            <v>6129</v>
          </cell>
          <cell r="B246" t="str">
            <v>07 - Otros Materiales</v>
          </cell>
        </row>
        <row r="247">
          <cell r="A247" t="str">
            <v>6129</v>
          </cell>
          <cell r="B247" t="str">
            <v>07 - Otros Materiales</v>
          </cell>
        </row>
        <row r="248">
          <cell r="A248" t="str">
            <v>6129</v>
          </cell>
          <cell r="B248" t="str">
            <v>07 - Otros Materiales</v>
          </cell>
        </row>
        <row r="249">
          <cell r="A249" t="str">
            <v>6129</v>
          </cell>
          <cell r="B249" t="str">
            <v>07 - Otros Materiales</v>
          </cell>
        </row>
        <row r="250">
          <cell r="A250" t="str">
            <v>6130</v>
          </cell>
          <cell r="B250" t="str">
            <v>07 - Otros Materiales</v>
          </cell>
        </row>
        <row r="251">
          <cell r="A251" t="str">
            <v>6130</v>
          </cell>
          <cell r="B251" t="str">
            <v>07 - Otros Materiales</v>
          </cell>
        </row>
        <row r="252">
          <cell r="A252" t="str">
            <v>6130</v>
          </cell>
          <cell r="B252" t="str">
            <v>07 - Otros Materiales</v>
          </cell>
        </row>
        <row r="253">
          <cell r="A253" t="str">
            <v>6130</v>
          </cell>
          <cell r="B253" t="str">
            <v>07 - Otros Materiales</v>
          </cell>
        </row>
        <row r="254">
          <cell r="A254" t="str">
            <v>6130</v>
          </cell>
          <cell r="B254" t="str">
            <v>07 - Otros Materiales</v>
          </cell>
        </row>
        <row r="255">
          <cell r="A255" t="str">
            <v>6130</v>
          </cell>
          <cell r="B255" t="str">
            <v>07 - Otros Materiales</v>
          </cell>
        </row>
        <row r="256">
          <cell r="A256" t="str">
            <v>6130</v>
          </cell>
          <cell r="B256" t="str">
            <v>07 - Otros Materiales</v>
          </cell>
        </row>
        <row r="257">
          <cell r="A257" t="str">
            <v>6130</v>
          </cell>
          <cell r="B257" t="str">
            <v>07 - Otros Materiales</v>
          </cell>
        </row>
        <row r="258">
          <cell r="A258" t="str">
            <v>6131</v>
          </cell>
          <cell r="B258" t="str">
            <v>07 - Otros Materiales</v>
          </cell>
        </row>
        <row r="259">
          <cell r="A259" t="str">
            <v>6131</v>
          </cell>
          <cell r="B259" t="str">
            <v>07 - Otros Materiales</v>
          </cell>
        </row>
        <row r="260">
          <cell r="A260" t="str">
            <v>6131.001</v>
          </cell>
          <cell r="B260" t="str">
            <v>07 - Otros Materiales</v>
          </cell>
        </row>
        <row r="261">
          <cell r="A261" t="str">
            <v>6131.001</v>
          </cell>
          <cell r="B261" t="str">
            <v>07 - Otros Materiales</v>
          </cell>
        </row>
        <row r="262">
          <cell r="A262" t="str">
            <v>6131.001</v>
          </cell>
          <cell r="B262" t="str">
            <v>07 - Otros Materiales</v>
          </cell>
        </row>
        <row r="263">
          <cell r="A263" t="str">
            <v>6131.001</v>
          </cell>
          <cell r="B263" t="str">
            <v>07 - Otros Materiales</v>
          </cell>
        </row>
        <row r="264">
          <cell r="A264" t="str">
            <v>6132</v>
          </cell>
          <cell r="B264" t="str">
            <v>07 - Otros Materiales</v>
          </cell>
        </row>
        <row r="265">
          <cell r="A265" t="str">
            <v>6132</v>
          </cell>
          <cell r="B265" t="str">
            <v>07 - Otros Materiales</v>
          </cell>
        </row>
        <row r="266">
          <cell r="A266" t="str">
            <v>6132</v>
          </cell>
          <cell r="B266" t="str">
            <v>07 - Otros Materiales</v>
          </cell>
        </row>
        <row r="267">
          <cell r="A267" t="str">
            <v>6133</v>
          </cell>
          <cell r="B267" t="str">
            <v>07 - Otros Materiales</v>
          </cell>
        </row>
        <row r="268">
          <cell r="A268" t="str">
            <v>6133</v>
          </cell>
          <cell r="B268" t="str">
            <v>07 - Otros Materiales</v>
          </cell>
        </row>
        <row r="269">
          <cell r="A269" t="str">
            <v>6133</v>
          </cell>
          <cell r="B269" t="str">
            <v>07 - Otros Materiales</v>
          </cell>
        </row>
        <row r="270">
          <cell r="A270" t="str">
            <v>6133.001</v>
          </cell>
          <cell r="B270" t="str">
            <v>07 - Otros Materiales</v>
          </cell>
        </row>
        <row r="271">
          <cell r="A271" t="str">
            <v>6135</v>
          </cell>
          <cell r="B271" t="str">
            <v>07 - Otros Materiales</v>
          </cell>
        </row>
        <row r="272">
          <cell r="A272" t="str">
            <v>6135</v>
          </cell>
          <cell r="B272" t="str">
            <v>07 - Otros Materiales</v>
          </cell>
        </row>
        <row r="273">
          <cell r="A273" t="str">
            <v>6135</v>
          </cell>
          <cell r="B273" t="str">
            <v>07 - Otros Materiales</v>
          </cell>
        </row>
        <row r="274">
          <cell r="A274" t="str">
            <v>6135</v>
          </cell>
          <cell r="B274" t="str">
            <v>07 - Otros Materiales</v>
          </cell>
        </row>
        <row r="275">
          <cell r="A275" t="str">
            <v>6135</v>
          </cell>
          <cell r="B275" t="str">
            <v>07 - Otros Materiales</v>
          </cell>
        </row>
        <row r="276">
          <cell r="A276" t="str">
            <v>6135.001</v>
          </cell>
          <cell r="B276" t="str">
            <v>07 - Otros Materiales</v>
          </cell>
        </row>
        <row r="277">
          <cell r="A277" t="str">
            <v>6136</v>
          </cell>
          <cell r="B277" t="str">
            <v>07 - Otros Materiales</v>
          </cell>
        </row>
        <row r="278">
          <cell r="A278" t="str">
            <v>6136</v>
          </cell>
          <cell r="B278" t="str">
            <v>07 - Otros Materiales</v>
          </cell>
        </row>
        <row r="279">
          <cell r="A279" t="str">
            <v>6136</v>
          </cell>
          <cell r="B279" t="str">
            <v>07 - Otros Materiales</v>
          </cell>
        </row>
        <row r="280">
          <cell r="A280" t="str">
            <v>6136.001</v>
          </cell>
          <cell r="B280" t="str">
            <v>07 - Otros Materiales</v>
          </cell>
        </row>
        <row r="281">
          <cell r="A281" t="str">
            <v>6136.001</v>
          </cell>
          <cell r="B281" t="str">
            <v>07 - Otros Materiales</v>
          </cell>
        </row>
        <row r="282">
          <cell r="A282" t="str">
            <v>6137</v>
          </cell>
          <cell r="B282" t="str">
            <v>07 - Otros Materiales</v>
          </cell>
        </row>
        <row r="283">
          <cell r="A283" t="str">
            <v>6137</v>
          </cell>
          <cell r="B283" t="str">
            <v>07 - Otros Materiales</v>
          </cell>
        </row>
        <row r="284">
          <cell r="A284" t="str">
            <v>6138</v>
          </cell>
          <cell r="B284" t="str">
            <v>07 - Otros Materiales</v>
          </cell>
        </row>
        <row r="285">
          <cell r="A285" t="str">
            <v>6138</v>
          </cell>
          <cell r="B285" t="str">
            <v>07 - Otros Materiales</v>
          </cell>
        </row>
        <row r="286">
          <cell r="A286" t="str">
            <v>6138.001</v>
          </cell>
          <cell r="B286" t="str">
            <v>07 - Otros Materiales</v>
          </cell>
        </row>
        <row r="287">
          <cell r="A287" t="str">
            <v>6141</v>
          </cell>
          <cell r="B287" t="str">
            <v>07 - Otros Materiales</v>
          </cell>
        </row>
        <row r="288">
          <cell r="A288" t="str">
            <v>6141</v>
          </cell>
          <cell r="B288" t="str">
            <v>07 - Otros Materiales</v>
          </cell>
        </row>
        <row r="289">
          <cell r="A289" t="str">
            <v>6141</v>
          </cell>
          <cell r="B289" t="str">
            <v>07 - Otros Materiales</v>
          </cell>
        </row>
        <row r="290">
          <cell r="A290" t="str">
            <v>6142</v>
          </cell>
          <cell r="B290" t="str">
            <v>07 - Otros Materiales</v>
          </cell>
        </row>
        <row r="291">
          <cell r="A291" t="str">
            <v>6142</v>
          </cell>
          <cell r="B291" t="str">
            <v>07 - Otros Materiales</v>
          </cell>
        </row>
        <row r="292">
          <cell r="A292" t="str">
            <v>6142</v>
          </cell>
          <cell r="B292" t="str">
            <v>07 - Otros Materiales</v>
          </cell>
        </row>
        <row r="293">
          <cell r="A293" t="str">
            <v>6142</v>
          </cell>
          <cell r="B293" t="str">
            <v>07 - Otros Materiales</v>
          </cell>
        </row>
        <row r="294">
          <cell r="A294" t="str">
            <v>6143</v>
          </cell>
          <cell r="B294" t="str">
            <v>11 - Otros Gastos</v>
          </cell>
        </row>
        <row r="295">
          <cell r="A295" t="str">
            <v>6144</v>
          </cell>
          <cell r="B295" t="str">
            <v>07 - Otros Materiales</v>
          </cell>
        </row>
        <row r="296">
          <cell r="A296" t="str">
            <v>6145</v>
          </cell>
          <cell r="B296" t="str">
            <v>07 - Otros Materiales</v>
          </cell>
        </row>
        <row r="297">
          <cell r="A297" t="str">
            <v>6145</v>
          </cell>
          <cell r="B297" t="str">
            <v>07 - Otros Materiales</v>
          </cell>
        </row>
        <row r="298">
          <cell r="A298" t="str">
            <v>6145</v>
          </cell>
          <cell r="B298" t="str">
            <v>07 - Otros Materiales</v>
          </cell>
        </row>
        <row r="299">
          <cell r="A299" t="str">
            <v>6145</v>
          </cell>
          <cell r="B299" t="str">
            <v>07 - Otros Materiales</v>
          </cell>
        </row>
        <row r="300">
          <cell r="A300" t="str">
            <v>6145</v>
          </cell>
          <cell r="B300" t="str">
            <v>07 - Otros Materiales</v>
          </cell>
        </row>
        <row r="301">
          <cell r="A301" t="str">
            <v>6145</v>
          </cell>
          <cell r="B301" t="str">
            <v>07 - Otros Materiales</v>
          </cell>
        </row>
        <row r="302">
          <cell r="A302" t="str">
            <v>6145</v>
          </cell>
          <cell r="B302" t="str">
            <v>07 - Otros Materiales</v>
          </cell>
        </row>
        <row r="303">
          <cell r="A303" t="str">
            <v>6149.001</v>
          </cell>
          <cell r="B303" t="str">
            <v>05 - Productos Químicos</v>
          </cell>
        </row>
        <row r="304">
          <cell r="A304" t="str">
            <v>6149.001</v>
          </cell>
          <cell r="B304" t="str">
            <v>05 - Productos Químicos</v>
          </cell>
        </row>
        <row r="305">
          <cell r="A305" t="str">
            <v>6149.001</v>
          </cell>
          <cell r="B305" t="str">
            <v>05 - Productos Químicos</v>
          </cell>
        </row>
        <row r="306">
          <cell r="A306" t="str">
            <v>6149.001</v>
          </cell>
          <cell r="B306" t="str">
            <v>05 - Productos Químicos</v>
          </cell>
        </row>
        <row r="307">
          <cell r="A307" t="str">
            <v>6149.001</v>
          </cell>
          <cell r="B307" t="str">
            <v>05 - Productos Químicos</v>
          </cell>
        </row>
        <row r="308">
          <cell r="A308" t="str">
            <v>6150</v>
          </cell>
          <cell r="B308" t="str">
            <v>05 - Productos Químicos</v>
          </cell>
        </row>
        <row r="309">
          <cell r="A309" t="str">
            <v>6150</v>
          </cell>
          <cell r="B309" t="str">
            <v>05 - Productos Químicos</v>
          </cell>
        </row>
        <row r="310">
          <cell r="A310" t="str">
            <v>6150.001</v>
          </cell>
          <cell r="B310" t="str">
            <v>05 - Productos Químicos</v>
          </cell>
        </row>
        <row r="311">
          <cell r="A311" t="str">
            <v>6150.001</v>
          </cell>
          <cell r="B311" t="str">
            <v>05 - Productos Químicos</v>
          </cell>
        </row>
        <row r="312">
          <cell r="A312" t="str">
            <v>6150.001</v>
          </cell>
          <cell r="B312" t="str">
            <v>05 - Productos Químicos</v>
          </cell>
        </row>
        <row r="313">
          <cell r="A313" t="str">
            <v>6151</v>
          </cell>
          <cell r="B313" t="str">
            <v>05 - Productos Químicos</v>
          </cell>
        </row>
        <row r="314">
          <cell r="A314" t="str">
            <v>6151</v>
          </cell>
          <cell r="B314" t="str">
            <v>05 - Productos Químicos</v>
          </cell>
        </row>
        <row r="315">
          <cell r="A315" t="str">
            <v>6151.001</v>
          </cell>
          <cell r="B315" t="str">
            <v>05 - Productos Químicos</v>
          </cell>
        </row>
        <row r="316">
          <cell r="A316" t="str">
            <v>6155</v>
          </cell>
          <cell r="B316" t="str">
            <v>07 - Otros Materiales</v>
          </cell>
        </row>
        <row r="317">
          <cell r="A317" t="str">
            <v>6156</v>
          </cell>
          <cell r="B317" t="str">
            <v>04 - Sueldos y Cargas Sociales</v>
          </cell>
        </row>
        <row r="318">
          <cell r="A318" t="str">
            <v>6156</v>
          </cell>
          <cell r="B318" t="str">
            <v>04 - Sueldos y Cargas Sociales</v>
          </cell>
        </row>
        <row r="319">
          <cell r="A319" t="str">
            <v>6156</v>
          </cell>
          <cell r="B319" t="str">
            <v>04 - Sueldos y Cargas Sociales</v>
          </cell>
        </row>
        <row r="320">
          <cell r="A320" t="str">
            <v>6156</v>
          </cell>
          <cell r="B320" t="str">
            <v>04 - Sueldos y Cargas Sociales</v>
          </cell>
        </row>
        <row r="321">
          <cell r="A321" t="str">
            <v>6156</v>
          </cell>
          <cell r="B321" t="str">
            <v>04 - Sueldos y Cargas Sociales</v>
          </cell>
        </row>
        <row r="322">
          <cell r="A322" t="str">
            <v>6156</v>
          </cell>
          <cell r="B322" t="str">
            <v>04 - Sueldos y Cargas Sociales</v>
          </cell>
        </row>
        <row r="323">
          <cell r="A323" t="str">
            <v>6156</v>
          </cell>
          <cell r="B323" t="str">
            <v>04 - Sueldos y Cargas Sociales</v>
          </cell>
        </row>
        <row r="324">
          <cell r="A324" t="str">
            <v>6156</v>
          </cell>
          <cell r="B324" t="str">
            <v>04 - Sueldos y Cargas Sociales</v>
          </cell>
        </row>
        <row r="325">
          <cell r="A325" t="str">
            <v>6157</v>
          </cell>
          <cell r="B325" t="str">
            <v>07 - Otros Materiales</v>
          </cell>
        </row>
        <row r="326">
          <cell r="A326" t="str">
            <v>6157</v>
          </cell>
          <cell r="B326" t="str">
            <v>07 - Otros Materiales</v>
          </cell>
        </row>
        <row r="327">
          <cell r="A327" t="str">
            <v>6157</v>
          </cell>
          <cell r="B327" t="str">
            <v>07 - Otros Materiales</v>
          </cell>
        </row>
        <row r="328">
          <cell r="A328" t="str">
            <v>6157</v>
          </cell>
          <cell r="B328" t="str">
            <v>07 - Otros Materiales</v>
          </cell>
        </row>
        <row r="329">
          <cell r="A329" t="str">
            <v>6157.001</v>
          </cell>
          <cell r="B329" t="str">
            <v>07 - Otros Materiales</v>
          </cell>
        </row>
        <row r="330">
          <cell r="A330" t="str">
            <v>6161</v>
          </cell>
          <cell r="B330" t="str">
            <v>07 - Otros Materiales</v>
          </cell>
        </row>
        <row r="331">
          <cell r="A331" t="str">
            <v>6161</v>
          </cell>
          <cell r="B331" t="str">
            <v>07 - Otros Materiales</v>
          </cell>
        </row>
        <row r="332">
          <cell r="A332" t="str">
            <v>6161</v>
          </cell>
          <cell r="B332" t="str">
            <v>07 - Otros Materiales</v>
          </cell>
        </row>
        <row r="333">
          <cell r="A333" t="str">
            <v>6161</v>
          </cell>
          <cell r="B333" t="str">
            <v>07 - Otros Materiales</v>
          </cell>
        </row>
        <row r="334">
          <cell r="A334" t="str">
            <v>6161</v>
          </cell>
          <cell r="B334" t="str">
            <v>07 - Otros Materiales</v>
          </cell>
        </row>
        <row r="335">
          <cell r="A335" t="str">
            <v>6162</v>
          </cell>
          <cell r="B335" t="str">
            <v>07 - Otros Materiales</v>
          </cell>
        </row>
        <row r="336">
          <cell r="A336" t="str">
            <v>6163.001</v>
          </cell>
          <cell r="B336" t="str">
            <v>07 - Otros Materiales</v>
          </cell>
        </row>
        <row r="337">
          <cell r="A337" t="str">
            <v>6163.001</v>
          </cell>
          <cell r="B337" t="str">
            <v>07 - Otros Materiales</v>
          </cell>
        </row>
        <row r="338">
          <cell r="A338" t="str">
            <v>6163.001</v>
          </cell>
          <cell r="B338" t="str">
            <v>07 - Otros Materiales</v>
          </cell>
        </row>
        <row r="339">
          <cell r="A339" t="str">
            <v>6163.001</v>
          </cell>
          <cell r="B339" t="str">
            <v>07 - Otros Materiales</v>
          </cell>
        </row>
        <row r="340">
          <cell r="A340" t="str">
            <v>6244</v>
          </cell>
          <cell r="B340" t="str">
            <v>07 - Otros Materiales</v>
          </cell>
        </row>
        <row r="341">
          <cell r="A341" t="str">
            <v>6244</v>
          </cell>
          <cell r="B341" t="str">
            <v>07 - Otros Materiales</v>
          </cell>
        </row>
        <row r="342">
          <cell r="A342" t="str">
            <v>6244</v>
          </cell>
          <cell r="B342" t="str">
            <v>07 - Otros Materiales</v>
          </cell>
        </row>
        <row r="343">
          <cell r="A343" t="str">
            <v>6244</v>
          </cell>
          <cell r="B343" t="str">
            <v>07 - Otros Materiales</v>
          </cell>
        </row>
        <row r="344">
          <cell r="A344" t="str">
            <v>6244</v>
          </cell>
          <cell r="B344" t="str">
            <v>07 - Otros Materiales</v>
          </cell>
        </row>
        <row r="345">
          <cell r="A345" t="str">
            <v>6244</v>
          </cell>
          <cell r="B345" t="str">
            <v>07 - Otros Materiales</v>
          </cell>
        </row>
        <row r="346">
          <cell r="A346" t="str">
            <v>6244</v>
          </cell>
          <cell r="B346" t="str">
            <v>07 - Otros Materiales</v>
          </cell>
        </row>
        <row r="347">
          <cell r="A347" t="str">
            <v>6244</v>
          </cell>
          <cell r="B347" t="str">
            <v>07 - Otros Materiales</v>
          </cell>
        </row>
        <row r="348">
          <cell r="A348" t="str">
            <v>6244</v>
          </cell>
          <cell r="B348" t="str">
            <v>07 - Otros Materiales</v>
          </cell>
        </row>
        <row r="349">
          <cell r="A349" t="str">
            <v>6244</v>
          </cell>
          <cell r="B349" t="str">
            <v>07 - Otros Materiales</v>
          </cell>
        </row>
        <row r="350">
          <cell r="A350" t="str">
            <v>6244</v>
          </cell>
          <cell r="B350" t="str">
            <v>07 - Otros Materiales</v>
          </cell>
        </row>
        <row r="351">
          <cell r="A351" t="str">
            <v>6249</v>
          </cell>
          <cell r="B351" t="str">
            <v>07 - Otros Materiales</v>
          </cell>
        </row>
        <row r="352">
          <cell r="A352" t="str">
            <v>6285.001</v>
          </cell>
          <cell r="B352" t="str">
            <v>05 - Productos Químicos</v>
          </cell>
        </row>
        <row r="353">
          <cell r="A353" t="str">
            <v>6285.001</v>
          </cell>
          <cell r="B353" t="str">
            <v>05 - Productos Químicos</v>
          </cell>
        </row>
        <row r="354">
          <cell r="A354" t="str">
            <v>6285.001</v>
          </cell>
          <cell r="B354" t="str">
            <v>05 - Productos Químicos</v>
          </cell>
        </row>
        <row r="355">
          <cell r="A355" t="str">
            <v>6405</v>
          </cell>
          <cell r="B355" t="str">
            <v>11 - Otros Gastos</v>
          </cell>
        </row>
        <row r="356">
          <cell r="A356" t="str">
            <v>6406</v>
          </cell>
          <cell r="B356" t="str">
            <v>11 - Otros Gastos</v>
          </cell>
        </row>
        <row r="357">
          <cell r="A357" t="str">
            <v>6407</v>
          </cell>
          <cell r="B357" t="str">
            <v>11 - Otros Gastos</v>
          </cell>
        </row>
        <row r="358">
          <cell r="A358" t="str">
            <v>6407</v>
          </cell>
          <cell r="B358" t="str">
            <v>11 - Otros Gastos</v>
          </cell>
        </row>
        <row r="359">
          <cell r="A359" t="str">
            <v>6407</v>
          </cell>
          <cell r="B359" t="str">
            <v>11 - Otros Gastos</v>
          </cell>
        </row>
        <row r="360">
          <cell r="A360" t="str">
            <v>6409</v>
          </cell>
          <cell r="B360" t="str">
            <v>11 - Otros Gastos</v>
          </cell>
        </row>
        <row r="361">
          <cell r="A361" t="str">
            <v>6412</v>
          </cell>
          <cell r="B361" t="str">
            <v>11 - Otros Gastos</v>
          </cell>
        </row>
        <row r="362">
          <cell r="A362" t="str">
            <v>6441</v>
          </cell>
          <cell r="B362" t="str">
            <v>11 - Otros Gastos</v>
          </cell>
        </row>
        <row r="363">
          <cell r="A363" t="str">
            <v>6492</v>
          </cell>
          <cell r="B363" t="str">
            <v>11 - Otros Gastos</v>
          </cell>
        </row>
        <row r="364">
          <cell r="A364" t="str">
            <v>6541</v>
          </cell>
          <cell r="B364" t="str">
            <v>11 - Otros Gastos</v>
          </cell>
        </row>
        <row r="365">
          <cell r="A365" t="str">
            <v>6543</v>
          </cell>
          <cell r="B365" t="str">
            <v>11 - Otros Gastos</v>
          </cell>
        </row>
        <row r="366">
          <cell r="A366" t="str">
            <v>6543</v>
          </cell>
          <cell r="B366" t="str">
            <v>11 - Otros Gastos</v>
          </cell>
        </row>
        <row r="367">
          <cell r="A367" t="str">
            <v>6543</v>
          </cell>
          <cell r="B367" t="str">
            <v>04 - Sueldos y Cargas Sociales</v>
          </cell>
        </row>
        <row r="368">
          <cell r="A368" t="str">
            <v>6543</v>
          </cell>
          <cell r="B368" t="str">
            <v>04 - Sueldos y Cargas Sociales</v>
          </cell>
        </row>
        <row r="369">
          <cell r="A369" t="str">
            <v>6543</v>
          </cell>
          <cell r="B369" t="str">
            <v>11 - Otros Gastos</v>
          </cell>
        </row>
        <row r="370">
          <cell r="A370" t="str">
            <v>6545</v>
          </cell>
          <cell r="B370" t="str">
            <v>11 - Otros Gastos</v>
          </cell>
        </row>
        <row r="371">
          <cell r="A371" t="str">
            <v>6545</v>
          </cell>
          <cell r="B371" t="str">
            <v>11 - Otros Gastos</v>
          </cell>
        </row>
        <row r="372">
          <cell r="A372" t="str">
            <v>6545</v>
          </cell>
          <cell r="B372" t="str">
            <v>11 - Otros Gastos</v>
          </cell>
        </row>
        <row r="373">
          <cell r="A373" t="str">
            <v>6545</v>
          </cell>
          <cell r="B373" t="str">
            <v>11 - Otros Gastos</v>
          </cell>
        </row>
        <row r="374">
          <cell r="A374" t="str">
            <v>6545</v>
          </cell>
          <cell r="B374" t="str">
            <v>11 - Otros Gastos</v>
          </cell>
        </row>
        <row r="375">
          <cell r="A375" t="str">
            <v>6545</v>
          </cell>
          <cell r="B375" t="str">
            <v>11 - Otros Gastos</v>
          </cell>
        </row>
        <row r="376">
          <cell r="A376" t="str">
            <v>6545</v>
          </cell>
          <cell r="B376" t="str">
            <v>11 - Otros Gastos</v>
          </cell>
        </row>
        <row r="377">
          <cell r="A377" t="str">
            <v>6545</v>
          </cell>
          <cell r="B377" t="str">
            <v>11 - Otros Gastos</v>
          </cell>
        </row>
        <row r="378">
          <cell r="A378" t="str">
            <v>6546</v>
          </cell>
          <cell r="B378" t="str">
            <v>03 - Contratos Especiales</v>
          </cell>
        </row>
        <row r="379">
          <cell r="A379" t="str">
            <v>6546</v>
          </cell>
          <cell r="B379" t="str">
            <v>03 - Contratos Especiales</v>
          </cell>
        </row>
        <row r="380">
          <cell r="A380" t="str">
            <v>6546</v>
          </cell>
          <cell r="B380" t="str">
            <v>03 - Contratos Especiales</v>
          </cell>
        </row>
        <row r="381">
          <cell r="A381" t="str">
            <v>6546</v>
          </cell>
          <cell r="B381" t="str">
            <v>03 - Contratos Especiales</v>
          </cell>
        </row>
        <row r="382">
          <cell r="A382" t="str">
            <v>6546</v>
          </cell>
          <cell r="B382" t="str">
            <v>03 - Contratos Especiales</v>
          </cell>
        </row>
        <row r="383">
          <cell r="A383" t="str">
            <v>6546</v>
          </cell>
          <cell r="B383" t="str">
            <v>03 - Contratos Especiales</v>
          </cell>
        </row>
        <row r="384">
          <cell r="A384" t="str">
            <v>6546</v>
          </cell>
          <cell r="B384" t="str">
            <v>03 - Contratos Especiales</v>
          </cell>
        </row>
        <row r="385">
          <cell r="A385" t="str">
            <v>6546</v>
          </cell>
          <cell r="B385" t="str">
            <v>03 - Contratos Especiales</v>
          </cell>
        </row>
        <row r="386">
          <cell r="A386" t="str">
            <v>6546</v>
          </cell>
          <cell r="B386" t="str">
            <v>03 - Contratos Especiales</v>
          </cell>
        </row>
        <row r="387">
          <cell r="A387" t="str">
            <v>6546.001</v>
          </cell>
          <cell r="B387" t="str">
            <v>03 - Contratos Especiales</v>
          </cell>
        </row>
        <row r="388">
          <cell r="A388" t="str">
            <v>6546.001</v>
          </cell>
          <cell r="B388" t="str">
            <v>03 - Contratos Especiales</v>
          </cell>
        </row>
        <row r="389">
          <cell r="A389" t="str">
            <v>6546.001</v>
          </cell>
          <cell r="B389" t="str">
            <v>03 - Contratos Especiales</v>
          </cell>
        </row>
        <row r="390">
          <cell r="A390" t="str">
            <v>6546.001</v>
          </cell>
          <cell r="B390" t="str">
            <v>03 - Contratos Especiales</v>
          </cell>
        </row>
        <row r="391">
          <cell r="A391" t="str">
            <v>6546.001</v>
          </cell>
          <cell r="B391" t="str">
            <v>03 - Contratos Especiales</v>
          </cell>
        </row>
        <row r="392">
          <cell r="A392" t="str">
            <v>6546.002</v>
          </cell>
          <cell r="B392" t="str">
            <v>03 - Contratos Especiales</v>
          </cell>
        </row>
        <row r="393">
          <cell r="A393" t="str">
            <v>6546.002</v>
          </cell>
          <cell r="B393" t="str">
            <v>03 - Contratos Especiales</v>
          </cell>
        </row>
        <row r="394">
          <cell r="A394" t="str">
            <v>6546.002</v>
          </cell>
          <cell r="B394" t="str">
            <v>03 - Contratos Especiales</v>
          </cell>
        </row>
        <row r="395">
          <cell r="A395" t="str">
            <v>6546.002</v>
          </cell>
          <cell r="B395" t="str">
            <v>03 - Contratos Especiales</v>
          </cell>
        </row>
        <row r="396">
          <cell r="A396" t="str">
            <v>6546.002</v>
          </cell>
          <cell r="B396" t="str">
            <v>03 - Contratos Especiales</v>
          </cell>
        </row>
        <row r="397">
          <cell r="A397" t="str">
            <v>6546.003</v>
          </cell>
          <cell r="B397" t="str">
            <v>03 - Contratos Especiales</v>
          </cell>
        </row>
        <row r="398">
          <cell r="A398" t="str">
            <v>6546.003</v>
          </cell>
          <cell r="B398" t="str">
            <v>03 - Contratos Especiales</v>
          </cell>
        </row>
        <row r="399">
          <cell r="A399" t="str">
            <v>6546.004</v>
          </cell>
          <cell r="B399" t="str">
            <v>03 - Contratos Especiales</v>
          </cell>
        </row>
        <row r="400">
          <cell r="A400" t="str">
            <v>6546.004</v>
          </cell>
          <cell r="B400" t="str">
            <v>03 - Contratos Especiales</v>
          </cell>
        </row>
        <row r="401">
          <cell r="A401" t="str">
            <v>6546.004</v>
          </cell>
          <cell r="B401" t="str">
            <v>03 - Contratos Especiales</v>
          </cell>
        </row>
        <row r="402">
          <cell r="A402" t="str">
            <v>6546.004</v>
          </cell>
          <cell r="B402" t="str">
            <v>03 - Contratos Especiales</v>
          </cell>
        </row>
        <row r="403">
          <cell r="A403" t="str">
            <v>6549</v>
          </cell>
          <cell r="B403" t="str">
            <v>11 - Otros Gastos</v>
          </cell>
        </row>
        <row r="404">
          <cell r="A404" t="str">
            <v>6550</v>
          </cell>
          <cell r="B404" t="str">
            <v>02 - Contratistas</v>
          </cell>
        </row>
        <row r="405">
          <cell r="A405" t="str">
            <v>6550</v>
          </cell>
          <cell r="B405" t="str">
            <v>02 - Contratistas</v>
          </cell>
        </row>
        <row r="406">
          <cell r="A406" t="str">
            <v>6550</v>
          </cell>
          <cell r="B406" t="str">
            <v>02 - Contratistas</v>
          </cell>
        </row>
        <row r="407">
          <cell r="A407" t="str">
            <v>6550</v>
          </cell>
          <cell r="B407" t="str">
            <v>02 - Contratistas</v>
          </cell>
        </row>
        <row r="408">
          <cell r="A408" t="str">
            <v>6550</v>
          </cell>
          <cell r="B408" t="str">
            <v>02 - Contratistas</v>
          </cell>
        </row>
        <row r="409">
          <cell r="A409" t="str">
            <v>6550</v>
          </cell>
          <cell r="B409" t="str">
            <v>02 - Contratistas</v>
          </cell>
        </row>
        <row r="410">
          <cell r="A410" t="str">
            <v>6550</v>
          </cell>
          <cell r="B410" t="str">
            <v>02 - Contratistas</v>
          </cell>
        </row>
        <row r="411">
          <cell r="A411" t="str">
            <v>6550</v>
          </cell>
          <cell r="B411" t="str">
            <v>02 - Contratistas</v>
          </cell>
        </row>
        <row r="412">
          <cell r="A412" t="str">
            <v>6550</v>
          </cell>
          <cell r="B412" t="str">
            <v>02 - Contratistas</v>
          </cell>
        </row>
        <row r="413">
          <cell r="A413" t="str">
            <v>6550</v>
          </cell>
          <cell r="B413" t="str">
            <v>02 - Contratistas</v>
          </cell>
        </row>
        <row r="414">
          <cell r="A414" t="str">
            <v>6550</v>
          </cell>
          <cell r="B414" t="str">
            <v>02 - Contratistas</v>
          </cell>
        </row>
        <row r="415">
          <cell r="A415" t="str">
            <v>6551</v>
          </cell>
          <cell r="B415" t="str">
            <v>11 - Otros Gastos</v>
          </cell>
        </row>
        <row r="416">
          <cell r="A416" t="str">
            <v>6551</v>
          </cell>
          <cell r="B416" t="str">
            <v>11 - Otros Gastos</v>
          </cell>
        </row>
        <row r="417">
          <cell r="A417" t="str">
            <v>6551</v>
          </cell>
          <cell r="B417" t="str">
            <v>11 - Otros Gastos</v>
          </cell>
        </row>
        <row r="418">
          <cell r="A418" t="str">
            <v>6551.001</v>
          </cell>
          <cell r="B418" t="str">
            <v>11 - Otros Gastos</v>
          </cell>
        </row>
        <row r="419">
          <cell r="A419" t="str">
            <v>6551.001</v>
          </cell>
          <cell r="B419" t="str">
            <v>11 - Otros Gastos</v>
          </cell>
        </row>
        <row r="420">
          <cell r="A420" t="str">
            <v>6551.001</v>
          </cell>
          <cell r="B420" t="str">
            <v>11 - Otros Gastos</v>
          </cell>
        </row>
        <row r="421">
          <cell r="A421" t="str">
            <v>6551.001</v>
          </cell>
          <cell r="B421" t="str">
            <v>11 - Otros Gastos</v>
          </cell>
        </row>
        <row r="422">
          <cell r="A422" t="str">
            <v>6553</v>
          </cell>
          <cell r="B422" t="str">
            <v>02 - Contratistas</v>
          </cell>
        </row>
        <row r="423">
          <cell r="A423" t="str">
            <v>6553</v>
          </cell>
          <cell r="B423" t="str">
            <v>02 - Contratistas</v>
          </cell>
        </row>
        <row r="424">
          <cell r="A424" t="str">
            <v>6553</v>
          </cell>
          <cell r="B424" t="str">
            <v>02 - Contratistas</v>
          </cell>
        </row>
        <row r="425">
          <cell r="A425" t="str">
            <v>6553</v>
          </cell>
          <cell r="B425" t="str">
            <v>02 - Contratistas</v>
          </cell>
        </row>
        <row r="426">
          <cell r="A426" t="str">
            <v>6553</v>
          </cell>
          <cell r="B426" t="str">
            <v>02 - Contratistas</v>
          </cell>
        </row>
        <row r="427">
          <cell r="A427" t="str">
            <v>6553</v>
          </cell>
          <cell r="B427" t="str">
            <v>02 - Contratistas</v>
          </cell>
        </row>
        <row r="428">
          <cell r="A428" t="str">
            <v>6553</v>
          </cell>
          <cell r="B428" t="str">
            <v>02 - Contratistas</v>
          </cell>
        </row>
        <row r="429">
          <cell r="A429" t="str">
            <v>6553</v>
          </cell>
          <cell r="B429" t="str">
            <v>02 - Contratistas</v>
          </cell>
        </row>
        <row r="430">
          <cell r="A430" t="str">
            <v>6553</v>
          </cell>
          <cell r="B430" t="str">
            <v>02 - Contratistas</v>
          </cell>
        </row>
        <row r="431">
          <cell r="A431" t="str">
            <v>6553</v>
          </cell>
          <cell r="B431" t="str">
            <v>02 - Contratistas</v>
          </cell>
        </row>
        <row r="432">
          <cell r="A432" t="str">
            <v>6553</v>
          </cell>
          <cell r="B432" t="str">
            <v>02 - Contratistas</v>
          </cell>
        </row>
        <row r="433">
          <cell r="A433" t="str">
            <v>6554</v>
          </cell>
          <cell r="B433" t="str">
            <v>02 - Contratistas</v>
          </cell>
        </row>
        <row r="434">
          <cell r="A434" t="str">
            <v>6554</v>
          </cell>
          <cell r="B434" t="str">
            <v>02 - Contratistas</v>
          </cell>
        </row>
        <row r="435">
          <cell r="A435" t="str">
            <v>6554</v>
          </cell>
          <cell r="B435" t="str">
            <v>02 - Contratistas</v>
          </cell>
        </row>
        <row r="436">
          <cell r="A436" t="str">
            <v>6554</v>
          </cell>
          <cell r="B436" t="str">
            <v>02 - Contratistas</v>
          </cell>
        </row>
        <row r="437">
          <cell r="A437" t="str">
            <v>6554</v>
          </cell>
          <cell r="B437" t="str">
            <v>02 - Contratistas</v>
          </cell>
        </row>
        <row r="438">
          <cell r="A438" t="str">
            <v>6554</v>
          </cell>
          <cell r="B438" t="str">
            <v>02 - Contratistas</v>
          </cell>
        </row>
        <row r="439">
          <cell r="A439" t="str">
            <v>6554</v>
          </cell>
          <cell r="B439" t="str">
            <v>02 - Contratistas</v>
          </cell>
        </row>
        <row r="440">
          <cell r="A440" t="str">
            <v>6554</v>
          </cell>
          <cell r="B440" t="str">
            <v>02 - Contratistas</v>
          </cell>
        </row>
        <row r="441">
          <cell r="A441" t="str">
            <v>6554</v>
          </cell>
          <cell r="B441" t="str">
            <v>02 - Contratistas</v>
          </cell>
        </row>
        <row r="442">
          <cell r="A442" t="str">
            <v>6554</v>
          </cell>
          <cell r="B442" t="str">
            <v>02 - Contratistas</v>
          </cell>
        </row>
        <row r="443">
          <cell r="A443" t="str">
            <v>6554</v>
          </cell>
          <cell r="B443" t="str">
            <v>02 - Contratistas</v>
          </cell>
        </row>
        <row r="444">
          <cell r="A444" t="str">
            <v>6554</v>
          </cell>
          <cell r="B444" t="str">
            <v>02 - Contratistas</v>
          </cell>
        </row>
        <row r="445">
          <cell r="A445" t="str">
            <v>6554</v>
          </cell>
          <cell r="B445" t="str">
            <v>02 - Contratistas</v>
          </cell>
        </row>
        <row r="446">
          <cell r="A446" t="str">
            <v>6554</v>
          </cell>
          <cell r="B446" t="str">
            <v>02 - Contratistas</v>
          </cell>
        </row>
        <row r="447">
          <cell r="A447" t="str">
            <v>6554</v>
          </cell>
          <cell r="B447" t="str">
            <v>02 - Contratistas</v>
          </cell>
        </row>
        <row r="448">
          <cell r="A448" t="str">
            <v>6554</v>
          </cell>
          <cell r="B448" t="str">
            <v>02 - Contratistas</v>
          </cell>
        </row>
        <row r="449">
          <cell r="A449" t="str">
            <v>6554</v>
          </cell>
          <cell r="B449" t="str">
            <v>02 - Contratistas</v>
          </cell>
        </row>
        <row r="450">
          <cell r="A450" t="str">
            <v>6554</v>
          </cell>
          <cell r="B450" t="str">
            <v>02 - Contratistas</v>
          </cell>
        </row>
        <row r="451">
          <cell r="A451" t="str">
            <v>6554</v>
          </cell>
          <cell r="B451" t="str">
            <v>02 - Contratistas</v>
          </cell>
        </row>
        <row r="452">
          <cell r="A452" t="str">
            <v>6554</v>
          </cell>
          <cell r="B452" t="str">
            <v>02 - Contratistas</v>
          </cell>
        </row>
        <row r="453">
          <cell r="A453" t="str">
            <v>6554</v>
          </cell>
          <cell r="B453" t="str">
            <v>02 - Contratistas</v>
          </cell>
        </row>
        <row r="454">
          <cell r="A454" t="str">
            <v>6554</v>
          </cell>
          <cell r="B454" t="str">
            <v>02 - Contratistas</v>
          </cell>
        </row>
        <row r="455">
          <cell r="A455" t="str">
            <v>6554</v>
          </cell>
          <cell r="B455" t="str">
            <v>02 - Contratistas</v>
          </cell>
        </row>
        <row r="456">
          <cell r="A456" t="str">
            <v>6554</v>
          </cell>
          <cell r="B456" t="str">
            <v>02 - Contratistas</v>
          </cell>
        </row>
        <row r="457">
          <cell r="A457" t="str">
            <v>6555</v>
          </cell>
          <cell r="B457" t="str">
            <v>02 - Contratistas</v>
          </cell>
        </row>
        <row r="458">
          <cell r="A458" t="str">
            <v>6555</v>
          </cell>
          <cell r="B458" t="str">
            <v>02 - Contratistas</v>
          </cell>
        </row>
        <row r="459">
          <cell r="A459" t="str">
            <v>6555</v>
          </cell>
          <cell r="B459" t="str">
            <v>02 - Contratistas</v>
          </cell>
        </row>
        <row r="460">
          <cell r="A460" t="str">
            <v>6555</v>
          </cell>
          <cell r="B460" t="str">
            <v>02 - Contratistas</v>
          </cell>
        </row>
        <row r="461">
          <cell r="A461" t="str">
            <v>6555</v>
          </cell>
          <cell r="B461" t="str">
            <v>02 - Contratistas</v>
          </cell>
        </row>
        <row r="462">
          <cell r="A462" t="str">
            <v>6555</v>
          </cell>
          <cell r="B462" t="str">
            <v>02 - Contratistas</v>
          </cell>
        </row>
        <row r="463">
          <cell r="A463" t="str">
            <v>6555</v>
          </cell>
          <cell r="B463" t="str">
            <v>02 - Contratistas</v>
          </cell>
        </row>
        <row r="464">
          <cell r="A464" t="str">
            <v>6555</v>
          </cell>
          <cell r="B464" t="str">
            <v>02 - Contratistas</v>
          </cell>
        </row>
        <row r="465">
          <cell r="A465" t="str">
            <v>6555</v>
          </cell>
          <cell r="B465" t="str">
            <v>02 - Contratistas</v>
          </cell>
        </row>
        <row r="466">
          <cell r="A466" t="str">
            <v>6555</v>
          </cell>
          <cell r="B466" t="str">
            <v>02 - Contratistas</v>
          </cell>
        </row>
        <row r="467">
          <cell r="A467" t="str">
            <v>6555</v>
          </cell>
          <cell r="B467" t="str">
            <v>02 - Contratistas</v>
          </cell>
        </row>
        <row r="468">
          <cell r="A468" t="str">
            <v>6562</v>
          </cell>
          <cell r="B468" t="str">
            <v>02 - Contratistas</v>
          </cell>
        </row>
        <row r="469">
          <cell r="A469" t="str">
            <v>6562</v>
          </cell>
          <cell r="B469" t="str">
            <v>02 - Contratistas</v>
          </cell>
        </row>
        <row r="470">
          <cell r="A470" t="str">
            <v>6562</v>
          </cell>
          <cell r="B470" t="str">
            <v>03 - Contratos Especiales</v>
          </cell>
        </row>
        <row r="471">
          <cell r="A471" t="str">
            <v>6562</v>
          </cell>
          <cell r="B471" t="str">
            <v>02 - Contratistas</v>
          </cell>
        </row>
        <row r="472">
          <cell r="A472" t="str">
            <v>6562</v>
          </cell>
          <cell r="B472" t="str">
            <v>02 - Contratistas</v>
          </cell>
        </row>
        <row r="473">
          <cell r="A473" t="str">
            <v>6562</v>
          </cell>
          <cell r="B473" t="str">
            <v>03 - Contratos Especiales</v>
          </cell>
        </row>
        <row r="474">
          <cell r="A474" t="str">
            <v>6562</v>
          </cell>
          <cell r="B474" t="str">
            <v>03 - Contratos Especiales</v>
          </cell>
        </row>
        <row r="475">
          <cell r="A475" t="str">
            <v>6562</v>
          </cell>
          <cell r="B475" t="str">
            <v>02 - Contratistas</v>
          </cell>
        </row>
        <row r="476">
          <cell r="A476" t="str">
            <v>6562</v>
          </cell>
          <cell r="B476" t="str">
            <v>03 - Contratos Especiales</v>
          </cell>
        </row>
        <row r="477">
          <cell r="A477" t="str">
            <v>6562</v>
          </cell>
          <cell r="B477" t="str">
            <v>02 - Contratistas</v>
          </cell>
        </row>
        <row r="478">
          <cell r="A478" t="str">
            <v>6562</v>
          </cell>
          <cell r="B478" t="str">
            <v>02 - Contratistas</v>
          </cell>
        </row>
        <row r="479">
          <cell r="A479" t="str">
            <v>6562</v>
          </cell>
          <cell r="B479" t="str">
            <v>02 - Contratistas</v>
          </cell>
        </row>
        <row r="480">
          <cell r="A480" t="str">
            <v>6562</v>
          </cell>
          <cell r="B480" t="str">
            <v>02 - Contratistas</v>
          </cell>
        </row>
        <row r="481">
          <cell r="A481" t="str">
            <v>6562</v>
          </cell>
          <cell r="B481" t="str">
            <v>03 - Contratos Especiales</v>
          </cell>
        </row>
        <row r="482">
          <cell r="A482" t="str">
            <v>6562</v>
          </cell>
          <cell r="B482" t="str">
            <v>02 - Contratistas</v>
          </cell>
        </row>
        <row r="483">
          <cell r="A483" t="str">
            <v>6563</v>
          </cell>
          <cell r="B483" t="str">
            <v>02 - Contratistas</v>
          </cell>
        </row>
        <row r="484">
          <cell r="A484" t="str">
            <v>6563</v>
          </cell>
          <cell r="B484" t="str">
            <v>02 - Contratistas</v>
          </cell>
        </row>
        <row r="485">
          <cell r="A485" t="str">
            <v>6563</v>
          </cell>
          <cell r="B485" t="str">
            <v>02 - Contratistas</v>
          </cell>
        </row>
        <row r="486">
          <cell r="A486" t="str">
            <v>6563</v>
          </cell>
          <cell r="B486" t="str">
            <v>02 - Contratistas</v>
          </cell>
        </row>
        <row r="487">
          <cell r="A487" t="str">
            <v>6563</v>
          </cell>
          <cell r="B487" t="str">
            <v>02 - Contratistas</v>
          </cell>
        </row>
        <row r="488">
          <cell r="A488" t="str">
            <v>6563</v>
          </cell>
          <cell r="B488" t="str">
            <v>02 - Contratistas</v>
          </cell>
        </row>
        <row r="489">
          <cell r="A489" t="str">
            <v>6563</v>
          </cell>
          <cell r="B489" t="str">
            <v>02 - Contratistas</v>
          </cell>
        </row>
        <row r="490">
          <cell r="A490" t="str">
            <v>6563</v>
          </cell>
          <cell r="B490" t="str">
            <v>02 - Contratistas</v>
          </cell>
        </row>
        <row r="491">
          <cell r="A491" t="str">
            <v>6566</v>
          </cell>
          <cell r="B491" t="str">
            <v>02 - Contratistas</v>
          </cell>
        </row>
        <row r="492">
          <cell r="A492" t="str">
            <v>6662</v>
          </cell>
          <cell r="B492" t="str">
            <v>11 - Otros Gastos</v>
          </cell>
        </row>
        <row r="493">
          <cell r="A493" t="str">
            <v>6683</v>
          </cell>
          <cell r="B493" t="str">
            <v>11 - Otros Gastos</v>
          </cell>
        </row>
        <row r="494">
          <cell r="A494" t="str">
            <v>6683</v>
          </cell>
          <cell r="B494" t="str">
            <v>11 - Otros Gastos</v>
          </cell>
        </row>
        <row r="495">
          <cell r="A495" t="str">
            <v>6705</v>
          </cell>
          <cell r="B495" t="str">
            <v>11 - Otros Gastos</v>
          </cell>
        </row>
        <row r="496">
          <cell r="A496" t="str">
            <v>6728</v>
          </cell>
          <cell r="B496" t="str">
            <v>11 - Otros Gastos</v>
          </cell>
        </row>
        <row r="497">
          <cell r="A497" t="str">
            <v>6729</v>
          </cell>
          <cell r="B497" t="str">
            <v>11 - Otros Gastos</v>
          </cell>
        </row>
        <row r="498">
          <cell r="A498" t="str">
            <v>6751</v>
          </cell>
          <cell r="B498" t="str">
            <v>11 - Otros Gastos</v>
          </cell>
        </row>
        <row r="499">
          <cell r="A499" t="str">
            <v>6752</v>
          </cell>
          <cell r="B499" t="str">
            <v>11 - Otros Gastos</v>
          </cell>
        </row>
        <row r="500">
          <cell r="A500" t="str">
            <v>6754</v>
          </cell>
          <cell r="B500" t="str">
            <v>11 - Otros Gastos</v>
          </cell>
        </row>
        <row r="501">
          <cell r="A501" t="str">
            <v>6754</v>
          </cell>
          <cell r="B501" t="str">
            <v>11 - Otros Gastos</v>
          </cell>
        </row>
        <row r="502">
          <cell r="A502" t="str">
            <v>6754</v>
          </cell>
          <cell r="B502" t="str">
            <v>11 - Otros Gastos</v>
          </cell>
        </row>
        <row r="503">
          <cell r="A503" t="str">
            <v>6754</v>
          </cell>
          <cell r="B503" t="str">
            <v>11 - Otros Gastos</v>
          </cell>
        </row>
        <row r="504">
          <cell r="A504" t="str">
            <v>6754</v>
          </cell>
          <cell r="B504" t="str">
            <v>11 - Otros Gastos</v>
          </cell>
        </row>
        <row r="505">
          <cell r="A505" t="str">
            <v>6754</v>
          </cell>
          <cell r="B505" t="str">
            <v>11 - Otros Gastos</v>
          </cell>
        </row>
        <row r="506">
          <cell r="A506" t="str">
            <v>6755</v>
          </cell>
          <cell r="B506" t="str">
            <v>11 - Otros Gastos</v>
          </cell>
        </row>
        <row r="507">
          <cell r="A507" t="str">
            <v>6755</v>
          </cell>
          <cell r="B507" t="str">
            <v>11 - Otros Gastos</v>
          </cell>
        </row>
        <row r="508">
          <cell r="A508" t="str">
            <v>6755</v>
          </cell>
          <cell r="B508" t="str">
            <v>11 - Otros Gastos</v>
          </cell>
        </row>
        <row r="509">
          <cell r="A509" t="str">
            <v>6755</v>
          </cell>
          <cell r="B509" t="str">
            <v>11 - Otros Gastos</v>
          </cell>
        </row>
        <row r="510">
          <cell r="A510" t="str">
            <v>6755</v>
          </cell>
          <cell r="B510" t="str">
            <v>11 - Otros Gastos</v>
          </cell>
        </row>
        <row r="511">
          <cell r="A511" t="str">
            <v>6755</v>
          </cell>
          <cell r="B511" t="str">
            <v>11 - Otros Gastos</v>
          </cell>
        </row>
        <row r="512">
          <cell r="A512" t="str">
            <v>6755</v>
          </cell>
          <cell r="B512" t="str">
            <v>11 - Otros Gastos</v>
          </cell>
        </row>
        <row r="513">
          <cell r="A513" t="str">
            <v>6756</v>
          </cell>
          <cell r="B513" t="str">
            <v>11 - Otros Gastos</v>
          </cell>
        </row>
        <row r="514">
          <cell r="A514" t="str">
            <v>6756</v>
          </cell>
          <cell r="B514" t="str">
            <v>11 - Otros Gastos</v>
          </cell>
        </row>
        <row r="515">
          <cell r="A515" t="str">
            <v>6756</v>
          </cell>
          <cell r="B515" t="str">
            <v>11 - Otros Gastos</v>
          </cell>
        </row>
        <row r="516">
          <cell r="A516" t="str">
            <v>6757</v>
          </cell>
          <cell r="B516" t="str">
            <v>11 - Otros Gastos</v>
          </cell>
        </row>
        <row r="517">
          <cell r="A517" t="str">
            <v>6760</v>
          </cell>
          <cell r="B517" t="str">
            <v>11 - Otros Gastos</v>
          </cell>
        </row>
        <row r="518">
          <cell r="A518" t="str">
            <v>6761</v>
          </cell>
          <cell r="B518" t="str">
            <v>11 - Otros Gastos</v>
          </cell>
        </row>
        <row r="519">
          <cell r="A519" t="str">
            <v>6762</v>
          </cell>
          <cell r="B519" t="str">
            <v>04 - Sueldos y Cargas Sociales</v>
          </cell>
        </row>
        <row r="520">
          <cell r="A520" t="str">
            <v>6762</v>
          </cell>
          <cell r="B520" t="str">
            <v>04 - Sueldos y Cargas Sociales</v>
          </cell>
        </row>
        <row r="521">
          <cell r="A521" t="str">
            <v>6762</v>
          </cell>
          <cell r="B521" t="str">
            <v>04 - Sueldos y Cargas Sociales</v>
          </cell>
        </row>
        <row r="522">
          <cell r="A522" t="str">
            <v>6762</v>
          </cell>
          <cell r="B522" t="str">
            <v>04 - Sueldos y Cargas Sociales</v>
          </cell>
        </row>
        <row r="523">
          <cell r="A523" t="str">
            <v>6762</v>
          </cell>
          <cell r="B523" t="str">
            <v>04 - Sueldos y Cargas Sociales</v>
          </cell>
        </row>
        <row r="524">
          <cell r="A524" t="str">
            <v>6762</v>
          </cell>
          <cell r="B524" t="str">
            <v>04 - Sueldos y Cargas Sociales</v>
          </cell>
        </row>
        <row r="525">
          <cell r="A525" t="str">
            <v>6762</v>
          </cell>
          <cell r="B525" t="str">
            <v>04 - Sueldos y Cargas Sociales</v>
          </cell>
        </row>
        <row r="526">
          <cell r="A526" t="str">
            <v>6762</v>
          </cell>
          <cell r="B526" t="str">
            <v>04 - Sueldos y Cargas Sociales</v>
          </cell>
        </row>
        <row r="527">
          <cell r="A527" t="str">
            <v>6762</v>
          </cell>
          <cell r="B527" t="str">
            <v>04 - Sueldos y Cargas Sociales</v>
          </cell>
        </row>
        <row r="528">
          <cell r="A528" t="str">
            <v>6763</v>
          </cell>
          <cell r="B528" t="str">
            <v>11 - Otros Gastos</v>
          </cell>
        </row>
        <row r="529">
          <cell r="A529" t="str">
            <v>6763</v>
          </cell>
          <cell r="B529" t="str">
            <v>11 - Otros Gastos</v>
          </cell>
        </row>
        <row r="530">
          <cell r="A530" t="str">
            <v>6763</v>
          </cell>
          <cell r="B530" t="str">
            <v>11 - Otros Gastos</v>
          </cell>
        </row>
        <row r="531">
          <cell r="A531" t="str">
            <v>6763</v>
          </cell>
          <cell r="B531" t="str">
            <v>11 - Otros Gastos</v>
          </cell>
        </row>
        <row r="532">
          <cell r="A532" t="str">
            <v>6763</v>
          </cell>
          <cell r="B532" t="str">
            <v>11 - Otros Gastos</v>
          </cell>
        </row>
        <row r="533">
          <cell r="A533" t="str">
            <v>6763</v>
          </cell>
          <cell r="B533" t="str">
            <v>11 - Otros Gastos</v>
          </cell>
        </row>
        <row r="534">
          <cell r="A534" t="str">
            <v>6763</v>
          </cell>
          <cell r="B534" t="str">
            <v>11 - Otros Gastos</v>
          </cell>
        </row>
        <row r="535">
          <cell r="A535" t="str">
            <v>6763</v>
          </cell>
          <cell r="B535" t="str">
            <v>11 - Otros Gastos</v>
          </cell>
        </row>
        <row r="536">
          <cell r="A536" t="str">
            <v>6763</v>
          </cell>
          <cell r="B536" t="str">
            <v>11 - Otros Gastos</v>
          </cell>
        </row>
        <row r="537">
          <cell r="A537" t="str">
            <v>6763</v>
          </cell>
          <cell r="B537" t="str">
            <v>11 - Otros Gastos</v>
          </cell>
        </row>
        <row r="538">
          <cell r="A538" t="str">
            <v>6763</v>
          </cell>
          <cell r="B538" t="str">
            <v>11 - Otros Gastos</v>
          </cell>
        </row>
        <row r="539">
          <cell r="A539" t="str">
            <v>6763</v>
          </cell>
          <cell r="B539" t="str">
            <v>11 - Otros Gastos</v>
          </cell>
        </row>
        <row r="540">
          <cell r="A540" t="str">
            <v>6763.001</v>
          </cell>
          <cell r="B540" t="str">
            <v>11 - Otros Gastos</v>
          </cell>
        </row>
        <row r="541">
          <cell r="A541" t="str">
            <v>6764</v>
          </cell>
          <cell r="B541" t="str">
            <v>11 - Otros Gastos</v>
          </cell>
        </row>
        <row r="542">
          <cell r="A542" t="str">
            <v>6765</v>
          </cell>
          <cell r="B542" t="str">
            <v>11 - Otros Gastos</v>
          </cell>
        </row>
        <row r="543">
          <cell r="A543" t="str">
            <v>6765</v>
          </cell>
          <cell r="B543" t="str">
            <v>11 - Otros Gastos</v>
          </cell>
        </row>
        <row r="544">
          <cell r="A544" t="str">
            <v>6767</v>
          </cell>
          <cell r="B544" t="str">
            <v>11 - Otros Gastos</v>
          </cell>
        </row>
        <row r="545">
          <cell r="A545" t="str">
            <v>6768</v>
          </cell>
          <cell r="B545" t="str">
            <v>11 - Otros Gastos</v>
          </cell>
        </row>
        <row r="546">
          <cell r="A546" t="str">
            <v>6769</v>
          </cell>
          <cell r="B546" t="str">
            <v>11 - Otros Gastos</v>
          </cell>
        </row>
        <row r="547">
          <cell r="A547" t="str">
            <v>6769</v>
          </cell>
          <cell r="B547" t="str">
            <v>11 - Otros Gastos</v>
          </cell>
        </row>
        <row r="548">
          <cell r="A548" t="str">
            <v>6770</v>
          </cell>
          <cell r="B548" t="str">
            <v>14 - Compromiso Reducción</v>
          </cell>
        </row>
        <row r="549">
          <cell r="A549" t="str">
            <v>7022</v>
          </cell>
          <cell r="B549" t="str">
            <v>11 - Otros Gastos</v>
          </cell>
        </row>
        <row r="550">
          <cell r="A550" t="str">
            <v>7022</v>
          </cell>
          <cell r="B550" t="str">
            <v>11 - Otros Gastos</v>
          </cell>
        </row>
        <row r="551">
          <cell r="A551" t="str">
            <v>7045</v>
          </cell>
          <cell r="B551" t="str">
            <v>02 - Contratistas</v>
          </cell>
        </row>
        <row r="552">
          <cell r="A552" t="str">
            <v>7046</v>
          </cell>
          <cell r="B552" t="str">
            <v>02 - Contratistas</v>
          </cell>
        </row>
        <row r="553">
          <cell r="A553" t="str">
            <v>7093</v>
          </cell>
          <cell r="B553" t="str">
            <v>11 - Otros Gastos</v>
          </cell>
        </row>
        <row r="554">
          <cell r="A554" t="str">
            <v>7093</v>
          </cell>
          <cell r="B554" t="str">
            <v>11 - Otros Gastos</v>
          </cell>
        </row>
        <row r="555">
          <cell r="A555" t="str">
            <v>7201</v>
          </cell>
          <cell r="B555" t="str">
            <v>11 - Otros Gastos</v>
          </cell>
        </row>
        <row r="556">
          <cell r="A556" t="str">
            <v>7203</v>
          </cell>
          <cell r="B556" t="str">
            <v>11 - Otros Gastos</v>
          </cell>
        </row>
        <row r="557">
          <cell r="A557" t="str">
            <v>7204</v>
          </cell>
          <cell r="B557" t="str">
            <v>11 - Otros Gastos</v>
          </cell>
        </row>
        <row r="558">
          <cell r="A558" t="str">
            <v>7205</v>
          </cell>
          <cell r="B558" t="str">
            <v>11 - Otros Gastos</v>
          </cell>
        </row>
        <row r="559">
          <cell r="A559" t="str">
            <v>7205</v>
          </cell>
          <cell r="B559" t="str">
            <v>11 - Otros Gastos</v>
          </cell>
        </row>
        <row r="560">
          <cell r="A560" t="str">
            <v>7206</v>
          </cell>
          <cell r="B560" t="str">
            <v>11 - Otros Gastos</v>
          </cell>
        </row>
        <row r="561">
          <cell r="A561" t="str">
            <v>7207</v>
          </cell>
          <cell r="B561" t="str">
            <v>11 - Otros Gastos</v>
          </cell>
        </row>
        <row r="562">
          <cell r="A562" t="str">
            <v>9652</v>
          </cell>
          <cell r="B562" t="str">
            <v>04 - Sueldos y Cargas Sociales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O"/>
      <sheetName val="MO - Rotativo 12hs x turno (A)"/>
      <sheetName val="MO - Diurno 12hs (B)"/>
      <sheetName val="BD- BASICOS"/>
      <sheetName val="Diagrama de trabajo"/>
    </sheetNames>
    <sheetDataSet>
      <sheetData sheetId="0">
        <row r="7">
          <cell r="D7" t="str">
            <v>Etapa N° 1</v>
          </cell>
        </row>
      </sheetData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/>
      <sheetData sheetId="9"/>
      <sheetData sheetId="10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LL98"/>
    </sheetNames>
    <definedNames>
      <definedName name="VOLV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s1104.se.gov.ar/consultaprecios.eess.ph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showGridLines="0" topLeftCell="A13" zoomScaleNormal="100" workbookViewId="0">
      <selection activeCell="H23" sqref="H23"/>
    </sheetView>
  </sheetViews>
  <sheetFormatPr baseColWidth="10" defaultRowHeight="19.5" x14ac:dyDescent="0.25"/>
  <cols>
    <col min="1" max="1" width="11.42578125" style="8"/>
    <col min="2" max="4" width="15.7109375" style="8" customWidth="1"/>
    <col min="5" max="5" width="40.7109375" style="8" customWidth="1"/>
    <col min="6" max="7" width="10.7109375" style="8" customWidth="1"/>
    <col min="8" max="8" width="26.28515625" style="8" customWidth="1"/>
    <col min="9" max="257" width="11.42578125" style="8"/>
    <col min="258" max="260" width="15.7109375" style="8" customWidth="1"/>
    <col min="261" max="261" width="40.7109375" style="8" customWidth="1"/>
    <col min="262" max="264" width="10.7109375" style="8" customWidth="1"/>
    <col min="265" max="513" width="11.42578125" style="8"/>
    <col min="514" max="516" width="15.7109375" style="8" customWidth="1"/>
    <col min="517" max="517" width="40.7109375" style="8" customWidth="1"/>
    <col min="518" max="520" width="10.7109375" style="8" customWidth="1"/>
    <col min="521" max="769" width="11.42578125" style="8"/>
    <col min="770" max="772" width="15.7109375" style="8" customWidth="1"/>
    <col min="773" max="773" width="40.7109375" style="8" customWidth="1"/>
    <col min="774" max="776" width="10.7109375" style="8" customWidth="1"/>
    <col min="777" max="1025" width="11.42578125" style="8"/>
    <col min="1026" max="1028" width="15.7109375" style="8" customWidth="1"/>
    <col min="1029" max="1029" width="40.7109375" style="8" customWidth="1"/>
    <col min="1030" max="1032" width="10.7109375" style="8" customWidth="1"/>
    <col min="1033" max="1281" width="11.42578125" style="8"/>
    <col min="1282" max="1284" width="15.7109375" style="8" customWidth="1"/>
    <col min="1285" max="1285" width="40.7109375" style="8" customWidth="1"/>
    <col min="1286" max="1288" width="10.7109375" style="8" customWidth="1"/>
    <col min="1289" max="1537" width="11.42578125" style="8"/>
    <col min="1538" max="1540" width="15.7109375" style="8" customWidth="1"/>
    <col min="1541" max="1541" width="40.7109375" style="8" customWidth="1"/>
    <col min="1542" max="1544" width="10.7109375" style="8" customWidth="1"/>
    <col min="1545" max="1793" width="11.42578125" style="8"/>
    <col min="1794" max="1796" width="15.7109375" style="8" customWidth="1"/>
    <col min="1797" max="1797" width="40.7109375" style="8" customWidth="1"/>
    <col min="1798" max="1800" width="10.7109375" style="8" customWidth="1"/>
    <col min="1801" max="2049" width="11.42578125" style="8"/>
    <col min="2050" max="2052" width="15.7109375" style="8" customWidth="1"/>
    <col min="2053" max="2053" width="40.7109375" style="8" customWidth="1"/>
    <col min="2054" max="2056" width="10.7109375" style="8" customWidth="1"/>
    <col min="2057" max="2305" width="11.42578125" style="8"/>
    <col min="2306" max="2308" width="15.7109375" style="8" customWidth="1"/>
    <col min="2309" max="2309" width="40.7109375" style="8" customWidth="1"/>
    <col min="2310" max="2312" width="10.7109375" style="8" customWidth="1"/>
    <col min="2313" max="2561" width="11.42578125" style="8"/>
    <col min="2562" max="2564" width="15.7109375" style="8" customWidth="1"/>
    <col min="2565" max="2565" width="40.7109375" style="8" customWidth="1"/>
    <col min="2566" max="2568" width="10.7109375" style="8" customWidth="1"/>
    <col min="2569" max="2817" width="11.42578125" style="8"/>
    <col min="2818" max="2820" width="15.7109375" style="8" customWidth="1"/>
    <col min="2821" max="2821" width="40.7109375" style="8" customWidth="1"/>
    <col min="2822" max="2824" width="10.7109375" style="8" customWidth="1"/>
    <col min="2825" max="3073" width="11.42578125" style="8"/>
    <col min="3074" max="3076" width="15.7109375" style="8" customWidth="1"/>
    <col min="3077" max="3077" width="40.7109375" style="8" customWidth="1"/>
    <col min="3078" max="3080" width="10.7109375" style="8" customWidth="1"/>
    <col min="3081" max="3329" width="11.42578125" style="8"/>
    <col min="3330" max="3332" width="15.7109375" style="8" customWidth="1"/>
    <col min="3333" max="3333" width="40.7109375" style="8" customWidth="1"/>
    <col min="3334" max="3336" width="10.7109375" style="8" customWidth="1"/>
    <col min="3337" max="3585" width="11.42578125" style="8"/>
    <col min="3586" max="3588" width="15.7109375" style="8" customWidth="1"/>
    <col min="3589" max="3589" width="40.7109375" style="8" customWidth="1"/>
    <col min="3590" max="3592" width="10.7109375" style="8" customWidth="1"/>
    <col min="3593" max="3841" width="11.42578125" style="8"/>
    <col min="3842" max="3844" width="15.7109375" style="8" customWidth="1"/>
    <col min="3845" max="3845" width="40.7109375" style="8" customWidth="1"/>
    <col min="3846" max="3848" width="10.7109375" style="8" customWidth="1"/>
    <col min="3849" max="4097" width="11.42578125" style="8"/>
    <col min="4098" max="4100" width="15.7109375" style="8" customWidth="1"/>
    <col min="4101" max="4101" width="40.7109375" style="8" customWidth="1"/>
    <col min="4102" max="4104" width="10.7109375" style="8" customWidth="1"/>
    <col min="4105" max="4353" width="11.42578125" style="8"/>
    <col min="4354" max="4356" width="15.7109375" style="8" customWidth="1"/>
    <col min="4357" max="4357" width="40.7109375" style="8" customWidth="1"/>
    <col min="4358" max="4360" width="10.7109375" style="8" customWidth="1"/>
    <col min="4361" max="4609" width="11.42578125" style="8"/>
    <col min="4610" max="4612" width="15.7109375" style="8" customWidth="1"/>
    <col min="4613" max="4613" width="40.7109375" style="8" customWidth="1"/>
    <col min="4614" max="4616" width="10.7109375" style="8" customWidth="1"/>
    <col min="4617" max="4865" width="11.42578125" style="8"/>
    <col min="4866" max="4868" width="15.7109375" style="8" customWidth="1"/>
    <col min="4869" max="4869" width="40.7109375" style="8" customWidth="1"/>
    <col min="4870" max="4872" width="10.7109375" style="8" customWidth="1"/>
    <col min="4873" max="5121" width="11.42578125" style="8"/>
    <col min="5122" max="5124" width="15.7109375" style="8" customWidth="1"/>
    <col min="5125" max="5125" width="40.7109375" style="8" customWidth="1"/>
    <col min="5126" max="5128" width="10.7109375" style="8" customWidth="1"/>
    <col min="5129" max="5377" width="11.42578125" style="8"/>
    <col min="5378" max="5380" width="15.7109375" style="8" customWidth="1"/>
    <col min="5381" max="5381" width="40.7109375" style="8" customWidth="1"/>
    <col min="5382" max="5384" width="10.7109375" style="8" customWidth="1"/>
    <col min="5385" max="5633" width="11.42578125" style="8"/>
    <col min="5634" max="5636" width="15.7109375" style="8" customWidth="1"/>
    <col min="5637" max="5637" width="40.7109375" style="8" customWidth="1"/>
    <col min="5638" max="5640" width="10.7109375" style="8" customWidth="1"/>
    <col min="5641" max="5889" width="11.42578125" style="8"/>
    <col min="5890" max="5892" width="15.7109375" style="8" customWidth="1"/>
    <col min="5893" max="5893" width="40.7109375" style="8" customWidth="1"/>
    <col min="5894" max="5896" width="10.7109375" style="8" customWidth="1"/>
    <col min="5897" max="6145" width="11.42578125" style="8"/>
    <col min="6146" max="6148" width="15.7109375" style="8" customWidth="1"/>
    <col min="6149" max="6149" width="40.7109375" style="8" customWidth="1"/>
    <col min="6150" max="6152" width="10.7109375" style="8" customWidth="1"/>
    <col min="6153" max="6401" width="11.42578125" style="8"/>
    <col min="6402" max="6404" width="15.7109375" style="8" customWidth="1"/>
    <col min="6405" max="6405" width="40.7109375" style="8" customWidth="1"/>
    <col min="6406" max="6408" width="10.7109375" style="8" customWidth="1"/>
    <col min="6409" max="6657" width="11.42578125" style="8"/>
    <col min="6658" max="6660" width="15.7109375" style="8" customWidth="1"/>
    <col min="6661" max="6661" width="40.7109375" style="8" customWidth="1"/>
    <col min="6662" max="6664" width="10.7109375" style="8" customWidth="1"/>
    <col min="6665" max="6913" width="11.42578125" style="8"/>
    <col min="6914" max="6916" width="15.7109375" style="8" customWidth="1"/>
    <col min="6917" max="6917" width="40.7109375" style="8" customWidth="1"/>
    <col min="6918" max="6920" width="10.7109375" style="8" customWidth="1"/>
    <col min="6921" max="7169" width="11.42578125" style="8"/>
    <col min="7170" max="7172" width="15.7109375" style="8" customWidth="1"/>
    <col min="7173" max="7173" width="40.7109375" style="8" customWidth="1"/>
    <col min="7174" max="7176" width="10.7109375" style="8" customWidth="1"/>
    <col min="7177" max="7425" width="11.42578125" style="8"/>
    <col min="7426" max="7428" width="15.7109375" style="8" customWidth="1"/>
    <col min="7429" max="7429" width="40.7109375" style="8" customWidth="1"/>
    <col min="7430" max="7432" width="10.7109375" style="8" customWidth="1"/>
    <col min="7433" max="7681" width="11.42578125" style="8"/>
    <col min="7682" max="7684" width="15.7109375" style="8" customWidth="1"/>
    <col min="7685" max="7685" width="40.7109375" style="8" customWidth="1"/>
    <col min="7686" max="7688" width="10.7109375" style="8" customWidth="1"/>
    <col min="7689" max="7937" width="11.42578125" style="8"/>
    <col min="7938" max="7940" width="15.7109375" style="8" customWidth="1"/>
    <col min="7941" max="7941" width="40.7109375" style="8" customWidth="1"/>
    <col min="7942" max="7944" width="10.7109375" style="8" customWidth="1"/>
    <col min="7945" max="8193" width="11.42578125" style="8"/>
    <col min="8194" max="8196" width="15.7109375" style="8" customWidth="1"/>
    <col min="8197" max="8197" width="40.7109375" style="8" customWidth="1"/>
    <col min="8198" max="8200" width="10.7109375" style="8" customWidth="1"/>
    <col min="8201" max="8449" width="11.42578125" style="8"/>
    <col min="8450" max="8452" width="15.7109375" style="8" customWidth="1"/>
    <col min="8453" max="8453" width="40.7109375" style="8" customWidth="1"/>
    <col min="8454" max="8456" width="10.7109375" style="8" customWidth="1"/>
    <col min="8457" max="8705" width="11.42578125" style="8"/>
    <col min="8706" max="8708" width="15.7109375" style="8" customWidth="1"/>
    <col min="8709" max="8709" width="40.7109375" style="8" customWidth="1"/>
    <col min="8710" max="8712" width="10.7109375" style="8" customWidth="1"/>
    <col min="8713" max="8961" width="11.42578125" style="8"/>
    <col min="8962" max="8964" width="15.7109375" style="8" customWidth="1"/>
    <col min="8965" max="8965" width="40.7109375" style="8" customWidth="1"/>
    <col min="8966" max="8968" width="10.7109375" style="8" customWidth="1"/>
    <col min="8969" max="9217" width="11.42578125" style="8"/>
    <col min="9218" max="9220" width="15.7109375" style="8" customWidth="1"/>
    <col min="9221" max="9221" width="40.7109375" style="8" customWidth="1"/>
    <col min="9222" max="9224" width="10.7109375" style="8" customWidth="1"/>
    <col min="9225" max="9473" width="11.42578125" style="8"/>
    <col min="9474" max="9476" width="15.7109375" style="8" customWidth="1"/>
    <col min="9477" max="9477" width="40.7109375" style="8" customWidth="1"/>
    <col min="9478" max="9480" width="10.7109375" style="8" customWidth="1"/>
    <col min="9481" max="9729" width="11.42578125" style="8"/>
    <col min="9730" max="9732" width="15.7109375" style="8" customWidth="1"/>
    <col min="9733" max="9733" width="40.7109375" style="8" customWidth="1"/>
    <col min="9734" max="9736" width="10.7109375" style="8" customWidth="1"/>
    <col min="9737" max="9985" width="11.42578125" style="8"/>
    <col min="9986" max="9988" width="15.7109375" style="8" customWidth="1"/>
    <col min="9989" max="9989" width="40.7109375" style="8" customWidth="1"/>
    <col min="9990" max="9992" width="10.7109375" style="8" customWidth="1"/>
    <col min="9993" max="10241" width="11.42578125" style="8"/>
    <col min="10242" max="10244" width="15.7109375" style="8" customWidth="1"/>
    <col min="10245" max="10245" width="40.7109375" style="8" customWidth="1"/>
    <col min="10246" max="10248" width="10.7109375" style="8" customWidth="1"/>
    <col min="10249" max="10497" width="11.42578125" style="8"/>
    <col min="10498" max="10500" width="15.7109375" style="8" customWidth="1"/>
    <col min="10501" max="10501" width="40.7109375" style="8" customWidth="1"/>
    <col min="10502" max="10504" width="10.7109375" style="8" customWidth="1"/>
    <col min="10505" max="10753" width="11.42578125" style="8"/>
    <col min="10754" max="10756" width="15.7109375" style="8" customWidth="1"/>
    <col min="10757" max="10757" width="40.7109375" style="8" customWidth="1"/>
    <col min="10758" max="10760" width="10.7109375" style="8" customWidth="1"/>
    <col min="10761" max="11009" width="11.42578125" style="8"/>
    <col min="11010" max="11012" width="15.7109375" style="8" customWidth="1"/>
    <col min="11013" max="11013" width="40.7109375" style="8" customWidth="1"/>
    <col min="11014" max="11016" width="10.7109375" style="8" customWidth="1"/>
    <col min="11017" max="11265" width="11.42578125" style="8"/>
    <col min="11266" max="11268" width="15.7109375" style="8" customWidth="1"/>
    <col min="11269" max="11269" width="40.7109375" style="8" customWidth="1"/>
    <col min="11270" max="11272" width="10.7109375" style="8" customWidth="1"/>
    <col min="11273" max="11521" width="11.42578125" style="8"/>
    <col min="11522" max="11524" width="15.7109375" style="8" customWidth="1"/>
    <col min="11525" max="11525" width="40.7109375" style="8" customWidth="1"/>
    <col min="11526" max="11528" width="10.7109375" style="8" customWidth="1"/>
    <col min="11529" max="11777" width="11.42578125" style="8"/>
    <col min="11778" max="11780" width="15.7109375" style="8" customWidth="1"/>
    <col min="11781" max="11781" width="40.7109375" style="8" customWidth="1"/>
    <col min="11782" max="11784" width="10.7109375" style="8" customWidth="1"/>
    <col min="11785" max="12033" width="11.42578125" style="8"/>
    <col min="12034" max="12036" width="15.7109375" style="8" customWidth="1"/>
    <col min="12037" max="12037" width="40.7109375" style="8" customWidth="1"/>
    <col min="12038" max="12040" width="10.7109375" style="8" customWidth="1"/>
    <col min="12041" max="12289" width="11.42578125" style="8"/>
    <col min="12290" max="12292" width="15.7109375" style="8" customWidth="1"/>
    <col min="12293" max="12293" width="40.7109375" style="8" customWidth="1"/>
    <col min="12294" max="12296" width="10.7109375" style="8" customWidth="1"/>
    <col min="12297" max="12545" width="11.42578125" style="8"/>
    <col min="12546" max="12548" width="15.7109375" style="8" customWidth="1"/>
    <col min="12549" max="12549" width="40.7109375" style="8" customWidth="1"/>
    <col min="12550" max="12552" width="10.7109375" style="8" customWidth="1"/>
    <col min="12553" max="12801" width="11.42578125" style="8"/>
    <col min="12802" max="12804" width="15.7109375" style="8" customWidth="1"/>
    <col min="12805" max="12805" width="40.7109375" style="8" customWidth="1"/>
    <col min="12806" max="12808" width="10.7109375" style="8" customWidth="1"/>
    <col min="12809" max="13057" width="11.42578125" style="8"/>
    <col min="13058" max="13060" width="15.7109375" style="8" customWidth="1"/>
    <col min="13061" max="13061" width="40.7109375" style="8" customWidth="1"/>
    <col min="13062" max="13064" width="10.7109375" style="8" customWidth="1"/>
    <col min="13065" max="13313" width="11.42578125" style="8"/>
    <col min="13314" max="13316" width="15.7109375" style="8" customWidth="1"/>
    <col min="13317" max="13317" width="40.7109375" style="8" customWidth="1"/>
    <col min="13318" max="13320" width="10.7109375" style="8" customWidth="1"/>
    <col min="13321" max="13569" width="11.42578125" style="8"/>
    <col min="13570" max="13572" width="15.7109375" style="8" customWidth="1"/>
    <col min="13573" max="13573" width="40.7109375" style="8" customWidth="1"/>
    <col min="13574" max="13576" width="10.7109375" style="8" customWidth="1"/>
    <col min="13577" max="13825" width="11.42578125" style="8"/>
    <col min="13826" max="13828" width="15.7109375" style="8" customWidth="1"/>
    <col min="13829" max="13829" width="40.7109375" style="8" customWidth="1"/>
    <col min="13830" max="13832" width="10.7109375" style="8" customWidth="1"/>
    <col min="13833" max="14081" width="11.42578125" style="8"/>
    <col min="14082" max="14084" width="15.7109375" style="8" customWidth="1"/>
    <col min="14085" max="14085" width="40.7109375" style="8" customWidth="1"/>
    <col min="14086" max="14088" width="10.7109375" style="8" customWidth="1"/>
    <col min="14089" max="14337" width="11.42578125" style="8"/>
    <col min="14338" max="14340" width="15.7109375" style="8" customWidth="1"/>
    <col min="14341" max="14341" width="40.7109375" style="8" customWidth="1"/>
    <col min="14342" max="14344" width="10.7109375" style="8" customWidth="1"/>
    <col min="14345" max="14593" width="11.42578125" style="8"/>
    <col min="14594" max="14596" width="15.7109375" style="8" customWidth="1"/>
    <col min="14597" max="14597" width="40.7109375" style="8" customWidth="1"/>
    <col min="14598" max="14600" width="10.7109375" style="8" customWidth="1"/>
    <col min="14601" max="14849" width="11.42578125" style="8"/>
    <col min="14850" max="14852" width="15.7109375" style="8" customWidth="1"/>
    <col min="14853" max="14853" width="40.7109375" style="8" customWidth="1"/>
    <col min="14854" max="14856" width="10.7109375" style="8" customWidth="1"/>
    <col min="14857" max="15105" width="11.42578125" style="8"/>
    <col min="15106" max="15108" width="15.7109375" style="8" customWidth="1"/>
    <col min="15109" max="15109" width="40.7109375" style="8" customWidth="1"/>
    <col min="15110" max="15112" width="10.7109375" style="8" customWidth="1"/>
    <col min="15113" max="15361" width="11.42578125" style="8"/>
    <col min="15362" max="15364" width="15.7109375" style="8" customWidth="1"/>
    <col min="15365" max="15365" width="40.7109375" style="8" customWidth="1"/>
    <col min="15366" max="15368" width="10.7109375" style="8" customWidth="1"/>
    <col min="15369" max="15617" width="11.42578125" style="8"/>
    <col min="15618" max="15620" width="15.7109375" style="8" customWidth="1"/>
    <col min="15621" max="15621" width="40.7109375" style="8" customWidth="1"/>
    <col min="15622" max="15624" width="10.7109375" style="8" customWidth="1"/>
    <col min="15625" max="15873" width="11.42578125" style="8"/>
    <col min="15874" max="15876" width="15.7109375" style="8" customWidth="1"/>
    <col min="15877" max="15877" width="40.7109375" style="8" customWidth="1"/>
    <col min="15878" max="15880" width="10.7109375" style="8" customWidth="1"/>
    <col min="15881" max="16129" width="11.42578125" style="8"/>
    <col min="16130" max="16132" width="15.7109375" style="8" customWidth="1"/>
    <col min="16133" max="16133" width="40.7109375" style="8" customWidth="1"/>
    <col min="16134" max="16136" width="10.7109375" style="8" customWidth="1"/>
    <col min="16137" max="16384" width="11.42578125" style="8"/>
  </cols>
  <sheetData>
    <row r="1" spans="1:12" x14ac:dyDescent="0.25">
      <c r="B1" s="8" t="s">
        <v>14</v>
      </c>
    </row>
    <row r="3" spans="1:12" x14ac:dyDescent="0.25">
      <c r="B3" s="9" t="s">
        <v>15</v>
      </c>
      <c r="C3" s="9" t="s">
        <v>7</v>
      </c>
      <c r="D3" s="10" t="s">
        <v>16</v>
      </c>
      <c r="E3" s="9" t="s">
        <v>17</v>
      </c>
      <c r="F3" s="10" t="s">
        <v>18</v>
      </c>
      <c r="G3" s="10" t="s">
        <v>19</v>
      </c>
      <c r="H3" s="10" t="s">
        <v>20</v>
      </c>
    </row>
    <row r="4" spans="1:12" ht="25.5" x14ac:dyDescent="0.25">
      <c r="B4" s="11" t="s">
        <v>21</v>
      </c>
      <c r="C4" s="11" t="s">
        <v>22</v>
      </c>
      <c r="D4" s="12">
        <v>0.8</v>
      </c>
      <c r="E4" s="11" t="s">
        <v>23</v>
      </c>
      <c r="F4" s="13">
        <v>338</v>
      </c>
      <c r="G4" s="13" t="s">
        <v>24</v>
      </c>
      <c r="H4" s="14">
        <v>44378</v>
      </c>
      <c r="J4" s="15"/>
      <c r="K4" s="15"/>
    </row>
    <row r="5" spans="1:12" ht="51" x14ac:dyDescent="0.25">
      <c r="B5" s="11" t="s">
        <v>25</v>
      </c>
      <c r="C5" s="11" t="s">
        <v>26</v>
      </c>
      <c r="D5" s="12">
        <f>+J18</f>
        <v>0.17777777777777778</v>
      </c>
      <c r="E5" s="11" t="s">
        <v>27</v>
      </c>
      <c r="F5" s="16">
        <v>78.066000000000003</v>
      </c>
      <c r="G5" s="13" t="s">
        <v>28</v>
      </c>
      <c r="H5" s="14">
        <v>44378</v>
      </c>
      <c r="J5" s="15"/>
      <c r="K5" s="15"/>
    </row>
    <row r="6" spans="1:12" ht="38.25" x14ac:dyDescent="0.25">
      <c r="B6" s="11" t="s">
        <v>29</v>
      </c>
      <c r="C6" s="11" t="s">
        <v>30</v>
      </c>
      <c r="D6" s="12">
        <f>+J19</f>
        <v>7.2222222222222229E-2</v>
      </c>
      <c r="E6" s="11" t="s">
        <v>31</v>
      </c>
      <c r="F6" s="13">
        <v>100</v>
      </c>
      <c r="G6" s="13" t="s">
        <v>28</v>
      </c>
      <c r="H6" s="14">
        <v>44409</v>
      </c>
      <c r="J6" s="15"/>
      <c r="K6" s="15"/>
    </row>
    <row r="7" spans="1:12" x14ac:dyDescent="0.25">
      <c r="B7" s="11" t="s">
        <v>32</v>
      </c>
      <c r="C7" s="11" t="s">
        <v>33</v>
      </c>
      <c r="D7" s="12">
        <f>+J20</f>
        <v>0.05</v>
      </c>
      <c r="E7" s="11" t="s">
        <v>34</v>
      </c>
      <c r="F7" s="13">
        <v>100</v>
      </c>
      <c r="G7" s="13" t="s">
        <v>28</v>
      </c>
      <c r="H7" s="14">
        <v>44378</v>
      </c>
    </row>
    <row r="8" spans="1:12" x14ac:dyDescent="0.25">
      <c r="B8" s="11" t="s">
        <v>2</v>
      </c>
      <c r="C8" s="11" t="s">
        <v>35</v>
      </c>
      <c r="D8" s="12" t="s">
        <v>24</v>
      </c>
      <c r="E8" s="11" t="s">
        <v>36</v>
      </c>
      <c r="F8" s="13">
        <v>103.25</v>
      </c>
      <c r="G8" s="13" t="s">
        <v>28</v>
      </c>
      <c r="H8" s="14">
        <v>44447</v>
      </c>
    </row>
    <row r="11" spans="1:12" x14ac:dyDescent="0.25">
      <c r="H11"/>
    </row>
    <row r="14" spans="1:12" x14ac:dyDescent="0.25">
      <c r="A14" s="76" t="s">
        <v>37</v>
      </c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1:12" x14ac:dyDescent="0.25">
      <c r="J15" s="8" t="s">
        <v>38</v>
      </c>
    </row>
    <row r="17" spans="1:12" ht="20.25" customHeight="1" x14ac:dyDescent="0.25">
      <c r="B17" s="77" t="s">
        <v>39</v>
      </c>
      <c r="C17" s="77"/>
      <c r="D17" s="77"/>
      <c r="E17" s="77"/>
      <c r="F17" s="77"/>
      <c r="G17" s="77"/>
      <c r="I17" s="17" t="s">
        <v>21</v>
      </c>
      <c r="J17" s="18">
        <v>0.7</v>
      </c>
      <c r="K17" s="8">
        <f>1-J17</f>
        <v>0.30000000000000004</v>
      </c>
    </row>
    <row r="18" spans="1:12" ht="38.25" x14ac:dyDescent="0.25">
      <c r="B18" s="19" t="s">
        <v>40</v>
      </c>
      <c r="C18" s="19" t="s">
        <v>41</v>
      </c>
      <c r="D18" s="19" t="s">
        <v>42</v>
      </c>
      <c r="E18" s="19" t="s">
        <v>43</v>
      </c>
      <c r="F18" s="19" t="s">
        <v>44</v>
      </c>
      <c r="G18" s="78" t="s">
        <v>45</v>
      </c>
      <c r="I18" s="17" t="s">
        <v>46</v>
      </c>
      <c r="J18" s="18">
        <f>+L18*$K$17</f>
        <v>0.17777777777777778</v>
      </c>
      <c r="K18" s="8">
        <v>0.16</v>
      </c>
      <c r="L18" s="8">
        <f>+K18/SUM($K$18:$K$20)</f>
        <v>0.59259259259259256</v>
      </c>
    </row>
    <row r="19" spans="1:12" x14ac:dyDescent="0.25">
      <c r="B19" s="20" t="s">
        <v>21</v>
      </c>
      <c r="C19" s="20" t="s">
        <v>46</v>
      </c>
      <c r="D19" s="20" t="s">
        <v>29</v>
      </c>
      <c r="E19" s="20" t="s">
        <v>32</v>
      </c>
      <c r="F19" s="19" t="s">
        <v>47</v>
      </c>
      <c r="G19" s="78"/>
      <c r="I19" s="17" t="s">
        <v>48</v>
      </c>
      <c r="J19" s="18">
        <f t="shared" ref="J19:J20" si="0">+L19*$K$17</f>
        <v>7.2222222222222229E-2</v>
      </c>
      <c r="K19" s="8">
        <v>6.5000000000000002E-2</v>
      </c>
      <c r="L19" s="8">
        <f>+K19/SUM($K$18:$K$20)</f>
        <v>0.24074074074074073</v>
      </c>
    </row>
    <row r="20" spans="1:12" ht="25.5" x14ac:dyDescent="0.25">
      <c r="B20" s="19" t="s">
        <v>49</v>
      </c>
      <c r="C20" s="19" t="s">
        <v>50</v>
      </c>
      <c r="D20" s="19" t="s">
        <v>51</v>
      </c>
      <c r="E20" s="19" t="s">
        <v>52</v>
      </c>
      <c r="F20" s="19" t="s">
        <v>53</v>
      </c>
      <c r="G20" s="78"/>
      <c r="I20" s="17" t="s">
        <v>32</v>
      </c>
      <c r="J20" s="18">
        <f t="shared" si="0"/>
        <v>0.05</v>
      </c>
      <c r="K20" s="8">
        <v>4.4999999999999998E-2</v>
      </c>
      <c r="L20" s="8">
        <f>+K20/SUM($K$18:$K$20)</f>
        <v>0.16666666666666666</v>
      </c>
    </row>
    <row r="21" spans="1:12" x14ac:dyDescent="0.25">
      <c r="A21" s="21">
        <v>44013</v>
      </c>
      <c r="B21" s="22">
        <v>275.60000000000002</v>
      </c>
      <c r="C21" s="22">
        <v>38.74</v>
      </c>
      <c r="D21" s="22">
        <v>100</v>
      </c>
      <c r="E21" s="22">
        <v>484.4</v>
      </c>
      <c r="F21" s="22">
        <v>73.5</v>
      </c>
      <c r="G21" s="23"/>
      <c r="I21" s="17"/>
      <c r="J21" s="17">
        <f>SUM(J17:J20)</f>
        <v>1</v>
      </c>
    </row>
    <row r="22" spans="1:12" x14ac:dyDescent="0.25">
      <c r="A22" s="21">
        <v>44378</v>
      </c>
      <c r="B22" s="24">
        <v>338</v>
      </c>
      <c r="C22" s="24">
        <v>64.66</v>
      </c>
      <c r="D22" s="24">
        <v>150</v>
      </c>
      <c r="E22" s="24">
        <v>789.5</v>
      </c>
      <c r="F22" s="24">
        <v>102.5</v>
      </c>
      <c r="G22" s="24"/>
      <c r="I22" s="17" t="s">
        <v>54</v>
      </c>
      <c r="J22" s="25">
        <f>+G23</f>
        <v>1.20738287882255</v>
      </c>
    </row>
    <row r="23" spans="1:12" x14ac:dyDescent="0.25">
      <c r="A23" s="24"/>
      <c r="B23" s="26">
        <f>+B22/B21</f>
        <v>1.2264150943396226</v>
      </c>
      <c r="C23" s="26">
        <f t="shared" ref="C23:E23" si="1">+C22/C21</f>
        <v>1.6690758905524004</v>
      </c>
      <c r="D23" s="26">
        <f t="shared" si="1"/>
        <v>1.5</v>
      </c>
      <c r="E23" s="26">
        <f t="shared" si="1"/>
        <v>1.6298513625103221</v>
      </c>
      <c r="F23" s="26">
        <f>+F21/F22</f>
        <v>0.71707317073170729</v>
      </c>
      <c r="G23" s="26">
        <f>+J17*B23+F23*(J18*C23+J19*D23+J20*E23)</f>
        <v>1.20738287882255</v>
      </c>
    </row>
    <row r="26" spans="1:12" ht="20.25" thickBot="1" x14ac:dyDescent="0.3"/>
    <row r="27" spans="1:12" ht="20.25" thickBot="1" x14ac:dyDescent="0.3">
      <c r="B27" s="27" t="s">
        <v>7</v>
      </c>
      <c r="C27" s="28" t="s">
        <v>55</v>
      </c>
      <c r="D27" s="28" t="s">
        <v>56</v>
      </c>
      <c r="E27" s="28" t="s">
        <v>57</v>
      </c>
    </row>
    <row r="28" spans="1:12" ht="20.25" thickBot="1" x14ac:dyDescent="0.3">
      <c r="B28" s="29" t="s">
        <v>30</v>
      </c>
      <c r="C28" s="30">
        <v>0.56510000000000005</v>
      </c>
      <c r="D28" s="31" t="s">
        <v>58</v>
      </c>
      <c r="E28" s="32" t="s">
        <v>59</v>
      </c>
    </row>
    <row r="29" spans="1:12" ht="20.25" thickBot="1" x14ac:dyDescent="0.3">
      <c r="B29" s="29" t="s">
        <v>60</v>
      </c>
      <c r="C29" s="30">
        <v>8.2400000000000001E-2</v>
      </c>
      <c r="D29" s="33" t="s">
        <v>34</v>
      </c>
      <c r="E29" s="32" t="s">
        <v>61</v>
      </c>
    </row>
    <row r="30" spans="1:12" ht="20.25" thickBot="1" x14ac:dyDescent="0.3">
      <c r="B30" s="29" t="s">
        <v>62</v>
      </c>
      <c r="C30" s="30">
        <v>0.23749999999999999</v>
      </c>
      <c r="D30" s="31" t="s">
        <v>63</v>
      </c>
      <c r="E30" s="32" t="s">
        <v>64</v>
      </c>
    </row>
    <row r="31" spans="1:12" x14ac:dyDescent="0.25">
      <c r="B31" s="79" t="s">
        <v>65</v>
      </c>
      <c r="C31" s="81">
        <v>0.1004</v>
      </c>
      <c r="D31" s="83" t="s">
        <v>66</v>
      </c>
      <c r="E31" s="34" t="s">
        <v>67</v>
      </c>
    </row>
    <row r="32" spans="1:12" ht="20.25" thickBot="1" x14ac:dyDescent="0.3">
      <c r="B32" s="80"/>
      <c r="C32" s="82"/>
      <c r="D32" s="84"/>
      <c r="E32" s="32" t="s">
        <v>68</v>
      </c>
    </row>
    <row r="33" spans="2:5" ht="20.25" thickBot="1" x14ac:dyDescent="0.3">
      <c r="B33" s="29" t="s">
        <v>69</v>
      </c>
      <c r="C33" s="30">
        <v>1.46E-2</v>
      </c>
      <c r="D33" s="35" t="s">
        <v>70</v>
      </c>
      <c r="E33" s="32" t="s">
        <v>71</v>
      </c>
    </row>
    <row r="34" spans="2:5" ht="20.25" thickBot="1" x14ac:dyDescent="0.3">
      <c r="B34" s="36" t="s">
        <v>72</v>
      </c>
      <c r="C34" s="37">
        <v>1</v>
      </c>
      <c r="D34" s="38"/>
      <c r="E34" s="38"/>
    </row>
  </sheetData>
  <mergeCells count="6">
    <mergeCell ref="A14:L14"/>
    <mergeCell ref="B17:G17"/>
    <mergeCell ref="G18:G20"/>
    <mergeCell ref="B31:B32"/>
    <mergeCell ref="C31:C32"/>
    <mergeCell ref="D31:D32"/>
  </mergeCells>
  <hyperlinks>
    <hyperlink ref="E31" r:id="rId1" display="http://res1104.se.gov.ar/consultaprecios.eess.php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5"/>
  <sheetViews>
    <sheetView showGridLines="0" workbookViewId="0">
      <selection activeCell="E7" sqref="E7"/>
    </sheetView>
  </sheetViews>
  <sheetFormatPr baseColWidth="10" defaultRowHeight="15" x14ac:dyDescent="0.25"/>
  <cols>
    <col min="1" max="1" width="1.28515625" customWidth="1"/>
    <col min="2" max="2" width="5.28515625" customWidth="1"/>
    <col min="3" max="3" width="25" customWidth="1"/>
    <col min="4" max="4" width="13.140625" customWidth="1"/>
    <col min="5" max="5" width="12.85546875" customWidth="1"/>
    <col min="6" max="7" width="12.7109375" customWidth="1"/>
  </cols>
  <sheetData>
    <row r="2" spans="2:8" ht="47.25" customHeight="1" x14ac:dyDescent="0.25">
      <c r="B2" s="1" t="s">
        <v>1</v>
      </c>
      <c r="C2" s="1" t="s">
        <v>7</v>
      </c>
      <c r="D2" s="1" t="s">
        <v>6</v>
      </c>
      <c r="E2" s="1" t="s">
        <v>13</v>
      </c>
      <c r="F2" s="1" t="s">
        <v>12</v>
      </c>
      <c r="G2" s="1" t="s">
        <v>73</v>
      </c>
      <c r="H2" s="1" t="s">
        <v>74</v>
      </c>
    </row>
    <row r="3" spans="2:8" ht="69" customHeight="1" x14ac:dyDescent="0.25">
      <c r="B3" s="2">
        <v>1</v>
      </c>
      <c r="C3" s="3" t="s">
        <v>79</v>
      </c>
      <c r="D3" s="3" t="s">
        <v>75</v>
      </c>
      <c r="E3" s="3" t="s">
        <v>80</v>
      </c>
      <c r="F3" s="5" t="e">
        <f>ROUND('Planilla de Costos - EERR'!#REF!,2)</f>
        <v>#REF!</v>
      </c>
      <c r="G3" s="4" t="e">
        <f>+'Planilla de Costos - EERR'!#REF!</f>
        <v>#REF!</v>
      </c>
      <c r="H3" s="4" t="e">
        <f>+G3*F3</f>
        <v>#REF!</v>
      </c>
    </row>
    <row r="4" spans="2:8" ht="54.75" customHeight="1" x14ac:dyDescent="0.25">
      <c r="B4" s="39">
        <v>2</v>
      </c>
      <c r="C4" s="40" t="s">
        <v>81</v>
      </c>
      <c r="D4" s="39" t="s">
        <v>78</v>
      </c>
      <c r="E4" s="39" t="s">
        <v>82</v>
      </c>
      <c r="F4" s="41" t="e">
        <f>ROUND('Planilla de Costos - EERR'!#REF!,0)</f>
        <v>#REF!</v>
      </c>
      <c r="G4" s="39">
        <v>1</v>
      </c>
      <c r="H4" s="39" t="e">
        <f>+G4*F4</f>
        <v>#REF!</v>
      </c>
    </row>
    <row r="5" spans="2:8" x14ac:dyDescent="0.25">
      <c r="F5" s="6"/>
      <c r="G5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  <pageSetUpPr autoPageBreaks="0" fitToPage="1"/>
  </sheetPr>
  <dimension ref="A1:O8"/>
  <sheetViews>
    <sheetView showGridLines="0" tabSelected="1" zoomScaleNormal="100" workbookViewId="0">
      <pane ySplit="1" topLeftCell="A2" activePane="bottomLeft" state="frozen"/>
      <selection pane="bottomLeft" activeCell="K5" sqref="K5"/>
    </sheetView>
  </sheetViews>
  <sheetFormatPr baseColWidth="10" defaultColWidth="9.140625" defaultRowHeight="15" x14ac:dyDescent="0.25"/>
  <cols>
    <col min="1" max="1" width="21.28515625" style="43" customWidth="1"/>
    <col min="2" max="2" width="7.7109375" style="43" bestFit="1" customWidth="1"/>
    <col min="3" max="3" width="10.7109375" style="43" customWidth="1"/>
    <col min="4" max="4" width="9" style="43" customWidth="1"/>
    <col min="5" max="5" width="11.140625" style="43" bestFit="1" customWidth="1"/>
    <col min="6" max="6" width="5.5703125" style="43" bestFit="1" customWidth="1"/>
    <col min="7" max="7" width="10.7109375" style="43" bestFit="1" customWidth="1"/>
    <col min="8" max="8" width="3" style="43" customWidth="1"/>
    <col min="9" max="9" width="11.28515625" style="43" customWidth="1"/>
    <col min="10" max="10" width="10.5703125" style="43" customWidth="1"/>
    <col min="11" max="11" width="11.140625" style="43" customWidth="1"/>
    <col min="12" max="12" width="8.5703125" style="43" customWidth="1"/>
    <col min="13" max="13" width="7.42578125" style="43" customWidth="1"/>
    <col min="14" max="15" width="10.7109375" style="43" customWidth="1"/>
    <col min="16" max="16" width="3" style="43" customWidth="1"/>
    <col min="17" max="18" width="12.7109375" style="43" customWidth="1"/>
    <col min="19" max="19" width="3" style="43" customWidth="1"/>
    <col min="20" max="21" width="10.85546875" style="43" customWidth="1"/>
    <col min="22" max="22" width="3" style="43" customWidth="1"/>
    <col min="23" max="23" width="11.85546875" style="43" customWidth="1"/>
    <col min="24" max="24" width="3" style="43" customWidth="1"/>
    <col min="25" max="28" width="9.28515625" style="43" customWidth="1"/>
    <col min="29" max="29" width="2.42578125" style="43" customWidth="1"/>
    <col min="30" max="33" width="9.140625" style="43"/>
    <col min="34" max="34" width="4.28515625" style="43" customWidth="1"/>
    <col min="35" max="16384" width="9.140625" style="43"/>
  </cols>
  <sheetData>
    <row r="1" spans="1:15" ht="7.5" customHeight="1" x14ac:dyDescent="0.25"/>
    <row r="2" spans="1:15" ht="47.25" customHeight="1" x14ac:dyDescent="0.25">
      <c r="A2" s="42" t="s">
        <v>89</v>
      </c>
      <c r="B2" s="52" t="s">
        <v>3</v>
      </c>
      <c r="C2" s="52" t="s">
        <v>83</v>
      </c>
      <c r="D2" s="52" t="s">
        <v>4</v>
      </c>
      <c r="E2" s="52" t="s">
        <v>11</v>
      </c>
      <c r="F2" s="52" t="s">
        <v>0</v>
      </c>
      <c r="G2" s="52" t="s">
        <v>5</v>
      </c>
      <c r="H2" s="53"/>
      <c r="I2" s="52" t="s">
        <v>10</v>
      </c>
      <c r="J2" s="52" t="s">
        <v>8</v>
      </c>
      <c r="K2" s="52" t="s">
        <v>9</v>
      </c>
      <c r="L2" s="52" t="s">
        <v>76</v>
      </c>
      <c r="M2" s="52" t="s">
        <v>77</v>
      </c>
    </row>
    <row r="3" spans="1:15" ht="21.75" customHeight="1" x14ac:dyDescent="0.25">
      <c r="A3" s="44" t="s">
        <v>90</v>
      </c>
      <c r="B3" s="45" t="str">
        <f>+B4</f>
        <v>SO4345</v>
      </c>
      <c r="C3" s="46">
        <f>1.47</f>
        <v>1.47</v>
      </c>
      <c r="D3" s="46">
        <f>760/25/350</f>
        <v>8.6857142857142855E-2</v>
      </c>
      <c r="E3" s="47">
        <f>+D3+C3</f>
        <v>1.5568571428571429</v>
      </c>
      <c r="F3" s="48">
        <f>+G3/E3</f>
        <v>1.6571848045512938</v>
      </c>
      <c r="G3" s="48">
        <v>2.58</v>
      </c>
      <c r="H3" s="53"/>
      <c r="I3" s="49">
        <v>7000</v>
      </c>
      <c r="J3" s="49">
        <f>+I3*E3</f>
        <v>10898</v>
      </c>
      <c r="K3" s="49">
        <f>+I3*G3</f>
        <v>18060</v>
      </c>
      <c r="L3" s="50">
        <f>0.945*K3-J3</f>
        <v>6168.7000000000007</v>
      </c>
      <c r="M3" s="51">
        <f>+L3/K3</f>
        <v>0.34156699889258035</v>
      </c>
      <c r="N3" s="43">
        <v>2.65</v>
      </c>
      <c r="O3" s="86">
        <f>(G3-N3)/N3</f>
        <v>-2.6415094339622584E-2</v>
      </c>
    </row>
    <row r="4" spans="1:15" ht="21.75" customHeight="1" x14ac:dyDescent="0.25">
      <c r="A4" s="44" t="s">
        <v>91</v>
      </c>
      <c r="B4" s="45" t="s">
        <v>97</v>
      </c>
      <c r="C4" s="46">
        <f>+C3</f>
        <v>1.47</v>
      </c>
      <c r="D4" s="46">
        <v>0</v>
      </c>
      <c r="E4" s="47">
        <f>+D4+C4</f>
        <v>1.47</v>
      </c>
      <c r="F4" s="48">
        <f>+G4/E4</f>
        <v>1.7551020408163267</v>
      </c>
      <c r="G4" s="48">
        <v>2.58</v>
      </c>
      <c r="H4" s="53"/>
      <c r="I4" s="49">
        <v>24000</v>
      </c>
      <c r="J4" s="49">
        <f>+I4*E4</f>
        <v>35280</v>
      </c>
      <c r="K4" s="49">
        <f>+I4*G4</f>
        <v>61920</v>
      </c>
      <c r="L4" s="50">
        <f>0.945*K4-J4</f>
        <v>23234.399999999994</v>
      </c>
      <c r="M4" s="51">
        <f>+L4/K4</f>
        <v>0.37523255813953477</v>
      </c>
    </row>
    <row r="5" spans="1:15" ht="21.75" customHeight="1" x14ac:dyDescent="0.25">
      <c r="J5" s="72" t="s">
        <v>92</v>
      </c>
      <c r="K5" s="73">
        <f>+SUM(K3:K4)</f>
        <v>79980</v>
      </c>
    </row>
    <row r="6" spans="1:15" ht="21.75" customHeight="1" x14ac:dyDescent="0.25">
      <c r="A6" s="71" t="s">
        <v>94</v>
      </c>
      <c r="B6" s="74">
        <v>0.62</v>
      </c>
      <c r="C6" s="75">
        <f>+B6/$B$8-1</f>
        <v>-0.11428571428571421</v>
      </c>
      <c r="D6" s="85" t="s">
        <v>96</v>
      </c>
      <c r="E6" s="85"/>
      <c r="F6" s="85"/>
      <c r="G6" s="85"/>
    </row>
    <row r="7" spans="1:15" ht="21.75" customHeight="1" x14ac:dyDescent="0.25">
      <c r="A7" s="71" t="s">
        <v>93</v>
      </c>
      <c r="B7" s="74">
        <v>0.66</v>
      </c>
      <c r="C7" s="71"/>
      <c r="D7" s="85"/>
      <c r="E7" s="85"/>
      <c r="F7" s="85"/>
      <c r="G7" s="85"/>
    </row>
    <row r="8" spans="1:15" ht="21.75" customHeight="1" x14ac:dyDescent="0.25">
      <c r="A8" s="71" t="s">
        <v>95</v>
      </c>
      <c r="B8" s="74">
        <v>0.7</v>
      </c>
      <c r="C8" s="71">
        <f t="shared" ref="C8" si="0">+B8/$B$8</f>
        <v>1</v>
      </c>
      <c r="D8" s="85"/>
      <c r="E8" s="85"/>
      <c r="F8" s="85"/>
      <c r="G8" s="85"/>
      <c r="O8" s="43">
        <f>1.45*1.3</f>
        <v>1.885</v>
      </c>
    </row>
  </sheetData>
  <mergeCells count="3">
    <mergeCell ref="D6:G6"/>
    <mergeCell ref="D7:G7"/>
    <mergeCell ref="D8:G8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47BC7-733E-47CA-AB14-27F296FABCCF}">
  <dimension ref="C4:F12"/>
  <sheetViews>
    <sheetView showGridLines="0" workbookViewId="0">
      <selection activeCell="J16" sqref="J16"/>
    </sheetView>
  </sheetViews>
  <sheetFormatPr baseColWidth="10" defaultRowHeight="18.75" x14ac:dyDescent="0.3"/>
  <cols>
    <col min="1" max="2" width="11.42578125" style="57"/>
    <col min="3" max="3" width="13.5703125" style="57" bestFit="1" customWidth="1"/>
    <col min="4" max="4" width="11.42578125" style="57"/>
    <col min="5" max="5" width="5.5703125" style="57" bestFit="1" customWidth="1"/>
    <col min="6" max="16384" width="11.42578125" style="57"/>
  </cols>
  <sheetData>
    <row r="4" spans="3:6" x14ac:dyDescent="0.3">
      <c r="C4" s="54" t="s">
        <v>84</v>
      </c>
      <c r="D4" s="55">
        <v>3000</v>
      </c>
      <c r="E4" s="56"/>
    </row>
    <row r="5" spans="3:6" x14ac:dyDescent="0.3">
      <c r="C5" s="58" t="s">
        <v>86</v>
      </c>
      <c r="D5" s="59">
        <v>522</v>
      </c>
      <c r="E5" s="60"/>
    </row>
    <row r="6" spans="3:6" x14ac:dyDescent="0.3">
      <c r="C6" s="58" t="s">
        <v>85</v>
      </c>
      <c r="D6" s="61">
        <f>+D4/D5</f>
        <v>5.7471264367816088</v>
      </c>
      <c r="E6" s="60"/>
    </row>
    <row r="7" spans="3:6" x14ac:dyDescent="0.3">
      <c r="C7" s="62" t="s">
        <v>87</v>
      </c>
      <c r="D7" s="63">
        <v>45139</v>
      </c>
      <c r="E7" s="64">
        <v>522</v>
      </c>
    </row>
    <row r="8" spans="3:6" x14ac:dyDescent="0.3">
      <c r="C8" s="65"/>
      <c r="D8" s="66">
        <v>45170</v>
      </c>
      <c r="E8" s="67">
        <v>522</v>
      </c>
    </row>
    <row r="9" spans="3:6" x14ac:dyDescent="0.3">
      <c r="C9" s="65"/>
      <c r="D9" s="66">
        <v>45200</v>
      </c>
      <c r="E9" s="67">
        <v>522</v>
      </c>
    </row>
    <row r="10" spans="3:6" x14ac:dyDescent="0.3">
      <c r="C10" s="65"/>
      <c r="D10" s="66">
        <v>45231</v>
      </c>
      <c r="E10" s="67">
        <v>522</v>
      </c>
    </row>
    <row r="11" spans="3:6" x14ac:dyDescent="0.3">
      <c r="C11" s="65"/>
      <c r="D11" s="66">
        <v>45261</v>
      </c>
      <c r="E11" s="67">
        <v>522</v>
      </c>
    </row>
    <row r="12" spans="3:6" x14ac:dyDescent="0.3">
      <c r="C12" s="68"/>
      <c r="D12" s="69">
        <v>44927</v>
      </c>
      <c r="E12" s="70">
        <f>+D4-SUM(E7:E11)</f>
        <v>390</v>
      </c>
      <c r="F12" s="57" t="s">
        <v>88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Props1.xml><?xml version="1.0" encoding="utf-8"?>
<ds:datastoreItem xmlns:ds="http://schemas.openxmlformats.org/officeDocument/2006/customXml" ds:itemID="{A25F9A26-ACAC-4C7B-AAEA-8D10980908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D7F57E6-D781-425B-8B0E-C19C5A825C19}"/>
</file>

<file path=customXml/itemProps3.xml><?xml version="1.0" encoding="utf-8"?>
<ds:datastoreItem xmlns:ds="http://schemas.openxmlformats.org/officeDocument/2006/customXml" ds:itemID="{3DDA6BA8-91BD-45C7-820E-747ACFB892FC}">
  <ds:schemaRefs>
    <ds:schemaRef ds:uri="http://schemas.microsoft.com/office/2006/metadata/properties"/>
    <ds:schemaRef ds:uri="http://schemas.microsoft.com/office/infopath/2007/PartnerControls"/>
    <ds:schemaRef ds:uri="730269a7-69c5-483f-a552-e74dab880ae2"/>
    <ds:schemaRef ds:uri="40de77e2-37bb-4c7a-ab4d-547915d9955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Fórmulas de Ajuste</vt:lpstr>
      <vt:lpstr>Planilla de Cotizacion</vt:lpstr>
      <vt:lpstr>Planilla de Costos - EERR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fserem</dc:creator>
  <cp:lastModifiedBy>Lopez, Jimmy</cp:lastModifiedBy>
  <dcterms:created xsi:type="dcterms:W3CDTF">2018-08-13T19:18:03Z</dcterms:created>
  <dcterms:modified xsi:type="dcterms:W3CDTF">2023-11-21T14:59:10Z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MediaServiceImageTags">
    <vt:lpwstr/>
  </property>
</Properties>
</file>