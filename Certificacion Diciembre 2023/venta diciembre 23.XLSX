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evangelina_cordero_pecomenergia_com_ar/Documents/Evangelina/Yacimiento/Catriel 12121/Diciembre 2023/"/>
    </mc:Choice>
  </mc:AlternateContent>
  <xr:revisionPtr revIDLastSave="58" documentId="11_B81E5C5EC4094EAA30437484A0FC2E42030EA870" xr6:coauthVersionLast="47" xr6:coauthVersionMax="47" xr10:uidLastSave="{77ADCD08-7BFC-46B3-ADF3-D59F687889B6}"/>
  <bookViews>
    <workbookView xWindow="-120" yWindow="-120" windowWidth="20730" windowHeight="11160" activeTab="3" xr2:uid="{00000000-000D-0000-FFFF-FFFF00000000}"/>
  </bookViews>
  <sheets>
    <sheet name="Hoja2" sheetId="3" r:id="rId1"/>
    <sheet name="Hoja5" sheetId="6" r:id="rId2"/>
    <sheet name="Hoja4" sheetId="7" r:id="rId3"/>
    <sheet name="Hoja3" sheetId="4" r:id="rId4"/>
    <sheet name="Sheet1" sheetId="1" r:id="rId5"/>
    <sheet name="Hoja1" sheetId="2" r:id="rId6"/>
  </sheets>
  <definedNames>
    <definedName name="_xlnm._FilterDatabase" localSheetId="4" hidden="1">Sheet1!$A$1:$BF$141</definedName>
  </definedNames>
  <calcPr calcId="191029"/>
  <pivotCaches>
    <pivotCache cacheId="12" r:id="rId7"/>
    <pivotCache cacheId="1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" i="1" l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G37" i="4"/>
  <c r="G36" i="4"/>
  <c r="F34" i="4"/>
  <c r="D34" i="4"/>
  <c r="B34" i="4"/>
  <c r="BE2" i="1" l="1"/>
</calcChain>
</file>

<file path=xl/sharedStrings.xml><?xml version="1.0" encoding="utf-8"?>
<sst xmlns="http://schemas.openxmlformats.org/spreadsheetml/2006/main" count="6259" uniqueCount="419">
  <si>
    <t>AR20</t>
  </si>
  <si>
    <t>AR02</t>
  </si>
  <si>
    <t/>
  </si>
  <si>
    <t>QIPETQDES</t>
  </si>
  <si>
    <t>ZBOL</t>
  </si>
  <si>
    <t>1153653</t>
  </si>
  <si>
    <t>10</t>
  </si>
  <si>
    <t>ECORDER</t>
  </si>
  <si>
    <t>ZLF</t>
  </si>
  <si>
    <t>80098473</t>
  </si>
  <si>
    <t>ZEFC</t>
  </si>
  <si>
    <t>90162416</t>
  </si>
  <si>
    <t>22</t>
  </si>
  <si>
    <t>M</t>
  </si>
  <si>
    <t>0026R00011162</t>
  </si>
  <si>
    <t>00021A00042271</t>
  </si>
  <si>
    <t>ZMAT</t>
  </si>
  <si>
    <t>Vista-AMOR- PQ-noviembre 2023</t>
  </si>
  <si>
    <t>ZTAN</t>
  </si>
  <si>
    <t>DBN2446CT</t>
  </si>
  <si>
    <t>DESEMULSIONANTE</t>
  </si>
  <si>
    <t>lt</t>
  </si>
  <si>
    <t>32100001</t>
  </si>
  <si>
    <t>102320</t>
  </si>
  <si>
    <t>HIDROCARBUR.DEL NEUQUENAGUILA MORA</t>
  </si>
  <si>
    <t>30711235899</t>
  </si>
  <si>
    <t>AR</t>
  </si>
  <si>
    <t>20</t>
  </si>
  <si>
    <t>USD</t>
  </si>
  <si>
    <t>806,85000</t>
  </si>
  <si>
    <t>804,20000</t>
  </si>
  <si>
    <t>AR0CATQ102</t>
  </si>
  <si>
    <t>40001821</t>
  </si>
  <si>
    <t>QIPETQINH</t>
  </si>
  <si>
    <t>23</t>
  </si>
  <si>
    <t>IC5091CT</t>
  </si>
  <si>
    <t>INHIBID DE INCRUSTACIONES IC5091CT REV</t>
  </si>
  <si>
    <t>QIPETQSOL</t>
  </si>
  <si>
    <t>30</t>
  </si>
  <si>
    <t>SB14CT</t>
  </si>
  <si>
    <t>SOLVENTE</t>
  </si>
  <si>
    <t>VECLIETQ3</t>
  </si>
  <si>
    <t>1155308</t>
  </si>
  <si>
    <t>80098277</t>
  </si>
  <si>
    <t>90162324</t>
  </si>
  <si>
    <t>0003R00008473</t>
  </si>
  <si>
    <t>00021A00042194</t>
  </si>
  <si>
    <t>ZSER</t>
  </si>
  <si>
    <t>1000092115</t>
  </si>
  <si>
    <t>ZTAX</t>
  </si>
  <si>
    <t>20002378</t>
  </si>
  <si>
    <t>SERVICIO DE OPERACION Y MTTO</t>
  </si>
  <si>
    <t>un</t>
  </si>
  <si>
    <t>31100001</t>
  </si>
  <si>
    <t>102151</t>
  </si>
  <si>
    <t>Vista Oíl &amp; Gas Argentina SA</t>
  </si>
  <si>
    <t>33515950899</t>
  </si>
  <si>
    <t>803,70000</t>
  </si>
  <si>
    <t>1155564</t>
  </si>
  <si>
    <t>80098552</t>
  </si>
  <si>
    <t>90162480</t>
  </si>
  <si>
    <t>0003R00008483</t>
  </si>
  <si>
    <t>00021A00042331</t>
  </si>
  <si>
    <t>1000092750</t>
  </si>
  <si>
    <t>20002374</t>
  </si>
  <si>
    <t>SERV</t>
  </si>
  <si>
    <t>ARS</t>
  </si>
  <si>
    <t>353,95000</t>
  </si>
  <si>
    <t>804,75000</t>
  </si>
  <si>
    <t>40001822</t>
  </si>
  <si>
    <t>1155594</t>
  </si>
  <si>
    <t>80098627</t>
  </si>
  <si>
    <t>90162482</t>
  </si>
  <si>
    <t>0003R00008486</t>
  </si>
  <si>
    <t>00021A00042333</t>
  </si>
  <si>
    <t>1000092746</t>
  </si>
  <si>
    <t>40</t>
  </si>
  <si>
    <t>IPB650ACT</t>
  </si>
  <si>
    <t>INHIBID DE PARAFINAS IPB650ACT REV "L"</t>
  </si>
  <si>
    <t>50</t>
  </si>
  <si>
    <t>60</t>
  </si>
  <si>
    <t>1155595</t>
  </si>
  <si>
    <t>80098628</t>
  </si>
  <si>
    <t>90162484</t>
  </si>
  <si>
    <t>0003R00008487</t>
  </si>
  <si>
    <t>00021A00042335</t>
  </si>
  <si>
    <t>1000092749</t>
  </si>
  <si>
    <t>102620</t>
  </si>
  <si>
    <t>VISTA ENERGY ARGENTINA SAU-TRAFIGUR</t>
  </si>
  <si>
    <t>30717859363</t>
  </si>
  <si>
    <t>1155596</t>
  </si>
  <si>
    <t>02</t>
  </si>
  <si>
    <t>80098629</t>
  </si>
  <si>
    <t>0</t>
  </si>
  <si>
    <t>0025R00004893</t>
  </si>
  <si>
    <t>Vista-UTE- pq-noviembre 2023</t>
  </si>
  <si>
    <t>102540</t>
  </si>
  <si>
    <t>AREA BAJADA DEL PALO OESTE U. T. E.</t>
  </si>
  <si>
    <t>30717233480</t>
  </si>
  <si>
    <t>1155597</t>
  </si>
  <si>
    <t>80098630</t>
  </si>
  <si>
    <t>0003R00008488</t>
  </si>
  <si>
    <t>ZNRE</t>
  </si>
  <si>
    <t>1155599</t>
  </si>
  <si>
    <t>80098632</t>
  </si>
  <si>
    <t>0025R00004894</t>
  </si>
  <si>
    <t>Aconcagua-EL- PQ-diciembre 2023</t>
  </si>
  <si>
    <t>102345</t>
  </si>
  <si>
    <t>PETROLERA ACONCAGUA ENERGIA S.A.</t>
  </si>
  <si>
    <t>30714814229</t>
  </si>
  <si>
    <t>1155600</t>
  </si>
  <si>
    <t>80098633</t>
  </si>
  <si>
    <t>0025R00004895</t>
  </si>
  <si>
    <t>SER-11003</t>
  </si>
  <si>
    <t>20002366</t>
  </si>
  <si>
    <t>ALQUILER DE EQUIPO DOSIFICADOR</t>
  </si>
  <si>
    <t>1155601</t>
  </si>
  <si>
    <t>80098634</t>
  </si>
  <si>
    <t>0025R00004896</t>
  </si>
  <si>
    <t>PS-EM-PQ-diciembre 2023</t>
  </si>
  <si>
    <t>CY802CT</t>
  </si>
  <si>
    <t>INHIBID DE CORROSION CY802CT REV "K"</t>
  </si>
  <si>
    <t>102225</t>
  </si>
  <si>
    <t>PETROLEOS SUDAMERICANOS S.A.</t>
  </si>
  <si>
    <t>33652607689</t>
  </si>
  <si>
    <t>40001423</t>
  </si>
  <si>
    <t>IC5087CT</t>
  </si>
  <si>
    <t>INHIBID DE INCRUSTACIONES IC5087CT REV</t>
  </si>
  <si>
    <t>IPB71CT</t>
  </si>
  <si>
    <t>INHIBID DE PARAFINAS IPB71CT; REVISION</t>
  </si>
  <si>
    <t>QIPETQANE</t>
  </si>
  <si>
    <t>ABC11CT</t>
  </si>
  <si>
    <t>ANTIESPUM ABC11CT REV K</t>
  </si>
  <si>
    <t>QIPETQBAC</t>
  </si>
  <si>
    <t>BXC3201CT</t>
  </si>
  <si>
    <t>BACTERICIDA</t>
  </si>
  <si>
    <t>BX960CT</t>
  </si>
  <si>
    <t>70</t>
  </si>
  <si>
    <t>DBN5182CT</t>
  </si>
  <si>
    <t>80</t>
  </si>
  <si>
    <t>IC5098CT</t>
  </si>
  <si>
    <t>INHIBID DE INCRUSTACIONES IC5098CT REV</t>
  </si>
  <si>
    <t>90</t>
  </si>
  <si>
    <t>IPB651CT</t>
  </si>
  <si>
    <t>INHIBID DE PARAFINAS IPB651CT REV "G"</t>
  </si>
  <si>
    <t>100</t>
  </si>
  <si>
    <t>IPB68CT</t>
  </si>
  <si>
    <t>INHIBID DE PARAFINAS IPB68CT REV "A"</t>
  </si>
  <si>
    <t>110</t>
  </si>
  <si>
    <t>IPB78CT</t>
  </si>
  <si>
    <t>INHIBID DE PARAFINAS IPB78CT; REVISION</t>
  </si>
  <si>
    <t>120</t>
  </si>
  <si>
    <t>DBN5645CT</t>
  </si>
  <si>
    <t>130</t>
  </si>
  <si>
    <t>BX836CT</t>
  </si>
  <si>
    <t>140</t>
  </si>
  <si>
    <t>SB45CT</t>
  </si>
  <si>
    <t>MAPETQPES</t>
  </si>
  <si>
    <t>150</t>
  </si>
  <si>
    <t>IPB935DCT</t>
  </si>
  <si>
    <t>INHIBIDOR DE PARAFINAS</t>
  </si>
  <si>
    <t>160</t>
  </si>
  <si>
    <t>20002380</t>
  </si>
  <si>
    <t>SERVICIO DE PROVISION PQ</t>
  </si>
  <si>
    <t>170</t>
  </si>
  <si>
    <t>20002186</t>
  </si>
  <si>
    <t>SERVICIO TRAT. DE DESPARAFINACION</t>
  </si>
  <si>
    <t>1155602</t>
  </si>
  <si>
    <t>80098635</t>
  </si>
  <si>
    <t>0025R00004897</t>
  </si>
  <si>
    <t>PS-EM-SERV-diciembre 2023</t>
  </si>
  <si>
    <t>20002369</t>
  </si>
  <si>
    <t>SERVICIO DE REPOSICION</t>
  </si>
  <si>
    <t>40001578</t>
  </si>
  <si>
    <t>1155603</t>
  </si>
  <si>
    <t>80098636</t>
  </si>
  <si>
    <t>0025R00004898</t>
  </si>
  <si>
    <t>PS-EM-BBA-diciembre 2023</t>
  </si>
  <si>
    <t>20002585</t>
  </si>
  <si>
    <t>SERV.MANTENIMIENTO EQUIPOS DOS</t>
  </si>
  <si>
    <t>1155604</t>
  </si>
  <si>
    <t>80098637</t>
  </si>
  <si>
    <t>0025R00004899</t>
  </si>
  <si>
    <t>PS-LR y ES-PQ-diciembre 2023</t>
  </si>
  <si>
    <t>IC5400CT</t>
  </si>
  <si>
    <t>INHIBID DE INCRUSTACIONES IC5400CT REV</t>
  </si>
  <si>
    <t>DBN5631CT</t>
  </si>
  <si>
    <t>DESEMULS</t>
  </si>
  <si>
    <t>FBS2000CT</t>
  </si>
  <si>
    <t>FLOCULANTE</t>
  </si>
  <si>
    <t>QIMPTQINH</t>
  </si>
  <si>
    <t>SO4207</t>
  </si>
  <si>
    <t>SECUESTRANTE DE OXIGENO</t>
  </si>
  <si>
    <t>tam</t>
  </si>
  <si>
    <t>RT740CT</t>
  </si>
  <si>
    <t>QIPETQFLO</t>
  </si>
  <si>
    <t>FBS1599</t>
  </si>
  <si>
    <t>1155605</t>
  </si>
  <si>
    <t>80098638</t>
  </si>
  <si>
    <t>0025R00004900</t>
  </si>
  <si>
    <t>1155606</t>
  </si>
  <si>
    <t>80098639</t>
  </si>
  <si>
    <t>0025R00004901</t>
  </si>
  <si>
    <t>1155608</t>
  </si>
  <si>
    <t>80098641</t>
  </si>
  <si>
    <t>0025R00004902</t>
  </si>
  <si>
    <t>PQ-diciembre 2023-UTE PS</t>
  </si>
  <si>
    <t>102305</t>
  </si>
  <si>
    <t>PET.SUDAMER.S.A.JCR S.A.HOMAQ S.A.U</t>
  </si>
  <si>
    <t>30641046074</t>
  </si>
  <si>
    <t>40001560</t>
  </si>
  <si>
    <t>CY51WCT</t>
  </si>
  <si>
    <t>INHIBID DE CORROSION CY51WCT REV " AK "</t>
  </si>
  <si>
    <t>IC220CT</t>
  </si>
  <si>
    <t>INHIBID DE INCRUSTACIONES IC220CT REV "J</t>
  </si>
  <si>
    <t>QIPETQRDF</t>
  </si>
  <si>
    <t>RFB625CT</t>
  </si>
  <si>
    <t>REDUCTOR DE FRICCIÓN</t>
  </si>
  <si>
    <t>DBN1710CT</t>
  </si>
  <si>
    <t>SB29CT</t>
  </si>
  <si>
    <t>DBN7203CT</t>
  </si>
  <si>
    <t>DBN7311CT</t>
  </si>
  <si>
    <t>FBS9550CT</t>
  </si>
  <si>
    <t>IC7016CT</t>
  </si>
  <si>
    <t>INHIBID DE INCRUSTACIONES IC7016CT</t>
  </si>
  <si>
    <t>1155609</t>
  </si>
  <si>
    <t>80098642</t>
  </si>
  <si>
    <t>0025R00004903</t>
  </si>
  <si>
    <t>SER-diciembre 2023-UTE PS</t>
  </si>
  <si>
    <t>40001581</t>
  </si>
  <si>
    <t>1155610</t>
  </si>
  <si>
    <t>80098643</t>
  </si>
  <si>
    <t>0025R00004904</t>
  </si>
  <si>
    <t>BBA-diciembre 2023-UTE PS</t>
  </si>
  <si>
    <t>1155612</t>
  </si>
  <si>
    <t>80098645</t>
  </si>
  <si>
    <t>0026R00011172</t>
  </si>
  <si>
    <t>SERV-Paso Barda- diciembre 2023</t>
  </si>
  <si>
    <t>100062</t>
  </si>
  <si>
    <t>YPF S.A.</t>
  </si>
  <si>
    <t>30546689979</t>
  </si>
  <si>
    <t>AR0RSTQ102</t>
  </si>
  <si>
    <t>40001412</t>
  </si>
  <si>
    <t>1155613</t>
  </si>
  <si>
    <t>80098646</t>
  </si>
  <si>
    <t>0026R00011173</t>
  </si>
  <si>
    <t>PQ-MA- diciembre 2023</t>
  </si>
  <si>
    <t>RT80CT</t>
  </si>
  <si>
    <t>32100020</t>
  </si>
  <si>
    <t>200000</t>
  </si>
  <si>
    <t>PECOM SERVICIOS MEDIOAMBIENTALES S.</t>
  </si>
  <si>
    <t>30709858595</t>
  </si>
  <si>
    <t>1155614</t>
  </si>
  <si>
    <t>80098647</t>
  </si>
  <si>
    <t>0026R00011174</t>
  </si>
  <si>
    <t>Vista-AMOR- PQ-diciembre 2023</t>
  </si>
  <si>
    <t>20002359</t>
  </si>
  <si>
    <t>SERVICIO DE DOSIFICACION PTOS QUIMICOS</t>
  </si>
  <si>
    <t>1155615</t>
  </si>
  <si>
    <t>80098648</t>
  </si>
  <si>
    <t>0026R00011175</t>
  </si>
  <si>
    <t>Vista-AMOR-SERV reposiciÃ³n-diciemb</t>
  </si>
  <si>
    <t>1155616</t>
  </si>
  <si>
    <t>80098649</t>
  </si>
  <si>
    <t>0025R00004905</t>
  </si>
  <si>
    <t>Vista VRU-diciembre 2023</t>
  </si>
  <si>
    <t>1155617</t>
  </si>
  <si>
    <t>80098650</t>
  </si>
  <si>
    <t>0025R00004906</t>
  </si>
  <si>
    <t>Vista-VRU-SERV reposiciÃ³n-diciembr</t>
  </si>
  <si>
    <t>1155619</t>
  </si>
  <si>
    <t>80098651</t>
  </si>
  <si>
    <t>0025R00004907</t>
  </si>
  <si>
    <t>Vista-SERV reposiciÃ³n-diciembre 20</t>
  </si>
  <si>
    <t>1155621</t>
  </si>
  <si>
    <t>80098652</t>
  </si>
  <si>
    <t>0025R00004908</t>
  </si>
  <si>
    <t>Vista-BP- BBA Solar-diciembre 2023</t>
  </si>
  <si>
    <t>ZKE</t>
  </si>
  <si>
    <t>1155622</t>
  </si>
  <si>
    <t>80098653</t>
  </si>
  <si>
    <t>0003R00008490</t>
  </si>
  <si>
    <t>Vista-diciembre 2023 pq</t>
  </si>
  <si>
    <t>KEN</t>
  </si>
  <si>
    <t>QIPETQESP</t>
  </si>
  <si>
    <t>ESB9846CT</t>
  </si>
  <si>
    <t>ESPUMIG ESB9846CT</t>
  </si>
  <si>
    <t>IPB953CT</t>
  </si>
  <si>
    <t>INHIBID DE PARAFINAS IPB953CT; REVISION</t>
  </si>
  <si>
    <t>ZKB</t>
  </si>
  <si>
    <t>1155623</t>
  </si>
  <si>
    <t>80098654</t>
  </si>
  <si>
    <t>0003R00008489</t>
  </si>
  <si>
    <t>KBN</t>
  </si>
  <si>
    <t>1155791</t>
  </si>
  <si>
    <t>80098830</t>
  </si>
  <si>
    <t>0026R00011189</t>
  </si>
  <si>
    <t>PQ-diciembre 2023-CHO PS</t>
  </si>
  <si>
    <t>DBN1464CT</t>
  </si>
  <si>
    <t>DESEMULS DBN1464CT</t>
  </si>
  <si>
    <t>1155792</t>
  </si>
  <si>
    <t>80098831</t>
  </si>
  <si>
    <t>0026R00011190</t>
  </si>
  <si>
    <t>SER-diciembre 2023-CHO PS</t>
  </si>
  <si>
    <t>1155793</t>
  </si>
  <si>
    <t>80098833</t>
  </si>
  <si>
    <t>0026R00011191</t>
  </si>
  <si>
    <t>BBA-diciembre 2023-CHO PS</t>
  </si>
  <si>
    <t>1155837</t>
  </si>
  <si>
    <t>80098860</t>
  </si>
  <si>
    <t>0025R00004938</t>
  </si>
  <si>
    <t>PQ-Catriel- diciembre 2023</t>
  </si>
  <si>
    <t>AR0CATQ101</t>
  </si>
  <si>
    <t>40001411</t>
  </si>
  <si>
    <t>RFB790CT</t>
  </si>
  <si>
    <t>REDUCTOR DE FRICCION</t>
  </si>
  <si>
    <t>IC5087ACT</t>
  </si>
  <si>
    <t>INHIBID DE INCRUSTACIONES</t>
  </si>
  <si>
    <t>ICS400CT</t>
  </si>
  <si>
    <t>INHIBID MULTIPROPOSITO ICS400CT; REVISIO</t>
  </si>
  <si>
    <t>IPB650CT</t>
  </si>
  <si>
    <t>INHIBID DE PARAFINAS IPB650CT REV "R"</t>
  </si>
  <si>
    <t>QIPETQSEC</t>
  </si>
  <si>
    <t>BSH8050CT</t>
  </si>
  <si>
    <t>SECUESTR DE SULFHIDRICO BSH8050CT</t>
  </si>
  <si>
    <t>IPB658CT</t>
  </si>
  <si>
    <t>INHIBID DE PARAFINAS</t>
  </si>
  <si>
    <t>IC7001</t>
  </si>
  <si>
    <t>INHIBIDOR DE INCRUSTACIONES</t>
  </si>
  <si>
    <t>IPB279CT</t>
  </si>
  <si>
    <t>INHIBID DE PARAFINAS IPB279CT REV "A"</t>
  </si>
  <si>
    <t>1155838</t>
  </si>
  <si>
    <t>80098861</t>
  </si>
  <si>
    <t>0025R00004939</t>
  </si>
  <si>
    <t>SERV-Catriel- diciembre 2023</t>
  </si>
  <si>
    <t>ZKA</t>
  </si>
  <si>
    <t>60008049</t>
  </si>
  <si>
    <t>SELIZON</t>
  </si>
  <si>
    <t>ZLR</t>
  </si>
  <si>
    <t>84004397</t>
  </si>
  <si>
    <t>KAN</t>
  </si>
  <si>
    <t>60008050</t>
  </si>
  <si>
    <t>84004398</t>
  </si>
  <si>
    <t>60008051</t>
  </si>
  <si>
    <t>84004399</t>
  </si>
  <si>
    <t>QIPETQDIS</t>
  </si>
  <si>
    <t>DPA7367CT</t>
  </si>
  <si>
    <t>DISPERS DE ASFALTENOS DPA7367CT</t>
  </si>
  <si>
    <t>IPB22CT</t>
  </si>
  <si>
    <t>INHIBID DE PARAFINAS IPB22CT REV "A"</t>
  </si>
  <si>
    <t>IPB6256CT</t>
  </si>
  <si>
    <t>INHIBID DE ASFALTENOS IPB6256CT REV "J"</t>
  </si>
  <si>
    <t>Org. Vta.</t>
  </si>
  <si>
    <t>Oficina de venta</t>
  </si>
  <si>
    <t>Grupo de vendedores</t>
  </si>
  <si>
    <t>Área Petrolera</t>
  </si>
  <si>
    <t>Rubro/Subrubro</t>
  </si>
  <si>
    <t>Clase de Pedido</t>
  </si>
  <si>
    <t>Pedido</t>
  </si>
  <si>
    <t>Pos.Pedido</t>
  </si>
  <si>
    <t>Usuario creación</t>
  </si>
  <si>
    <t>Bloqueo Facturación</t>
  </si>
  <si>
    <t>Clase Remito</t>
  </si>
  <si>
    <t>Entrega</t>
  </si>
  <si>
    <t>Pos.Entrega</t>
  </si>
  <si>
    <t>Clase Factura</t>
  </si>
  <si>
    <t>Factura</t>
  </si>
  <si>
    <t>Posición</t>
  </si>
  <si>
    <t>Tipo de Factura</t>
  </si>
  <si>
    <t>N° Legal Remito</t>
  </si>
  <si>
    <t>Fecha Inicio Prestación de servicios</t>
  </si>
  <si>
    <t>Fecha Prestación de servicios</t>
  </si>
  <si>
    <t>Fecha Remito</t>
  </si>
  <si>
    <t>Nuevo precio</t>
  </si>
  <si>
    <t>Precio variable</t>
  </si>
  <si>
    <t>N° Legal Factura</t>
  </si>
  <si>
    <t>Fecha Factura</t>
  </si>
  <si>
    <t>Tipo Producto</t>
  </si>
  <si>
    <t>Certificado</t>
  </si>
  <si>
    <t>Tipo de posición</t>
  </si>
  <si>
    <t>Material</t>
  </si>
  <si>
    <t>Descripción Material</t>
  </si>
  <si>
    <t>Cantidad Remito</t>
  </si>
  <si>
    <t>Cantidad facturada</t>
  </si>
  <si>
    <t>Monto unitario en moneda origen</t>
  </si>
  <si>
    <t>Monto en moneda Origen</t>
  </si>
  <si>
    <t>Monto en Pesos Remito</t>
  </si>
  <si>
    <t>Monto fac Moneda</t>
  </si>
  <si>
    <t>Unidad de Medida</t>
  </si>
  <si>
    <t>Fecha Ult.Rev.Provision</t>
  </si>
  <si>
    <t>Monto Rev.Provision</t>
  </si>
  <si>
    <t>Fecha Ult.Provision</t>
  </si>
  <si>
    <t>Monto Provision</t>
  </si>
  <si>
    <t>Cuenta Contable</t>
  </si>
  <si>
    <t>Solicitante</t>
  </si>
  <si>
    <t>Nombre de Cliente</t>
  </si>
  <si>
    <t>Cuit de Cliente</t>
  </si>
  <si>
    <t>Lugar prestación (PAIS)</t>
  </si>
  <si>
    <t>Lugar prestación (provincia)</t>
  </si>
  <si>
    <t>Moneda Remito</t>
  </si>
  <si>
    <t>Tipo de cambio Remito</t>
  </si>
  <si>
    <t>Tipo de cambio factura</t>
  </si>
  <si>
    <t>Exposure</t>
  </si>
  <si>
    <t>Orden</t>
  </si>
  <si>
    <t>CEBE</t>
  </si>
  <si>
    <t>PEP</t>
  </si>
  <si>
    <t>Contrato</t>
  </si>
  <si>
    <t>cc</t>
  </si>
  <si>
    <t>usd total</t>
  </si>
  <si>
    <t>Etiquetas de columna</t>
  </si>
  <si>
    <t>Total general</t>
  </si>
  <si>
    <t>Etiquetas de fila</t>
  </si>
  <si>
    <t>Suma de usd total</t>
  </si>
  <si>
    <t>Aconcagua-BBA-diciembre 2023</t>
  </si>
  <si>
    <t>1155611</t>
  </si>
  <si>
    <t>80098644</t>
  </si>
  <si>
    <t>0026R00011214</t>
  </si>
  <si>
    <t>PQ-Paso Barda- diciembre 2023</t>
  </si>
  <si>
    <t>Suma de Monto en moneda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</si>
</sst>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6">
    <dxf>
      <numFmt numFmtId="19" formatCode="d/m/yyyy"/>
      <alignment horizontal="general" vertical="top" textRotation="0" wrapText="0" indent="0" justifyLastLine="0" shrinkToFit="0" readingOrder="0"/>
    </dxf>
    <dxf>
      <numFmt numFmtId="19" formatCode="d/m/yyyy"/>
      <alignment horizontal="general" vertical="top" textRotation="0" wrapText="0" indent="0" justifyLastLine="0" shrinkToFit="0" readingOrder="0"/>
    </dxf>
    <dxf>
      <numFmt numFmtId="19" formatCode="d/m/yyyy"/>
      <alignment horizontal="general" vertical="top" textRotation="0" wrapText="0" indent="0" justifyLastLine="0" shrinkToFit="0" readingOrder="0"/>
    </dxf>
    <dxf>
      <numFmt numFmtId="19" formatCode="d/m/yyyy"/>
      <alignment horizontal="general" vertical="top" textRotation="0" wrapText="0" indent="0" justifyLastLine="0" shrinkToFit="0" readingOrder="0"/>
    </dxf>
    <dxf>
      <numFmt numFmtId="19" formatCode="d/m/yyyy"/>
      <alignment horizontal="general" vertical="top" textRotation="0" wrapText="0" indent="0" justifyLastLine="0" shrinkToFit="0" readingOrder="0"/>
    </dxf>
    <dxf>
      <numFmt numFmtId="19" formatCode="d/m/yyyy"/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dero, Evangelina Natalia" refreshedDate="45287.458980208336" createdVersion="8" refreshedVersion="8" minRefreshableVersion="3" recordCount="140" xr:uid="{8225A89E-313B-459C-BD20-3F84149E47A3}">
  <cacheSource type="worksheet">
    <worksheetSource ref="A1:BE141" sheet="Sheet1"/>
  </cacheSource>
  <cacheFields count="57">
    <cacheField name="Org. Vta." numFmtId="0">
      <sharedItems/>
    </cacheField>
    <cacheField name="Oficina de venta" numFmtId="0">
      <sharedItems/>
    </cacheField>
    <cacheField name="Grupo de vendedores" numFmtId="0">
      <sharedItems/>
    </cacheField>
    <cacheField name="Área Petrolera" numFmtId="0">
      <sharedItems/>
    </cacheField>
    <cacheField name="Rubro/Subrubro" numFmtId="0">
      <sharedItems/>
    </cacheField>
    <cacheField name="Clase de Pedido" numFmtId="0">
      <sharedItems/>
    </cacheField>
    <cacheField name="Pedido" numFmtId="0">
      <sharedItems/>
    </cacheField>
    <cacheField name="Pos.Pedido" numFmtId="0">
      <sharedItems/>
    </cacheField>
    <cacheField name="Usuario creación" numFmtId="0">
      <sharedItems/>
    </cacheField>
    <cacheField name="Bloqueo Facturación" numFmtId="0">
      <sharedItems/>
    </cacheField>
    <cacheField name="Clase Remito" numFmtId="0">
      <sharedItems/>
    </cacheField>
    <cacheField name="Entrega" numFmtId="0">
      <sharedItems/>
    </cacheField>
    <cacheField name="Pos.Entrega" numFmtId="0">
      <sharedItems/>
    </cacheField>
    <cacheField name="Clase Factura" numFmtId="0">
      <sharedItems/>
    </cacheField>
    <cacheField name="Factura" numFmtId="0">
      <sharedItems/>
    </cacheField>
    <cacheField name="Posición" numFmtId="0">
      <sharedItems/>
    </cacheField>
    <cacheField name="Tipo de Factura" numFmtId="0">
      <sharedItems/>
    </cacheField>
    <cacheField name="N° Legal Remito" numFmtId="0">
      <sharedItems/>
    </cacheField>
    <cacheField name="Fecha Inicio Prestación de servicios" numFmtId="14">
      <sharedItems containsNonDate="0" containsDate="1" containsString="0" containsBlank="1" minDate="2023-09-21T00:00:00" maxDate="2023-11-22T00:00:00"/>
    </cacheField>
    <cacheField name="Fecha Prestación de servicios" numFmtId="14">
      <sharedItems containsNonDate="0" containsDate="1" containsString="0" containsBlank="1" minDate="2023-10-20T00:00:00" maxDate="2023-12-21T00:00:00"/>
    </cacheField>
    <cacheField name="Fecha Remito" numFmtId="14">
      <sharedItems containsSemiMixedTypes="0" containsNonDate="0" containsDate="1" containsString="0" minDate="2023-12-21T00:00:00" maxDate="2023-12-28T00:00:00"/>
    </cacheField>
    <cacheField name="Nuevo precio" numFmtId="4">
      <sharedItems containsSemiMixedTypes="0" containsString="0" containsNumber="1" containsInteger="1" minValue="0" maxValue="0"/>
    </cacheField>
    <cacheField name="Precio variable" numFmtId="4">
      <sharedItems containsSemiMixedTypes="0" containsString="0" containsNumber="1" containsInteger="1" minValue="0" maxValue="0"/>
    </cacheField>
    <cacheField name="N° Legal Factura" numFmtId="0">
      <sharedItems/>
    </cacheField>
    <cacheField name="Fecha Factura" numFmtId="14">
      <sharedItems containsNonDate="0" containsDate="1" containsString="0" containsBlank="1" minDate="2023-12-21T00:00:00" maxDate="2023-12-27T00:00:00"/>
    </cacheField>
    <cacheField name="Tipo Producto" numFmtId="0">
      <sharedItems/>
    </cacheField>
    <cacheField name="Certificado" numFmtId="0">
      <sharedItems/>
    </cacheField>
    <cacheField name="cc" numFmtId="0">
      <sharedItems/>
    </cacheField>
    <cacheField name="Tipo de posición" numFmtId="0">
      <sharedItems/>
    </cacheField>
    <cacheField name="Material" numFmtId="0">
      <sharedItems/>
    </cacheField>
    <cacheField name="Descripción Material" numFmtId="0">
      <sharedItems/>
    </cacheField>
    <cacheField name="Cantidad Remito" numFmtId="164">
      <sharedItems containsSemiMixedTypes="0" containsString="0" containsNumber="1" minValue="0.15" maxValue="13436"/>
    </cacheField>
    <cacheField name="Cantidad facturada" numFmtId="164">
      <sharedItems containsSemiMixedTypes="0" containsString="0" containsNumber="1" containsInteger="1" minValue="0" maxValue="4100"/>
    </cacheField>
    <cacheField name="Monto unitario en moneda origen" numFmtId="4">
      <sharedItems containsSemiMixedTypes="0" containsString="0" containsNumber="1" minValue="0" maxValue="22207489.18"/>
    </cacheField>
    <cacheField name="Monto en moneda Origen" numFmtId="4">
      <sharedItems containsSemiMixedTypes="0" containsString="0" containsNumber="1" minValue="0" maxValue="22207489.18"/>
    </cacheField>
    <cacheField name="Monto en Pesos Remito" numFmtId="4">
      <sharedItems containsSemiMixedTypes="0" containsString="0" containsNumber="1" minValue="0" maxValue="51493973.850000001"/>
    </cacheField>
    <cacheField name="Monto fac Moneda" numFmtId="4">
      <sharedItems containsSemiMixedTypes="0" containsString="0" containsNumber="1" minValue="0" maxValue="11660827.5"/>
    </cacheField>
    <cacheField name="Unidad de Medida" numFmtId="0">
      <sharedItems/>
    </cacheField>
    <cacheField name="Fecha Ult.Rev.Provision" numFmtId="14">
      <sharedItems containsNonDate="0" containsString="0" containsBlank="1"/>
    </cacheField>
    <cacheField name="Monto Rev.Provision" numFmtId="4">
      <sharedItems containsSemiMixedTypes="0" containsString="0" containsNumber="1" containsInteger="1" minValue="0" maxValue="0"/>
    </cacheField>
    <cacheField name="Fecha Ult.Provision" numFmtId="14">
      <sharedItems containsNonDate="0" containsString="0" containsBlank="1"/>
    </cacheField>
    <cacheField name="Monto Provision" numFmtId="4">
      <sharedItems containsSemiMixedTypes="0" containsString="0" containsNumber="1" containsInteger="1" minValue="0" maxValue="0"/>
    </cacheField>
    <cacheField name="Cuenta Contable" numFmtId="0">
      <sharedItems/>
    </cacheField>
    <cacheField name="Solicitante" numFmtId="0">
      <sharedItems/>
    </cacheField>
    <cacheField name="Nombre de Cliente" numFmtId="0">
      <sharedItems/>
    </cacheField>
    <cacheField name="Cuit de Cliente" numFmtId="0">
      <sharedItems/>
    </cacheField>
    <cacheField name="Lugar prestación (PAIS)" numFmtId="0">
      <sharedItems/>
    </cacheField>
    <cacheField name="Lugar prestación (provincia)" numFmtId="0">
      <sharedItems/>
    </cacheField>
    <cacheField name="Moneda Remito" numFmtId="0">
      <sharedItems/>
    </cacheField>
    <cacheField name="Tipo de cambio Remito" numFmtId="0">
      <sharedItems/>
    </cacheField>
    <cacheField name="Tipo de cambio factura" numFmtId="0">
      <sharedItems/>
    </cacheField>
    <cacheField name="Exposure" numFmtId="4">
      <sharedItems containsSemiMixedTypes="0" containsString="0" containsNumber="1" minValue="0" maxValue="5002.6400000000003"/>
    </cacheField>
    <cacheField name="Orden" numFmtId="0">
      <sharedItems/>
    </cacheField>
    <cacheField name="CEBE" numFmtId="0">
      <sharedItems/>
    </cacheField>
    <cacheField name="PEP" numFmtId="0">
      <sharedItems/>
    </cacheField>
    <cacheField name="Contrato" numFmtId="0">
      <sharedItems/>
    </cacheField>
    <cacheField name="Hold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dero, Evangelina Natalia" refreshedDate="45287.925682407411" createdVersion="8" refreshedVersion="8" minRefreshableVersion="3" recordCount="144" xr:uid="{3D889E72-015A-45AE-8CB6-627A3B2CDAA5}">
  <cacheSource type="worksheet">
    <worksheetSource ref="A1:BF150" sheet="Sheet1"/>
  </cacheSource>
  <cacheFields count="58">
    <cacheField name="Org. Vta." numFmtId="0">
      <sharedItems containsBlank="1"/>
    </cacheField>
    <cacheField name="Oficina de venta" numFmtId="0">
      <sharedItems containsBlank="1"/>
    </cacheField>
    <cacheField name="Grupo de vendedores" numFmtId="0">
      <sharedItems containsBlank="1"/>
    </cacheField>
    <cacheField name="Área Petrolera" numFmtId="0">
      <sharedItems containsBlank="1"/>
    </cacheField>
    <cacheField name="Rubro/Subrubro" numFmtId="0">
      <sharedItems containsBlank="1"/>
    </cacheField>
    <cacheField name="Clase de Pedido" numFmtId="0">
      <sharedItems containsBlank="1"/>
    </cacheField>
    <cacheField name="Pedido" numFmtId="0">
      <sharedItems containsBlank="1"/>
    </cacheField>
    <cacheField name="Pos.Pedido" numFmtId="0">
      <sharedItems containsBlank="1"/>
    </cacheField>
    <cacheField name="Usuario creación" numFmtId="0">
      <sharedItems containsBlank="1"/>
    </cacheField>
    <cacheField name="Bloqueo Facturación" numFmtId="0">
      <sharedItems containsBlank="1"/>
    </cacheField>
    <cacheField name="Clase Remito" numFmtId="0">
      <sharedItems containsBlank="1"/>
    </cacheField>
    <cacheField name="Entrega" numFmtId="0">
      <sharedItems containsBlank="1"/>
    </cacheField>
    <cacheField name="Pos.Entrega" numFmtId="0">
      <sharedItems containsBlank="1"/>
    </cacheField>
    <cacheField name="Clase Factura" numFmtId="0">
      <sharedItems containsBlank="1"/>
    </cacheField>
    <cacheField name="Factura" numFmtId="0">
      <sharedItems containsBlank="1"/>
    </cacheField>
    <cacheField name="Posición" numFmtId="0">
      <sharedItems containsBlank="1"/>
    </cacheField>
    <cacheField name="Tipo de Factura" numFmtId="0">
      <sharedItems containsBlank="1"/>
    </cacheField>
    <cacheField name="N° Legal Remito" numFmtId="0">
      <sharedItems containsBlank="1"/>
    </cacheField>
    <cacheField name="Fecha Inicio Prestación de servicios" numFmtId="0">
      <sharedItems containsNonDate="0" containsDate="1" containsString="0" containsBlank="1" minDate="2023-09-21T00:00:00" maxDate="2023-11-22T00:00:00"/>
    </cacheField>
    <cacheField name="Fecha Prestación de servicios" numFmtId="0">
      <sharedItems containsNonDate="0" containsDate="1" containsString="0" containsBlank="1" minDate="2023-10-20T00:00:00" maxDate="2023-12-21T00:00:00" count="4">
        <d v="2023-11-20T00:00:00"/>
        <d v="2023-10-20T00:00:00"/>
        <d v="2023-12-20T00:00:00"/>
        <m/>
      </sharedItems>
    </cacheField>
    <cacheField name="Fecha Remito" numFmtId="0">
      <sharedItems containsNonDate="0" containsDate="1" containsString="0" containsBlank="1" minDate="2023-12-21T00:00:00" maxDate="2023-12-28T00:00:00"/>
    </cacheField>
    <cacheField name="Nuevo precio" numFmtId="0">
      <sharedItems containsString="0" containsBlank="1" containsNumber="1" containsInteger="1" minValue="0" maxValue="0"/>
    </cacheField>
    <cacheField name="Precio variable" numFmtId="0">
      <sharedItems containsString="0" containsBlank="1" containsNumber="1" containsInteger="1" minValue="0" maxValue="0"/>
    </cacheField>
    <cacheField name="N° Legal Factura" numFmtId="0">
      <sharedItems containsBlank="1"/>
    </cacheField>
    <cacheField name="Fecha Factura" numFmtId="0">
      <sharedItems containsNonDate="0" containsDate="1" containsString="0" containsBlank="1" minDate="2023-12-21T00:00:00" maxDate="2023-12-27T00:00:00"/>
    </cacheField>
    <cacheField name="Tipo Producto" numFmtId="0">
      <sharedItems containsBlank="1"/>
    </cacheField>
    <cacheField name="Certificado" numFmtId="0">
      <sharedItems containsBlank="1"/>
    </cacheField>
    <cacheField name="cc" numFmtId="0">
      <sharedItems containsBlank="1"/>
    </cacheField>
    <cacheField name="Tipo de posición" numFmtId="0">
      <sharedItems containsBlank="1"/>
    </cacheField>
    <cacheField name="Material" numFmtId="0">
      <sharedItems containsBlank="1"/>
    </cacheField>
    <cacheField name="Descripción Material" numFmtId="0">
      <sharedItems containsBlank="1"/>
    </cacheField>
    <cacheField name="Cantidad Remito" numFmtId="0">
      <sharedItems containsString="0" containsBlank="1" containsNumber="1" minValue="0.15" maxValue="13436"/>
    </cacheField>
    <cacheField name="Cantidad facturada" numFmtId="0">
      <sharedItems containsString="0" containsBlank="1" containsNumber="1" containsInteger="1" minValue="0" maxValue="4100"/>
    </cacheField>
    <cacheField name="Monto unitario en moneda origen" numFmtId="0">
      <sharedItems containsString="0" containsBlank="1" containsNumber="1" minValue="0" maxValue="22207489.18"/>
    </cacheField>
    <cacheField name="Monto en moneda Origen" numFmtId="0">
      <sharedItems containsString="0" containsBlank="1" containsNumber="1" minValue="0" maxValue="22207489.18"/>
    </cacheField>
    <cacheField name="Monto en Pesos Remito" numFmtId="0">
      <sharedItems containsString="0" containsBlank="1" containsNumber="1" minValue="0" maxValue="51493973.850000001"/>
    </cacheField>
    <cacheField name="Monto fac Moneda" numFmtId="0">
      <sharedItems containsString="0" containsBlank="1" containsNumber="1" minValue="0" maxValue="11660827.5"/>
    </cacheField>
    <cacheField name="Unidad de Medida" numFmtId="0">
      <sharedItems containsBlank="1"/>
    </cacheField>
    <cacheField name="Fecha Ult.Rev.Provision" numFmtId="0">
      <sharedItems containsNonDate="0" containsString="0" containsBlank="1"/>
    </cacheField>
    <cacheField name="Monto Rev.Provision" numFmtId="0">
      <sharedItems containsString="0" containsBlank="1" containsNumber="1" containsInteger="1" minValue="0" maxValue="0"/>
    </cacheField>
    <cacheField name="Fecha Ult.Provision" numFmtId="0">
      <sharedItems containsNonDate="0" containsString="0" containsBlank="1"/>
    </cacheField>
    <cacheField name="Monto Provision" numFmtId="0">
      <sharedItems containsString="0" containsBlank="1" containsNumber="1" containsInteger="1" minValue="0" maxValue="0"/>
    </cacheField>
    <cacheField name="Cuenta Contable" numFmtId="0">
      <sharedItems containsBlank="1"/>
    </cacheField>
    <cacheField name="Solicitante" numFmtId="0">
      <sharedItems containsBlank="1"/>
    </cacheField>
    <cacheField name="Nombre de Cliente" numFmtId="0">
      <sharedItems containsBlank="1" count="10">
        <s v="HIDROCARBUR.DEL NEUQUENAGUILA MORA"/>
        <s v="Vista Oíl &amp; Gas Argentina SA"/>
        <s v="VISTA ENERGY ARGENTINA SAU-TRAFIGUR"/>
        <s v="AREA BAJADA DEL PALO OESTE U. T. E."/>
        <s v="PETROLERA ACONCAGUA ENERGIA S.A."/>
        <s v="PETROLEOS SUDAMERICANOS S.A."/>
        <s v="PET.SUDAMER.S.A.JCR S.A.HOMAQ S.A.U"/>
        <s v="YPF S.A."/>
        <s v="PECOM SERVICIOS MEDIOAMBIENTALES S."/>
        <m/>
      </sharedItems>
    </cacheField>
    <cacheField name="Cuit de Cliente" numFmtId="0">
      <sharedItems containsBlank="1"/>
    </cacheField>
    <cacheField name="Lugar prestación (PAIS)" numFmtId="0">
      <sharedItems containsBlank="1"/>
    </cacheField>
    <cacheField name="Lugar prestación (provincia)" numFmtId="0">
      <sharedItems containsBlank="1"/>
    </cacheField>
    <cacheField name="Moneda Remito" numFmtId="0">
      <sharedItems containsBlank="1" count="3">
        <s v="USD"/>
        <s v="ARS"/>
        <m/>
      </sharedItems>
    </cacheField>
    <cacheField name="Tipo de cambio Remito" numFmtId="0">
      <sharedItems containsBlank="1"/>
    </cacheField>
    <cacheField name="Tipo de cambio factura" numFmtId="0">
      <sharedItems containsBlank="1"/>
    </cacheField>
    <cacheField name="Exposure" numFmtId="0">
      <sharedItems containsString="0" containsBlank="1" containsNumber="1" minValue="0" maxValue="5002.6400000000003"/>
    </cacheField>
    <cacheField name="Orden" numFmtId="0">
      <sharedItems containsBlank="1"/>
    </cacheField>
    <cacheField name="CEBE" numFmtId="0">
      <sharedItems containsBlank="1" count="4">
        <s v="AR0CATQ102"/>
        <s v="AR0RSTQ102"/>
        <s v="AR0CATQ101"/>
        <m/>
      </sharedItems>
    </cacheField>
    <cacheField name="PEP" numFmtId="0">
      <sharedItems containsBlank="1"/>
    </cacheField>
    <cacheField name="Contrato" numFmtId="0">
      <sharedItems containsBlank="1"/>
    </cacheField>
    <cacheField name="usd total" numFmtId="0">
      <sharedItems containsString="0" containsBlank="1" containsNumber="1" minValue="0" maxValue="63821"/>
    </cacheField>
    <cacheField name="806,8500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AR20"/>
    <s v="AR02"/>
    <s v=""/>
    <s v=""/>
    <s v="QIPETQDES"/>
    <s v="ZBOL"/>
    <s v="1153653"/>
    <s v="10"/>
    <s v="ECORDER"/>
    <s v=""/>
    <s v="ZLF"/>
    <s v="80098473"/>
    <s v="10"/>
    <s v="ZEFC"/>
    <s v="90162416"/>
    <s v="22"/>
    <s v="M"/>
    <s v="0026R00011162"/>
    <d v="2023-11-21T00:00:00"/>
    <d v="2023-11-20T00:00:00"/>
    <d v="2023-12-22T00:00:00"/>
    <n v="0"/>
    <n v="0"/>
    <s v="00021A00042271"/>
    <d v="2023-12-22T00:00:00"/>
    <s v="ZMAT"/>
    <s v="Vista-AMOR- PQ-noviembre 2023"/>
    <s v=""/>
    <s v="ZTAN"/>
    <s v="DBN2446CT"/>
    <s v="DESEMULSIONANTE"/>
    <n v="220"/>
    <n v="220"/>
    <n v="6.44"/>
    <n v="1416.8"/>
    <n v="1143145.08"/>
    <n v="1139390.56"/>
    <s v="lt"/>
    <m/>
    <n v="0"/>
    <m/>
    <n v="0"/>
    <s v="32100001"/>
    <s v="102320"/>
    <s v="HIDROCARBUR.DEL NEUQUENAGUILA MORA"/>
    <s v="30711235899"/>
    <s v="AR"/>
    <s v="20"/>
    <s v="USD"/>
    <s v="806,85000"/>
    <s v="804,20000"/>
    <n v="0"/>
    <s v=""/>
    <s v="AR0CATQ102"/>
    <s v=""/>
    <s v="40001821"/>
    <s v=""/>
  </r>
  <r>
    <s v="AR20"/>
    <s v="AR02"/>
    <s v=""/>
    <s v=""/>
    <s v="QIPETQINH"/>
    <s v="ZBOL"/>
    <s v="1153653"/>
    <s v="20"/>
    <s v="ECORDER"/>
    <s v=""/>
    <s v="ZLF"/>
    <s v="80098473"/>
    <s v="20"/>
    <s v="ZEFC"/>
    <s v="90162416"/>
    <s v="23"/>
    <s v="M"/>
    <s v="0026R00011162"/>
    <d v="2023-11-21T00:00:00"/>
    <d v="2023-11-20T00:00:00"/>
    <d v="2023-12-22T00:00:00"/>
    <n v="0"/>
    <n v="0"/>
    <s v="00021A00042271"/>
    <d v="2023-12-22T00:00:00"/>
    <s v="ZMAT"/>
    <s v="Vista-AMOR- PQ-noviembre 2023"/>
    <s v=""/>
    <s v="ZTAN"/>
    <s v="IC5091CT"/>
    <s v="INHIBID DE INCRUSTACIONES IC5091CT REV"/>
    <n v="1000"/>
    <n v="1000"/>
    <n v="3.89"/>
    <n v="3890"/>
    <n v="3138646.5"/>
    <n v="3128338"/>
    <s v="lt"/>
    <m/>
    <n v="0"/>
    <m/>
    <n v="0"/>
    <s v="32100001"/>
    <s v="102320"/>
    <s v="HIDROCARBUR.DEL NEUQUENAGUILA MORA"/>
    <s v="30711235899"/>
    <s v="AR"/>
    <s v="20"/>
    <s v="USD"/>
    <s v="806,85000"/>
    <s v="804,20000"/>
    <n v="0"/>
    <s v=""/>
    <s v="AR0CATQ102"/>
    <s v=""/>
    <s v="40001821"/>
    <s v=""/>
  </r>
  <r>
    <s v="AR20"/>
    <s v="AR02"/>
    <s v=""/>
    <s v=""/>
    <s v="QIPETQSOL"/>
    <s v="ZBOL"/>
    <s v="1153653"/>
    <s v="30"/>
    <s v="ECORDER"/>
    <s v=""/>
    <s v="ZLF"/>
    <s v="80098473"/>
    <s v="30"/>
    <s v="ZEFC"/>
    <s v="90162416"/>
    <s v="30"/>
    <s v="M"/>
    <s v="0026R00011162"/>
    <d v="2023-11-21T00:00:00"/>
    <d v="2023-11-20T00:00:00"/>
    <d v="2023-12-22T00:00:00"/>
    <n v="0"/>
    <n v="0"/>
    <s v="00021A00042271"/>
    <d v="2023-12-22T00:00:00"/>
    <s v="ZMAT"/>
    <s v="Vista-AMOR- PQ-noviembre 2023"/>
    <s v=""/>
    <s v="ZTAN"/>
    <s v="SB14CT"/>
    <s v="SOLVENTE"/>
    <n v="1710"/>
    <n v="1710"/>
    <n v="1.72"/>
    <n v="2941.2"/>
    <n v="2373107.2200000002"/>
    <n v="2365313.04"/>
    <s v="lt"/>
    <m/>
    <n v="0"/>
    <m/>
    <n v="0"/>
    <s v="32100001"/>
    <s v="102320"/>
    <s v="HIDROCARBUR.DEL NEUQUENAGUILA MORA"/>
    <s v="30711235899"/>
    <s v="AR"/>
    <s v="20"/>
    <s v="USD"/>
    <s v="806,85000"/>
    <s v="804,20000"/>
    <n v="0"/>
    <s v=""/>
    <s v="AR0CATQ102"/>
    <s v=""/>
    <s v="40001821"/>
    <s v=""/>
  </r>
  <r>
    <s v="AR20"/>
    <s v="AR02"/>
    <s v=""/>
    <s v=""/>
    <s v="VECLIETQ3"/>
    <s v="ZBOL"/>
    <s v="1155308"/>
    <s v="10"/>
    <s v="ECORDER"/>
    <s v=""/>
    <s v="ZLF"/>
    <s v="80098277"/>
    <s v="10"/>
    <s v="ZEFC"/>
    <s v="90162324"/>
    <s v="10"/>
    <s v="M"/>
    <s v="0003R00008473"/>
    <d v="2023-09-21T00:00:00"/>
    <d v="2023-10-20T00:00:00"/>
    <d v="2023-12-21T00:00:00"/>
    <n v="0"/>
    <n v="0"/>
    <s v="00021A00042194"/>
    <d v="2023-12-21T00:00:00"/>
    <s v="ZSER"/>
    <s v="1000092115"/>
    <s v=""/>
    <s v="ZTAX"/>
    <s v="20002378"/>
    <s v="SERVICIO DE OPERACION Y MTTO"/>
    <n v="5"/>
    <n v="5"/>
    <n v="179"/>
    <n v="895"/>
    <n v="722130.75"/>
    <n v="719311.5"/>
    <s v="un"/>
    <m/>
    <n v="0"/>
    <m/>
    <n v="0"/>
    <s v="31100001"/>
    <s v="102151"/>
    <s v="Vista Oíl &amp; Gas Argentina SA"/>
    <s v="33515950899"/>
    <s v="AR"/>
    <s v="22"/>
    <s v="USD"/>
    <s v="806,85000"/>
    <s v="803,70000"/>
    <n v="0"/>
    <s v=""/>
    <s v="AR0CATQ102"/>
    <s v=""/>
    <s v="40001821"/>
    <s v=""/>
  </r>
  <r>
    <s v="AR20"/>
    <s v="AR02"/>
    <s v=""/>
    <s v=""/>
    <s v="VECLIETQ3"/>
    <s v="ZBOL"/>
    <s v="1155308"/>
    <s v="20"/>
    <s v="ECORDER"/>
    <s v=""/>
    <s v="ZLF"/>
    <s v="80098277"/>
    <s v="20"/>
    <s v="ZEFC"/>
    <s v="90162324"/>
    <s v="20"/>
    <s v="M"/>
    <s v="0003R00008473"/>
    <d v="2023-09-21T00:00:00"/>
    <d v="2023-10-20T00:00:00"/>
    <d v="2023-12-21T00:00:00"/>
    <n v="0"/>
    <n v="0"/>
    <s v="00021A00042194"/>
    <d v="2023-12-21T00:00:00"/>
    <s v="ZSER"/>
    <s v="1000092115"/>
    <s v=""/>
    <s v="ZTAX"/>
    <s v="20002378"/>
    <s v="SERVICIO DE OPERACION Y MTTO"/>
    <n v="1"/>
    <n v="1"/>
    <n v="235"/>
    <n v="235"/>
    <n v="189609.75"/>
    <n v="188869.5"/>
    <s v="un"/>
    <m/>
    <n v="0"/>
    <m/>
    <n v="0"/>
    <s v="31100001"/>
    <s v="102151"/>
    <s v="Vista Oíl &amp; Gas Argentina SA"/>
    <s v="33515950899"/>
    <s v="AR"/>
    <s v="22"/>
    <s v="USD"/>
    <s v="806,85000"/>
    <s v="803,70000"/>
    <n v="0"/>
    <s v=""/>
    <s v="AR0CATQ102"/>
    <s v=""/>
    <s v="40001821"/>
    <s v=""/>
  </r>
  <r>
    <s v="AR20"/>
    <s v="AR02"/>
    <s v=""/>
    <s v=""/>
    <s v="VECLIETQ3"/>
    <s v="ZBOL"/>
    <s v="1155564"/>
    <s v="10"/>
    <s v="ECORDER"/>
    <s v=""/>
    <s v="ZLF"/>
    <s v="80098552"/>
    <s v="10"/>
    <s v="ZEFC"/>
    <s v="90162480"/>
    <s v="10"/>
    <s v="M"/>
    <s v="0003R00008483"/>
    <d v="2023-11-21T00:00:00"/>
    <d v="2023-11-20T00:00:00"/>
    <d v="2023-12-22T00:00:00"/>
    <n v="0"/>
    <n v="0"/>
    <s v="00021A00042331"/>
    <d v="2023-12-26T00:00:00"/>
    <s v="ZSER"/>
    <s v="1000092750"/>
    <s v=""/>
    <s v="ZTAX"/>
    <s v="20002374"/>
    <s v="SERV"/>
    <n v="5"/>
    <n v="5"/>
    <n v="653383"/>
    <n v="3266915"/>
    <n v="3266915"/>
    <n v="3266915"/>
    <s v="un"/>
    <m/>
    <n v="0"/>
    <m/>
    <n v="0"/>
    <s v="31100001"/>
    <s v="102151"/>
    <s v="Vista Oíl &amp; Gas Argentina SA"/>
    <s v="33515950899"/>
    <s v="AR"/>
    <s v="22"/>
    <s v="ARS"/>
    <s v="353,95000"/>
    <s v="804,75000"/>
    <n v="5002.6400000000003"/>
    <s v=""/>
    <s v="AR0CATQ102"/>
    <s v=""/>
    <s v="40001822"/>
    <s v=""/>
  </r>
  <r>
    <s v="AR20"/>
    <s v="AR02"/>
    <s v=""/>
    <s v=""/>
    <s v="VECLIETQ3"/>
    <s v="ZBOL"/>
    <s v="1155564"/>
    <s v="20"/>
    <s v="ECORDER"/>
    <s v=""/>
    <s v="ZLF"/>
    <s v="80098552"/>
    <s v="20"/>
    <s v="ZEFC"/>
    <s v="90162480"/>
    <s v="20"/>
    <s v="M"/>
    <s v="0003R00008483"/>
    <d v="2023-11-21T00:00:00"/>
    <d v="2023-11-20T00:00:00"/>
    <d v="2023-12-22T00:00:00"/>
    <n v="0"/>
    <n v="0"/>
    <s v="00021A00042331"/>
    <d v="2023-12-26T00:00:00"/>
    <s v="ZSER"/>
    <s v="1000092750"/>
    <s v=""/>
    <s v="ZTAX"/>
    <s v="20002374"/>
    <s v="SERV"/>
    <n v="1"/>
    <n v="1"/>
    <n v="535188.84"/>
    <n v="535188.84"/>
    <n v="535188.84"/>
    <n v="535188.84"/>
    <s v="un"/>
    <m/>
    <n v="0"/>
    <m/>
    <n v="0"/>
    <s v="31100001"/>
    <s v="102151"/>
    <s v="Vista Oíl &amp; Gas Argentina SA"/>
    <s v="33515950899"/>
    <s v="AR"/>
    <s v="22"/>
    <s v="ARS"/>
    <s v="353,95000"/>
    <s v="804,75000"/>
    <n v="819.53"/>
    <s v=""/>
    <s v="AR0CATQ102"/>
    <s v=""/>
    <s v="40001822"/>
    <s v=""/>
  </r>
  <r>
    <s v="AR20"/>
    <s v="AR02"/>
    <s v=""/>
    <s v=""/>
    <s v="QIPETQDES"/>
    <s v="ZBOL"/>
    <s v="1155594"/>
    <s v="10"/>
    <s v="ECORDER"/>
    <s v=""/>
    <s v="ZLF"/>
    <s v="80098627"/>
    <s v="10"/>
    <s v="ZEFC"/>
    <s v="90162482"/>
    <s v="10"/>
    <s v="M"/>
    <s v="0003R00008486"/>
    <d v="2023-11-21T00:00:00"/>
    <d v="2023-11-20T00:00:00"/>
    <d v="2023-12-23T00:00:00"/>
    <n v="0"/>
    <n v="0"/>
    <s v="00021A00042333"/>
    <d v="2023-12-26T00:00:00"/>
    <s v="ZMAT"/>
    <s v="1000092746"/>
    <s v=""/>
    <s v="ZTAN"/>
    <s v="DBN2446CT"/>
    <s v="DESEMULSIONANTE"/>
    <n v="1850"/>
    <n v="1850"/>
    <n v="6.44"/>
    <n v="11914"/>
    <n v="9612810.9000000004"/>
    <n v="9587791.5"/>
    <s v="lt"/>
    <m/>
    <n v="0"/>
    <m/>
    <n v="0"/>
    <s v="32100001"/>
    <s v="102151"/>
    <s v="Vista Oíl &amp; Gas Argentina SA"/>
    <s v="33515950899"/>
    <s v="AR"/>
    <s v="22"/>
    <s v="USD"/>
    <s v="806,85000"/>
    <s v="804,75000"/>
    <n v="0"/>
    <s v=""/>
    <s v="AR0CATQ102"/>
    <s v=""/>
    <s v="40001821"/>
    <s v=""/>
  </r>
  <r>
    <s v="AR20"/>
    <s v="AR02"/>
    <s v=""/>
    <s v=""/>
    <s v="QIPETQSOL"/>
    <s v="ZBOL"/>
    <s v="1155594"/>
    <s v="20"/>
    <s v="ECORDER"/>
    <s v=""/>
    <s v="ZLF"/>
    <s v="80098627"/>
    <s v="20"/>
    <s v="ZEFC"/>
    <s v="90162482"/>
    <s v="20"/>
    <s v="M"/>
    <s v="0003R00008486"/>
    <d v="2023-11-21T00:00:00"/>
    <d v="2023-11-20T00:00:00"/>
    <d v="2023-12-23T00:00:00"/>
    <n v="0"/>
    <n v="0"/>
    <s v="00021A00042333"/>
    <d v="2023-12-26T00:00:00"/>
    <s v="ZMAT"/>
    <s v="1000092746"/>
    <s v=""/>
    <s v="ZTAN"/>
    <s v="SB14CT"/>
    <s v="SOLVENTE"/>
    <n v="4100"/>
    <n v="4100"/>
    <n v="1.72"/>
    <n v="7052"/>
    <n v="5689906.2000000002"/>
    <n v="5675097"/>
    <s v="lt"/>
    <m/>
    <n v="0"/>
    <m/>
    <n v="0"/>
    <s v="32100001"/>
    <s v="102151"/>
    <s v="Vista Oíl &amp; Gas Argentina SA"/>
    <s v="33515950899"/>
    <s v="AR"/>
    <s v="22"/>
    <s v="USD"/>
    <s v="806,85000"/>
    <s v="804,75000"/>
    <n v="0"/>
    <s v=""/>
    <s v="AR0CATQ102"/>
    <s v=""/>
    <s v="40001821"/>
    <s v=""/>
  </r>
  <r>
    <s v="AR20"/>
    <s v="AR02"/>
    <s v=""/>
    <s v=""/>
    <s v="QIPETQINH"/>
    <s v="ZBOL"/>
    <s v="1155594"/>
    <s v="30"/>
    <s v="ECORDER"/>
    <s v=""/>
    <s v="ZLF"/>
    <s v="80098627"/>
    <s v="30"/>
    <s v="ZEFC"/>
    <s v="90162482"/>
    <s v="30"/>
    <s v="M"/>
    <s v="0003R00008486"/>
    <d v="2023-11-21T00:00:00"/>
    <d v="2023-11-20T00:00:00"/>
    <d v="2023-12-23T00:00:00"/>
    <n v="0"/>
    <n v="0"/>
    <s v="00021A00042333"/>
    <d v="2023-12-26T00:00:00"/>
    <s v="ZMAT"/>
    <s v="1000092746"/>
    <s v=""/>
    <s v="ZTAN"/>
    <s v="IC5091CT"/>
    <s v="INHIBID DE INCRUSTACIONES IC5091CT REV"/>
    <n v="60"/>
    <n v="60"/>
    <n v="3.89"/>
    <n v="233.4"/>
    <n v="188318.79"/>
    <n v="187828.65"/>
    <s v="lt"/>
    <m/>
    <n v="0"/>
    <m/>
    <n v="0"/>
    <s v="32100001"/>
    <s v="102151"/>
    <s v="Vista Oíl &amp; Gas Argentina SA"/>
    <s v="33515950899"/>
    <s v="AR"/>
    <s v="22"/>
    <s v="USD"/>
    <s v="806,85000"/>
    <s v="804,75000"/>
    <n v="0"/>
    <s v=""/>
    <s v="AR0CATQ102"/>
    <s v=""/>
    <s v="40001821"/>
    <s v=""/>
  </r>
  <r>
    <s v="AR20"/>
    <s v="AR02"/>
    <s v=""/>
    <s v=""/>
    <s v="QIPETQINH"/>
    <s v="ZBOL"/>
    <s v="1155594"/>
    <s v="40"/>
    <s v="ECORDER"/>
    <s v=""/>
    <s v="ZLF"/>
    <s v="80098627"/>
    <s v="40"/>
    <s v="ZEFC"/>
    <s v="90162482"/>
    <s v="40"/>
    <s v="M"/>
    <s v="0003R00008486"/>
    <d v="2023-11-21T00:00:00"/>
    <d v="2023-11-20T00:00:00"/>
    <d v="2023-12-23T00:00:00"/>
    <n v="0"/>
    <n v="0"/>
    <s v="00021A00042333"/>
    <d v="2023-12-26T00:00:00"/>
    <s v="ZMAT"/>
    <s v="1000092746"/>
    <s v=""/>
    <s v="ZTAN"/>
    <s v="IPB650ACT"/>
    <s v="INHIBID DE PARAFINAS IPB650ACT REV &quot;L&quot;"/>
    <n v="1000"/>
    <n v="1000"/>
    <n v="7.21"/>
    <n v="7210"/>
    <n v="5817388.5"/>
    <n v="5802247.5"/>
    <s v="lt"/>
    <m/>
    <n v="0"/>
    <m/>
    <n v="0"/>
    <s v="32100001"/>
    <s v="102151"/>
    <s v="Vista Oíl &amp; Gas Argentina SA"/>
    <s v="33515950899"/>
    <s v="AR"/>
    <s v="22"/>
    <s v="USD"/>
    <s v="806,85000"/>
    <s v="804,75000"/>
    <n v="0"/>
    <s v=""/>
    <s v="AR0CATQ102"/>
    <s v=""/>
    <s v="40001821"/>
    <s v=""/>
  </r>
  <r>
    <s v="AR20"/>
    <s v="AR02"/>
    <s v=""/>
    <s v=""/>
    <s v="VECLIETQ3"/>
    <s v="ZBOL"/>
    <s v="1155594"/>
    <s v="50"/>
    <s v="ECORDER"/>
    <s v=""/>
    <s v="ZLF"/>
    <s v="80098627"/>
    <s v="50"/>
    <s v="ZEFC"/>
    <s v="90162482"/>
    <s v="50"/>
    <s v="M"/>
    <s v="0003R00008486"/>
    <d v="2023-11-21T00:00:00"/>
    <d v="2023-11-20T00:00:00"/>
    <d v="2023-12-23T00:00:00"/>
    <n v="0"/>
    <n v="0"/>
    <s v="00021A00042333"/>
    <d v="2023-12-26T00:00:00"/>
    <s v="ZSER"/>
    <s v="1000092746"/>
    <s v=""/>
    <s v="ZTAX"/>
    <s v="20002378"/>
    <s v="SERVICIO DE OPERACION Y MTTO"/>
    <n v="4"/>
    <n v="4"/>
    <n v="179"/>
    <n v="716"/>
    <n v="577704.6"/>
    <n v="576201"/>
    <s v="un"/>
    <m/>
    <n v="0"/>
    <m/>
    <n v="0"/>
    <s v="31100001"/>
    <s v="102151"/>
    <s v="Vista Oíl &amp; Gas Argentina SA"/>
    <s v="33515950899"/>
    <s v="AR"/>
    <s v="22"/>
    <s v="USD"/>
    <s v="806,85000"/>
    <s v="804,75000"/>
    <n v="0"/>
    <s v=""/>
    <s v="AR0CATQ102"/>
    <s v=""/>
    <s v="40001821"/>
    <s v=""/>
  </r>
  <r>
    <s v="AR20"/>
    <s v="AR02"/>
    <s v=""/>
    <s v=""/>
    <s v="VECLIETQ3"/>
    <s v="ZBOL"/>
    <s v="1155594"/>
    <s v="60"/>
    <s v="ECORDER"/>
    <s v=""/>
    <s v="ZLF"/>
    <s v="80098627"/>
    <s v="60"/>
    <s v="ZEFC"/>
    <s v="90162482"/>
    <s v="60"/>
    <s v="M"/>
    <s v="0003R00008486"/>
    <d v="2023-11-21T00:00:00"/>
    <d v="2023-11-20T00:00:00"/>
    <d v="2023-12-23T00:00:00"/>
    <n v="0"/>
    <n v="0"/>
    <s v="00021A00042333"/>
    <d v="2023-12-26T00:00:00"/>
    <s v="ZSER"/>
    <s v="1000092746"/>
    <s v=""/>
    <s v="ZTAX"/>
    <s v="20002378"/>
    <s v="SERVICIO DE OPERACION Y MTTO"/>
    <n v="1"/>
    <n v="1"/>
    <n v="235"/>
    <n v="235"/>
    <n v="189609.75"/>
    <n v="189116.25"/>
    <s v="un"/>
    <m/>
    <n v="0"/>
    <m/>
    <n v="0"/>
    <s v="31100001"/>
    <s v="102151"/>
    <s v="Vista Oíl &amp; Gas Argentina SA"/>
    <s v="33515950899"/>
    <s v="AR"/>
    <s v="22"/>
    <s v="USD"/>
    <s v="806,85000"/>
    <s v="804,75000"/>
    <n v="0"/>
    <s v=""/>
    <s v="AR0CATQ102"/>
    <s v=""/>
    <s v="40001821"/>
    <s v=""/>
  </r>
  <r>
    <s v="AR20"/>
    <s v="AR02"/>
    <s v=""/>
    <s v=""/>
    <s v="QIPETQDES"/>
    <s v="ZBOL"/>
    <s v="1155595"/>
    <s v="10"/>
    <s v="ECORDER"/>
    <s v=""/>
    <s v="ZLF"/>
    <s v="80098628"/>
    <s v="10"/>
    <s v="ZEFC"/>
    <s v="90162484"/>
    <s v="10"/>
    <s v="M"/>
    <s v="0003R00008487"/>
    <d v="2023-11-21T00:00:00"/>
    <d v="2023-11-20T00:00:00"/>
    <d v="2023-12-23T00:00:00"/>
    <n v="0"/>
    <n v="0"/>
    <s v="00021A00042335"/>
    <d v="2023-12-26T00:00:00"/>
    <s v="ZMAT"/>
    <s v="1000092749"/>
    <s v=""/>
    <s v="ZTAN"/>
    <s v="DBN2446CT"/>
    <s v="DESEMULSIONANTE"/>
    <n v="2250"/>
    <n v="2250"/>
    <n v="6.44"/>
    <n v="14490"/>
    <n v="11691256.5"/>
    <n v="11660827.5"/>
    <s v="lt"/>
    <m/>
    <n v="0"/>
    <m/>
    <n v="0"/>
    <s v="32100001"/>
    <s v="102620"/>
    <s v="VISTA ENERGY ARGENTINA SAU-TRAFIGUR"/>
    <s v="30717859363"/>
    <s v="AR"/>
    <s v="20"/>
    <s v="USD"/>
    <s v="806,85000"/>
    <s v="804,75000"/>
    <n v="0"/>
    <s v=""/>
    <s v="AR0CATQ102"/>
    <s v=""/>
    <s v="40001821"/>
    <s v=""/>
  </r>
  <r>
    <s v="AR20"/>
    <s v="AR02"/>
    <s v=""/>
    <s v=""/>
    <s v="QIPETQINH"/>
    <s v="ZBOL"/>
    <s v="1155595"/>
    <s v="20"/>
    <s v="ECORDER"/>
    <s v=""/>
    <s v="ZLF"/>
    <s v="80098628"/>
    <s v="20"/>
    <s v="ZEFC"/>
    <s v="90162484"/>
    <s v="20"/>
    <s v="M"/>
    <s v="0003R00008487"/>
    <d v="2023-11-21T00:00:00"/>
    <d v="2023-11-20T00:00:00"/>
    <d v="2023-12-23T00:00:00"/>
    <n v="0"/>
    <n v="0"/>
    <s v="00021A00042335"/>
    <d v="2023-12-26T00:00:00"/>
    <s v="ZMAT"/>
    <s v="1000092749"/>
    <s v=""/>
    <s v="ZTAN"/>
    <s v="IC5091CT"/>
    <s v="INHIBID DE INCRUSTACIONES IC5091CT REV"/>
    <n v="140"/>
    <n v="140"/>
    <n v="3.89"/>
    <n v="544.6"/>
    <n v="439410.51"/>
    <n v="438266.85"/>
    <s v="lt"/>
    <m/>
    <n v="0"/>
    <m/>
    <n v="0"/>
    <s v="32100001"/>
    <s v="102620"/>
    <s v="VISTA ENERGY ARGENTINA SAU-TRAFIGUR"/>
    <s v="30717859363"/>
    <s v="AR"/>
    <s v="20"/>
    <s v="USD"/>
    <s v="806,85000"/>
    <s v="804,75000"/>
    <n v="0"/>
    <s v=""/>
    <s v="AR0CATQ102"/>
    <s v=""/>
    <s v="40001821"/>
    <s v=""/>
  </r>
  <r>
    <s v="AR20"/>
    <s v="AR02"/>
    <s v=""/>
    <s v=""/>
    <s v="QIPETQSOL"/>
    <s v="ZBOL"/>
    <s v="1155596"/>
    <s v="10"/>
    <s v="ECORDER"/>
    <s v="02"/>
    <s v="ZLF"/>
    <s v="80098629"/>
    <s v="10"/>
    <s v=""/>
    <s v=""/>
    <s v="0"/>
    <s v=""/>
    <s v="0025R00004893"/>
    <d v="2023-11-21T00:00:00"/>
    <d v="2023-11-20T00:00:00"/>
    <d v="2023-12-23T00:00:00"/>
    <n v="0"/>
    <n v="0"/>
    <s v=""/>
    <m/>
    <s v="ZMAT"/>
    <s v="Vista-UTE- pq-noviembre 2023"/>
    <s v=""/>
    <s v="ZTAN"/>
    <s v="SB14CT"/>
    <s v="SOLVENTE"/>
    <n v="1300"/>
    <n v="0"/>
    <n v="1.72"/>
    <n v="2236"/>
    <n v="1804116.6"/>
    <n v="0"/>
    <s v="lt"/>
    <m/>
    <n v="0"/>
    <m/>
    <n v="0"/>
    <s v="32100001"/>
    <s v="102540"/>
    <s v="AREA BAJADA DEL PALO OESTE U. T. E."/>
    <s v="30717233480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QIPETQDES"/>
    <s v="ZBOL"/>
    <s v="1155597"/>
    <s v="10"/>
    <s v="ECORDER"/>
    <s v="02"/>
    <s v="ZLF"/>
    <s v="80098630"/>
    <s v="10"/>
    <s v=""/>
    <s v=""/>
    <s v="0"/>
    <s v=""/>
    <s v="0003R00008488"/>
    <d v="2023-11-21T00:00:00"/>
    <d v="2023-11-20T00:00:00"/>
    <d v="2023-12-23T00:00:00"/>
    <n v="0"/>
    <n v="0"/>
    <s v=""/>
    <m/>
    <s v="ZMAT"/>
    <s v="Vista-UTE- pq-noviembre 2023"/>
    <s v=""/>
    <s v="ZTAN"/>
    <s v="DBN2446CT"/>
    <s v="DESEMULSIONANTE"/>
    <n v="4140"/>
    <n v="0"/>
    <n v="6.44"/>
    <n v="26661.599999999999"/>
    <n v="21511911.960000001"/>
    <n v="0"/>
    <s v="lt"/>
    <m/>
    <n v="0"/>
    <m/>
    <n v="0"/>
    <s v="32100001"/>
    <s v="102540"/>
    <s v="AREA BAJADA DEL PALO OESTE U. T. E."/>
    <s v="30717233480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QIPETQSOL"/>
    <s v="ZNRE"/>
    <s v="1155599"/>
    <s v="10"/>
    <s v="ECORDER"/>
    <s v="02"/>
    <s v="ZLF"/>
    <s v="80098632"/>
    <s v="10"/>
    <s v=""/>
    <s v=""/>
    <s v="0"/>
    <s v=""/>
    <s v="0025R00004894"/>
    <d v="2023-11-21T00:00:00"/>
    <d v="2023-12-20T00:00:00"/>
    <d v="2023-12-24T00:00:00"/>
    <n v="0"/>
    <n v="0"/>
    <s v=""/>
    <m/>
    <s v="ZMAT"/>
    <s v="Aconcagua-EL- PQ-diciembre 2023"/>
    <s v=""/>
    <s v="ZTAN"/>
    <s v="SB14CT"/>
    <s v="SOLVENTE"/>
    <n v="4500"/>
    <n v="0"/>
    <n v="1.72"/>
    <n v="7740"/>
    <n v="6245019"/>
    <n v="0"/>
    <s v="lt"/>
    <m/>
    <n v="0"/>
    <m/>
    <n v="0"/>
    <s v="32100001"/>
    <s v="102345"/>
    <s v="PETROLERA ACONCAGUA ENERGIA S.A."/>
    <s v="30714814229"/>
    <s v="AR"/>
    <s v="22"/>
    <s v="USD"/>
    <s v="806,85000"/>
    <s v=""/>
    <n v="0"/>
    <s v=""/>
    <s v="AR0CATQ102"/>
    <s v=""/>
    <s v=""/>
    <s v=""/>
  </r>
  <r>
    <s v="AR20"/>
    <s v="AR02"/>
    <s v=""/>
    <s v=""/>
    <s v="VECLIETQ3"/>
    <s v="ZNRE"/>
    <s v="1155600"/>
    <s v="10"/>
    <s v="ECORDER"/>
    <s v="02"/>
    <s v="ZLF"/>
    <s v="80098633"/>
    <s v="10"/>
    <s v=""/>
    <s v=""/>
    <s v="0"/>
    <s v=""/>
    <s v="0025R00004895"/>
    <d v="2023-11-21T00:00:00"/>
    <d v="2023-12-20T00:00:00"/>
    <d v="2023-12-24T00:00:00"/>
    <n v="0"/>
    <n v="0"/>
    <s v=""/>
    <m/>
    <s v="ZSER"/>
    <s v="Aconcagua-SERV-diciembre 2023"/>
    <s v=""/>
    <s v="ZTAX"/>
    <s v="20002374"/>
    <s v="SERV"/>
    <n v="6"/>
    <n v="0"/>
    <n v="986"/>
    <n v="5916"/>
    <n v="4773324.5999999996"/>
    <n v="0"/>
    <s v="un"/>
    <m/>
    <n v="0"/>
    <m/>
    <n v="0"/>
    <s v="31100001"/>
    <s v="102345"/>
    <s v="PETROLERA ACONCAGUA ENERGIA S.A."/>
    <s v="30714814229"/>
    <s v="AR"/>
    <s v="22"/>
    <s v="USD"/>
    <s v="806,85000"/>
    <s v=""/>
    <n v="0"/>
    <s v=""/>
    <s v="AR0CATQ102"/>
    <s v=""/>
    <s v=""/>
    <s v=""/>
  </r>
  <r>
    <s v="AR20"/>
    <s v="AR02"/>
    <s v=""/>
    <s v=""/>
    <s v="SER-11003"/>
    <s v="ZNRE"/>
    <s v="1155600"/>
    <s v="20"/>
    <s v="ECORDER"/>
    <s v="02"/>
    <s v="ZLF"/>
    <s v="80098633"/>
    <s v="20"/>
    <s v=""/>
    <s v=""/>
    <s v="0"/>
    <s v=""/>
    <s v="0025R00004895"/>
    <d v="2023-11-21T00:00:00"/>
    <d v="2023-12-20T00:00:00"/>
    <d v="2023-12-24T00:00:00"/>
    <n v="0"/>
    <n v="0"/>
    <s v=""/>
    <m/>
    <s v="ZSER"/>
    <s v="Aconcagua-SERV-diciembre 2023"/>
    <s v=""/>
    <s v="ZTAX"/>
    <s v="20002366"/>
    <s v="ALQUILER DE EQUIPO DOSIFICADOR"/>
    <n v="2"/>
    <n v="0"/>
    <n v="356"/>
    <n v="712"/>
    <n v="574477.19999999995"/>
    <n v="0"/>
    <s v="un"/>
    <m/>
    <n v="0"/>
    <m/>
    <n v="0"/>
    <s v="31100001"/>
    <s v="102345"/>
    <s v="PETROLERA ACONCAGUA ENERGIA S.A."/>
    <s v="30714814229"/>
    <s v="AR"/>
    <s v="22"/>
    <s v="USD"/>
    <s v="806,85000"/>
    <s v=""/>
    <n v="0"/>
    <s v=""/>
    <s v="AR0CATQ102"/>
    <s v=""/>
    <s v=""/>
    <s v=""/>
  </r>
  <r>
    <s v="AR20"/>
    <s v="AR02"/>
    <s v=""/>
    <s v=""/>
    <s v="QIPETQINH"/>
    <s v="ZBOL"/>
    <s v="1155601"/>
    <s v="10"/>
    <s v="ECORDER"/>
    <s v="02"/>
    <s v="ZLF"/>
    <s v="80098634"/>
    <s v="1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CY802CT"/>
    <s v="INHIBID DE CORROSION CY802CT REV &quot;K&quot;"/>
    <n v="4455"/>
    <n v="0"/>
    <n v="3.02"/>
    <n v="13454.1"/>
    <n v="10855440.59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1"/>
    <s v="20"/>
    <s v="ECORDER"/>
    <s v="02"/>
    <s v="ZLF"/>
    <s v="80098634"/>
    <s v="2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IC5087CT"/>
    <s v="INHIBID DE INCRUSTACIONES IC5087CT REV"/>
    <n v="2285"/>
    <n v="0"/>
    <n v="3.06"/>
    <n v="6992.1"/>
    <n v="5641575.8899999997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1"/>
    <s v="30"/>
    <s v="ECORDER"/>
    <s v="02"/>
    <s v="ZLF"/>
    <s v="80098634"/>
    <s v="3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IPB71CT"/>
    <s v="INHIBID DE PARAFINAS IPB71CT; REVISION"/>
    <n v="805"/>
    <n v="0"/>
    <n v="4.3899999999999997"/>
    <n v="3533.95"/>
    <n v="2851367.56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ANE"/>
    <s v="ZBOL"/>
    <s v="1155601"/>
    <s v="40"/>
    <s v="ECORDER"/>
    <s v="02"/>
    <s v="ZLF"/>
    <s v="80098634"/>
    <s v="4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ABC11CT"/>
    <s v="ANTIESPUM ABC11CT REV K"/>
    <n v="260"/>
    <n v="0"/>
    <n v="3.51"/>
    <n v="912.6"/>
    <n v="736331.31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BAC"/>
    <s v="ZBOL"/>
    <s v="1155601"/>
    <s v="50"/>
    <s v="ECORDER"/>
    <s v="02"/>
    <s v="ZLF"/>
    <s v="80098634"/>
    <s v="5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BXC3201CT"/>
    <s v="BACTERICIDA"/>
    <n v="945"/>
    <n v="0"/>
    <n v="2.34"/>
    <n v="2211.3000000000002"/>
    <n v="1784187.41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BAC"/>
    <s v="ZBOL"/>
    <s v="1155601"/>
    <s v="60"/>
    <s v="ECORDER"/>
    <s v="02"/>
    <s v="ZLF"/>
    <s v="80098634"/>
    <s v="6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BX960CT"/>
    <s v="BACTERICIDA"/>
    <n v="900"/>
    <n v="0"/>
    <n v="4.32"/>
    <n v="3888"/>
    <n v="3137032.8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DES"/>
    <s v="ZBOL"/>
    <s v="1155601"/>
    <s v="70"/>
    <s v="ECORDER"/>
    <s v="02"/>
    <s v="ZLF"/>
    <s v="80098634"/>
    <s v="7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DBN5182CT"/>
    <s v="DESEMULSIONANTE"/>
    <n v="1200"/>
    <n v="0"/>
    <n v="7.39"/>
    <n v="8868"/>
    <n v="7155145.7999999998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1"/>
    <s v="80"/>
    <s v="ECORDER"/>
    <s v="02"/>
    <s v="ZLF"/>
    <s v="80098634"/>
    <s v="8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IC5098CT"/>
    <s v="INHIBID DE INCRUSTACIONES IC5098CT REV"/>
    <n v="160"/>
    <n v="0"/>
    <n v="4.97"/>
    <n v="795.2"/>
    <n v="641607.12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1"/>
    <s v="90"/>
    <s v="ECORDER"/>
    <s v="02"/>
    <s v="ZLF"/>
    <s v="80098634"/>
    <s v="9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IPB651CT"/>
    <s v="INHIBID DE PARAFINAS IPB651CT REV &quot;G&quot;"/>
    <n v="530"/>
    <n v="0"/>
    <n v="6.73"/>
    <n v="3566.9"/>
    <n v="2877953.27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1"/>
    <s v="100"/>
    <s v="ECORDER"/>
    <s v="02"/>
    <s v="ZLF"/>
    <s v="80098634"/>
    <s v="10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IPB68CT"/>
    <s v="INHIBID DE PARAFINAS IPB68CT REV &quot;A&quot;"/>
    <n v="300"/>
    <n v="0"/>
    <n v="4.32"/>
    <n v="1296"/>
    <n v="1045677.6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1"/>
    <s v="110"/>
    <s v="ECORDER"/>
    <s v="02"/>
    <s v="ZLF"/>
    <s v="80098634"/>
    <s v="11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IPB78CT"/>
    <s v="INHIBID DE PARAFINAS IPB78CT; REVISION"/>
    <n v="600"/>
    <n v="0"/>
    <n v="5.59"/>
    <n v="3354"/>
    <n v="2706174.9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DES"/>
    <s v="ZBOL"/>
    <s v="1155601"/>
    <s v="120"/>
    <s v="ECORDER"/>
    <s v="02"/>
    <s v="ZLF"/>
    <s v="80098634"/>
    <s v="12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DBN5645CT"/>
    <s v="DESEMULSIONANTE"/>
    <n v="1250"/>
    <n v="0"/>
    <n v="5.46"/>
    <n v="6825"/>
    <n v="5506751.25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BAC"/>
    <s v="ZBOL"/>
    <s v="1155601"/>
    <s v="130"/>
    <s v="ECORDER"/>
    <s v="02"/>
    <s v="ZLF"/>
    <s v="80098634"/>
    <s v="13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BX836CT"/>
    <s v="BACTERICIDA"/>
    <n v="1700"/>
    <n v="0"/>
    <n v="4.3099999999999996"/>
    <n v="7327"/>
    <n v="5911789.9500000002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SOL"/>
    <s v="ZBOL"/>
    <s v="1155601"/>
    <s v="140"/>
    <s v="ECORDER"/>
    <s v="02"/>
    <s v="ZLF"/>
    <s v="80098634"/>
    <s v="14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SB45CT"/>
    <s v="SOLVENTE"/>
    <n v="160"/>
    <n v="0"/>
    <n v="4.0999999999999996"/>
    <n v="656"/>
    <n v="529293.6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MAPETQPES"/>
    <s v="ZBOL"/>
    <s v="1155601"/>
    <s v="150"/>
    <s v="ECORDER"/>
    <s v="02"/>
    <s v="ZLF"/>
    <s v="80098634"/>
    <s v="150"/>
    <s v=""/>
    <s v=""/>
    <s v="0"/>
    <s v=""/>
    <s v="0025R00004896"/>
    <d v="2023-11-21T00:00:00"/>
    <d v="2023-12-20T00:00:00"/>
    <d v="2023-12-24T00:00:00"/>
    <n v="0"/>
    <n v="0"/>
    <s v=""/>
    <m/>
    <s v="ZMAT"/>
    <s v="PS-EM-PQ-diciembre 2023"/>
    <s v=""/>
    <s v="ZTAN"/>
    <s v="IPB935DCT"/>
    <s v="INHIBIDOR DE PARAFINAS"/>
    <n v="325"/>
    <n v="0"/>
    <n v="5.8"/>
    <n v="1885"/>
    <n v="1520912.25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SER-11003"/>
    <s v="ZBOL"/>
    <s v="1155601"/>
    <s v="160"/>
    <s v="ECORDER"/>
    <s v="02"/>
    <s v="ZLF"/>
    <s v="80098634"/>
    <s v="160"/>
    <s v=""/>
    <s v=""/>
    <s v="0"/>
    <s v=""/>
    <s v="0025R00004896"/>
    <d v="2023-11-21T00:00:00"/>
    <d v="2023-12-20T00:00:00"/>
    <d v="2023-12-24T00:00:00"/>
    <n v="0"/>
    <n v="0"/>
    <s v=""/>
    <m/>
    <s v="ZSER"/>
    <s v="PS-EM-PQ-diciembre 2023"/>
    <s v=""/>
    <s v="ZTAX"/>
    <s v="20002380"/>
    <s v="SERVICIO DE PROVISION PQ"/>
    <n v="2055"/>
    <n v="0"/>
    <n v="5.59"/>
    <n v="11487.45"/>
    <n v="9268649.0299999993"/>
    <n v="0"/>
    <s v="un"/>
    <m/>
    <n v="0"/>
    <m/>
    <n v="0"/>
    <s v="31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SER-11003"/>
    <s v="ZBOL"/>
    <s v="1155601"/>
    <s v="170"/>
    <s v="ECORDER"/>
    <s v="02"/>
    <s v="ZLF"/>
    <s v="80098634"/>
    <s v="170"/>
    <s v=""/>
    <s v=""/>
    <s v="0"/>
    <s v=""/>
    <s v="0025R00004896"/>
    <d v="2023-11-21T00:00:00"/>
    <d v="2023-12-20T00:00:00"/>
    <d v="2023-12-24T00:00:00"/>
    <n v="0"/>
    <n v="0"/>
    <s v=""/>
    <m/>
    <s v="ZSER"/>
    <s v="PS-EM-PQ-diciembre 2023"/>
    <s v=""/>
    <s v="ZTAX"/>
    <s v="20002186"/>
    <s v="SERVICIO TRAT. DE DESPARAFINACION"/>
    <n v="2755"/>
    <n v="0"/>
    <n v="4.93"/>
    <n v="13582.15"/>
    <n v="10958757.73"/>
    <n v="0"/>
    <s v="un"/>
    <m/>
    <n v="0"/>
    <m/>
    <n v="0"/>
    <s v="31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SER-11003"/>
    <s v="ZBOL"/>
    <s v="1155602"/>
    <s v="10"/>
    <s v="ECORDER"/>
    <s v="02"/>
    <s v="ZLF"/>
    <s v="80098635"/>
    <s v="10"/>
    <s v=""/>
    <s v=""/>
    <s v="0"/>
    <s v=""/>
    <s v="0025R00004897"/>
    <d v="2023-11-21T00:00:00"/>
    <d v="2023-12-20T00:00:00"/>
    <d v="2023-12-24T00:00:00"/>
    <n v="0"/>
    <n v="0"/>
    <s v=""/>
    <m/>
    <s v="ZSER"/>
    <s v="PS-EM-SERV-diciembre 2023"/>
    <s v=""/>
    <s v="ZTAX"/>
    <s v="20002369"/>
    <s v="SERVICIO DE REPOSICION"/>
    <n v="0.6"/>
    <n v="0"/>
    <n v="4072360.28"/>
    <n v="2443416.17"/>
    <n v="2443416.17"/>
    <n v="0"/>
    <s v="un"/>
    <m/>
    <n v="0"/>
    <m/>
    <n v="0"/>
    <s v="31100001"/>
    <s v="102225"/>
    <s v="PETROLEOS SUDAMERICANOS S.A."/>
    <s v="33652607689"/>
    <s v="AR"/>
    <s v="22"/>
    <s v="ARS"/>
    <s v="806,85000"/>
    <s v=""/>
    <n v="0"/>
    <s v=""/>
    <s v="AR0CATQ102"/>
    <s v=""/>
    <s v="40001578"/>
    <s v=""/>
  </r>
  <r>
    <s v="AR20"/>
    <s v="AR02"/>
    <s v=""/>
    <s v=""/>
    <s v="SER-11003"/>
    <s v="ZBOL"/>
    <s v="1155603"/>
    <s v="10"/>
    <s v="ECORDER"/>
    <s v="02"/>
    <s v="ZLF"/>
    <s v="80098636"/>
    <s v="10"/>
    <s v=""/>
    <s v=""/>
    <s v="0"/>
    <s v=""/>
    <s v="0025R00004898"/>
    <d v="2023-11-21T00:00:00"/>
    <d v="2023-12-20T00:00:00"/>
    <d v="2023-12-24T00:00:00"/>
    <n v="0"/>
    <n v="0"/>
    <s v=""/>
    <m/>
    <s v="ZSER"/>
    <s v="PS-EM-BBA-diciembre 2023"/>
    <s v=""/>
    <s v="ZTAX"/>
    <s v="20002585"/>
    <s v="SERV.MANTENIMIENTO EQUIPOS DOS"/>
    <n v="0.6"/>
    <n v="0"/>
    <n v="2094.98"/>
    <n v="1256.99"/>
    <n v="1014202.38"/>
    <n v="0"/>
    <s v="un"/>
    <m/>
    <n v="0"/>
    <m/>
    <n v="0"/>
    <s v="31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4"/>
    <s v="10"/>
    <s v="ECORDER"/>
    <s v="02"/>
    <s v="ZLF"/>
    <s v="80098637"/>
    <s v="1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CY802CT"/>
    <s v="INHIBID DE CORROSION CY802CT REV &quot;K&quot;"/>
    <n v="490"/>
    <n v="0"/>
    <n v="3.02"/>
    <n v="1479.8"/>
    <n v="1193976.6299999999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4"/>
    <s v="20"/>
    <s v="ECORDER"/>
    <s v="02"/>
    <s v="ZLF"/>
    <s v="80098637"/>
    <s v="2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IC5087CT"/>
    <s v="INHIBID DE INCRUSTACIONES IC5087CT REV"/>
    <n v="50"/>
    <n v="0"/>
    <n v="3.06"/>
    <n v="153"/>
    <n v="123448.05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4"/>
    <s v="30"/>
    <s v="ECORDER"/>
    <s v="02"/>
    <s v="ZLF"/>
    <s v="80098637"/>
    <s v="3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IC5400CT"/>
    <s v="INHIBID DE INCRUSTACIONES IC5400CT REV"/>
    <n v="550"/>
    <n v="0"/>
    <n v="3.59"/>
    <n v="1974.5"/>
    <n v="1593125.33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4"/>
    <s v="40"/>
    <s v="ECORDER"/>
    <s v="02"/>
    <s v="ZLF"/>
    <s v="80098637"/>
    <s v="4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IPB71CT"/>
    <s v="INHIBID DE PARAFINAS IPB71CT; REVISION"/>
    <n v="160"/>
    <n v="0"/>
    <n v="4.3899999999999997"/>
    <n v="702.4"/>
    <n v="566731.43999999994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ANE"/>
    <s v="ZBOL"/>
    <s v="1155604"/>
    <s v="50"/>
    <s v="ECORDER"/>
    <s v="02"/>
    <s v="ZLF"/>
    <s v="80098637"/>
    <s v="5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ABC11CT"/>
    <s v="ANTIESPUM ABC11CT REV K"/>
    <n v="70"/>
    <n v="0"/>
    <n v="3.51"/>
    <n v="245.7"/>
    <n v="198243.05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SOL"/>
    <s v="ZBOL"/>
    <s v="1155604"/>
    <s v="60"/>
    <s v="ECORDER"/>
    <s v="02"/>
    <s v="ZLF"/>
    <s v="80098637"/>
    <s v="6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SB14CT"/>
    <s v="SOLVENTE"/>
    <n v="700"/>
    <n v="0"/>
    <n v="1.5"/>
    <n v="1050"/>
    <n v="847192.5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DES"/>
    <s v="ZBOL"/>
    <s v="1155604"/>
    <s v="70"/>
    <s v="ECORDER"/>
    <s v="02"/>
    <s v="ZLF"/>
    <s v="80098637"/>
    <s v="7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DBN5631CT"/>
    <s v="DESEMULS"/>
    <n v="1980"/>
    <n v="0"/>
    <n v="8.26"/>
    <n v="16354.8"/>
    <n v="13195870.380000001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MAPETQPES"/>
    <s v="ZBOL"/>
    <s v="1155604"/>
    <s v="80"/>
    <s v="ECORDER"/>
    <s v="02"/>
    <s v="ZLF"/>
    <s v="80098637"/>
    <s v="8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FBS2000CT"/>
    <s v="FLOCULANTE"/>
    <n v="340"/>
    <n v="0"/>
    <n v="2.79"/>
    <n v="948.6"/>
    <n v="765377.91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4"/>
    <s v="90"/>
    <s v="ECORDER"/>
    <s v="02"/>
    <s v="ZLF"/>
    <s v="80098637"/>
    <s v="9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IPB651CT"/>
    <s v="INHIBID DE PARAFINAS IPB651CT REV &quot;G&quot;"/>
    <n v="440"/>
    <n v="0"/>
    <n v="6.73"/>
    <n v="2961.2"/>
    <n v="2389244.2200000002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MPTQINH"/>
    <s v="ZBOL"/>
    <s v="1155604"/>
    <s v="100"/>
    <s v="ECORDER"/>
    <s v="02"/>
    <s v="ZLF"/>
    <s v="80098637"/>
    <s v="10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SO4207"/>
    <s v="SECUESTRANTE DE OXIGENO"/>
    <n v="2.2999999999999998"/>
    <n v="0"/>
    <n v="656"/>
    <n v="1508.8"/>
    <n v="1217375.28"/>
    <n v="0"/>
    <s v="tam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4"/>
    <s v="110"/>
    <s v="ECORDER"/>
    <s v="02"/>
    <s v="ZLF"/>
    <s v="80098637"/>
    <s v="11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IPB78CT"/>
    <s v="INHIBID DE PARAFINAS IPB78CT; REVISION"/>
    <n v="200"/>
    <n v="0"/>
    <n v="5.59"/>
    <n v="1118"/>
    <n v="902058.3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DES"/>
    <s v="ZBOL"/>
    <s v="1155604"/>
    <s v="120"/>
    <s v="ECORDER"/>
    <s v="02"/>
    <s v="ZLF"/>
    <s v="80098637"/>
    <s v="12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DBN5645CT"/>
    <s v="DESEMULSIONANTE"/>
    <n v="220"/>
    <n v="0"/>
    <n v="5.46"/>
    <n v="1201.2"/>
    <n v="969188.22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DES"/>
    <s v="ZBOL"/>
    <s v="1155604"/>
    <s v="130"/>
    <s v="ECORDER"/>
    <s v="02"/>
    <s v="ZLF"/>
    <s v="80098637"/>
    <s v="13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RT740CT"/>
    <s v="DESEMULS"/>
    <n v="280"/>
    <n v="0"/>
    <n v="5.65"/>
    <n v="1582"/>
    <n v="1276436.7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INH"/>
    <s v="ZBOL"/>
    <s v="1155604"/>
    <s v="140"/>
    <s v="ECORDER"/>
    <s v="02"/>
    <s v="ZLF"/>
    <s v="80098637"/>
    <s v="14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IPB650ACT"/>
    <s v="INHIBID DE PARAFINAS IPB650ACT REV &quot;L&quot;"/>
    <n v="395"/>
    <n v="0"/>
    <n v="6.22"/>
    <n v="2456.9"/>
    <n v="1982349.77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QIPETQFLO"/>
    <s v="ZBOL"/>
    <s v="1155604"/>
    <s v="150"/>
    <s v="ECORDER"/>
    <s v="02"/>
    <s v="ZLF"/>
    <s v="80098637"/>
    <s v="150"/>
    <s v=""/>
    <s v=""/>
    <s v="0"/>
    <s v=""/>
    <s v="0025R00004899"/>
    <d v="2023-11-21T00:00:00"/>
    <d v="2023-12-20T00:00:00"/>
    <d v="2023-12-24T00:00:00"/>
    <n v="0"/>
    <n v="0"/>
    <s v=""/>
    <m/>
    <s v="ZMAT"/>
    <s v="PS-LR y ES-PQ-diciembre 2023"/>
    <s v=""/>
    <s v="ZTAN"/>
    <s v="FBS1599"/>
    <s v="FLOCULANTE"/>
    <n v="0.6"/>
    <n v="0"/>
    <n v="642"/>
    <n v="385.2"/>
    <n v="310798.62"/>
    <n v="0"/>
    <s v="tam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SER-11003"/>
    <s v="ZBOL"/>
    <s v="1155604"/>
    <s v="160"/>
    <s v="ECORDER"/>
    <s v="02"/>
    <s v="ZLF"/>
    <s v="80098637"/>
    <s v="160"/>
    <s v=""/>
    <s v=""/>
    <s v="0"/>
    <s v=""/>
    <s v="0025R00004899"/>
    <d v="2023-11-21T00:00:00"/>
    <d v="2023-12-20T00:00:00"/>
    <d v="2023-12-24T00:00:00"/>
    <n v="0"/>
    <n v="0"/>
    <s v=""/>
    <m/>
    <s v="ZSER"/>
    <s v="PS-LR y ES-PQ-diciembre 2023"/>
    <s v=""/>
    <s v="ZTAX"/>
    <s v="20002380"/>
    <s v="SERVICIO DE PROVISION PQ"/>
    <n v="870"/>
    <n v="0"/>
    <n v="5.59"/>
    <n v="4863.3"/>
    <n v="3923953.61"/>
    <n v="0"/>
    <s v="un"/>
    <m/>
    <n v="0"/>
    <m/>
    <n v="0"/>
    <s v="31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SER-11003"/>
    <s v="ZBOL"/>
    <s v="1155605"/>
    <s v="10"/>
    <s v="ECORDER"/>
    <s v="02"/>
    <s v="ZLF"/>
    <s v="80098638"/>
    <s v="10"/>
    <s v=""/>
    <s v=""/>
    <s v="0"/>
    <s v=""/>
    <s v="0025R00004900"/>
    <d v="2023-11-21T00:00:00"/>
    <d v="2023-12-20T00:00:00"/>
    <d v="2023-12-24T00:00:00"/>
    <n v="0"/>
    <n v="0"/>
    <s v=""/>
    <m/>
    <s v="ZSER"/>
    <s v="PS-LR y ES-PQ-diciembre 2023"/>
    <s v=""/>
    <s v="ZTAX"/>
    <s v="20002585"/>
    <s v="SERV.MANTENIMIENTO EQUIPOS DOS"/>
    <n v="0.4"/>
    <n v="0"/>
    <n v="2094.98"/>
    <n v="837.99"/>
    <n v="676132.23"/>
    <n v="0"/>
    <s v="un"/>
    <m/>
    <n v="0"/>
    <m/>
    <n v="0"/>
    <s v="31100001"/>
    <s v="102225"/>
    <s v="PETROLEOS SUDAMERICANOS S.A."/>
    <s v="33652607689"/>
    <s v="AR"/>
    <s v="22"/>
    <s v="USD"/>
    <s v="806,85000"/>
    <s v=""/>
    <n v="0"/>
    <s v=""/>
    <s v="AR0CATQ102"/>
    <s v=""/>
    <s v="40001423"/>
    <s v=""/>
  </r>
  <r>
    <s v="AR20"/>
    <s v="AR02"/>
    <s v=""/>
    <s v=""/>
    <s v="SER-11003"/>
    <s v="ZBOL"/>
    <s v="1155606"/>
    <s v="10"/>
    <s v="ECORDER"/>
    <s v="02"/>
    <s v="ZLF"/>
    <s v="80098639"/>
    <s v="10"/>
    <s v=""/>
    <s v=""/>
    <s v="0"/>
    <s v=""/>
    <s v="0025R00004901"/>
    <d v="2023-11-21T00:00:00"/>
    <d v="2023-12-20T00:00:00"/>
    <d v="2023-12-24T00:00:00"/>
    <n v="0"/>
    <n v="0"/>
    <s v=""/>
    <m/>
    <s v="ZSER"/>
    <s v="PS-LR y ES-PQ-diciembre 2023"/>
    <s v=""/>
    <s v="ZTAX"/>
    <s v="20002369"/>
    <s v="SERVICIO DE REPOSICION"/>
    <n v="0.4"/>
    <n v="0"/>
    <n v="4072360.28"/>
    <n v="1628944.11"/>
    <n v="1628944.11"/>
    <n v="0"/>
    <s v="un"/>
    <m/>
    <n v="0"/>
    <m/>
    <n v="0"/>
    <s v="31100001"/>
    <s v="102225"/>
    <s v="PETROLEOS SUDAMERICANOS S.A."/>
    <s v="33652607689"/>
    <s v="AR"/>
    <s v="22"/>
    <s v="ARS"/>
    <s v="806,85000"/>
    <s v=""/>
    <n v="0"/>
    <s v=""/>
    <s v="AR0CATQ102"/>
    <s v=""/>
    <s v="40001578"/>
    <s v=""/>
  </r>
  <r>
    <s v="AR20"/>
    <s v="AR02"/>
    <s v=""/>
    <s v=""/>
    <s v="QIPETQINH"/>
    <s v="ZBOL"/>
    <s v="1155608"/>
    <s v="10"/>
    <s v="ECORDER"/>
    <s v="02"/>
    <s v="ZLF"/>
    <s v="80098641"/>
    <s v="1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CY802CT"/>
    <s v="INHIBID DE CORROSION CY802CT REV &quot;K&quot;"/>
    <n v="2455"/>
    <n v="0"/>
    <n v="3.02"/>
    <n v="7414.1"/>
    <n v="5982066.5899999999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INH"/>
    <s v="ZBOL"/>
    <s v="1155608"/>
    <s v="20"/>
    <s v="ECORDER"/>
    <s v="02"/>
    <s v="ZLF"/>
    <s v="80098641"/>
    <s v="2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CY51WCT"/>
    <s v="INHIBID DE CORROSION CY51WCT REV &quot; AK &quot;"/>
    <n v="1310"/>
    <n v="0"/>
    <n v="4.04"/>
    <n v="5292.4"/>
    <n v="4270172.9400000004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INH"/>
    <s v="ZBOL"/>
    <s v="1155608"/>
    <s v="30"/>
    <s v="ECORDER"/>
    <s v="02"/>
    <s v="ZLF"/>
    <s v="80098641"/>
    <s v="3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IC5087CT"/>
    <s v="INHIBID DE INCRUSTACIONES IC5087CT REV"/>
    <n v="120"/>
    <n v="0"/>
    <n v="3.06"/>
    <n v="367.2"/>
    <n v="296275.32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INH"/>
    <s v="ZBOL"/>
    <s v="1155608"/>
    <s v="40"/>
    <s v="ECORDER"/>
    <s v="02"/>
    <s v="ZLF"/>
    <s v="80098641"/>
    <s v="4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IC220CT"/>
    <s v="INHIBID DE INCRUSTACIONES IC220CT REV &quot;J"/>
    <n v="1780"/>
    <n v="0"/>
    <n v="2.73"/>
    <n v="4859.3999999999996"/>
    <n v="3920806.89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INH"/>
    <s v="ZBOL"/>
    <s v="1155608"/>
    <s v="50"/>
    <s v="ECORDER"/>
    <s v="02"/>
    <s v="ZLF"/>
    <s v="80098641"/>
    <s v="5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IC5400CT"/>
    <s v="INHIBID DE INCRUSTACIONES IC5400CT REV"/>
    <n v="260"/>
    <n v="0"/>
    <n v="3.59"/>
    <n v="933.4"/>
    <n v="753113.79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ANE"/>
    <s v="ZBOL"/>
    <s v="1155608"/>
    <s v="60"/>
    <s v="ECORDER"/>
    <s v="02"/>
    <s v="ZLF"/>
    <s v="80098641"/>
    <s v="6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ABC11CT"/>
    <s v="ANTIESPUM ABC11CT REV K"/>
    <n v="880"/>
    <n v="0"/>
    <n v="3.51"/>
    <n v="3088.8"/>
    <n v="2492198.2799999998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RDF"/>
    <s v="ZBOL"/>
    <s v="1155608"/>
    <s v="70"/>
    <s v="ECORDER"/>
    <s v="02"/>
    <s v="ZLF"/>
    <s v="80098641"/>
    <s v="7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RFB625CT"/>
    <s v="REDUCTOR DE FRICCIÓN"/>
    <n v="1250"/>
    <n v="0"/>
    <n v="5.58"/>
    <n v="6975"/>
    <n v="5627778.75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BAC"/>
    <s v="ZBOL"/>
    <s v="1155608"/>
    <s v="80"/>
    <s v="ECORDER"/>
    <s v="02"/>
    <s v="ZLF"/>
    <s v="80098641"/>
    <s v="8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BXC3201CT"/>
    <s v="BACTERICIDA"/>
    <n v="520"/>
    <n v="0"/>
    <n v="2.34"/>
    <n v="1216.8"/>
    <n v="981775.08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DES"/>
    <s v="ZBOL"/>
    <s v="1155608"/>
    <s v="90"/>
    <s v="ECORDER"/>
    <s v="02"/>
    <s v="ZLF"/>
    <s v="80098641"/>
    <s v="9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DBN1710CT"/>
    <s v="DESEMULSIONANTE"/>
    <n v="2340"/>
    <n v="0"/>
    <n v="7.59"/>
    <n v="17760.599999999999"/>
    <n v="14330140.109999999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SOL"/>
    <s v="ZBOL"/>
    <s v="1155608"/>
    <s v="100"/>
    <s v="ECORDER"/>
    <s v="02"/>
    <s v="ZLF"/>
    <s v="80098641"/>
    <s v="10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SB29CT"/>
    <s v="SOLVENTE"/>
    <n v="60"/>
    <n v="0"/>
    <n v="4.95"/>
    <n v="297"/>
    <n v="239634.45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DES"/>
    <s v="ZBOL"/>
    <s v="1155608"/>
    <s v="110"/>
    <s v="ECORDER"/>
    <s v="02"/>
    <s v="ZLF"/>
    <s v="80098641"/>
    <s v="11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DBN7203CT"/>
    <s v="DESEMULS"/>
    <n v="720"/>
    <n v="0"/>
    <n v="7.02"/>
    <n v="5054.3999999999996"/>
    <n v="4078142.64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DES"/>
    <s v="ZBOL"/>
    <s v="1155608"/>
    <s v="120"/>
    <s v="ECORDER"/>
    <s v="02"/>
    <s v="ZLF"/>
    <s v="80098641"/>
    <s v="12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DBN7311CT"/>
    <s v="DESEMULSIONANTE"/>
    <n v="600"/>
    <n v="0"/>
    <n v="6.21"/>
    <n v="3726"/>
    <n v="3006323.1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FLO"/>
    <s v="ZBOL"/>
    <s v="1155608"/>
    <s v="130"/>
    <s v="ECORDER"/>
    <s v="02"/>
    <s v="ZLF"/>
    <s v="80098641"/>
    <s v="13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FBS9550CT"/>
    <s v="FLOCULANTE"/>
    <n v="360"/>
    <n v="0"/>
    <n v="7.95"/>
    <n v="2862"/>
    <n v="2309204.7000000002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SER-11003"/>
    <s v="ZBOL"/>
    <s v="1155608"/>
    <s v="140"/>
    <s v="ECORDER"/>
    <s v="02"/>
    <s v="ZLF"/>
    <s v="80098641"/>
    <s v="140"/>
    <s v=""/>
    <s v=""/>
    <s v="0"/>
    <s v=""/>
    <s v="0025R00004902"/>
    <d v="2023-11-21T00:00:00"/>
    <d v="2023-12-20T00:00:00"/>
    <d v="2023-12-24T00:00:00"/>
    <n v="0"/>
    <n v="0"/>
    <s v=""/>
    <m/>
    <s v="ZSER"/>
    <s v="PQ-diciembre 2023-UTE PS"/>
    <s v=""/>
    <s v="ZTAX"/>
    <s v="20002380"/>
    <s v="SERVICIO DE PROVISION PQ"/>
    <n v="150"/>
    <n v="0"/>
    <n v="5.59"/>
    <n v="838.5"/>
    <n v="676543.73"/>
    <n v="0"/>
    <s v="un"/>
    <m/>
    <n v="0"/>
    <m/>
    <n v="0"/>
    <s v="31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QIPETQINH"/>
    <s v="ZBOL"/>
    <s v="1155608"/>
    <s v="150"/>
    <s v="ECORDER"/>
    <s v="02"/>
    <s v="ZLF"/>
    <s v="80098641"/>
    <s v="150"/>
    <s v=""/>
    <s v=""/>
    <s v="0"/>
    <s v=""/>
    <s v="0025R00004902"/>
    <d v="2023-11-21T00:00:00"/>
    <d v="2023-12-20T00:00:00"/>
    <d v="2023-12-24T00:00:00"/>
    <n v="0"/>
    <n v="0"/>
    <s v=""/>
    <m/>
    <s v="ZMAT"/>
    <s v="PQ-diciembre 2023-UTE PS"/>
    <s v=""/>
    <s v="ZTAN"/>
    <s v="IC7016CT"/>
    <s v="INHIBID DE INCRUSTACIONES IC7016CT"/>
    <n v="7825"/>
    <n v="0"/>
    <n v="2.95"/>
    <n v="23083.75"/>
    <n v="18625123.690000001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VECLIETQ3"/>
    <s v="ZBOL"/>
    <s v="1155609"/>
    <s v="10"/>
    <s v="ECORDER"/>
    <s v="02"/>
    <s v="ZLF"/>
    <s v="80098642"/>
    <s v="10"/>
    <s v=""/>
    <s v=""/>
    <s v="0"/>
    <s v=""/>
    <s v="0025R00004903"/>
    <d v="2023-11-21T00:00:00"/>
    <d v="2023-12-20T00:00:00"/>
    <d v="2023-12-24T00:00:00"/>
    <n v="0"/>
    <n v="0"/>
    <s v=""/>
    <m/>
    <s v="ZSER"/>
    <s v="SER-diciembre 2023-UTE PS"/>
    <s v=""/>
    <s v="ZTAX"/>
    <s v="20002374"/>
    <s v="SERV"/>
    <n v="1"/>
    <n v="0"/>
    <n v="3114698.66"/>
    <n v="3114698.66"/>
    <n v="3114698.66"/>
    <n v="0"/>
    <s v="un"/>
    <m/>
    <n v="0"/>
    <m/>
    <n v="0"/>
    <s v="31100001"/>
    <s v="102305"/>
    <s v="PET.SUDAMER.S.A.JCR S.A.HOMAQ S.A.U"/>
    <s v="30641046074"/>
    <s v="AR"/>
    <s v="22"/>
    <s v="ARS"/>
    <s v="806,85000"/>
    <s v=""/>
    <n v="0"/>
    <s v=""/>
    <s v="AR0CATQ102"/>
    <s v=""/>
    <s v="40001581"/>
    <s v=""/>
  </r>
  <r>
    <s v="AR20"/>
    <s v="AR02"/>
    <s v=""/>
    <s v=""/>
    <s v="SER-11003"/>
    <s v="ZBOL"/>
    <s v="1155610"/>
    <s v="10"/>
    <s v="ECORDER"/>
    <s v="02"/>
    <s v="ZLF"/>
    <s v="80098643"/>
    <s v="10"/>
    <s v=""/>
    <s v=""/>
    <s v="0"/>
    <s v=""/>
    <s v="0025R00004904"/>
    <d v="2023-11-21T00:00:00"/>
    <d v="2023-12-20T00:00:00"/>
    <d v="2023-12-24T00:00:00"/>
    <n v="0"/>
    <n v="0"/>
    <s v=""/>
    <m/>
    <s v="ZSER"/>
    <s v="BBA-diciembre 2023-UTE PS"/>
    <s v=""/>
    <s v="ZTAX"/>
    <s v="20002585"/>
    <s v="SERV.MANTENIMIENTO EQUIPOS DOS"/>
    <n v="1"/>
    <n v="0"/>
    <n v="1942"/>
    <n v="1942"/>
    <n v="1566902.7"/>
    <n v="0"/>
    <s v="un"/>
    <m/>
    <n v="0"/>
    <m/>
    <n v="0"/>
    <s v="31100001"/>
    <s v="102305"/>
    <s v="PET.SUDAMER.S.A.JCR S.A.HOMAQ S.A.U"/>
    <s v="30641046074"/>
    <s v="AR"/>
    <s v="22"/>
    <s v="USD"/>
    <s v="806,85000"/>
    <s v=""/>
    <n v="0"/>
    <s v=""/>
    <s v="AR0CATQ102"/>
    <s v=""/>
    <s v="40001560"/>
    <s v=""/>
  </r>
  <r>
    <s v="AR20"/>
    <s v="AR02"/>
    <s v=""/>
    <s v=""/>
    <s v="VECLIETQ3"/>
    <s v="ZBOL"/>
    <s v="1155612"/>
    <s v="10"/>
    <s v="ECORDER"/>
    <s v="02"/>
    <s v="ZLF"/>
    <s v="80098645"/>
    <s v="10"/>
    <s v=""/>
    <s v=""/>
    <s v="0"/>
    <s v=""/>
    <s v="0026R00011172"/>
    <d v="2023-11-20T00:00:00"/>
    <d v="2023-12-20T00:00:00"/>
    <d v="2023-12-25T00:00:00"/>
    <n v="0"/>
    <n v="0"/>
    <s v=""/>
    <m/>
    <s v="ZSER"/>
    <s v="SERV-Paso Barda- diciembre 2023"/>
    <s v=""/>
    <s v="ZTAX"/>
    <s v="20002374"/>
    <s v="SERV"/>
    <n v="1"/>
    <n v="0"/>
    <n v="538831.15"/>
    <n v="538831.15"/>
    <n v="538831.15"/>
    <n v="0"/>
    <s v="un"/>
    <m/>
    <n v="0"/>
    <m/>
    <n v="0"/>
    <s v="31100001"/>
    <s v="100062"/>
    <s v="YPF S.A."/>
    <s v="30546689979"/>
    <s v="AR"/>
    <s v="20"/>
    <s v="ARS"/>
    <s v="806,85000"/>
    <s v=""/>
    <n v="0"/>
    <s v=""/>
    <s v="AR0RSTQ102"/>
    <s v=""/>
    <s v="40001412"/>
    <s v=""/>
  </r>
  <r>
    <s v="AR20"/>
    <s v="AR02"/>
    <s v=""/>
    <s v=""/>
    <s v="QIPETQDES"/>
    <s v="ZNRE"/>
    <s v="1155613"/>
    <s v="10"/>
    <s v="ECORDER"/>
    <s v="02"/>
    <s v="ZLF"/>
    <s v="80098646"/>
    <s v="10"/>
    <s v=""/>
    <s v=""/>
    <s v="0"/>
    <s v=""/>
    <s v="0026R00011173"/>
    <d v="2023-11-21T00:00:00"/>
    <d v="2023-12-20T00:00:00"/>
    <d v="2023-12-25T00:00:00"/>
    <n v="0"/>
    <n v="0"/>
    <s v=""/>
    <m/>
    <s v="ZMAT"/>
    <s v="PQ-MA- diciembre 2023"/>
    <s v=""/>
    <s v="ZTAN"/>
    <s v="RT80CT"/>
    <s v="DESEMULSIONANTE"/>
    <n v="1000"/>
    <n v="0"/>
    <n v="3.92"/>
    <n v="3920"/>
    <n v="3162852"/>
    <n v="0"/>
    <s v="lt"/>
    <m/>
    <n v="0"/>
    <m/>
    <n v="0"/>
    <s v="32100020"/>
    <s v="200000"/>
    <s v="PECOM SERVICIOS MEDIOAMBIENTALES S."/>
    <s v="30709858595"/>
    <s v="AR"/>
    <s v="20"/>
    <s v="USD"/>
    <s v="806,85000"/>
    <s v=""/>
    <n v="0"/>
    <s v=""/>
    <s v="AR0RSTQ102"/>
    <s v=""/>
    <s v=""/>
    <s v=""/>
  </r>
  <r>
    <s v="AR20"/>
    <s v="AR02"/>
    <s v=""/>
    <s v=""/>
    <s v="QIPETQDES"/>
    <s v="ZBOL"/>
    <s v="1155614"/>
    <s v="10"/>
    <s v="ECORDER"/>
    <s v="02"/>
    <s v="ZLF"/>
    <s v="80098647"/>
    <s v="10"/>
    <s v=""/>
    <s v=""/>
    <s v="0"/>
    <s v=""/>
    <s v="0026R00011174"/>
    <d v="2023-11-21T00:00:00"/>
    <d v="2023-12-20T00:00:00"/>
    <d v="2023-12-25T00:00:00"/>
    <n v="0"/>
    <n v="0"/>
    <s v=""/>
    <m/>
    <s v="ZMAT"/>
    <s v="Vista-AMOR- PQ-diciembre 2023"/>
    <s v=""/>
    <s v="ZTAN"/>
    <s v="DBN2446CT"/>
    <s v="DESEMULSIONANTE"/>
    <n v="1300"/>
    <n v="0"/>
    <n v="6.44"/>
    <n v="8372"/>
    <n v="6754948.2000000002"/>
    <n v="0"/>
    <s v="lt"/>
    <m/>
    <n v="0"/>
    <m/>
    <n v="0"/>
    <s v="32100001"/>
    <s v="102320"/>
    <s v="HIDROCARBUR.DEL NEUQUENAGUILA MORA"/>
    <s v="30711235899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QIPETQINH"/>
    <s v="ZBOL"/>
    <s v="1155614"/>
    <s v="20"/>
    <s v="ECORDER"/>
    <s v="02"/>
    <s v="ZLF"/>
    <s v="80098647"/>
    <s v="20"/>
    <s v=""/>
    <s v=""/>
    <s v="0"/>
    <s v=""/>
    <s v="0026R00011174"/>
    <d v="2023-11-21T00:00:00"/>
    <d v="2023-12-20T00:00:00"/>
    <d v="2023-12-25T00:00:00"/>
    <n v="0"/>
    <n v="0"/>
    <s v=""/>
    <m/>
    <s v="ZMAT"/>
    <s v="Vista-AMOR- PQ-diciembre 2023"/>
    <s v=""/>
    <s v="ZTAN"/>
    <s v="IC5091CT"/>
    <s v="INHIBID DE INCRUSTACIONES IC5091CT REV"/>
    <n v="340"/>
    <n v="0"/>
    <n v="3.89"/>
    <n v="1322.6"/>
    <n v="1067139.81"/>
    <n v="0"/>
    <s v="lt"/>
    <m/>
    <n v="0"/>
    <m/>
    <n v="0"/>
    <s v="32100001"/>
    <s v="102320"/>
    <s v="HIDROCARBUR.DEL NEUQUENAGUILA MORA"/>
    <s v="30711235899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VECLIETQ3"/>
    <s v="ZBOL"/>
    <s v="1155614"/>
    <s v="30"/>
    <s v="ECORDER"/>
    <s v="02"/>
    <s v="ZLF"/>
    <s v="80098647"/>
    <s v="30"/>
    <s v=""/>
    <s v=""/>
    <s v="0"/>
    <s v=""/>
    <s v="0026R00011174"/>
    <d v="2023-11-21T00:00:00"/>
    <d v="2023-12-20T00:00:00"/>
    <d v="2023-12-25T00:00:00"/>
    <n v="0"/>
    <n v="0"/>
    <s v=""/>
    <m/>
    <s v="ZSER"/>
    <s v="Vista-AMOR- PQ-diciembre 2023"/>
    <s v=""/>
    <s v="ZTAX"/>
    <s v="20002378"/>
    <s v="SERVICIO DE OPERACION Y MTTO"/>
    <n v="1"/>
    <n v="0"/>
    <n v="179"/>
    <n v="179"/>
    <n v="144426.15"/>
    <n v="0"/>
    <s v="un"/>
    <m/>
    <n v="0"/>
    <m/>
    <n v="0"/>
    <s v="31100001"/>
    <s v="102320"/>
    <s v="HIDROCARBUR.DEL NEUQUENAGUILA MORA"/>
    <s v="30711235899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VECLIETQ3"/>
    <s v="ZBOL"/>
    <s v="1155614"/>
    <s v="40"/>
    <s v="ECORDER"/>
    <s v="02"/>
    <s v="ZLF"/>
    <s v="80098647"/>
    <s v="40"/>
    <s v=""/>
    <s v=""/>
    <s v="0"/>
    <s v=""/>
    <s v="0026R00011174"/>
    <d v="2023-11-21T00:00:00"/>
    <d v="2023-12-20T00:00:00"/>
    <d v="2023-12-25T00:00:00"/>
    <n v="0"/>
    <n v="0"/>
    <s v=""/>
    <m/>
    <s v="ZSER"/>
    <s v="Vista-AMOR- PQ-diciembre 2023"/>
    <s v=""/>
    <s v="ZTAX"/>
    <s v="20002378"/>
    <s v="SERVICIO DE OPERACION Y MTTO"/>
    <n v="4"/>
    <n v="0"/>
    <n v="235"/>
    <n v="940"/>
    <n v="758439"/>
    <n v="0"/>
    <s v="un"/>
    <m/>
    <n v="0"/>
    <m/>
    <n v="0"/>
    <s v="31100001"/>
    <s v="102320"/>
    <s v="HIDROCARBUR.DEL NEUQUENAGUILA MORA"/>
    <s v="30711235899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VECLIETQ3"/>
    <s v="ZBOL"/>
    <s v="1155614"/>
    <s v="50"/>
    <s v="ECORDER"/>
    <s v="02"/>
    <s v="ZLF"/>
    <s v="80098647"/>
    <s v="50"/>
    <s v=""/>
    <s v=""/>
    <s v="0"/>
    <s v=""/>
    <s v="0026R00011174"/>
    <d v="2023-11-21T00:00:00"/>
    <d v="2023-12-20T00:00:00"/>
    <d v="2023-12-25T00:00:00"/>
    <n v="0"/>
    <n v="0"/>
    <s v=""/>
    <m/>
    <s v="ZSER"/>
    <s v="Vista-AMOR- PQ-diciembre 2023"/>
    <s v=""/>
    <s v="ZTAX"/>
    <s v="20002359"/>
    <s v="SERVICIO DE DOSIFICACION PTOS QUIMICOS"/>
    <n v="3"/>
    <n v="0"/>
    <n v="163"/>
    <n v="489"/>
    <n v="394549.65"/>
    <n v="0"/>
    <s v="un"/>
    <m/>
    <n v="0"/>
    <m/>
    <n v="0"/>
    <s v="31100001"/>
    <s v="102320"/>
    <s v="HIDROCARBUR.DEL NEUQUENAGUILA MORA"/>
    <s v="30711235899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VECLIETQ3"/>
    <s v="ZBOL"/>
    <s v="1155615"/>
    <s v="10"/>
    <s v="ECORDER"/>
    <s v="02"/>
    <s v="ZLF"/>
    <s v="80098648"/>
    <s v="10"/>
    <s v=""/>
    <s v=""/>
    <s v="0"/>
    <s v=""/>
    <s v="0026R00011175"/>
    <d v="2023-11-21T00:00:00"/>
    <d v="2023-12-20T00:00:00"/>
    <d v="2023-12-25T00:00:00"/>
    <n v="0"/>
    <n v="0"/>
    <s v=""/>
    <m/>
    <s v="ZSER"/>
    <s v="Vista-AMOR-SERV reposiciÃ³n-diciemb"/>
    <s v=""/>
    <s v="ZTAX"/>
    <s v="20002374"/>
    <s v="SERV"/>
    <n v="2"/>
    <n v="0"/>
    <n v="725837"/>
    <n v="1451674"/>
    <n v="1451674"/>
    <n v="0"/>
    <s v="un"/>
    <m/>
    <n v="0"/>
    <m/>
    <n v="0"/>
    <s v="31100001"/>
    <s v="102320"/>
    <s v="HIDROCARBUR.DEL NEUQUENAGUILA MORA"/>
    <s v="30711235899"/>
    <s v="AR"/>
    <s v="20"/>
    <s v="ARS"/>
    <s v="806,85000"/>
    <s v=""/>
    <n v="0"/>
    <s v=""/>
    <s v="AR0CATQ102"/>
    <s v=""/>
    <s v="40001822"/>
    <s v=""/>
  </r>
  <r>
    <s v="AR20"/>
    <s v="AR02"/>
    <s v=""/>
    <s v=""/>
    <s v="VECLIETQ3"/>
    <s v="ZBOL"/>
    <s v="1155615"/>
    <s v="20"/>
    <s v="ECORDER"/>
    <s v="02"/>
    <s v="ZLF"/>
    <s v="80098648"/>
    <s v="20"/>
    <s v=""/>
    <s v=""/>
    <s v="0"/>
    <s v=""/>
    <s v="0026R00011175"/>
    <d v="2023-11-21T00:00:00"/>
    <d v="2023-12-20T00:00:00"/>
    <d v="2023-12-25T00:00:00"/>
    <n v="0"/>
    <n v="0"/>
    <s v=""/>
    <m/>
    <s v="ZSER"/>
    <s v="Vista-AMOR-SERV reposiciÃ³n-diciemb"/>
    <s v=""/>
    <s v="ZTAX"/>
    <s v="20002374"/>
    <s v="SERV"/>
    <n v="0.15"/>
    <n v="0"/>
    <n v="6533365"/>
    <n v="980004.75"/>
    <n v="980004.75"/>
    <n v="0"/>
    <s v="un"/>
    <m/>
    <n v="0"/>
    <m/>
    <n v="0"/>
    <s v="31100001"/>
    <s v="102320"/>
    <s v="HIDROCARBUR.DEL NEUQUENAGUILA MORA"/>
    <s v="30711235899"/>
    <s v="AR"/>
    <s v="20"/>
    <s v="ARS"/>
    <s v="806,85000"/>
    <s v=""/>
    <n v="0"/>
    <s v=""/>
    <s v="AR0CATQ102"/>
    <s v=""/>
    <s v="40001822"/>
    <s v=""/>
  </r>
  <r>
    <s v="AR20"/>
    <s v="AR02"/>
    <s v=""/>
    <s v=""/>
    <s v="QIPETQSOL"/>
    <s v="ZBOL"/>
    <s v="1155616"/>
    <s v="10"/>
    <s v="ECORDER"/>
    <s v="02"/>
    <s v="ZLF"/>
    <s v="80098649"/>
    <s v="10"/>
    <s v=""/>
    <s v=""/>
    <s v="0"/>
    <s v=""/>
    <s v="0025R00004905"/>
    <d v="2023-11-21T00:00:00"/>
    <d v="2023-12-20T00:00:00"/>
    <d v="2023-12-25T00:00:00"/>
    <n v="0"/>
    <n v="0"/>
    <s v=""/>
    <m/>
    <s v="ZMAT"/>
    <s v="Vista VRU-diciembre 2023"/>
    <s v=""/>
    <s v="ZTAN"/>
    <s v="SB14CT"/>
    <s v="SOLVENTE"/>
    <n v="3000"/>
    <n v="0"/>
    <n v="1.72"/>
    <n v="5160"/>
    <n v="4163346"/>
    <n v="0"/>
    <s v="lt"/>
    <m/>
    <n v="0"/>
    <m/>
    <n v="0"/>
    <s v="32100001"/>
    <s v="102151"/>
    <s v="Vista Oíl &amp; Gas Argentina SA"/>
    <s v="33515950899"/>
    <s v="AR"/>
    <s v="22"/>
    <s v="USD"/>
    <s v="806,85000"/>
    <s v=""/>
    <n v="0"/>
    <s v=""/>
    <s v="AR0CATQ102"/>
    <s v=""/>
    <s v="40001821"/>
    <s v=""/>
  </r>
  <r>
    <s v="AR20"/>
    <s v="AR02"/>
    <s v=""/>
    <s v=""/>
    <s v="VECLIETQ3"/>
    <s v="ZBOL"/>
    <s v="1155617"/>
    <s v="10"/>
    <s v="ECORDER"/>
    <s v="02"/>
    <s v="ZLF"/>
    <s v="80098650"/>
    <s v="10"/>
    <s v=""/>
    <s v=""/>
    <s v="0"/>
    <s v=""/>
    <s v="0025R00004906"/>
    <d v="2023-11-21T00:00:00"/>
    <d v="2023-12-20T00:00:00"/>
    <d v="2023-12-25T00:00:00"/>
    <n v="0"/>
    <n v="0"/>
    <s v=""/>
    <m/>
    <s v="ZSER"/>
    <s v="Vista-VRU-SERV reposiciÃ³n-diciembr"/>
    <s v=""/>
    <s v="ZTAX"/>
    <s v="20002374"/>
    <s v="SERV"/>
    <n v="3"/>
    <n v="0"/>
    <n v="725837"/>
    <n v="2177511"/>
    <n v="2177511"/>
    <n v="0"/>
    <s v="un"/>
    <m/>
    <n v="0"/>
    <m/>
    <n v="0"/>
    <s v="31100001"/>
    <s v="102151"/>
    <s v="Vista Oíl &amp; Gas Argentina SA"/>
    <s v="33515950899"/>
    <s v="AR"/>
    <s v="22"/>
    <s v="ARS"/>
    <s v="806,85000"/>
    <s v=""/>
    <n v="0"/>
    <s v=""/>
    <s v="AR0CATQ102"/>
    <s v=""/>
    <s v="40001822"/>
    <s v=""/>
  </r>
  <r>
    <s v="AR20"/>
    <s v="AR02"/>
    <s v=""/>
    <s v=""/>
    <s v="VECLIETQ3"/>
    <s v="ZBOL"/>
    <s v="1155619"/>
    <s v="10"/>
    <s v="ECORDER"/>
    <s v="02"/>
    <s v="ZLF"/>
    <s v="80098651"/>
    <s v="10"/>
    <s v=""/>
    <s v=""/>
    <s v="0"/>
    <s v=""/>
    <s v="0025R00004907"/>
    <d v="2023-11-21T00:00:00"/>
    <d v="2023-12-20T00:00:00"/>
    <d v="2023-12-25T00:00:00"/>
    <n v="0"/>
    <n v="0"/>
    <s v=""/>
    <m/>
    <s v="ZSER"/>
    <s v="Vista-SERV reposiciÃ³n-diciembre 20"/>
    <s v=""/>
    <s v="ZTAX"/>
    <s v="20002374"/>
    <s v="SERV"/>
    <n v="3"/>
    <n v="0"/>
    <n v="725837"/>
    <n v="2177511"/>
    <n v="2177511"/>
    <n v="0"/>
    <s v="un"/>
    <m/>
    <n v="0"/>
    <m/>
    <n v="0"/>
    <s v="31100001"/>
    <s v="102540"/>
    <s v="AREA BAJADA DEL PALO OESTE U. T. E."/>
    <s v="30717233480"/>
    <s v="AR"/>
    <s v="20"/>
    <s v="ARS"/>
    <s v="806,85000"/>
    <s v=""/>
    <n v="0"/>
    <s v=""/>
    <s v="AR0CATQ102"/>
    <s v=""/>
    <s v="40001822"/>
    <s v=""/>
  </r>
  <r>
    <s v="AR20"/>
    <s v="AR02"/>
    <s v=""/>
    <s v=""/>
    <s v="VECLIETQ3"/>
    <s v="ZBOL"/>
    <s v="1155619"/>
    <s v="20"/>
    <s v="ECORDER"/>
    <s v="02"/>
    <s v="ZLF"/>
    <s v="80098651"/>
    <s v="20"/>
    <s v=""/>
    <s v=""/>
    <s v="0"/>
    <s v=""/>
    <s v="0025R00004907"/>
    <d v="2023-11-21T00:00:00"/>
    <d v="2023-12-20T00:00:00"/>
    <d v="2023-12-25T00:00:00"/>
    <n v="0"/>
    <n v="0"/>
    <s v=""/>
    <m/>
    <s v="ZSER"/>
    <s v="Vista-SERV reposiciÃ³n-diciembre 20"/>
    <s v=""/>
    <s v="ZTAX"/>
    <s v="20002374"/>
    <s v="SERV"/>
    <n v="0.2"/>
    <n v="0"/>
    <n v="6533365"/>
    <n v="1306673"/>
    <n v="1306673"/>
    <n v="0"/>
    <s v="un"/>
    <m/>
    <n v="0"/>
    <m/>
    <n v="0"/>
    <s v="31100001"/>
    <s v="102540"/>
    <s v="AREA BAJADA DEL PALO OESTE U. T. E."/>
    <s v="30717233480"/>
    <s v="AR"/>
    <s v="20"/>
    <s v="ARS"/>
    <s v="806,85000"/>
    <s v=""/>
    <n v="0"/>
    <s v=""/>
    <s v="AR0CATQ102"/>
    <s v=""/>
    <s v="40001822"/>
    <s v=""/>
  </r>
  <r>
    <s v="AR20"/>
    <s v="AR02"/>
    <s v=""/>
    <s v=""/>
    <s v="VECLIETQ3"/>
    <s v="ZBOL"/>
    <s v="1155621"/>
    <s v="10"/>
    <s v="ECORDER"/>
    <s v="02"/>
    <s v="ZLF"/>
    <s v="80098652"/>
    <s v="10"/>
    <s v=""/>
    <s v=""/>
    <s v="0"/>
    <s v=""/>
    <s v="0025R00004908"/>
    <d v="2023-11-21T00:00:00"/>
    <d v="2023-12-20T00:00:00"/>
    <d v="2023-12-25T00:00:00"/>
    <n v="0"/>
    <n v="0"/>
    <s v=""/>
    <m/>
    <s v="ZSER"/>
    <s v="Vista-BP- BBA Solar-diciembre 2023"/>
    <s v=""/>
    <s v="ZTAX"/>
    <s v="20002378"/>
    <s v="SERVICIO DE OPERACION Y MTTO"/>
    <n v="4"/>
    <n v="0"/>
    <n v="179"/>
    <n v="716"/>
    <n v="577704.6"/>
    <n v="0"/>
    <s v="un"/>
    <m/>
    <n v="0"/>
    <m/>
    <n v="0"/>
    <s v="31100001"/>
    <s v="102540"/>
    <s v="AREA BAJADA DEL PALO OESTE U. T. E."/>
    <s v="30717233480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VECLIETQ3"/>
    <s v="ZBOL"/>
    <s v="1155621"/>
    <s v="20"/>
    <s v="ECORDER"/>
    <s v="02"/>
    <s v="ZLF"/>
    <s v="80098652"/>
    <s v="20"/>
    <s v=""/>
    <s v=""/>
    <s v="0"/>
    <s v=""/>
    <s v="0025R00004908"/>
    <d v="2023-11-21T00:00:00"/>
    <d v="2023-12-20T00:00:00"/>
    <d v="2023-12-25T00:00:00"/>
    <n v="0"/>
    <n v="0"/>
    <s v=""/>
    <m/>
    <s v="ZSER"/>
    <s v="Vista-BP- BBA Solar-diciembre 2023"/>
    <s v=""/>
    <s v="ZTAX"/>
    <s v="20002378"/>
    <s v="SERVICIO DE OPERACION Y MTTO"/>
    <n v="1"/>
    <n v="0"/>
    <n v="235"/>
    <n v="235"/>
    <n v="189609.75"/>
    <n v="0"/>
    <s v="un"/>
    <m/>
    <n v="0"/>
    <m/>
    <n v="0"/>
    <s v="31100001"/>
    <s v="102540"/>
    <s v="AREA BAJADA DEL PALO OESTE U. T. E."/>
    <s v="30717233480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QIPETQDES"/>
    <s v="ZKE"/>
    <s v="1155622"/>
    <s v="10"/>
    <s v="ECORDER"/>
    <s v="02"/>
    <s v="ZLF"/>
    <s v="80098653"/>
    <s v="10"/>
    <s v=""/>
    <s v=""/>
    <s v="0"/>
    <s v=""/>
    <s v="0003R00008490"/>
    <d v="2023-11-21T00:00:00"/>
    <d v="2023-12-20T00:00:00"/>
    <d v="2023-12-25T00:00:00"/>
    <n v="0"/>
    <n v="0"/>
    <s v=""/>
    <m/>
    <s v="ZMAT"/>
    <s v="Vista-diciembre 2023 pq"/>
    <s v=""/>
    <s v="KEN"/>
    <s v="DBN2446CT"/>
    <s v="DESEMULSIONANTE"/>
    <n v="4100"/>
    <n v="0"/>
    <n v="6.44"/>
    <n v="26404"/>
    <n v="21304067.399999999"/>
    <n v="0"/>
    <s v="lt"/>
    <m/>
    <n v="0"/>
    <m/>
    <n v="0"/>
    <s v="32100001"/>
    <s v="102540"/>
    <s v="AREA BAJADA DEL PALO OESTE U. T. E."/>
    <s v="30717233480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QIPETQESP"/>
    <s v="ZKE"/>
    <s v="1155622"/>
    <s v="20"/>
    <s v="ECORDER"/>
    <s v="02"/>
    <s v="ZLF"/>
    <s v="80098653"/>
    <s v="20"/>
    <s v=""/>
    <s v=""/>
    <s v="0"/>
    <s v=""/>
    <s v="0003R00008490"/>
    <d v="2023-11-21T00:00:00"/>
    <d v="2023-12-20T00:00:00"/>
    <d v="2023-12-25T00:00:00"/>
    <n v="0"/>
    <n v="0"/>
    <s v=""/>
    <m/>
    <s v="ZMAT"/>
    <s v="Vista-diciembre 2023 pq"/>
    <s v=""/>
    <s v="KEN"/>
    <s v="ESB9846CT"/>
    <s v="ESPUMIG ESB9846CT"/>
    <n v="1350"/>
    <n v="0"/>
    <n v="3.53"/>
    <n v="4765.5"/>
    <n v="3845043.68"/>
    <n v="0"/>
    <s v="lt"/>
    <m/>
    <n v="0"/>
    <m/>
    <n v="0"/>
    <s v="32100001"/>
    <s v="102540"/>
    <s v="AREA BAJADA DEL PALO OESTE U. T. E."/>
    <s v="30717233480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QIPETQSOL"/>
    <s v="ZKE"/>
    <s v="1155622"/>
    <s v="30"/>
    <s v="ECORDER"/>
    <s v="02"/>
    <s v="ZLF"/>
    <s v="80098653"/>
    <s v="30"/>
    <s v=""/>
    <s v=""/>
    <s v="0"/>
    <s v=""/>
    <s v="0003R00008490"/>
    <d v="2023-11-21T00:00:00"/>
    <d v="2023-12-20T00:00:00"/>
    <d v="2023-12-25T00:00:00"/>
    <n v="0"/>
    <n v="0"/>
    <s v=""/>
    <m/>
    <s v="ZMAT"/>
    <s v="Vista-diciembre 2023 pq"/>
    <s v=""/>
    <s v="KEN"/>
    <s v="SB14CT"/>
    <s v="SOLVENTE"/>
    <n v="1500"/>
    <n v="0"/>
    <n v="1.72"/>
    <n v="2580"/>
    <n v="2081673"/>
    <n v="0"/>
    <s v="lt"/>
    <m/>
    <n v="0"/>
    <m/>
    <n v="0"/>
    <s v="32100001"/>
    <s v="102540"/>
    <s v="AREA BAJADA DEL PALO OESTE U. T. E."/>
    <s v="30717233480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QIPETQINH"/>
    <s v="ZKE"/>
    <s v="1155622"/>
    <s v="40"/>
    <s v="ECORDER"/>
    <s v="02"/>
    <s v="ZLF"/>
    <s v="80098653"/>
    <s v="40"/>
    <s v=""/>
    <s v=""/>
    <s v="0"/>
    <s v=""/>
    <s v="0003R00008490"/>
    <d v="2023-11-21T00:00:00"/>
    <d v="2023-12-20T00:00:00"/>
    <d v="2023-12-25T00:00:00"/>
    <n v="0"/>
    <n v="0"/>
    <s v=""/>
    <m/>
    <s v="ZMAT"/>
    <s v="Vista-diciembre 2023 pq"/>
    <s v=""/>
    <s v="KEN"/>
    <s v="IC5091CT"/>
    <s v="INHIBID DE INCRUSTACIONES IC5091CT REV"/>
    <n v="640"/>
    <n v="0"/>
    <n v="3.89"/>
    <n v="2489.6"/>
    <n v="2008733.76"/>
    <n v="0"/>
    <s v="lt"/>
    <m/>
    <n v="0"/>
    <m/>
    <n v="0"/>
    <s v="32100001"/>
    <s v="102540"/>
    <s v="AREA BAJADA DEL PALO OESTE U. T. E."/>
    <s v="30717233480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QIPETQINH"/>
    <s v="ZKE"/>
    <s v="1155622"/>
    <s v="50"/>
    <s v="ECORDER"/>
    <s v="02"/>
    <s v="ZLF"/>
    <s v="80098653"/>
    <s v="50"/>
    <s v=""/>
    <s v=""/>
    <s v="0"/>
    <s v=""/>
    <s v="0003R00008490"/>
    <d v="2023-11-21T00:00:00"/>
    <d v="2023-12-20T00:00:00"/>
    <d v="2023-12-25T00:00:00"/>
    <n v="0"/>
    <n v="0"/>
    <s v=""/>
    <m/>
    <s v="ZMAT"/>
    <s v="Vista-diciembre 2023 pq"/>
    <s v=""/>
    <s v="KEN"/>
    <s v="IPB650ACT"/>
    <s v="INHIBID DE PARAFINAS IPB650ACT REV &quot;L&quot;"/>
    <n v="420"/>
    <n v="0"/>
    <n v="7.21"/>
    <n v="3028.2"/>
    <n v="2443303.17"/>
    <n v="0"/>
    <s v="lt"/>
    <m/>
    <n v="0"/>
    <m/>
    <n v="0"/>
    <s v="32100001"/>
    <s v="102540"/>
    <s v="AREA BAJADA DEL PALO OESTE U. T. E."/>
    <s v="30717233480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QIPETQINH"/>
    <s v="ZKE"/>
    <s v="1155622"/>
    <s v="60"/>
    <s v="ECORDER"/>
    <s v="02"/>
    <s v="ZLF"/>
    <s v="80098653"/>
    <s v="60"/>
    <s v=""/>
    <s v=""/>
    <s v="0"/>
    <s v=""/>
    <s v="0003R00008490"/>
    <d v="2023-11-21T00:00:00"/>
    <d v="2023-12-20T00:00:00"/>
    <d v="2023-12-25T00:00:00"/>
    <n v="0"/>
    <n v="0"/>
    <s v=""/>
    <m/>
    <s v="ZMAT"/>
    <s v="Vista-diciembre 2023 pq"/>
    <s v=""/>
    <s v="KEN"/>
    <s v="IPB953CT"/>
    <s v="INHIBID DE PARAFINAS IPB953CT; REVISION"/>
    <n v="1420"/>
    <n v="0"/>
    <n v="7.15"/>
    <n v="10153"/>
    <n v="8191948.0499999998"/>
    <n v="0"/>
    <s v="lt"/>
    <m/>
    <n v="0"/>
    <m/>
    <n v="0"/>
    <s v="32100001"/>
    <s v="102540"/>
    <s v="AREA BAJADA DEL PALO OESTE U. T. E."/>
    <s v="30717233480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QIPETQINH"/>
    <s v="ZKB"/>
    <s v="1155623"/>
    <s v="10"/>
    <s v="ECORDER"/>
    <s v=""/>
    <s v="ZLF"/>
    <s v="80098654"/>
    <s v="10"/>
    <s v=""/>
    <s v=""/>
    <s v="0"/>
    <s v=""/>
    <s v="0003R00008489"/>
    <d v="2023-11-21T00:00:00"/>
    <d v="2023-12-20T00:00:00"/>
    <d v="2023-12-25T00:00:00"/>
    <n v="0"/>
    <n v="0"/>
    <s v=""/>
    <m/>
    <s v="ZMAT"/>
    <s v="Vista-diciembre 2023 pq"/>
    <s v=""/>
    <s v="KBN"/>
    <s v="IC5091CT"/>
    <s v="INHIBID DE INCRUSTACIONES IC5091CT REV"/>
    <n v="140"/>
    <n v="0"/>
    <n v="0"/>
    <n v="0"/>
    <n v="0"/>
    <n v="0"/>
    <s v="lt"/>
    <m/>
    <n v="0"/>
    <m/>
    <n v="0"/>
    <s v="32100001"/>
    <s v="102540"/>
    <s v="AREA BAJADA DEL PALO OESTE U. T. E."/>
    <s v="30717233480"/>
    <s v="AR"/>
    <s v="20"/>
    <s v="USD"/>
    <s v="806,85000"/>
    <s v=""/>
    <n v="0"/>
    <s v=""/>
    <s v="AR0CATQ102"/>
    <s v=""/>
    <s v="40001821"/>
    <s v=""/>
  </r>
  <r>
    <s v="AR20"/>
    <s v="AR02"/>
    <s v=""/>
    <s v=""/>
    <s v="QIPETQINH"/>
    <s v="ZBOL"/>
    <s v="1155791"/>
    <s v="10"/>
    <s v="ECORDER"/>
    <s v="02"/>
    <s v="ZLF"/>
    <s v="80098830"/>
    <s v="10"/>
    <s v=""/>
    <s v=""/>
    <s v="0"/>
    <s v=""/>
    <s v="0026R00011189"/>
    <d v="2023-11-21T00:00:00"/>
    <d v="2023-12-20T00:00:00"/>
    <d v="2023-12-27T00:00:00"/>
    <n v="0"/>
    <n v="0"/>
    <s v=""/>
    <m/>
    <s v="ZMAT"/>
    <s v="PQ-diciembre 2023-CHO PS"/>
    <s v=""/>
    <s v="ZTAN"/>
    <s v="CY51WCT"/>
    <s v="INHIBID DE CORROSION CY51WCT REV &quot; AK &quot;"/>
    <n v="670"/>
    <n v="0"/>
    <n v="4.04"/>
    <n v="2706.8"/>
    <n v="2183981.58"/>
    <n v="0"/>
    <s v="lt"/>
    <m/>
    <n v="0"/>
    <m/>
    <n v="0"/>
    <s v="32100001"/>
    <s v="102225"/>
    <s v="PETROLEOS SUDAMERICANOS S.A."/>
    <s v="33652607689"/>
    <s v="AR"/>
    <s v="20"/>
    <s v="USD"/>
    <s v="806,85000"/>
    <s v=""/>
    <n v="0"/>
    <s v=""/>
    <s v="AR0CATQ102"/>
    <s v=""/>
    <s v="40001560"/>
    <s v=""/>
  </r>
  <r>
    <s v="AR20"/>
    <s v="AR02"/>
    <s v=""/>
    <s v=""/>
    <s v="QIPETQINH"/>
    <s v="ZBOL"/>
    <s v="1155791"/>
    <s v="20"/>
    <s v="ECORDER"/>
    <s v="02"/>
    <s v="ZLF"/>
    <s v="80098830"/>
    <s v="20"/>
    <s v=""/>
    <s v=""/>
    <s v="0"/>
    <s v=""/>
    <s v="0026R00011189"/>
    <d v="2023-11-21T00:00:00"/>
    <d v="2023-12-20T00:00:00"/>
    <d v="2023-12-27T00:00:00"/>
    <n v="0"/>
    <n v="0"/>
    <s v=""/>
    <m/>
    <s v="ZMAT"/>
    <s v="PQ-diciembre 2023-CHO PS"/>
    <s v=""/>
    <s v="ZTAN"/>
    <s v="IC5087CT"/>
    <s v="INHIBID DE INCRUSTACIONES IC5087CT REV"/>
    <n v="405"/>
    <n v="0"/>
    <n v="3.06"/>
    <n v="1239.3"/>
    <n v="999929.21"/>
    <n v="0"/>
    <s v="lt"/>
    <m/>
    <n v="0"/>
    <m/>
    <n v="0"/>
    <s v="32100001"/>
    <s v="102225"/>
    <s v="PETROLEOS SUDAMERICANOS S.A."/>
    <s v="33652607689"/>
    <s v="AR"/>
    <s v="20"/>
    <s v="USD"/>
    <s v="806,85000"/>
    <s v=""/>
    <n v="0"/>
    <s v=""/>
    <s v="AR0CATQ102"/>
    <s v=""/>
    <s v="40001560"/>
    <s v=""/>
  </r>
  <r>
    <s v="AR20"/>
    <s v="AR02"/>
    <s v=""/>
    <s v=""/>
    <s v="MAPETQPES"/>
    <s v="ZBOL"/>
    <s v="1155791"/>
    <s v="30"/>
    <s v="ECORDER"/>
    <s v="02"/>
    <s v="ZLF"/>
    <s v="80098830"/>
    <s v="30"/>
    <s v=""/>
    <s v=""/>
    <s v="0"/>
    <s v=""/>
    <s v="0026R00011189"/>
    <d v="2023-11-21T00:00:00"/>
    <d v="2023-12-20T00:00:00"/>
    <d v="2023-12-27T00:00:00"/>
    <n v="0"/>
    <n v="0"/>
    <s v=""/>
    <m/>
    <s v="ZMAT"/>
    <s v="PQ-diciembre 2023-CHO PS"/>
    <s v=""/>
    <s v="ZTAN"/>
    <s v="FBS2000CT"/>
    <s v="FLOCULANTE"/>
    <n v="660"/>
    <n v="0"/>
    <n v="2.79"/>
    <n v="1841.4"/>
    <n v="1485733.59"/>
    <n v="0"/>
    <s v="lt"/>
    <m/>
    <n v="0"/>
    <m/>
    <n v="0"/>
    <s v="32100001"/>
    <s v="102225"/>
    <s v="PETROLEOS SUDAMERICANOS S.A."/>
    <s v="33652607689"/>
    <s v="AR"/>
    <s v="20"/>
    <s v="USD"/>
    <s v="806,85000"/>
    <s v=""/>
    <n v="0"/>
    <s v=""/>
    <s v="AR0CATQ102"/>
    <s v=""/>
    <s v="40001560"/>
    <s v=""/>
  </r>
  <r>
    <s v="AR20"/>
    <s v="AR02"/>
    <s v=""/>
    <s v=""/>
    <s v="QIPETQINH"/>
    <s v="ZBOL"/>
    <s v="1155791"/>
    <s v="40"/>
    <s v="ECORDER"/>
    <s v="02"/>
    <s v="ZLF"/>
    <s v="80098830"/>
    <s v="40"/>
    <s v=""/>
    <s v=""/>
    <s v="0"/>
    <s v=""/>
    <s v="0026R00011189"/>
    <d v="2023-11-21T00:00:00"/>
    <d v="2023-12-20T00:00:00"/>
    <d v="2023-12-27T00:00:00"/>
    <n v="0"/>
    <n v="0"/>
    <s v=""/>
    <m/>
    <s v="ZMAT"/>
    <s v="PQ-diciembre 2023-CHO PS"/>
    <s v=""/>
    <s v="ZTAN"/>
    <s v="IC5091CT"/>
    <s v="INHIBID DE INCRUSTACIONES IC5091CT REV"/>
    <n v="1190"/>
    <n v="0"/>
    <n v="4.0199999999999996"/>
    <n v="4783.8"/>
    <n v="3859809.03"/>
    <n v="0"/>
    <s v="lt"/>
    <m/>
    <n v="0"/>
    <m/>
    <n v="0"/>
    <s v="32100001"/>
    <s v="102225"/>
    <s v="PETROLEOS SUDAMERICANOS S.A."/>
    <s v="33652607689"/>
    <s v="AR"/>
    <s v="20"/>
    <s v="USD"/>
    <s v="806,85000"/>
    <s v=""/>
    <n v="0"/>
    <s v=""/>
    <s v="AR0CATQ102"/>
    <s v=""/>
    <s v="40001560"/>
    <s v=""/>
  </r>
  <r>
    <s v="AR20"/>
    <s v="AR02"/>
    <s v=""/>
    <s v=""/>
    <s v="QIPETQDES"/>
    <s v="ZBOL"/>
    <s v="1155791"/>
    <s v="50"/>
    <s v="ECORDER"/>
    <s v="02"/>
    <s v="ZLF"/>
    <s v="80098830"/>
    <s v="50"/>
    <s v=""/>
    <s v=""/>
    <s v="0"/>
    <s v=""/>
    <s v="0026R00011189"/>
    <d v="2023-11-21T00:00:00"/>
    <d v="2023-12-20T00:00:00"/>
    <d v="2023-12-27T00:00:00"/>
    <n v="0"/>
    <n v="0"/>
    <s v=""/>
    <m/>
    <s v="ZMAT"/>
    <s v="PQ-diciembre 2023-CHO PS"/>
    <s v=""/>
    <s v="ZTAN"/>
    <s v="DBN1464CT"/>
    <s v="DESEMULS DBN1464CT"/>
    <n v="1985"/>
    <n v="0"/>
    <n v="6.41"/>
    <n v="12723.85"/>
    <n v="10266238.369999999"/>
    <n v="0"/>
    <s v="lt"/>
    <m/>
    <n v="0"/>
    <m/>
    <n v="0"/>
    <s v="32100001"/>
    <s v="102225"/>
    <s v="PETROLEOS SUDAMERICANOS S.A."/>
    <s v="33652607689"/>
    <s v="AR"/>
    <s v="20"/>
    <s v="USD"/>
    <s v="806,85000"/>
    <s v=""/>
    <n v="0"/>
    <s v=""/>
    <s v="AR0CATQ102"/>
    <s v=""/>
    <s v="40001560"/>
    <s v=""/>
  </r>
  <r>
    <s v="AR20"/>
    <s v="AR02"/>
    <s v=""/>
    <s v=""/>
    <s v="VECLIETQ3"/>
    <s v="ZBOL"/>
    <s v="1155792"/>
    <s v="10"/>
    <s v="ECORDER"/>
    <s v="02"/>
    <s v="ZLF"/>
    <s v="80098831"/>
    <s v="10"/>
    <s v=""/>
    <s v=""/>
    <s v="0"/>
    <s v=""/>
    <s v="0026R00011190"/>
    <d v="2023-11-21T00:00:00"/>
    <d v="2023-12-20T00:00:00"/>
    <d v="2023-12-27T00:00:00"/>
    <n v="0"/>
    <n v="0"/>
    <s v=""/>
    <m/>
    <s v="ZSER"/>
    <s v="SER-diciembre 2023-CHO PS"/>
    <s v=""/>
    <s v="ZTAX"/>
    <s v="20002374"/>
    <s v="SERV"/>
    <n v="1"/>
    <n v="0"/>
    <n v="2080068.65"/>
    <n v="2080068.65"/>
    <n v="2080068.65"/>
    <n v="0"/>
    <s v="un"/>
    <m/>
    <n v="0"/>
    <m/>
    <n v="0"/>
    <s v="31100001"/>
    <s v="102225"/>
    <s v="PETROLEOS SUDAMERICANOS S.A."/>
    <s v="33652607689"/>
    <s v="AR"/>
    <s v="20"/>
    <s v="ARS"/>
    <s v="806,85000"/>
    <s v=""/>
    <n v="0"/>
    <s v=""/>
    <s v="AR0CATQ102"/>
    <s v=""/>
    <s v="40001581"/>
    <s v=""/>
  </r>
  <r>
    <s v="AR20"/>
    <s v="AR02"/>
    <s v=""/>
    <s v=""/>
    <s v="SER-11003"/>
    <s v="ZBOL"/>
    <s v="1155793"/>
    <s v="10"/>
    <s v="ECORDER"/>
    <s v="02"/>
    <s v="ZLF"/>
    <s v="80098833"/>
    <s v="10"/>
    <s v=""/>
    <s v=""/>
    <s v="0"/>
    <s v=""/>
    <s v="0026R00011191"/>
    <d v="2023-11-21T00:00:00"/>
    <d v="2023-12-20T00:00:00"/>
    <d v="2023-12-27T00:00:00"/>
    <n v="0"/>
    <n v="0"/>
    <s v=""/>
    <m/>
    <s v="ZSER"/>
    <s v="BBA-diciembre 2023-CHO PS"/>
    <s v=""/>
    <s v="ZTAX"/>
    <s v="20002585"/>
    <s v="SERV.MANTENIMIENTO EQUIPOS DOS"/>
    <n v="10"/>
    <n v="0"/>
    <n v="75"/>
    <n v="750"/>
    <n v="605137.5"/>
    <n v="0"/>
    <s v="un"/>
    <m/>
    <n v="0"/>
    <m/>
    <n v="0"/>
    <s v="31100001"/>
    <s v="102225"/>
    <s v="PETROLEOS SUDAMERICANOS S.A."/>
    <s v="33652607689"/>
    <s v="AR"/>
    <s v="20"/>
    <s v="USD"/>
    <s v="806,85000"/>
    <s v=""/>
    <n v="0"/>
    <s v=""/>
    <s v="AR0CATQ102"/>
    <s v=""/>
    <s v="40001560"/>
    <s v=""/>
  </r>
  <r>
    <s v="AR20"/>
    <s v="AR02"/>
    <s v=""/>
    <s v=""/>
    <s v="QIPETQINH"/>
    <s v="ZBOL"/>
    <s v="1155837"/>
    <s v="10"/>
    <s v="ECORDER"/>
    <s v="02"/>
    <s v="ZLF"/>
    <s v="80098860"/>
    <s v="1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IPB71CT"/>
    <s v="INHIBID DE PARAFINAS IPB71CT; REVISION"/>
    <n v="285"/>
    <n v="0"/>
    <n v="4.7"/>
    <n v="1339.5"/>
    <n v="1080775.58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QIPETQSOL"/>
    <s v="ZBOL"/>
    <s v="1155837"/>
    <s v="20"/>
    <s v="ECORDER"/>
    <s v="02"/>
    <s v="ZLF"/>
    <s v="80098860"/>
    <s v="2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SB14CT"/>
    <s v="SOLVENTE"/>
    <n v="4447"/>
    <n v="0"/>
    <n v="1.41"/>
    <n v="6270.27"/>
    <n v="5059167.3499999996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QIPETQRDF"/>
    <s v="ZBOL"/>
    <s v="1155837"/>
    <s v="30"/>
    <s v="ECORDER"/>
    <s v="02"/>
    <s v="ZLF"/>
    <s v="80098860"/>
    <s v="3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RFB790CT"/>
    <s v="REDUCTOR DE FRICCION"/>
    <n v="599"/>
    <n v="0"/>
    <n v="4.66"/>
    <n v="2791.34"/>
    <n v="2252192.6800000002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QIPETQBAC"/>
    <s v="ZBOL"/>
    <s v="1155837"/>
    <s v="40"/>
    <s v="ECORDER"/>
    <s v="02"/>
    <s v="ZLF"/>
    <s v="80098860"/>
    <s v="4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BX960CT"/>
    <s v="BACTERICIDA"/>
    <n v="6671"/>
    <n v="0"/>
    <n v="4.5"/>
    <n v="30019.5"/>
    <n v="24221233.579999998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QIPETQINH"/>
    <s v="ZBOL"/>
    <s v="1155837"/>
    <s v="50"/>
    <s v="ECORDER"/>
    <s v="02"/>
    <s v="ZLF"/>
    <s v="80098860"/>
    <s v="5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IC5087ACT"/>
    <s v="INHIBID DE INCRUSTACIONES"/>
    <n v="2838"/>
    <n v="0"/>
    <n v="4.5999999999999996"/>
    <n v="13054.8"/>
    <n v="10533265.380000001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QIPETQINH"/>
    <s v="ZBOL"/>
    <s v="1155837"/>
    <s v="60"/>
    <s v="ECORDER"/>
    <s v="02"/>
    <s v="ZLF"/>
    <s v="80098860"/>
    <s v="6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ICS400CT"/>
    <s v="INHIBID MULTIPROPOSITO ICS400CT; REVISIO"/>
    <n v="1966"/>
    <n v="0"/>
    <n v="4.42"/>
    <n v="8689.7199999999993"/>
    <n v="7011300.5800000001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QIPETQINH"/>
    <s v="ZBOL"/>
    <s v="1155837"/>
    <s v="70"/>
    <s v="ECORDER"/>
    <s v="02"/>
    <s v="ZLF"/>
    <s v="80098860"/>
    <s v="7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CY51WCT"/>
    <s v="INHIBID DE CORROSION CY51WCT REV &quot; AK &quot;"/>
    <n v="13436"/>
    <n v="0"/>
    <n v="4.75"/>
    <n v="63821"/>
    <n v="51493973.850000001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QIPETQINH"/>
    <s v="ZBOL"/>
    <s v="1155837"/>
    <s v="80"/>
    <s v="ECORDER"/>
    <s v="02"/>
    <s v="ZLF"/>
    <s v="80098860"/>
    <s v="8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IPB650CT"/>
    <s v="INHIBID DE PARAFINAS IPB650CT REV &quot;R&quot;"/>
    <n v="1731"/>
    <n v="0"/>
    <n v="7.2"/>
    <n v="12463.2"/>
    <n v="10055932.92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QIPETQSEC"/>
    <s v="ZBOL"/>
    <s v="1155837"/>
    <s v="90"/>
    <s v="ECORDER"/>
    <s v="02"/>
    <s v="ZLF"/>
    <s v="80098860"/>
    <s v="9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BSH8050CT"/>
    <s v="SECUESTR DE SULFHIDRICO BSH8050CT"/>
    <n v="1426"/>
    <n v="0"/>
    <n v="4.1100000000000003"/>
    <n v="5860.86"/>
    <n v="4728834.8899999997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QIPETQINH"/>
    <s v="ZBOL"/>
    <s v="1155837"/>
    <s v="100"/>
    <s v="ECORDER"/>
    <s v="02"/>
    <s v="ZLF"/>
    <s v="80098860"/>
    <s v="10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IPB658CT"/>
    <s v="INHIBID DE PARAFINAS"/>
    <n v="2106"/>
    <n v="0"/>
    <n v="7.2"/>
    <n v="15163.2"/>
    <n v="12234427.92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QIPETQINH"/>
    <s v="ZBOL"/>
    <s v="1155837"/>
    <s v="110"/>
    <s v="ECORDER"/>
    <s v="02"/>
    <s v="ZLF"/>
    <s v="80098860"/>
    <s v="11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IC5091CT"/>
    <s v="INHIBID DE INCRUSTACIONES IC5091CT REV"/>
    <n v="312"/>
    <n v="0"/>
    <n v="4.0199999999999996"/>
    <n v="1254.24"/>
    <n v="1011983.54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MAPETQPES"/>
    <s v="ZBOL"/>
    <s v="1155837"/>
    <s v="120"/>
    <s v="ECORDER"/>
    <s v="02"/>
    <s v="ZLF"/>
    <s v="80098860"/>
    <s v="12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IC7001"/>
    <s v="INHIBIDOR DE INCRUSTACIONES"/>
    <n v="0.82"/>
    <n v="0"/>
    <n v="1416"/>
    <n v="1161.1199999999999"/>
    <n v="936849.67"/>
    <n v="0"/>
    <s v="tam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QIPETQINH"/>
    <s v="ZBOL"/>
    <s v="1155837"/>
    <s v="130"/>
    <s v="ECORDER"/>
    <s v="02"/>
    <s v="ZLF"/>
    <s v="80098860"/>
    <s v="130"/>
    <s v=""/>
    <s v=""/>
    <s v="0"/>
    <s v=""/>
    <s v="0025R00004938"/>
    <d v="2023-11-21T00:00:00"/>
    <d v="2023-12-20T00:00:00"/>
    <d v="2023-12-27T00:00:00"/>
    <n v="0"/>
    <n v="0"/>
    <s v=""/>
    <m/>
    <s v="ZMAT"/>
    <s v="PQ-Catriel- diciembre 2023"/>
    <s v=""/>
    <s v="ZTAN"/>
    <s v="IPB279CT"/>
    <s v="INHIBID DE PARAFINAS IPB279CT REV &quot;A&quot;"/>
    <n v="669"/>
    <n v="0"/>
    <n v="5.9"/>
    <n v="3947.1"/>
    <n v="3184717.64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40001411"/>
    <s v=""/>
  </r>
  <r>
    <s v="AR20"/>
    <s v="AR02"/>
    <s v=""/>
    <s v=""/>
    <s v="VECLIETQ3"/>
    <s v="ZBOL"/>
    <s v="1155838"/>
    <s v="10"/>
    <s v="ECORDER"/>
    <s v="02"/>
    <s v="ZLF"/>
    <s v="80098861"/>
    <s v="10"/>
    <s v=""/>
    <s v=""/>
    <s v="0"/>
    <s v=""/>
    <s v="0025R00004939"/>
    <d v="2023-11-21T00:00:00"/>
    <d v="2023-12-20T00:00:00"/>
    <d v="2023-12-27T00:00:00"/>
    <n v="0"/>
    <n v="0"/>
    <s v=""/>
    <m/>
    <s v="ZSER"/>
    <s v="SERV-Catriel- diciembre 2023"/>
    <s v=""/>
    <s v="ZTAX"/>
    <s v="20002374"/>
    <s v="SERV"/>
    <n v="1"/>
    <n v="0"/>
    <n v="22207489.18"/>
    <n v="22207489.18"/>
    <n v="22207489.18"/>
    <n v="0"/>
    <s v="un"/>
    <m/>
    <n v="0"/>
    <m/>
    <n v="0"/>
    <s v="31100001"/>
    <s v="100062"/>
    <s v="YPF S.A."/>
    <s v="30546689979"/>
    <s v="AR"/>
    <s v="22"/>
    <s v="ARS"/>
    <s v="806,85000"/>
    <s v=""/>
    <n v="0"/>
    <s v=""/>
    <s v="AR0CATQ101"/>
    <s v=""/>
    <s v="40001412"/>
    <s v=""/>
  </r>
  <r>
    <s v="AR20"/>
    <s v="AR02"/>
    <s v=""/>
    <s v=""/>
    <s v="QIPETQANE"/>
    <s v="ZKA"/>
    <s v="60008049"/>
    <s v="10"/>
    <s v="SELIZON"/>
    <s v=""/>
    <s v="ZLR"/>
    <s v="84004397"/>
    <s v="10"/>
    <s v=""/>
    <s v=""/>
    <s v="0"/>
    <s v=""/>
    <s v=""/>
    <m/>
    <m/>
    <d v="2023-12-21T00:00:00"/>
    <n v="0"/>
    <n v="0"/>
    <s v=""/>
    <m/>
    <s v="ZMAT"/>
    <s v=""/>
    <s v=""/>
    <s v="KAN"/>
    <s v="ABC11CT"/>
    <s v="ANTIESPUM ABC11CT REV K"/>
    <n v="170"/>
    <n v="0"/>
    <n v="0"/>
    <n v="0"/>
    <n v="0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"/>
    <s v=""/>
  </r>
  <r>
    <s v="AR20"/>
    <s v="AR02"/>
    <s v=""/>
    <s v=""/>
    <s v="QIPETQDES"/>
    <s v="ZKA"/>
    <s v="60008049"/>
    <s v="20"/>
    <s v="SELIZON"/>
    <s v=""/>
    <s v="ZLR"/>
    <s v="84004397"/>
    <s v="20"/>
    <s v=""/>
    <s v=""/>
    <s v="0"/>
    <s v=""/>
    <s v=""/>
    <m/>
    <m/>
    <d v="2023-12-21T00:00:00"/>
    <n v="0"/>
    <n v="0"/>
    <s v=""/>
    <m/>
    <s v="ZMAT"/>
    <s v=""/>
    <s v=""/>
    <s v="KAN"/>
    <s v="DBN1710CT"/>
    <s v="DESEMULSIONANTE"/>
    <n v="1590"/>
    <n v="0"/>
    <n v="0"/>
    <n v="0"/>
    <n v="0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"/>
    <s v=""/>
  </r>
  <r>
    <s v="AR20"/>
    <s v="AR02"/>
    <s v=""/>
    <s v=""/>
    <s v="QIPETQDES"/>
    <s v="ZKA"/>
    <s v="60008049"/>
    <s v="30"/>
    <s v="SELIZON"/>
    <s v=""/>
    <s v="ZLR"/>
    <s v="84004397"/>
    <s v="30"/>
    <s v=""/>
    <s v=""/>
    <s v="0"/>
    <s v=""/>
    <s v=""/>
    <m/>
    <m/>
    <d v="2023-12-21T00:00:00"/>
    <n v="0"/>
    <n v="0"/>
    <s v=""/>
    <m/>
    <s v="ZMAT"/>
    <s v=""/>
    <s v=""/>
    <s v="KAN"/>
    <s v="DBN7203CT"/>
    <s v="DESEMULS"/>
    <n v="1450"/>
    <n v="0"/>
    <n v="0"/>
    <n v="0"/>
    <n v="0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"/>
    <s v=""/>
  </r>
  <r>
    <s v="AR20"/>
    <s v="AR02"/>
    <s v=""/>
    <s v=""/>
    <s v="QIPETQDES"/>
    <s v="ZKA"/>
    <s v="60008049"/>
    <s v="40"/>
    <s v="SELIZON"/>
    <s v=""/>
    <s v="ZLR"/>
    <s v="84004397"/>
    <s v="40"/>
    <s v=""/>
    <s v=""/>
    <s v="0"/>
    <s v=""/>
    <s v=""/>
    <m/>
    <m/>
    <d v="2023-12-21T00:00:00"/>
    <n v="0"/>
    <n v="0"/>
    <s v=""/>
    <m/>
    <s v="ZMAT"/>
    <s v=""/>
    <s v=""/>
    <s v="KAN"/>
    <s v="DBN7311CT"/>
    <s v="DESEMULSIONANTE"/>
    <n v="850"/>
    <n v="0"/>
    <n v="0"/>
    <n v="0"/>
    <n v="0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"/>
    <s v=""/>
  </r>
  <r>
    <s v="AR20"/>
    <s v="AR02"/>
    <s v=""/>
    <s v=""/>
    <s v="QIPETQFLO"/>
    <s v="ZKA"/>
    <s v="60008049"/>
    <s v="50"/>
    <s v="SELIZON"/>
    <s v=""/>
    <s v="ZLR"/>
    <s v="84004397"/>
    <s v="50"/>
    <s v=""/>
    <s v=""/>
    <s v="0"/>
    <s v=""/>
    <s v=""/>
    <m/>
    <m/>
    <d v="2023-12-21T00:00:00"/>
    <n v="0"/>
    <n v="0"/>
    <s v=""/>
    <m/>
    <s v="ZMAT"/>
    <s v=""/>
    <s v=""/>
    <s v="KAN"/>
    <s v="FBS9550CT"/>
    <s v="FLOCULANTE"/>
    <n v="140"/>
    <n v="0"/>
    <n v="0"/>
    <n v="0"/>
    <n v="0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"/>
    <s v=""/>
  </r>
  <r>
    <s v="AR20"/>
    <s v="AR02"/>
    <s v=""/>
    <s v=""/>
    <s v="QIPETQINH"/>
    <s v="ZKA"/>
    <s v="60008049"/>
    <s v="60"/>
    <s v="SELIZON"/>
    <s v=""/>
    <s v="ZLR"/>
    <s v="84004397"/>
    <s v="60"/>
    <s v=""/>
    <s v=""/>
    <s v="0"/>
    <s v=""/>
    <s v=""/>
    <m/>
    <m/>
    <d v="2023-12-21T00:00:00"/>
    <n v="0"/>
    <n v="0"/>
    <s v=""/>
    <m/>
    <s v="ZMAT"/>
    <s v=""/>
    <s v=""/>
    <s v="KAN"/>
    <s v="IC7016CT"/>
    <s v="INHIBID DE INCRUSTACIONES IC7016CT"/>
    <n v="4025"/>
    <n v="0"/>
    <n v="0"/>
    <n v="0"/>
    <n v="0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"/>
    <s v=""/>
  </r>
  <r>
    <s v="AR20"/>
    <s v="AR02"/>
    <s v=""/>
    <s v=""/>
    <s v="QIPETQRDF"/>
    <s v="ZKA"/>
    <s v="60008049"/>
    <s v="70"/>
    <s v="SELIZON"/>
    <s v=""/>
    <s v="ZLR"/>
    <s v="84004397"/>
    <s v="70"/>
    <s v=""/>
    <s v=""/>
    <s v="0"/>
    <s v=""/>
    <s v=""/>
    <m/>
    <m/>
    <d v="2023-12-21T00:00:00"/>
    <n v="0"/>
    <n v="0"/>
    <s v=""/>
    <m/>
    <s v="ZMAT"/>
    <s v=""/>
    <s v=""/>
    <s v="KAN"/>
    <s v="RFB625CT"/>
    <s v="REDUCTOR DE FRICCIÓN"/>
    <n v="880"/>
    <n v="0"/>
    <n v="0"/>
    <n v="0"/>
    <n v="0"/>
    <n v="0"/>
    <s v="lt"/>
    <m/>
    <n v="0"/>
    <m/>
    <n v="0"/>
    <s v="32100001"/>
    <s v="102305"/>
    <s v="PET.SUDAMER.S.A.JCR S.A.HOMAQ S.A.U"/>
    <s v="30641046074"/>
    <s v="AR"/>
    <s v="22"/>
    <s v="USD"/>
    <s v="806,85000"/>
    <s v=""/>
    <n v="0"/>
    <s v=""/>
    <s v="AR0CATQ102"/>
    <s v=""/>
    <s v=""/>
    <s v=""/>
  </r>
  <r>
    <s v="AR20"/>
    <s v="AR02"/>
    <s v=""/>
    <s v=""/>
    <s v="QIPETQDES"/>
    <s v="ZKA"/>
    <s v="60008050"/>
    <s v="10"/>
    <s v="SELIZON"/>
    <s v=""/>
    <s v="ZLR"/>
    <s v="84004398"/>
    <s v="10"/>
    <s v=""/>
    <s v=""/>
    <s v="0"/>
    <s v=""/>
    <s v=""/>
    <m/>
    <m/>
    <d v="2023-12-21T00:00:00"/>
    <n v="0"/>
    <n v="0"/>
    <s v=""/>
    <m/>
    <s v="ZMAT"/>
    <s v=""/>
    <s v=""/>
    <s v="KAN"/>
    <s v="DBN5645CT"/>
    <s v="DESEMULSIONANTE"/>
    <n v="200"/>
    <n v="0"/>
    <n v="0"/>
    <n v="0"/>
    <n v="0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"/>
    <s v=""/>
  </r>
  <r>
    <s v="AR20"/>
    <s v="AR02"/>
    <s v=""/>
    <s v=""/>
    <s v="QIPETQFLO"/>
    <s v="ZKA"/>
    <s v="60008050"/>
    <s v="20"/>
    <s v="SELIZON"/>
    <s v=""/>
    <s v="ZLR"/>
    <s v="84004398"/>
    <s v="20"/>
    <s v=""/>
    <s v=""/>
    <s v="0"/>
    <s v=""/>
    <s v=""/>
    <m/>
    <m/>
    <d v="2023-12-21T00:00:00"/>
    <n v="0"/>
    <n v="0"/>
    <s v=""/>
    <m/>
    <s v="ZMAT"/>
    <s v=""/>
    <s v=""/>
    <s v="KAN"/>
    <s v="FBS1599"/>
    <s v="FLOCULANTE"/>
    <n v="0.6"/>
    <n v="0"/>
    <n v="0"/>
    <n v="0"/>
    <n v="0"/>
    <n v="0"/>
    <s v="tam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"/>
    <s v=""/>
  </r>
  <r>
    <s v="AR20"/>
    <s v="AR02"/>
    <s v=""/>
    <s v=""/>
    <s v="QIPETQINH"/>
    <s v="ZKA"/>
    <s v="60008050"/>
    <s v="30"/>
    <s v="SELIZON"/>
    <s v=""/>
    <s v="ZLR"/>
    <s v="84004398"/>
    <s v="30"/>
    <s v=""/>
    <s v=""/>
    <s v="0"/>
    <s v=""/>
    <s v=""/>
    <m/>
    <m/>
    <d v="2023-12-21T00:00:00"/>
    <n v="0"/>
    <n v="0"/>
    <s v=""/>
    <m/>
    <s v="ZMAT"/>
    <s v=""/>
    <s v=""/>
    <s v="KAN"/>
    <s v="IPB651CT"/>
    <s v="INHIBID DE PARAFINAS IPB651CT REV &quot;G&quot;"/>
    <n v="290"/>
    <n v="0"/>
    <n v="0"/>
    <n v="0"/>
    <n v="0"/>
    <n v="0"/>
    <s v="lt"/>
    <m/>
    <n v="0"/>
    <m/>
    <n v="0"/>
    <s v="32100001"/>
    <s v="102225"/>
    <s v="PETROLEOS SUDAMERICANOS S.A."/>
    <s v="33652607689"/>
    <s v="AR"/>
    <s v="22"/>
    <s v="USD"/>
    <s v="806,85000"/>
    <s v=""/>
    <n v="0"/>
    <s v=""/>
    <s v="AR0CATQ102"/>
    <s v=""/>
    <s v=""/>
    <s v=""/>
  </r>
  <r>
    <s v="AR20"/>
    <s v="AR02"/>
    <s v=""/>
    <s v=""/>
    <s v="QIPETQINH"/>
    <s v="ZKA"/>
    <s v="60008051"/>
    <s v="10"/>
    <s v="SELIZON"/>
    <s v=""/>
    <s v="ZLR"/>
    <s v="84004399"/>
    <s v="10"/>
    <s v=""/>
    <s v=""/>
    <s v="0"/>
    <s v=""/>
    <s v=""/>
    <m/>
    <m/>
    <d v="2023-12-21T00:00:00"/>
    <n v="0"/>
    <n v="0"/>
    <s v=""/>
    <m/>
    <s v="ZMAT"/>
    <s v=""/>
    <s v=""/>
    <s v="KAN"/>
    <s v="CY51WCT"/>
    <s v="INHIBID DE CORROSION CY51WCT REV &quot; AK &quot;"/>
    <n v="300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DES"/>
    <s v="ZKA"/>
    <s v="60008051"/>
    <s v="20"/>
    <s v="SELIZON"/>
    <s v=""/>
    <s v="ZLR"/>
    <s v="84004399"/>
    <s v="20"/>
    <s v=""/>
    <s v=""/>
    <s v="0"/>
    <s v=""/>
    <s v=""/>
    <m/>
    <m/>
    <d v="2023-12-21T00:00:00"/>
    <n v="0"/>
    <n v="0"/>
    <s v=""/>
    <m/>
    <s v="ZMAT"/>
    <s v=""/>
    <s v=""/>
    <s v="KAN"/>
    <s v="DBN5631CT"/>
    <s v="DESEMULS"/>
    <n v="42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DIS"/>
    <s v="ZKA"/>
    <s v="60008051"/>
    <s v="30"/>
    <s v="SELIZON"/>
    <s v=""/>
    <s v="ZLR"/>
    <s v="84004399"/>
    <s v="30"/>
    <s v=""/>
    <s v=""/>
    <s v="0"/>
    <s v=""/>
    <s v=""/>
    <m/>
    <m/>
    <d v="2023-12-21T00:00:00"/>
    <n v="0"/>
    <n v="0"/>
    <s v=""/>
    <m/>
    <s v="ZMAT"/>
    <s v=""/>
    <s v=""/>
    <s v="KAN"/>
    <s v="DPA7367CT"/>
    <s v="DISPERS DE ASFALTENOS DPA7367CT"/>
    <n v="165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INH"/>
    <s v="ZKA"/>
    <s v="60008051"/>
    <s v="40"/>
    <s v="SELIZON"/>
    <s v=""/>
    <s v="ZLR"/>
    <s v="84004399"/>
    <s v="40"/>
    <s v=""/>
    <s v=""/>
    <s v="0"/>
    <s v=""/>
    <s v=""/>
    <m/>
    <m/>
    <d v="2023-12-21T00:00:00"/>
    <n v="0"/>
    <n v="0"/>
    <s v=""/>
    <m/>
    <s v="ZMAT"/>
    <s v=""/>
    <s v=""/>
    <s v="KAN"/>
    <s v="IC5087CT"/>
    <s v="INHIBID DE INCRUSTACIONES IC5087CT REV"/>
    <n v="60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INH"/>
    <s v="ZKA"/>
    <s v="60008051"/>
    <s v="50"/>
    <s v="SELIZON"/>
    <s v=""/>
    <s v="ZLR"/>
    <s v="84004399"/>
    <s v="50"/>
    <s v=""/>
    <s v=""/>
    <s v="0"/>
    <s v=""/>
    <s v=""/>
    <m/>
    <m/>
    <d v="2023-12-21T00:00:00"/>
    <n v="0"/>
    <n v="0"/>
    <s v=""/>
    <m/>
    <s v="ZMAT"/>
    <s v=""/>
    <s v=""/>
    <s v="KAN"/>
    <s v="IC5400CT"/>
    <s v="INHIBID DE INCRUSTACIONES IC5400CT REV"/>
    <n v="10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INH"/>
    <s v="ZKA"/>
    <s v="60008051"/>
    <s v="60"/>
    <s v="SELIZON"/>
    <s v=""/>
    <s v="ZLR"/>
    <s v="84004399"/>
    <s v="60"/>
    <s v=""/>
    <s v=""/>
    <s v="0"/>
    <s v=""/>
    <s v=""/>
    <m/>
    <m/>
    <d v="2023-12-21T00:00:00"/>
    <n v="0"/>
    <n v="0"/>
    <s v=""/>
    <m/>
    <s v="ZMAT"/>
    <s v=""/>
    <s v=""/>
    <s v="KAN"/>
    <s v="ICS400CT"/>
    <s v="INHIBID MULTIPROPOSITO ICS400CT; REVISIO"/>
    <n v="80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INH"/>
    <s v="ZKA"/>
    <s v="60008051"/>
    <s v="70"/>
    <s v="SELIZON"/>
    <s v=""/>
    <s v="ZLR"/>
    <s v="84004399"/>
    <s v="70"/>
    <s v=""/>
    <s v=""/>
    <s v="0"/>
    <s v=""/>
    <s v=""/>
    <m/>
    <m/>
    <d v="2023-12-21T00:00:00"/>
    <n v="0"/>
    <n v="0"/>
    <s v=""/>
    <m/>
    <s v="ZMAT"/>
    <s v=""/>
    <s v=""/>
    <s v="KAN"/>
    <s v="IPB22CT"/>
    <s v="INHIBID DE PARAFINAS IPB22CT REV &quot;A&quot;"/>
    <n v="200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INH"/>
    <s v="ZKA"/>
    <s v="60008051"/>
    <s v="80"/>
    <s v="SELIZON"/>
    <s v=""/>
    <s v="ZLR"/>
    <s v="84004399"/>
    <s v="80"/>
    <s v=""/>
    <s v=""/>
    <s v="0"/>
    <s v=""/>
    <s v=""/>
    <m/>
    <m/>
    <d v="2023-12-21T00:00:00"/>
    <n v="0"/>
    <n v="0"/>
    <s v=""/>
    <m/>
    <s v="ZMAT"/>
    <s v=""/>
    <s v=""/>
    <s v="KAN"/>
    <s v="IPB6256CT"/>
    <s v="INHIBID DE ASFALTENOS IPB6256CT REV &quot;J&quot;"/>
    <n v="10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INH"/>
    <s v="ZKA"/>
    <s v="60008051"/>
    <s v="90"/>
    <s v="SELIZON"/>
    <s v=""/>
    <s v="ZLR"/>
    <s v="84004399"/>
    <s v="90"/>
    <s v=""/>
    <s v=""/>
    <s v="0"/>
    <s v=""/>
    <s v=""/>
    <m/>
    <m/>
    <d v="2023-12-21T00:00:00"/>
    <n v="0"/>
    <n v="0"/>
    <s v=""/>
    <m/>
    <s v="ZMAT"/>
    <s v=""/>
    <s v=""/>
    <s v="KAN"/>
    <s v="IPB650ACT"/>
    <s v="INHIBID DE PARAFINAS IPB650ACT REV &quot;L&quot;"/>
    <n v="23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INH"/>
    <s v="ZKA"/>
    <s v="60008051"/>
    <s v="100"/>
    <s v="SELIZON"/>
    <s v=""/>
    <s v="ZLR"/>
    <s v="84004399"/>
    <s v="100"/>
    <s v=""/>
    <s v=""/>
    <s v="0"/>
    <s v=""/>
    <s v=""/>
    <m/>
    <m/>
    <d v="2023-12-21T00:00:00"/>
    <n v="0"/>
    <n v="0"/>
    <s v=""/>
    <m/>
    <s v="ZMAT"/>
    <s v=""/>
    <s v=""/>
    <s v="KAN"/>
    <s v="IPB650CT"/>
    <s v="INHIBID DE PARAFINAS IPB650CT REV &quot;R&quot;"/>
    <n v="20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INH"/>
    <s v="ZKA"/>
    <s v="60008051"/>
    <s v="110"/>
    <s v="SELIZON"/>
    <s v=""/>
    <s v="ZLR"/>
    <s v="84004399"/>
    <s v="110"/>
    <s v=""/>
    <s v=""/>
    <s v="0"/>
    <s v=""/>
    <s v=""/>
    <m/>
    <m/>
    <d v="2023-12-21T00:00:00"/>
    <n v="0"/>
    <n v="0"/>
    <s v=""/>
    <m/>
    <s v="ZMAT"/>
    <s v=""/>
    <s v=""/>
    <s v="KAN"/>
    <s v="IPB71CT"/>
    <s v="INHIBID DE PARAFINAS IPB71CT; REVISION"/>
    <n v="189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RDF"/>
    <s v="ZKA"/>
    <s v="60008051"/>
    <s v="120"/>
    <s v="SELIZON"/>
    <s v=""/>
    <s v="ZLR"/>
    <s v="84004399"/>
    <s v="120"/>
    <s v=""/>
    <s v=""/>
    <s v="0"/>
    <s v=""/>
    <s v=""/>
    <m/>
    <m/>
    <d v="2023-12-21T00:00:00"/>
    <n v="0"/>
    <n v="0"/>
    <s v=""/>
    <m/>
    <s v="ZMAT"/>
    <s v=""/>
    <s v=""/>
    <s v="KAN"/>
    <s v="RFB790CT"/>
    <s v="REDUCTOR DE FRICCION"/>
    <n v="10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  <r>
    <s v="AR20"/>
    <s v="AR02"/>
    <s v=""/>
    <s v=""/>
    <s v="QIPETQSOL"/>
    <s v="ZKA"/>
    <s v="60008051"/>
    <s v="130"/>
    <s v="SELIZON"/>
    <s v=""/>
    <s v="ZLR"/>
    <s v="84004399"/>
    <s v="130"/>
    <s v=""/>
    <s v=""/>
    <s v="0"/>
    <s v=""/>
    <s v=""/>
    <m/>
    <m/>
    <d v="2023-12-21T00:00:00"/>
    <n v="0"/>
    <n v="0"/>
    <s v=""/>
    <m/>
    <s v="ZMAT"/>
    <s v=""/>
    <s v=""/>
    <s v="KAN"/>
    <s v="SB45CT"/>
    <s v="SOLVENTE"/>
    <n v="1000"/>
    <n v="0"/>
    <n v="0"/>
    <n v="0"/>
    <n v="0"/>
    <n v="0"/>
    <s v="lt"/>
    <m/>
    <n v="0"/>
    <m/>
    <n v="0"/>
    <s v="32100001"/>
    <s v="100062"/>
    <s v="YPF S.A."/>
    <s v="30546689979"/>
    <s v="AR"/>
    <s v="22"/>
    <s v="USD"/>
    <s v="806,85000"/>
    <s v=""/>
    <n v="0"/>
    <s v=""/>
    <s v="AR0CATQ101"/>
    <s v="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AR20"/>
    <s v="AR02"/>
    <s v=""/>
    <s v=""/>
    <s v="QIPETQDES"/>
    <s v="ZBOL"/>
    <s v="1153653"/>
    <s v="10"/>
    <s v="ECORDER"/>
    <s v=""/>
    <s v="ZLF"/>
    <s v="80098473"/>
    <s v="10"/>
    <s v="ZEFC"/>
    <s v="90162416"/>
    <s v="22"/>
    <s v="M"/>
    <s v="0026R00011162"/>
    <d v="2023-11-21T00:00:00"/>
    <x v="0"/>
    <d v="2023-12-22T00:00:00"/>
    <n v="0"/>
    <n v="0"/>
    <s v="00021A00042271"/>
    <d v="2023-12-22T00:00:00"/>
    <s v="ZMAT"/>
    <s v="Vista-AMOR- PQ-noviembre 2023"/>
    <s v=""/>
    <s v="ZTAN"/>
    <s v="DBN2446CT"/>
    <s v="DESEMULSIONANTE"/>
    <n v="220"/>
    <n v="220"/>
    <n v="6.44"/>
    <n v="1416.8"/>
    <n v="1143145.08"/>
    <n v="1139390.56"/>
    <s v="lt"/>
    <m/>
    <n v="0"/>
    <m/>
    <n v="0"/>
    <s v="32100001"/>
    <s v="102320"/>
    <x v="0"/>
    <s v="30711235899"/>
    <s v="AR"/>
    <s v="20"/>
    <x v="0"/>
    <s v="806,85000"/>
    <s v="804,20000"/>
    <n v="0"/>
    <s v=""/>
    <x v="0"/>
    <s v=""/>
    <s v="40001821"/>
    <n v="1416.8"/>
    <m/>
  </r>
  <r>
    <s v="AR20"/>
    <s v="AR02"/>
    <s v=""/>
    <s v=""/>
    <s v="QIPETQINH"/>
    <s v="ZBOL"/>
    <s v="1153653"/>
    <s v="20"/>
    <s v="ECORDER"/>
    <s v=""/>
    <s v="ZLF"/>
    <s v="80098473"/>
    <s v="20"/>
    <s v="ZEFC"/>
    <s v="90162416"/>
    <s v="23"/>
    <s v="M"/>
    <s v="0026R00011162"/>
    <d v="2023-11-21T00:00:00"/>
    <x v="0"/>
    <d v="2023-12-22T00:00:00"/>
    <n v="0"/>
    <n v="0"/>
    <s v="00021A00042271"/>
    <d v="2023-12-22T00:00:00"/>
    <s v="ZMAT"/>
    <s v="Vista-AMOR- PQ-noviembre 2023"/>
    <s v=""/>
    <s v="ZTAN"/>
    <s v="IC5091CT"/>
    <s v="INHIBID DE INCRUSTACIONES IC5091CT REV"/>
    <n v="1000"/>
    <n v="1000"/>
    <n v="3.89"/>
    <n v="3890"/>
    <n v="3138646.5"/>
    <n v="3128338"/>
    <s v="lt"/>
    <m/>
    <n v="0"/>
    <m/>
    <n v="0"/>
    <s v="32100001"/>
    <s v="102320"/>
    <x v="0"/>
    <s v="30711235899"/>
    <s v="AR"/>
    <s v="20"/>
    <x v="0"/>
    <s v="806,85000"/>
    <s v="804,20000"/>
    <n v="0"/>
    <s v=""/>
    <x v="0"/>
    <s v=""/>
    <s v="40001821"/>
    <n v="3890"/>
    <m/>
  </r>
  <r>
    <s v="AR20"/>
    <s v="AR02"/>
    <s v=""/>
    <s v=""/>
    <s v="QIPETQSOL"/>
    <s v="ZBOL"/>
    <s v="1153653"/>
    <s v="30"/>
    <s v="ECORDER"/>
    <s v=""/>
    <s v="ZLF"/>
    <s v="80098473"/>
    <s v="30"/>
    <s v="ZEFC"/>
    <s v="90162416"/>
    <s v="30"/>
    <s v="M"/>
    <s v="0026R00011162"/>
    <d v="2023-11-21T00:00:00"/>
    <x v="0"/>
    <d v="2023-12-22T00:00:00"/>
    <n v="0"/>
    <n v="0"/>
    <s v="00021A00042271"/>
    <d v="2023-12-22T00:00:00"/>
    <s v="ZMAT"/>
    <s v="Vista-AMOR- PQ-noviembre 2023"/>
    <s v=""/>
    <s v="ZTAN"/>
    <s v="SB14CT"/>
    <s v="SOLVENTE"/>
    <n v="1710"/>
    <n v="1710"/>
    <n v="1.72"/>
    <n v="2941.2"/>
    <n v="2373107.2200000002"/>
    <n v="2365313.04"/>
    <s v="lt"/>
    <m/>
    <n v="0"/>
    <m/>
    <n v="0"/>
    <s v="32100001"/>
    <s v="102320"/>
    <x v="0"/>
    <s v="30711235899"/>
    <s v="AR"/>
    <s v="20"/>
    <x v="0"/>
    <s v="806,85000"/>
    <s v="804,20000"/>
    <n v="0"/>
    <s v=""/>
    <x v="0"/>
    <s v=""/>
    <s v="40001821"/>
    <n v="2941.2"/>
    <m/>
  </r>
  <r>
    <s v="AR20"/>
    <s v="AR02"/>
    <s v=""/>
    <s v=""/>
    <s v="VECLIETQ3"/>
    <s v="ZBOL"/>
    <s v="1155308"/>
    <s v="10"/>
    <s v="ECORDER"/>
    <s v=""/>
    <s v="ZLF"/>
    <s v="80098277"/>
    <s v="10"/>
    <s v="ZEFC"/>
    <s v="90162324"/>
    <s v="10"/>
    <s v="M"/>
    <s v="0003R00008473"/>
    <d v="2023-09-21T00:00:00"/>
    <x v="1"/>
    <d v="2023-12-21T00:00:00"/>
    <n v="0"/>
    <n v="0"/>
    <s v="00021A00042194"/>
    <d v="2023-12-21T00:00:00"/>
    <s v="ZSER"/>
    <s v="1000092115"/>
    <s v=""/>
    <s v="ZTAX"/>
    <s v="20002378"/>
    <s v="SERVICIO DE OPERACION Y MTTO"/>
    <n v="5"/>
    <n v="5"/>
    <n v="179"/>
    <n v="895"/>
    <n v="722130.75"/>
    <n v="719311.5"/>
    <s v="un"/>
    <m/>
    <n v="0"/>
    <m/>
    <n v="0"/>
    <s v="31100001"/>
    <s v="102151"/>
    <x v="1"/>
    <s v="33515950899"/>
    <s v="AR"/>
    <s v="22"/>
    <x v="0"/>
    <s v="806,85000"/>
    <s v="803,70000"/>
    <n v="0"/>
    <s v=""/>
    <x v="0"/>
    <s v=""/>
    <s v="40001821"/>
    <n v="895"/>
    <m/>
  </r>
  <r>
    <s v="AR20"/>
    <s v="AR02"/>
    <s v=""/>
    <s v=""/>
    <s v="VECLIETQ3"/>
    <s v="ZBOL"/>
    <s v="1155308"/>
    <s v="20"/>
    <s v="ECORDER"/>
    <s v=""/>
    <s v="ZLF"/>
    <s v="80098277"/>
    <s v="20"/>
    <s v="ZEFC"/>
    <s v="90162324"/>
    <s v="20"/>
    <s v="M"/>
    <s v="0003R00008473"/>
    <d v="2023-09-21T00:00:00"/>
    <x v="1"/>
    <d v="2023-12-21T00:00:00"/>
    <n v="0"/>
    <n v="0"/>
    <s v="00021A00042194"/>
    <d v="2023-12-21T00:00:00"/>
    <s v="ZSER"/>
    <s v="1000092115"/>
    <s v=""/>
    <s v="ZTAX"/>
    <s v="20002378"/>
    <s v="SERVICIO DE OPERACION Y MTTO"/>
    <n v="1"/>
    <n v="1"/>
    <n v="235"/>
    <n v="235"/>
    <n v="189609.75"/>
    <n v="188869.5"/>
    <s v="un"/>
    <m/>
    <n v="0"/>
    <m/>
    <n v="0"/>
    <s v="31100001"/>
    <s v="102151"/>
    <x v="1"/>
    <s v="33515950899"/>
    <s v="AR"/>
    <s v="22"/>
    <x v="0"/>
    <s v="806,85000"/>
    <s v="803,70000"/>
    <n v="0"/>
    <s v=""/>
    <x v="0"/>
    <s v=""/>
    <s v="40001821"/>
    <n v="235"/>
    <m/>
  </r>
  <r>
    <s v="AR20"/>
    <s v="AR02"/>
    <s v=""/>
    <s v=""/>
    <s v="VECLIETQ3"/>
    <s v="ZBOL"/>
    <s v="1155564"/>
    <s v="10"/>
    <s v="ECORDER"/>
    <s v=""/>
    <s v="ZLF"/>
    <s v="80098552"/>
    <s v="10"/>
    <s v="ZEFC"/>
    <s v="90162480"/>
    <s v="10"/>
    <s v="M"/>
    <s v="0003R00008483"/>
    <d v="2023-11-21T00:00:00"/>
    <x v="0"/>
    <d v="2023-12-22T00:00:00"/>
    <n v="0"/>
    <n v="0"/>
    <s v="00021A00042331"/>
    <d v="2023-12-26T00:00:00"/>
    <s v="ZSER"/>
    <s v="1000092750"/>
    <s v=""/>
    <s v="ZTAX"/>
    <s v="20002374"/>
    <s v="SERV"/>
    <n v="5"/>
    <n v="5"/>
    <n v="653383"/>
    <n v="3266915"/>
    <n v="3266915"/>
    <n v="3266915"/>
    <s v="un"/>
    <m/>
    <n v="0"/>
    <m/>
    <n v="0"/>
    <s v="31100001"/>
    <s v="102151"/>
    <x v="1"/>
    <s v="33515950899"/>
    <s v="AR"/>
    <s v="22"/>
    <x v="1"/>
    <s v="353,95000"/>
    <s v="804,75000"/>
    <n v="5002.6400000000003"/>
    <s v=""/>
    <x v="0"/>
    <s v=""/>
    <s v="40001822"/>
    <n v="4048.9744066431181"/>
    <m/>
  </r>
  <r>
    <s v="AR20"/>
    <s v="AR02"/>
    <s v=""/>
    <s v=""/>
    <s v="VECLIETQ3"/>
    <s v="ZBOL"/>
    <s v="1155564"/>
    <s v="20"/>
    <s v="ECORDER"/>
    <s v=""/>
    <s v="ZLF"/>
    <s v="80098552"/>
    <s v="20"/>
    <s v="ZEFC"/>
    <s v="90162480"/>
    <s v="20"/>
    <s v="M"/>
    <s v="0003R00008483"/>
    <d v="2023-11-21T00:00:00"/>
    <x v="0"/>
    <d v="2023-12-22T00:00:00"/>
    <n v="0"/>
    <n v="0"/>
    <s v="00021A00042331"/>
    <d v="2023-12-26T00:00:00"/>
    <s v="ZSER"/>
    <s v="1000092750"/>
    <s v=""/>
    <s v="ZTAX"/>
    <s v="20002374"/>
    <s v="SERV"/>
    <n v="1"/>
    <n v="1"/>
    <n v="535188.84"/>
    <n v="535188.84"/>
    <n v="535188.84"/>
    <n v="535188.84"/>
    <s v="un"/>
    <m/>
    <n v="0"/>
    <m/>
    <n v="0"/>
    <s v="31100001"/>
    <s v="102151"/>
    <x v="1"/>
    <s v="33515950899"/>
    <s v="AR"/>
    <s v="22"/>
    <x v="1"/>
    <s v="353,95000"/>
    <s v="804,75000"/>
    <n v="819.53"/>
    <s v=""/>
    <x v="0"/>
    <s v=""/>
    <s v="40001822"/>
    <n v="663.30648819483167"/>
    <m/>
  </r>
  <r>
    <s v="AR20"/>
    <s v="AR02"/>
    <s v=""/>
    <s v=""/>
    <s v="QIPETQDES"/>
    <s v="ZBOL"/>
    <s v="1155594"/>
    <s v="10"/>
    <s v="ECORDER"/>
    <s v=""/>
    <s v="ZLF"/>
    <s v="80098627"/>
    <s v="10"/>
    <s v="ZEFC"/>
    <s v="90162482"/>
    <s v="10"/>
    <s v="M"/>
    <s v="0003R00008486"/>
    <d v="2023-11-21T00:00:00"/>
    <x v="0"/>
    <d v="2023-12-23T00:00:00"/>
    <n v="0"/>
    <n v="0"/>
    <s v="00021A00042333"/>
    <d v="2023-12-26T00:00:00"/>
    <s v="ZMAT"/>
    <s v="1000092746"/>
    <s v=""/>
    <s v="ZTAN"/>
    <s v="DBN2446CT"/>
    <s v="DESEMULSIONANTE"/>
    <n v="1850"/>
    <n v="1850"/>
    <n v="6.44"/>
    <n v="11914"/>
    <n v="9612810.9000000004"/>
    <n v="9587791.5"/>
    <s v="lt"/>
    <m/>
    <n v="0"/>
    <m/>
    <n v="0"/>
    <s v="32100001"/>
    <s v="102151"/>
    <x v="1"/>
    <s v="33515950899"/>
    <s v="AR"/>
    <s v="22"/>
    <x v="0"/>
    <s v="806,85000"/>
    <s v="804,75000"/>
    <n v="0"/>
    <s v=""/>
    <x v="0"/>
    <s v=""/>
    <s v="40001821"/>
    <n v="11914"/>
    <m/>
  </r>
  <r>
    <s v="AR20"/>
    <s v="AR02"/>
    <s v=""/>
    <s v=""/>
    <s v="QIPETQSOL"/>
    <s v="ZBOL"/>
    <s v="1155594"/>
    <s v="20"/>
    <s v="ECORDER"/>
    <s v=""/>
    <s v="ZLF"/>
    <s v="80098627"/>
    <s v="20"/>
    <s v="ZEFC"/>
    <s v="90162482"/>
    <s v="20"/>
    <s v="M"/>
    <s v="0003R00008486"/>
    <d v="2023-11-21T00:00:00"/>
    <x v="0"/>
    <d v="2023-12-23T00:00:00"/>
    <n v="0"/>
    <n v="0"/>
    <s v="00021A00042333"/>
    <d v="2023-12-26T00:00:00"/>
    <s v="ZMAT"/>
    <s v="1000092746"/>
    <s v=""/>
    <s v="ZTAN"/>
    <s v="SB14CT"/>
    <s v="SOLVENTE"/>
    <n v="4100"/>
    <n v="4100"/>
    <n v="1.72"/>
    <n v="7052"/>
    <n v="5689906.2000000002"/>
    <n v="5675097"/>
    <s v="lt"/>
    <m/>
    <n v="0"/>
    <m/>
    <n v="0"/>
    <s v="32100001"/>
    <s v="102151"/>
    <x v="1"/>
    <s v="33515950899"/>
    <s v="AR"/>
    <s v="22"/>
    <x v="0"/>
    <s v="806,85000"/>
    <s v="804,75000"/>
    <n v="0"/>
    <s v=""/>
    <x v="0"/>
    <s v=""/>
    <s v="40001821"/>
    <n v="7052"/>
    <m/>
  </r>
  <r>
    <s v="AR20"/>
    <s v="AR02"/>
    <s v=""/>
    <s v=""/>
    <s v="QIPETQINH"/>
    <s v="ZBOL"/>
    <s v="1155594"/>
    <s v="30"/>
    <s v="ECORDER"/>
    <s v=""/>
    <s v="ZLF"/>
    <s v="80098627"/>
    <s v="30"/>
    <s v="ZEFC"/>
    <s v="90162482"/>
    <s v="30"/>
    <s v="M"/>
    <s v="0003R00008486"/>
    <d v="2023-11-21T00:00:00"/>
    <x v="0"/>
    <d v="2023-12-23T00:00:00"/>
    <n v="0"/>
    <n v="0"/>
    <s v="00021A00042333"/>
    <d v="2023-12-26T00:00:00"/>
    <s v="ZMAT"/>
    <s v="1000092746"/>
    <s v=""/>
    <s v="ZTAN"/>
    <s v="IC5091CT"/>
    <s v="INHIBID DE INCRUSTACIONES IC5091CT REV"/>
    <n v="60"/>
    <n v="60"/>
    <n v="3.89"/>
    <n v="233.4"/>
    <n v="188318.79"/>
    <n v="187828.65"/>
    <s v="lt"/>
    <m/>
    <n v="0"/>
    <m/>
    <n v="0"/>
    <s v="32100001"/>
    <s v="102151"/>
    <x v="1"/>
    <s v="33515950899"/>
    <s v="AR"/>
    <s v="22"/>
    <x v="0"/>
    <s v="806,85000"/>
    <s v="804,75000"/>
    <n v="0"/>
    <s v=""/>
    <x v="0"/>
    <s v=""/>
    <s v="40001821"/>
    <n v="233.4"/>
    <m/>
  </r>
  <r>
    <s v="AR20"/>
    <s v="AR02"/>
    <s v=""/>
    <s v=""/>
    <s v="QIPETQINH"/>
    <s v="ZBOL"/>
    <s v="1155594"/>
    <s v="40"/>
    <s v="ECORDER"/>
    <s v=""/>
    <s v="ZLF"/>
    <s v="80098627"/>
    <s v="40"/>
    <s v="ZEFC"/>
    <s v="90162482"/>
    <s v="40"/>
    <s v="M"/>
    <s v="0003R00008486"/>
    <d v="2023-11-21T00:00:00"/>
    <x v="0"/>
    <d v="2023-12-23T00:00:00"/>
    <n v="0"/>
    <n v="0"/>
    <s v="00021A00042333"/>
    <d v="2023-12-26T00:00:00"/>
    <s v="ZMAT"/>
    <s v="1000092746"/>
    <s v=""/>
    <s v="ZTAN"/>
    <s v="IPB650ACT"/>
    <s v="INHIBID DE PARAFINAS IPB650ACT REV &quot;L&quot;"/>
    <n v="1000"/>
    <n v="1000"/>
    <n v="7.21"/>
    <n v="7210"/>
    <n v="5817388.5"/>
    <n v="5802247.5"/>
    <s v="lt"/>
    <m/>
    <n v="0"/>
    <m/>
    <n v="0"/>
    <s v="32100001"/>
    <s v="102151"/>
    <x v="1"/>
    <s v="33515950899"/>
    <s v="AR"/>
    <s v="22"/>
    <x v="0"/>
    <s v="806,85000"/>
    <s v="804,75000"/>
    <n v="0"/>
    <s v=""/>
    <x v="0"/>
    <s v=""/>
    <s v="40001821"/>
    <n v="7210"/>
    <m/>
  </r>
  <r>
    <s v="AR20"/>
    <s v="AR02"/>
    <s v=""/>
    <s v=""/>
    <s v="VECLIETQ3"/>
    <s v="ZBOL"/>
    <s v="1155594"/>
    <s v="50"/>
    <s v="ECORDER"/>
    <s v=""/>
    <s v="ZLF"/>
    <s v="80098627"/>
    <s v="50"/>
    <s v="ZEFC"/>
    <s v="90162482"/>
    <s v="50"/>
    <s v="M"/>
    <s v="0003R00008486"/>
    <d v="2023-11-21T00:00:00"/>
    <x v="0"/>
    <d v="2023-12-23T00:00:00"/>
    <n v="0"/>
    <n v="0"/>
    <s v="00021A00042333"/>
    <d v="2023-12-26T00:00:00"/>
    <s v="ZSER"/>
    <s v="1000092746"/>
    <s v=""/>
    <s v="ZTAX"/>
    <s v="20002378"/>
    <s v="SERVICIO DE OPERACION Y MTTO"/>
    <n v="4"/>
    <n v="4"/>
    <n v="179"/>
    <n v="716"/>
    <n v="577704.6"/>
    <n v="576201"/>
    <s v="un"/>
    <m/>
    <n v="0"/>
    <m/>
    <n v="0"/>
    <s v="31100001"/>
    <s v="102151"/>
    <x v="1"/>
    <s v="33515950899"/>
    <s v="AR"/>
    <s v="22"/>
    <x v="0"/>
    <s v="806,85000"/>
    <s v="804,75000"/>
    <n v="0"/>
    <s v=""/>
    <x v="0"/>
    <s v=""/>
    <s v="40001821"/>
    <n v="716"/>
    <m/>
  </r>
  <r>
    <s v="AR20"/>
    <s v="AR02"/>
    <s v=""/>
    <s v=""/>
    <s v="VECLIETQ3"/>
    <s v="ZBOL"/>
    <s v="1155594"/>
    <s v="60"/>
    <s v="ECORDER"/>
    <s v=""/>
    <s v="ZLF"/>
    <s v="80098627"/>
    <s v="60"/>
    <s v="ZEFC"/>
    <s v="90162482"/>
    <s v="60"/>
    <s v="M"/>
    <s v="0003R00008486"/>
    <d v="2023-11-21T00:00:00"/>
    <x v="0"/>
    <d v="2023-12-23T00:00:00"/>
    <n v="0"/>
    <n v="0"/>
    <s v="00021A00042333"/>
    <d v="2023-12-26T00:00:00"/>
    <s v="ZSER"/>
    <s v="1000092746"/>
    <s v=""/>
    <s v="ZTAX"/>
    <s v="20002378"/>
    <s v="SERVICIO DE OPERACION Y MTTO"/>
    <n v="1"/>
    <n v="1"/>
    <n v="235"/>
    <n v="235"/>
    <n v="189609.75"/>
    <n v="189116.25"/>
    <s v="un"/>
    <m/>
    <n v="0"/>
    <m/>
    <n v="0"/>
    <s v="31100001"/>
    <s v="102151"/>
    <x v="1"/>
    <s v="33515950899"/>
    <s v="AR"/>
    <s v="22"/>
    <x v="0"/>
    <s v="806,85000"/>
    <s v="804,75000"/>
    <n v="0"/>
    <s v=""/>
    <x v="0"/>
    <s v=""/>
    <s v="40001821"/>
    <n v="235"/>
    <m/>
  </r>
  <r>
    <s v="AR20"/>
    <s v="AR02"/>
    <s v=""/>
    <s v=""/>
    <s v="QIPETQDES"/>
    <s v="ZBOL"/>
    <s v="1155595"/>
    <s v="10"/>
    <s v="ECORDER"/>
    <s v=""/>
    <s v="ZLF"/>
    <s v="80098628"/>
    <s v="10"/>
    <s v="ZEFC"/>
    <s v="90162484"/>
    <s v="10"/>
    <s v="M"/>
    <s v="0003R00008487"/>
    <d v="2023-11-21T00:00:00"/>
    <x v="0"/>
    <d v="2023-12-23T00:00:00"/>
    <n v="0"/>
    <n v="0"/>
    <s v="00021A00042335"/>
    <d v="2023-12-26T00:00:00"/>
    <s v="ZMAT"/>
    <s v="1000092749"/>
    <s v=""/>
    <s v="ZTAN"/>
    <s v="DBN2446CT"/>
    <s v="DESEMULSIONANTE"/>
    <n v="2250"/>
    <n v="2250"/>
    <n v="6.44"/>
    <n v="14490"/>
    <n v="11691256.5"/>
    <n v="11660827.5"/>
    <s v="lt"/>
    <m/>
    <n v="0"/>
    <m/>
    <n v="0"/>
    <s v="32100001"/>
    <s v="102620"/>
    <x v="2"/>
    <s v="30717859363"/>
    <s v="AR"/>
    <s v="20"/>
    <x v="0"/>
    <s v="806,85000"/>
    <s v="804,75000"/>
    <n v="0"/>
    <s v=""/>
    <x v="0"/>
    <s v=""/>
    <s v="40001821"/>
    <n v="14490"/>
    <m/>
  </r>
  <r>
    <s v="AR20"/>
    <s v="AR02"/>
    <s v=""/>
    <s v=""/>
    <s v="QIPETQINH"/>
    <s v="ZBOL"/>
    <s v="1155595"/>
    <s v="20"/>
    <s v="ECORDER"/>
    <s v=""/>
    <s v="ZLF"/>
    <s v="80098628"/>
    <s v="20"/>
    <s v="ZEFC"/>
    <s v="90162484"/>
    <s v="20"/>
    <s v="M"/>
    <s v="0003R00008487"/>
    <d v="2023-11-21T00:00:00"/>
    <x v="0"/>
    <d v="2023-12-23T00:00:00"/>
    <n v="0"/>
    <n v="0"/>
    <s v="00021A00042335"/>
    <d v="2023-12-26T00:00:00"/>
    <s v="ZMAT"/>
    <s v="1000092749"/>
    <s v=""/>
    <s v="ZTAN"/>
    <s v="IC5091CT"/>
    <s v="INHIBID DE INCRUSTACIONES IC5091CT REV"/>
    <n v="140"/>
    <n v="140"/>
    <n v="3.89"/>
    <n v="544.6"/>
    <n v="439410.51"/>
    <n v="438266.85"/>
    <s v="lt"/>
    <m/>
    <n v="0"/>
    <m/>
    <n v="0"/>
    <s v="32100001"/>
    <s v="102620"/>
    <x v="2"/>
    <s v="30717859363"/>
    <s v="AR"/>
    <s v="20"/>
    <x v="0"/>
    <s v="806,85000"/>
    <s v="804,75000"/>
    <n v="0"/>
    <s v=""/>
    <x v="0"/>
    <s v=""/>
    <s v="40001821"/>
    <n v="544.6"/>
    <m/>
  </r>
  <r>
    <s v="AR20"/>
    <s v="AR02"/>
    <s v=""/>
    <s v=""/>
    <s v="QIPETQSOL"/>
    <s v="ZBOL"/>
    <s v="1155596"/>
    <s v="10"/>
    <s v="ECORDER"/>
    <s v="02"/>
    <s v="ZLF"/>
    <s v="80098629"/>
    <s v="10"/>
    <s v=""/>
    <s v=""/>
    <s v="0"/>
    <s v=""/>
    <s v="0025R00004893"/>
    <d v="2023-11-21T00:00:00"/>
    <x v="0"/>
    <d v="2023-12-23T00:00:00"/>
    <n v="0"/>
    <n v="0"/>
    <s v=""/>
    <m/>
    <s v="ZMAT"/>
    <s v="Vista-UTE- pq-noviembre 2023"/>
    <s v=""/>
    <s v="ZTAN"/>
    <s v="SB14CT"/>
    <s v="SOLVENTE"/>
    <n v="1300"/>
    <n v="0"/>
    <n v="1.72"/>
    <n v="2236"/>
    <n v="1804116.6"/>
    <n v="0"/>
    <s v="lt"/>
    <m/>
    <n v="0"/>
    <m/>
    <n v="0"/>
    <s v="32100001"/>
    <s v="102540"/>
    <x v="3"/>
    <s v="30717233480"/>
    <s v="AR"/>
    <s v="20"/>
    <x v="0"/>
    <s v="806,85000"/>
    <s v=""/>
    <n v="0"/>
    <s v=""/>
    <x v="0"/>
    <s v=""/>
    <s v="40001821"/>
    <n v="2236"/>
    <m/>
  </r>
  <r>
    <s v="AR20"/>
    <s v="AR02"/>
    <s v=""/>
    <s v=""/>
    <s v="QIPETQDES"/>
    <s v="ZBOL"/>
    <s v="1155597"/>
    <s v="10"/>
    <s v="ECORDER"/>
    <s v="02"/>
    <s v="ZLF"/>
    <s v="80098630"/>
    <s v="10"/>
    <s v=""/>
    <s v=""/>
    <s v="0"/>
    <s v=""/>
    <s v="0003R00008488"/>
    <d v="2023-11-21T00:00:00"/>
    <x v="0"/>
    <d v="2023-12-23T00:00:00"/>
    <n v="0"/>
    <n v="0"/>
    <s v=""/>
    <m/>
    <s v="ZMAT"/>
    <s v="Vista-UTE- pq-noviembre 2023"/>
    <s v=""/>
    <s v="ZTAN"/>
    <s v="DBN2446CT"/>
    <s v="DESEMULSIONANTE"/>
    <n v="4140"/>
    <n v="0"/>
    <n v="6.44"/>
    <n v="26661.599999999999"/>
    <n v="21511911.960000001"/>
    <n v="0"/>
    <s v="lt"/>
    <m/>
    <n v="0"/>
    <m/>
    <n v="0"/>
    <s v="32100001"/>
    <s v="102540"/>
    <x v="3"/>
    <s v="30717233480"/>
    <s v="AR"/>
    <s v="20"/>
    <x v="0"/>
    <s v="806,85000"/>
    <s v=""/>
    <n v="0"/>
    <s v=""/>
    <x v="0"/>
    <s v=""/>
    <s v="40001821"/>
    <n v="26661.599999999999"/>
    <m/>
  </r>
  <r>
    <s v="AR20"/>
    <s v="AR02"/>
    <s v=""/>
    <s v=""/>
    <s v="QIPETQSOL"/>
    <s v="ZNRE"/>
    <s v="1155599"/>
    <s v="10"/>
    <s v="ECORDER"/>
    <s v="02"/>
    <s v="ZLF"/>
    <s v="80098632"/>
    <s v="10"/>
    <s v=""/>
    <s v=""/>
    <s v="0"/>
    <s v=""/>
    <s v="0025R00004894"/>
    <d v="2023-11-21T00:00:00"/>
    <x v="2"/>
    <d v="2023-12-24T00:00:00"/>
    <n v="0"/>
    <n v="0"/>
    <s v=""/>
    <m/>
    <s v="ZMAT"/>
    <s v="Aconcagua-EL- PQ-diciembre 2023"/>
    <s v=""/>
    <s v="ZTAN"/>
    <s v="SB14CT"/>
    <s v="SOLVENTE"/>
    <n v="4500"/>
    <n v="0"/>
    <n v="1.72"/>
    <n v="7740"/>
    <n v="6245019"/>
    <n v="0"/>
    <s v="lt"/>
    <m/>
    <n v="0"/>
    <m/>
    <n v="0"/>
    <s v="32100001"/>
    <s v="102345"/>
    <x v="4"/>
    <s v="30714814229"/>
    <s v="AR"/>
    <s v="22"/>
    <x v="0"/>
    <s v="806,85000"/>
    <s v=""/>
    <n v="0"/>
    <s v=""/>
    <x v="0"/>
    <s v=""/>
    <s v=""/>
    <n v="7740"/>
    <m/>
  </r>
  <r>
    <s v="AR20"/>
    <s v="AR02"/>
    <s v=""/>
    <s v=""/>
    <s v="VECLIETQ3"/>
    <s v="ZNRE"/>
    <s v="1155600"/>
    <s v="10"/>
    <s v="ECORDER"/>
    <s v="02"/>
    <s v="ZLF"/>
    <s v="80098633"/>
    <s v="10"/>
    <s v=""/>
    <s v=""/>
    <s v="0"/>
    <s v=""/>
    <s v="0025R00004895"/>
    <d v="2023-11-21T00:00:00"/>
    <x v="2"/>
    <d v="2023-12-24T00:00:00"/>
    <n v="0"/>
    <n v="0"/>
    <s v=""/>
    <m/>
    <s v="ZSER"/>
    <s v="Aconcagua-BBA-diciembre 2023"/>
    <s v=""/>
    <s v="ZTAX"/>
    <s v="20002374"/>
    <s v="SERV"/>
    <n v="6"/>
    <n v="0"/>
    <n v="986"/>
    <n v="5916"/>
    <n v="4773324.5999999996"/>
    <n v="0"/>
    <s v="un"/>
    <m/>
    <n v="0"/>
    <m/>
    <n v="0"/>
    <s v="31100001"/>
    <s v="102345"/>
    <x v="4"/>
    <s v="30714814229"/>
    <s v="AR"/>
    <s v="22"/>
    <x v="0"/>
    <s v="806,85000"/>
    <s v=""/>
    <n v="0"/>
    <s v=""/>
    <x v="0"/>
    <s v=""/>
    <s v=""/>
    <n v="5916"/>
    <m/>
  </r>
  <r>
    <s v="AR20"/>
    <s v="AR02"/>
    <s v=""/>
    <s v=""/>
    <s v="SER-11003"/>
    <s v="ZNRE"/>
    <s v="1155600"/>
    <s v="20"/>
    <s v="ECORDER"/>
    <s v="02"/>
    <s v="ZLF"/>
    <s v="80098633"/>
    <s v="20"/>
    <s v=""/>
    <s v=""/>
    <s v="0"/>
    <s v=""/>
    <s v="0025R00004895"/>
    <d v="2023-11-21T00:00:00"/>
    <x v="2"/>
    <d v="2023-12-24T00:00:00"/>
    <n v="0"/>
    <n v="0"/>
    <s v=""/>
    <m/>
    <s v="ZSER"/>
    <s v="Aconcagua-BBA-diciembre 2023"/>
    <s v=""/>
    <s v="ZTAX"/>
    <s v="20002366"/>
    <s v="ALQUILER DE EQUIPO DOSIFICADOR"/>
    <n v="2"/>
    <n v="0"/>
    <n v="356"/>
    <n v="712"/>
    <n v="574477.19999999995"/>
    <n v="0"/>
    <s v="un"/>
    <m/>
    <n v="0"/>
    <m/>
    <n v="0"/>
    <s v="31100001"/>
    <s v="102345"/>
    <x v="4"/>
    <s v="30714814229"/>
    <s v="AR"/>
    <s v="22"/>
    <x v="0"/>
    <s v="806,85000"/>
    <s v=""/>
    <n v="0"/>
    <s v=""/>
    <x v="0"/>
    <s v=""/>
    <s v=""/>
    <n v="712"/>
    <m/>
  </r>
  <r>
    <s v="AR20"/>
    <s v="AR02"/>
    <s v=""/>
    <s v=""/>
    <s v="QIPETQINH"/>
    <s v="ZBOL"/>
    <s v="1155601"/>
    <s v="10"/>
    <s v="ECORDER"/>
    <s v="02"/>
    <s v="ZLF"/>
    <s v="80098634"/>
    <s v="1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CY802CT"/>
    <s v="INHIBID DE CORROSION CY802CT REV &quot;K&quot;"/>
    <n v="4455"/>
    <n v="0"/>
    <n v="3.02"/>
    <n v="13454.1"/>
    <n v="10855440.59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3454.1"/>
    <m/>
  </r>
  <r>
    <s v="AR20"/>
    <s v="AR02"/>
    <s v=""/>
    <s v=""/>
    <s v="QIPETQINH"/>
    <s v="ZBOL"/>
    <s v="1155601"/>
    <s v="20"/>
    <s v="ECORDER"/>
    <s v="02"/>
    <s v="ZLF"/>
    <s v="80098634"/>
    <s v="2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IC5087CT"/>
    <s v="INHIBID DE INCRUSTACIONES IC5087CT REV"/>
    <n v="2285"/>
    <n v="0"/>
    <n v="3.06"/>
    <n v="6992.1"/>
    <n v="5641575.8899999997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6992.1"/>
    <m/>
  </r>
  <r>
    <s v="AR20"/>
    <s v="AR02"/>
    <s v=""/>
    <s v=""/>
    <s v="QIPETQINH"/>
    <s v="ZBOL"/>
    <s v="1155601"/>
    <s v="30"/>
    <s v="ECORDER"/>
    <s v="02"/>
    <s v="ZLF"/>
    <s v="80098634"/>
    <s v="3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IPB71CT"/>
    <s v="INHIBID DE PARAFINAS IPB71CT; REVISION"/>
    <n v="805"/>
    <n v="0"/>
    <n v="4.3899999999999997"/>
    <n v="3533.95"/>
    <n v="2851367.56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3533.95"/>
    <m/>
  </r>
  <r>
    <s v="AR20"/>
    <s v="AR02"/>
    <s v=""/>
    <s v=""/>
    <s v="QIPETQANE"/>
    <s v="ZBOL"/>
    <s v="1155601"/>
    <s v="40"/>
    <s v="ECORDER"/>
    <s v="02"/>
    <s v="ZLF"/>
    <s v="80098634"/>
    <s v="4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ABC11CT"/>
    <s v="ANTIESPUM ABC11CT REV K"/>
    <n v="260"/>
    <n v="0"/>
    <n v="3.51"/>
    <n v="912.6"/>
    <n v="736331.31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912.6"/>
    <m/>
  </r>
  <r>
    <s v="AR20"/>
    <s v="AR02"/>
    <s v=""/>
    <s v=""/>
    <s v="QIPETQBAC"/>
    <s v="ZBOL"/>
    <s v="1155601"/>
    <s v="50"/>
    <s v="ECORDER"/>
    <s v="02"/>
    <s v="ZLF"/>
    <s v="80098634"/>
    <s v="5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BXC3201CT"/>
    <s v="BACTERICIDA"/>
    <n v="945"/>
    <n v="0"/>
    <n v="2.34"/>
    <n v="2211.3000000000002"/>
    <n v="1784187.41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2211.3000000000002"/>
    <m/>
  </r>
  <r>
    <s v="AR20"/>
    <s v="AR02"/>
    <s v=""/>
    <s v=""/>
    <s v="QIPETQBAC"/>
    <s v="ZBOL"/>
    <s v="1155601"/>
    <s v="60"/>
    <s v="ECORDER"/>
    <s v="02"/>
    <s v="ZLF"/>
    <s v="80098634"/>
    <s v="6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BX960CT"/>
    <s v="BACTERICIDA"/>
    <n v="900"/>
    <n v="0"/>
    <n v="4.32"/>
    <n v="3888"/>
    <n v="3137032.8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3888"/>
    <m/>
  </r>
  <r>
    <s v="AR20"/>
    <s v="AR02"/>
    <s v=""/>
    <s v=""/>
    <s v="QIPETQDES"/>
    <s v="ZBOL"/>
    <s v="1155601"/>
    <s v="70"/>
    <s v="ECORDER"/>
    <s v="02"/>
    <s v="ZLF"/>
    <s v="80098634"/>
    <s v="7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DBN5182CT"/>
    <s v="DESEMULSIONANTE"/>
    <n v="1200"/>
    <n v="0"/>
    <n v="7.39"/>
    <n v="8868"/>
    <n v="7155145.7999999998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8868"/>
    <m/>
  </r>
  <r>
    <s v="AR20"/>
    <s v="AR02"/>
    <s v=""/>
    <s v=""/>
    <s v="QIPETQINH"/>
    <s v="ZBOL"/>
    <s v="1155601"/>
    <s v="80"/>
    <s v="ECORDER"/>
    <s v="02"/>
    <s v="ZLF"/>
    <s v="80098634"/>
    <s v="8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IC5098CT"/>
    <s v="INHIBID DE INCRUSTACIONES IC5098CT REV"/>
    <n v="160"/>
    <n v="0"/>
    <n v="4.97"/>
    <n v="795.2"/>
    <n v="641607.12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795.2"/>
    <m/>
  </r>
  <r>
    <s v="AR20"/>
    <s v="AR02"/>
    <s v=""/>
    <s v=""/>
    <s v="QIPETQINH"/>
    <s v="ZBOL"/>
    <s v="1155601"/>
    <s v="90"/>
    <s v="ECORDER"/>
    <s v="02"/>
    <s v="ZLF"/>
    <s v="80098634"/>
    <s v="9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IPB651CT"/>
    <s v="INHIBID DE PARAFINAS IPB651CT REV &quot;G&quot;"/>
    <n v="530"/>
    <n v="0"/>
    <n v="6.73"/>
    <n v="3566.9"/>
    <n v="2877953.27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3566.9"/>
    <m/>
  </r>
  <r>
    <s v="AR20"/>
    <s v="AR02"/>
    <s v=""/>
    <s v=""/>
    <s v="QIPETQINH"/>
    <s v="ZBOL"/>
    <s v="1155601"/>
    <s v="100"/>
    <s v="ECORDER"/>
    <s v="02"/>
    <s v="ZLF"/>
    <s v="80098634"/>
    <s v="10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IPB68CT"/>
    <s v="INHIBID DE PARAFINAS IPB68CT REV &quot;A&quot;"/>
    <n v="300"/>
    <n v="0"/>
    <n v="4.32"/>
    <n v="1296"/>
    <n v="1045677.6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296"/>
    <m/>
  </r>
  <r>
    <s v="AR20"/>
    <s v="AR02"/>
    <s v=""/>
    <s v=""/>
    <s v="QIPETQINH"/>
    <s v="ZBOL"/>
    <s v="1155601"/>
    <s v="110"/>
    <s v="ECORDER"/>
    <s v="02"/>
    <s v="ZLF"/>
    <s v="80098634"/>
    <s v="11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IPB78CT"/>
    <s v="INHIBID DE PARAFINAS IPB78CT; REVISION"/>
    <n v="600"/>
    <n v="0"/>
    <n v="5.59"/>
    <n v="3354"/>
    <n v="2706174.9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3354"/>
    <m/>
  </r>
  <r>
    <s v="AR20"/>
    <s v="AR02"/>
    <s v=""/>
    <s v=""/>
    <s v="QIPETQDES"/>
    <s v="ZBOL"/>
    <s v="1155601"/>
    <s v="120"/>
    <s v="ECORDER"/>
    <s v="02"/>
    <s v="ZLF"/>
    <s v="80098634"/>
    <s v="12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DBN5645CT"/>
    <s v="DESEMULSIONANTE"/>
    <n v="1250"/>
    <n v="0"/>
    <n v="5.46"/>
    <n v="6825"/>
    <n v="5506751.25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6825"/>
    <m/>
  </r>
  <r>
    <s v="AR20"/>
    <s v="AR02"/>
    <s v=""/>
    <s v=""/>
    <s v="QIPETQBAC"/>
    <s v="ZBOL"/>
    <s v="1155601"/>
    <s v="130"/>
    <s v="ECORDER"/>
    <s v="02"/>
    <s v="ZLF"/>
    <s v="80098634"/>
    <s v="13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BX836CT"/>
    <s v="BACTERICIDA"/>
    <n v="1700"/>
    <n v="0"/>
    <n v="4.3099999999999996"/>
    <n v="7327"/>
    <n v="5911789.9500000002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7327"/>
    <m/>
  </r>
  <r>
    <s v="AR20"/>
    <s v="AR02"/>
    <s v=""/>
    <s v=""/>
    <s v="QIPETQSOL"/>
    <s v="ZBOL"/>
    <s v="1155601"/>
    <s v="140"/>
    <s v="ECORDER"/>
    <s v="02"/>
    <s v="ZLF"/>
    <s v="80098634"/>
    <s v="14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SB45CT"/>
    <s v="SOLVENTE"/>
    <n v="160"/>
    <n v="0"/>
    <n v="4.0999999999999996"/>
    <n v="656"/>
    <n v="529293.6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656"/>
    <m/>
  </r>
  <r>
    <s v="AR20"/>
    <s v="AR02"/>
    <s v=""/>
    <s v=""/>
    <s v="MAPETQPES"/>
    <s v="ZBOL"/>
    <s v="1155601"/>
    <s v="150"/>
    <s v="ECORDER"/>
    <s v="02"/>
    <s v="ZLF"/>
    <s v="80098634"/>
    <s v="150"/>
    <s v=""/>
    <s v=""/>
    <s v="0"/>
    <s v=""/>
    <s v="0025R00004896"/>
    <d v="2023-11-21T00:00:00"/>
    <x v="2"/>
    <d v="2023-12-24T00:00:00"/>
    <n v="0"/>
    <n v="0"/>
    <s v=""/>
    <m/>
    <s v="ZMAT"/>
    <s v="PS-EM-PQ-diciembre 2023"/>
    <s v=""/>
    <s v="ZTAN"/>
    <s v="IPB935DCT"/>
    <s v="INHIBIDOR DE PARAFINAS"/>
    <n v="325"/>
    <n v="0"/>
    <n v="5.8"/>
    <n v="1885"/>
    <n v="1520912.25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885"/>
    <m/>
  </r>
  <r>
    <s v="AR20"/>
    <s v="AR02"/>
    <s v=""/>
    <s v=""/>
    <s v="SER-11003"/>
    <s v="ZBOL"/>
    <s v="1155601"/>
    <s v="160"/>
    <s v="ECORDER"/>
    <s v="02"/>
    <s v="ZLF"/>
    <s v="80098634"/>
    <s v="160"/>
    <s v=""/>
    <s v=""/>
    <s v="0"/>
    <s v=""/>
    <s v="0025R00004896"/>
    <d v="2023-11-21T00:00:00"/>
    <x v="2"/>
    <d v="2023-12-24T00:00:00"/>
    <n v="0"/>
    <n v="0"/>
    <s v=""/>
    <m/>
    <s v="ZSER"/>
    <s v="PS-EM-PQ-diciembre 2023"/>
    <s v=""/>
    <s v="ZTAX"/>
    <s v="20002380"/>
    <s v="SERVICIO DE PROVISION PQ"/>
    <n v="2055"/>
    <n v="0"/>
    <n v="5.59"/>
    <n v="11487.45"/>
    <n v="9268649.0299999993"/>
    <n v="0"/>
    <s v="un"/>
    <m/>
    <n v="0"/>
    <m/>
    <n v="0"/>
    <s v="31100001"/>
    <s v="102225"/>
    <x v="5"/>
    <s v="33652607689"/>
    <s v="AR"/>
    <s v="22"/>
    <x v="0"/>
    <s v="806,85000"/>
    <s v=""/>
    <n v="0"/>
    <s v=""/>
    <x v="0"/>
    <s v=""/>
    <s v="40001423"/>
    <n v="11487.45"/>
    <m/>
  </r>
  <r>
    <s v="AR20"/>
    <s v="AR02"/>
    <s v=""/>
    <s v=""/>
    <s v="SER-11003"/>
    <s v="ZBOL"/>
    <s v="1155601"/>
    <s v="170"/>
    <s v="ECORDER"/>
    <s v="02"/>
    <s v="ZLF"/>
    <s v="80098634"/>
    <s v="170"/>
    <s v=""/>
    <s v=""/>
    <s v="0"/>
    <s v=""/>
    <s v="0025R00004896"/>
    <d v="2023-11-21T00:00:00"/>
    <x v="2"/>
    <d v="2023-12-24T00:00:00"/>
    <n v="0"/>
    <n v="0"/>
    <s v=""/>
    <m/>
    <s v="ZSER"/>
    <s v="PS-EM-PQ-diciembre 2023"/>
    <s v=""/>
    <s v="ZTAX"/>
    <s v="20002186"/>
    <s v="SERVICIO TRAT. DE DESPARAFINACION"/>
    <n v="2755"/>
    <n v="0"/>
    <n v="4.93"/>
    <n v="13582.15"/>
    <n v="10958757.73"/>
    <n v="0"/>
    <s v="un"/>
    <m/>
    <n v="0"/>
    <m/>
    <n v="0"/>
    <s v="31100001"/>
    <s v="102225"/>
    <x v="5"/>
    <s v="33652607689"/>
    <s v="AR"/>
    <s v="22"/>
    <x v="0"/>
    <s v="806,85000"/>
    <s v=""/>
    <n v="0"/>
    <s v=""/>
    <x v="0"/>
    <s v=""/>
    <s v="40001423"/>
    <n v="13582.15"/>
    <m/>
  </r>
  <r>
    <s v="AR20"/>
    <s v="AR02"/>
    <s v=""/>
    <s v=""/>
    <s v="SER-11003"/>
    <s v="ZBOL"/>
    <s v="1155602"/>
    <s v="10"/>
    <s v="ECORDER"/>
    <s v="02"/>
    <s v="ZLF"/>
    <s v="80098635"/>
    <s v="10"/>
    <s v=""/>
    <s v=""/>
    <s v="0"/>
    <s v=""/>
    <s v="0025R00004897"/>
    <d v="2023-11-21T00:00:00"/>
    <x v="2"/>
    <d v="2023-12-24T00:00:00"/>
    <n v="0"/>
    <n v="0"/>
    <s v=""/>
    <m/>
    <s v="ZSER"/>
    <s v="PS-EM-SERV-diciembre 2023"/>
    <s v=""/>
    <s v="ZTAX"/>
    <s v="20002369"/>
    <s v="SERVICIO DE REPOSICION"/>
    <n v="0.6"/>
    <n v="0"/>
    <n v="4072360.28"/>
    <n v="2443416.17"/>
    <n v="2443416.17"/>
    <n v="0"/>
    <s v="un"/>
    <m/>
    <n v="0"/>
    <m/>
    <n v="0"/>
    <s v="31100001"/>
    <s v="102225"/>
    <x v="5"/>
    <s v="33652607689"/>
    <s v="AR"/>
    <s v="22"/>
    <x v="1"/>
    <s v="806,85000"/>
    <s v=""/>
    <n v="0"/>
    <s v=""/>
    <x v="0"/>
    <s v=""/>
    <s v="40001578"/>
    <n v="3028.340050814897"/>
    <m/>
  </r>
  <r>
    <s v="AR20"/>
    <s v="AR02"/>
    <s v=""/>
    <s v=""/>
    <s v="SER-11003"/>
    <s v="ZBOL"/>
    <s v="1155603"/>
    <s v="10"/>
    <s v="ECORDER"/>
    <s v="02"/>
    <s v="ZLF"/>
    <s v="80098636"/>
    <s v="10"/>
    <s v=""/>
    <s v=""/>
    <s v="0"/>
    <s v=""/>
    <s v="0025R00004898"/>
    <d v="2023-11-21T00:00:00"/>
    <x v="2"/>
    <d v="2023-12-24T00:00:00"/>
    <n v="0"/>
    <n v="0"/>
    <s v=""/>
    <m/>
    <s v="ZSER"/>
    <s v="PS-EM-BBA-diciembre 2023"/>
    <s v=""/>
    <s v="ZTAX"/>
    <s v="20002585"/>
    <s v="SERV.MANTENIMIENTO EQUIPOS DOS"/>
    <n v="0.6"/>
    <n v="0"/>
    <n v="2094.98"/>
    <n v="1256.99"/>
    <n v="1014202.38"/>
    <n v="0"/>
    <s v="un"/>
    <m/>
    <n v="0"/>
    <m/>
    <n v="0"/>
    <s v="31100001"/>
    <s v="102225"/>
    <x v="5"/>
    <s v="33652607689"/>
    <s v="AR"/>
    <s v="22"/>
    <x v="0"/>
    <s v="806,85000"/>
    <s v=""/>
    <n v="0"/>
    <s v=""/>
    <x v="0"/>
    <s v=""/>
    <s v="40001423"/>
    <n v="1256.99"/>
    <m/>
  </r>
  <r>
    <s v="AR20"/>
    <s v="AR02"/>
    <s v=""/>
    <s v=""/>
    <s v="QIPETQINH"/>
    <s v="ZBOL"/>
    <s v="1155604"/>
    <s v="10"/>
    <s v="ECORDER"/>
    <s v="02"/>
    <s v="ZLF"/>
    <s v="80098637"/>
    <s v="1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CY802CT"/>
    <s v="INHIBID DE CORROSION CY802CT REV &quot;K&quot;"/>
    <n v="490"/>
    <n v="0"/>
    <n v="3.02"/>
    <n v="1479.8"/>
    <n v="1193976.6299999999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479.8"/>
    <m/>
  </r>
  <r>
    <s v="AR20"/>
    <s v="AR02"/>
    <s v=""/>
    <s v=""/>
    <s v="QIPETQINH"/>
    <s v="ZBOL"/>
    <s v="1155604"/>
    <s v="20"/>
    <s v="ECORDER"/>
    <s v="02"/>
    <s v="ZLF"/>
    <s v="80098637"/>
    <s v="2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IC5087CT"/>
    <s v="INHIBID DE INCRUSTACIONES IC5087CT REV"/>
    <n v="50"/>
    <n v="0"/>
    <n v="3.06"/>
    <n v="153"/>
    <n v="123448.05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53"/>
    <m/>
  </r>
  <r>
    <s v="AR20"/>
    <s v="AR02"/>
    <s v=""/>
    <s v=""/>
    <s v="QIPETQINH"/>
    <s v="ZBOL"/>
    <s v="1155604"/>
    <s v="30"/>
    <s v="ECORDER"/>
    <s v="02"/>
    <s v="ZLF"/>
    <s v="80098637"/>
    <s v="3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IC5400CT"/>
    <s v="INHIBID DE INCRUSTACIONES IC5400CT REV"/>
    <n v="550"/>
    <n v="0"/>
    <n v="3.59"/>
    <n v="1974.5"/>
    <n v="1593125.33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974.5"/>
    <m/>
  </r>
  <r>
    <s v="AR20"/>
    <s v="AR02"/>
    <s v=""/>
    <s v=""/>
    <s v="QIPETQINH"/>
    <s v="ZBOL"/>
    <s v="1155604"/>
    <s v="40"/>
    <s v="ECORDER"/>
    <s v="02"/>
    <s v="ZLF"/>
    <s v="80098637"/>
    <s v="4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IPB71CT"/>
    <s v="INHIBID DE PARAFINAS IPB71CT; REVISION"/>
    <n v="160"/>
    <n v="0"/>
    <n v="4.3899999999999997"/>
    <n v="702.4"/>
    <n v="566731.43999999994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702.4"/>
    <m/>
  </r>
  <r>
    <s v="AR20"/>
    <s v="AR02"/>
    <s v=""/>
    <s v=""/>
    <s v="QIPETQANE"/>
    <s v="ZBOL"/>
    <s v="1155604"/>
    <s v="50"/>
    <s v="ECORDER"/>
    <s v="02"/>
    <s v="ZLF"/>
    <s v="80098637"/>
    <s v="5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ABC11CT"/>
    <s v="ANTIESPUM ABC11CT REV K"/>
    <n v="70"/>
    <n v="0"/>
    <n v="3.51"/>
    <n v="245.7"/>
    <n v="198243.05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245.7"/>
    <m/>
  </r>
  <r>
    <s v="AR20"/>
    <s v="AR02"/>
    <s v=""/>
    <s v=""/>
    <s v="QIPETQSOL"/>
    <s v="ZBOL"/>
    <s v="1155604"/>
    <s v="60"/>
    <s v="ECORDER"/>
    <s v="02"/>
    <s v="ZLF"/>
    <s v="80098637"/>
    <s v="6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SB14CT"/>
    <s v="SOLVENTE"/>
    <n v="700"/>
    <n v="0"/>
    <n v="1.5"/>
    <n v="1050"/>
    <n v="847192.5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050"/>
    <m/>
  </r>
  <r>
    <s v="AR20"/>
    <s v="AR02"/>
    <s v=""/>
    <s v=""/>
    <s v="QIPETQDES"/>
    <s v="ZBOL"/>
    <s v="1155604"/>
    <s v="70"/>
    <s v="ECORDER"/>
    <s v="02"/>
    <s v="ZLF"/>
    <s v="80098637"/>
    <s v="7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DBN5631CT"/>
    <s v="DESEMULS"/>
    <n v="1980"/>
    <n v="0"/>
    <n v="8.26"/>
    <n v="16354.8"/>
    <n v="13195870.380000001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6354.8"/>
    <m/>
  </r>
  <r>
    <s v="AR20"/>
    <s v="AR02"/>
    <s v=""/>
    <s v=""/>
    <s v="MAPETQPES"/>
    <s v="ZBOL"/>
    <s v="1155604"/>
    <s v="80"/>
    <s v="ECORDER"/>
    <s v="02"/>
    <s v="ZLF"/>
    <s v="80098637"/>
    <s v="8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FBS2000CT"/>
    <s v="FLOCULANTE"/>
    <n v="340"/>
    <n v="0"/>
    <n v="2.79"/>
    <n v="948.6"/>
    <n v="765377.91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948.6"/>
    <m/>
  </r>
  <r>
    <s v="AR20"/>
    <s v="AR02"/>
    <s v=""/>
    <s v=""/>
    <s v="QIPETQINH"/>
    <s v="ZBOL"/>
    <s v="1155604"/>
    <s v="90"/>
    <s v="ECORDER"/>
    <s v="02"/>
    <s v="ZLF"/>
    <s v="80098637"/>
    <s v="9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IPB651CT"/>
    <s v="INHIBID DE PARAFINAS IPB651CT REV &quot;G&quot;"/>
    <n v="440"/>
    <n v="0"/>
    <n v="6.73"/>
    <n v="2961.2"/>
    <n v="2389244.2200000002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2961.2"/>
    <m/>
  </r>
  <r>
    <s v="AR20"/>
    <s v="AR02"/>
    <s v=""/>
    <s v=""/>
    <s v="QIMPTQINH"/>
    <s v="ZBOL"/>
    <s v="1155604"/>
    <s v="100"/>
    <s v="ECORDER"/>
    <s v="02"/>
    <s v="ZLF"/>
    <s v="80098637"/>
    <s v="10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SO4207"/>
    <s v="SECUESTRANTE DE OXIGENO"/>
    <n v="2.2999999999999998"/>
    <n v="0"/>
    <n v="656"/>
    <n v="1508.8"/>
    <n v="1217375.28"/>
    <n v="0"/>
    <s v="tam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508.8"/>
    <m/>
  </r>
  <r>
    <s v="AR20"/>
    <s v="AR02"/>
    <s v=""/>
    <s v=""/>
    <s v="QIPETQINH"/>
    <s v="ZBOL"/>
    <s v="1155604"/>
    <s v="110"/>
    <s v="ECORDER"/>
    <s v="02"/>
    <s v="ZLF"/>
    <s v="80098637"/>
    <s v="11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IPB78CT"/>
    <s v="INHIBID DE PARAFINAS IPB78CT; REVISION"/>
    <n v="200"/>
    <n v="0"/>
    <n v="5.59"/>
    <n v="1118"/>
    <n v="902058.3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118"/>
    <m/>
  </r>
  <r>
    <s v="AR20"/>
    <s v="AR02"/>
    <s v=""/>
    <s v=""/>
    <s v="QIPETQDES"/>
    <s v="ZBOL"/>
    <s v="1155604"/>
    <s v="120"/>
    <s v="ECORDER"/>
    <s v="02"/>
    <s v="ZLF"/>
    <s v="80098637"/>
    <s v="12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DBN5645CT"/>
    <s v="DESEMULSIONANTE"/>
    <n v="220"/>
    <n v="0"/>
    <n v="5.46"/>
    <n v="1201.2"/>
    <n v="969188.22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201.2"/>
    <m/>
  </r>
  <r>
    <s v="AR20"/>
    <s v="AR02"/>
    <s v=""/>
    <s v=""/>
    <s v="QIPETQDES"/>
    <s v="ZBOL"/>
    <s v="1155604"/>
    <s v="130"/>
    <s v="ECORDER"/>
    <s v="02"/>
    <s v="ZLF"/>
    <s v="80098637"/>
    <s v="13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RT740CT"/>
    <s v="DESEMULS"/>
    <n v="280"/>
    <n v="0"/>
    <n v="5.65"/>
    <n v="1582"/>
    <n v="1276436.7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1582"/>
    <m/>
  </r>
  <r>
    <s v="AR20"/>
    <s v="AR02"/>
    <s v=""/>
    <s v=""/>
    <s v="QIPETQINH"/>
    <s v="ZBOL"/>
    <s v="1155604"/>
    <s v="140"/>
    <s v="ECORDER"/>
    <s v="02"/>
    <s v="ZLF"/>
    <s v="80098637"/>
    <s v="14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IPB650ACT"/>
    <s v="INHIBID DE PARAFINAS IPB650ACT REV &quot;L&quot;"/>
    <n v="395"/>
    <n v="0"/>
    <n v="6.22"/>
    <n v="2456.9"/>
    <n v="1982349.77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2456.9"/>
    <m/>
  </r>
  <r>
    <s v="AR20"/>
    <s v="AR02"/>
    <s v=""/>
    <s v=""/>
    <s v="QIPETQFLO"/>
    <s v="ZBOL"/>
    <s v="1155604"/>
    <s v="150"/>
    <s v="ECORDER"/>
    <s v="02"/>
    <s v="ZLF"/>
    <s v="80098637"/>
    <s v="150"/>
    <s v=""/>
    <s v=""/>
    <s v="0"/>
    <s v=""/>
    <s v="0025R00004899"/>
    <d v="2023-11-21T00:00:00"/>
    <x v="2"/>
    <d v="2023-12-24T00:00:00"/>
    <n v="0"/>
    <n v="0"/>
    <s v=""/>
    <m/>
    <s v="ZMAT"/>
    <s v="PS-LR y ES-PQ-diciembre 2023"/>
    <s v=""/>
    <s v="ZTAN"/>
    <s v="FBS1599"/>
    <s v="FLOCULANTE"/>
    <n v="0.6"/>
    <n v="0"/>
    <n v="642"/>
    <n v="385.2"/>
    <n v="310798.62"/>
    <n v="0"/>
    <s v="tam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40001423"/>
    <n v="385.2"/>
    <m/>
  </r>
  <r>
    <s v="AR20"/>
    <s v="AR02"/>
    <s v=""/>
    <s v=""/>
    <s v="SER-11003"/>
    <s v="ZBOL"/>
    <s v="1155604"/>
    <s v="160"/>
    <s v="ECORDER"/>
    <s v="02"/>
    <s v="ZLF"/>
    <s v="80098637"/>
    <s v="160"/>
    <s v=""/>
    <s v=""/>
    <s v="0"/>
    <s v=""/>
    <s v="0025R00004899"/>
    <d v="2023-11-21T00:00:00"/>
    <x v="2"/>
    <d v="2023-12-24T00:00:00"/>
    <n v="0"/>
    <n v="0"/>
    <s v=""/>
    <m/>
    <s v="ZSER"/>
    <s v="PS-LR y ES-PQ-diciembre 2023"/>
    <s v=""/>
    <s v="ZTAX"/>
    <s v="20002380"/>
    <s v="SERVICIO DE PROVISION PQ"/>
    <n v="870"/>
    <n v="0"/>
    <n v="5.59"/>
    <n v="4863.3"/>
    <n v="3923953.61"/>
    <n v="0"/>
    <s v="un"/>
    <m/>
    <n v="0"/>
    <m/>
    <n v="0"/>
    <s v="31100001"/>
    <s v="102225"/>
    <x v="5"/>
    <s v="33652607689"/>
    <s v="AR"/>
    <s v="22"/>
    <x v="0"/>
    <s v="806,85000"/>
    <s v=""/>
    <n v="0"/>
    <s v=""/>
    <x v="0"/>
    <s v=""/>
    <s v="40001423"/>
    <n v="4863.3"/>
    <m/>
  </r>
  <r>
    <s v="AR20"/>
    <s v="AR02"/>
    <s v=""/>
    <s v=""/>
    <s v="SER-11003"/>
    <s v="ZBOL"/>
    <s v="1155605"/>
    <s v="10"/>
    <s v="ECORDER"/>
    <s v="02"/>
    <s v="ZLF"/>
    <s v="80098638"/>
    <s v="10"/>
    <s v=""/>
    <s v=""/>
    <s v="0"/>
    <s v=""/>
    <s v="0025R00004900"/>
    <d v="2023-11-21T00:00:00"/>
    <x v="2"/>
    <d v="2023-12-24T00:00:00"/>
    <n v="0"/>
    <n v="0"/>
    <s v=""/>
    <m/>
    <s v="ZSER"/>
    <s v="PS-LR y ES-PQ-diciembre 2023"/>
    <s v=""/>
    <s v="ZTAX"/>
    <s v="20002585"/>
    <s v="SERV.MANTENIMIENTO EQUIPOS DOS"/>
    <n v="0.4"/>
    <n v="0"/>
    <n v="2094.98"/>
    <n v="837.99"/>
    <n v="676132.23"/>
    <n v="0"/>
    <s v="un"/>
    <m/>
    <n v="0"/>
    <m/>
    <n v="0"/>
    <s v="31100001"/>
    <s v="102225"/>
    <x v="5"/>
    <s v="33652607689"/>
    <s v="AR"/>
    <s v="22"/>
    <x v="0"/>
    <s v="806,85000"/>
    <s v=""/>
    <n v="0"/>
    <s v=""/>
    <x v="0"/>
    <s v=""/>
    <s v="40001423"/>
    <n v="837.99"/>
    <m/>
  </r>
  <r>
    <s v="AR20"/>
    <s v="AR02"/>
    <s v=""/>
    <s v=""/>
    <s v="SER-11003"/>
    <s v="ZBOL"/>
    <s v="1155606"/>
    <s v="10"/>
    <s v="ECORDER"/>
    <s v="02"/>
    <s v="ZLF"/>
    <s v="80098639"/>
    <s v="10"/>
    <s v=""/>
    <s v=""/>
    <s v="0"/>
    <s v=""/>
    <s v="0025R00004901"/>
    <d v="2023-11-21T00:00:00"/>
    <x v="2"/>
    <d v="2023-12-24T00:00:00"/>
    <n v="0"/>
    <n v="0"/>
    <s v=""/>
    <m/>
    <s v="ZSER"/>
    <s v="PS-LR y ES-PQ-diciembre 2023"/>
    <s v=""/>
    <s v="ZTAX"/>
    <s v="20002369"/>
    <s v="SERVICIO DE REPOSICION"/>
    <n v="0.4"/>
    <n v="0"/>
    <n v="4072360.28"/>
    <n v="1628944.11"/>
    <n v="1628944.11"/>
    <n v="0"/>
    <s v="un"/>
    <m/>
    <n v="0"/>
    <m/>
    <n v="0"/>
    <s v="31100001"/>
    <s v="102225"/>
    <x v="5"/>
    <s v="33652607689"/>
    <s v="AR"/>
    <s v="22"/>
    <x v="1"/>
    <s v="806,85000"/>
    <s v=""/>
    <n v="0"/>
    <s v=""/>
    <x v="0"/>
    <s v=""/>
    <s v="40001578"/>
    <n v="2018.8933630786391"/>
    <m/>
  </r>
  <r>
    <s v="AR20"/>
    <s v="AR02"/>
    <s v=""/>
    <s v=""/>
    <s v="QIPETQINH"/>
    <s v="ZBOL"/>
    <s v="1155608"/>
    <s v="10"/>
    <s v="ECORDER"/>
    <s v="02"/>
    <s v="ZLF"/>
    <s v="80098641"/>
    <s v="1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CY802CT"/>
    <s v="INHIBID DE CORROSION CY802CT REV &quot;K&quot;"/>
    <n v="2455"/>
    <n v="0"/>
    <n v="3.02"/>
    <n v="7414.1"/>
    <n v="5982066.5899999999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7414.1"/>
    <m/>
  </r>
  <r>
    <s v="AR20"/>
    <s v="AR02"/>
    <s v=""/>
    <s v=""/>
    <s v="QIPETQINH"/>
    <s v="ZBOL"/>
    <s v="1155608"/>
    <s v="20"/>
    <s v="ECORDER"/>
    <s v="02"/>
    <s v="ZLF"/>
    <s v="80098641"/>
    <s v="2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CY51WCT"/>
    <s v="INHIBID DE CORROSION CY51WCT REV &quot; AK &quot;"/>
    <n v="1310"/>
    <n v="0"/>
    <n v="4.04"/>
    <n v="5292.4"/>
    <n v="4270172.9400000004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5292.4"/>
    <m/>
  </r>
  <r>
    <s v="AR20"/>
    <s v="AR02"/>
    <s v=""/>
    <s v=""/>
    <s v="QIPETQINH"/>
    <s v="ZBOL"/>
    <s v="1155608"/>
    <s v="30"/>
    <s v="ECORDER"/>
    <s v="02"/>
    <s v="ZLF"/>
    <s v="80098641"/>
    <s v="3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IC5087CT"/>
    <s v="INHIBID DE INCRUSTACIONES IC5087CT REV"/>
    <n v="120"/>
    <n v="0"/>
    <n v="3.06"/>
    <n v="367.2"/>
    <n v="296275.32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367.2"/>
    <m/>
  </r>
  <r>
    <s v="AR20"/>
    <s v="AR02"/>
    <s v=""/>
    <s v=""/>
    <s v="QIPETQINH"/>
    <s v="ZBOL"/>
    <s v="1155608"/>
    <s v="40"/>
    <s v="ECORDER"/>
    <s v="02"/>
    <s v="ZLF"/>
    <s v="80098641"/>
    <s v="4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IC220CT"/>
    <s v="INHIBID DE INCRUSTACIONES IC220CT REV &quot;J"/>
    <n v="1780"/>
    <n v="0"/>
    <n v="2.73"/>
    <n v="4859.3999999999996"/>
    <n v="3920806.89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4859.3999999999996"/>
    <m/>
  </r>
  <r>
    <s v="AR20"/>
    <s v="AR02"/>
    <s v=""/>
    <s v=""/>
    <s v="QIPETQINH"/>
    <s v="ZBOL"/>
    <s v="1155608"/>
    <s v="50"/>
    <s v="ECORDER"/>
    <s v="02"/>
    <s v="ZLF"/>
    <s v="80098641"/>
    <s v="5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IC5400CT"/>
    <s v="INHIBID DE INCRUSTACIONES IC5400CT REV"/>
    <n v="260"/>
    <n v="0"/>
    <n v="3.59"/>
    <n v="933.4"/>
    <n v="753113.79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933.4"/>
    <m/>
  </r>
  <r>
    <s v="AR20"/>
    <s v="AR02"/>
    <s v=""/>
    <s v=""/>
    <s v="QIPETQANE"/>
    <s v="ZBOL"/>
    <s v="1155608"/>
    <s v="60"/>
    <s v="ECORDER"/>
    <s v="02"/>
    <s v="ZLF"/>
    <s v="80098641"/>
    <s v="6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ABC11CT"/>
    <s v="ANTIESPUM ABC11CT REV K"/>
    <n v="880"/>
    <n v="0"/>
    <n v="3.51"/>
    <n v="3088.8"/>
    <n v="2492198.2799999998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3088.8"/>
    <m/>
  </r>
  <r>
    <s v="AR20"/>
    <s v="AR02"/>
    <s v=""/>
    <s v=""/>
    <s v="QIPETQRDF"/>
    <s v="ZBOL"/>
    <s v="1155608"/>
    <s v="70"/>
    <s v="ECORDER"/>
    <s v="02"/>
    <s v="ZLF"/>
    <s v="80098641"/>
    <s v="7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RFB625CT"/>
    <s v="REDUCTOR DE FRICCIÓN"/>
    <n v="1250"/>
    <n v="0"/>
    <n v="5.58"/>
    <n v="6975"/>
    <n v="5627778.75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6975"/>
    <m/>
  </r>
  <r>
    <s v="AR20"/>
    <s v="AR02"/>
    <s v=""/>
    <s v=""/>
    <s v="QIPETQBAC"/>
    <s v="ZBOL"/>
    <s v="1155608"/>
    <s v="80"/>
    <s v="ECORDER"/>
    <s v="02"/>
    <s v="ZLF"/>
    <s v="80098641"/>
    <s v="8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BXC3201CT"/>
    <s v="BACTERICIDA"/>
    <n v="520"/>
    <n v="0"/>
    <n v="2.34"/>
    <n v="1216.8"/>
    <n v="981775.08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1216.8"/>
    <m/>
  </r>
  <r>
    <s v="AR20"/>
    <s v="AR02"/>
    <s v=""/>
    <s v=""/>
    <s v="QIPETQDES"/>
    <s v="ZBOL"/>
    <s v="1155608"/>
    <s v="90"/>
    <s v="ECORDER"/>
    <s v="02"/>
    <s v="ZLF"/>
    <s v="80098641"/>
    <s v="9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DBN1710CT"/>
    <s v="DESEMULSIONANTE"/>
    <n v="2340"/>
    <n v="0"/>
    <n v="7.59"/>
    <n v="17760.599999999999"/>
    <n v="14330140.109999999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17760.599999999999"/>
    <m/>
  </r>
  <r>
    <s v="AR20"/>
    <s v="AR02"/>
    <s v=""/>
    <s v=""/>
    <s v="QIPETQSOL"/>
    <s v="ZBOL"/>
    <s v="1155608"/>
    <s v="100"/>
    <s v="ECORDER"/>
    <s v="02"/>
    <s v="ZLF"/>
    <s v="80098641"/>
    <s v="10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SB29CT"/>
    <s v="SOLVENTE"/>
    <n v="60"/>
    <n v="0"/>
    <n v="4.95"/>
    <n v="297"/>
    <n v="239634.45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297"/>
    <m/>
  </r>
  <r>
    <s v="AR20"/>
    <s v="AR02"/>
    <s v=""/>
    <s v=""/>
    <s v="QIPETQDES"/>
    <s v="ZBOL"/>
    <s v="1155608"/>
    <s v="110"/>
    <s v="ECORDER"/>
    <s v="02"/>
    <s v="ZLF"/>
    <s v="80098641"/>
    <s v="11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DBN7203CT"/>
    <s v="DESEMULS"/>
    <n v="720"/>
    <n v="0"/>
    <n v="7.02"/>
    <n v="5054.3999999999996"/>
    <n v="4078142.64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5054.3999999999996"/>
    <m/>
  </r>
  <r>
    <s v="AR20"/>
    <s v="AR02"/>
    <s v=""/>
    <s v=""/>
    <s v="QIPETQDES"/>
    <s v="ZBOL"/>
    <s v="1155608"/>
    <s v="120"/>
    <s v="ECORDER"/>
    <s v="02"/>
    <s v="ZLF"/>
    <s v="80098641"/>
    <s v="12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DBN7311CT"/>
    <s v="DESEMULSIONANTE"/>
    <n v="600"/>
    <n v="0"/>
    <n v="6.21"/>
    <n v="3726"/>
    <n v="3006323.1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3726"/>
    <m/>
  </r>
  <r>
    <s v="AR20"/>
    <s v="AR02"/>
    <s v=""/>
    <s v=""/>
    <s v="QIPETQFLO"/>
    <s v="ZBOL"/>
    <s v="1155608"/>
    <s v="130"/>
    <s v="ECORDER"/>
    <s v="02"/>
    <s v="ZLF"/>
    <s v="80098641"/>
    <s v="13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FBS9550CT"/>
    <s v="FLOCULANTE"/>
    <n v="360"/>
    <n v="0"/>
    <n v="7.95"/>
    <n v="2862"/>
    <n v="2309204.7000000002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2862"/>
    <m/>
  </r>
  <r>
    <s v="AR20"/>
    <s v="AR02"/>
    <s v=""/>
    <s v=""/>
    <s v="SER-11003"/>
    <s v="ZBOL"/>
    <s v="1155608"/>
    <s v="140"/>
    <s v="ECORDER"/>
    <s v="02"/>
    <s v="ZLF"/>
    <s v="80098641"/>
    <s v="140"/>
    <s v=""/>
    <s v=""/>
    <s v="0"/>
    <s v=""/>
    <s v="0025R00004902"/>
    <d v="2023-11-21T00:00:00"/>
    <x v="2"/>
    <d v="2023-12-24T00:00:00"/>
    <n v="0"/>
    <n v="0"/>
    <s v=""/>
    <m/>
    <s v="ZSER"/>
    <s v="PQ-diciembre 2023-UTE PS"/>
    <s v=""/>
    <s v="ZTAX"/>
    <s v="20002380"/>
    <s v="SERVICIO DE PROVISION PQ"/>
    <n v="150"/>
    <n v="0"/>
    <n v="5.59"/>
    <n v="838.5"/>
    <n v="676543.73"/>
    <n v="0"/>
    <s v="un"/>
    <m/>
    <n v="0"/>
    <m/>
    <n v="0"/>
    <s v="31100001"/>
    <s v="102305"/>
    <x v="6"/>
    <s v="30641046074"/>
    <s v="AR"/>
    <s v="22"/>
    <x v="0"/>
    <s v="806,85000"/>
    <s v=""/>
    <n v="0"/>
    <s v=""/>
    <x v="0"/>
    <s v=""/>
    <s v="40001560"/>
    <n v="838.5"/>
    <m/>
  </r>
  <r>
    <s v="AR20"/>
    <s v="AR02"/>
    <s v=""/>
    <s v=""/>
    <s v="QIPETQINH"/>
    <s v="ZBOL"/>
    <s v="1155608"/>
    <s v="150"/>
    <s v="ECORDER"/>
    <s v="02"/>
    <s v="ZLF"/>
    <s v="80098641"/>
    <s v="150"/>
    <s v=""/>
    <s v=""/>
    <s v="0"/>
    <s v=""/>
    <s v="0025R00004902"/>
    <d v="2023-11-21T00:00:00"/>
    <x v="2"/>
    <d v="2023-12-24T00:00:00"/>
    <n v="0"/>
    <n v="0"/>
    <s v=""/>
    <m/>
    <s v="ZMAT"/>
    <s v="PQ-diciembre 2023-UTE PS"/>
    <s v=""/>
    <s v="ZTAN"/>
    <s v="IC7016CT"/>
    <s v="INHIBID DE INCRUSTACIONES IC7016CT"/>
    <n v="7825"/>
    <n v="0"/>
    <n v="2.95"/>
    <n v="23083.75"/>
    <n v="18625123.690000001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40001560"/>
    <n v="23083.75"/>
    <m/>
  </r>
  <r>
    <s v="AR20"/>
    <s v="AR02"/>
    <s v=""/>
    <s v=""/>
    <s v="VECLIETQ3"/>
    <s v="ZBOL"/>
    <s v="1155609"/>
    <s v="10"/>
    <s v="ECORDER"/>
    <s v="02"/>
    <s v="ZLF"/>
    <s v="80098642"/>
    <s v="10"/>
    <s v=""/>
    <s v=""/>
    <s v="0"/>
    <s v=""/>
    <s v="0025R00004903"/>
    <d v="2023-11-21T00:00:00"/>
    <x v="2"/>
    <d v="2023-12-24T00:00:00"/>
    <n v="0"/>
    <n v="0"/>
    <s v=""/>
    <m/>
    <s v="ZSER"/>
    <s v="SER-diciembre 2023-UTE PS"/>
    <s v=""/>
    <s v="ZTAX"/>
    <s v="20002374"/>
    <s v="SERV"/>
    <n v="1"/>
    <n v="0"/>
    <n v="3114698.66"/>
    <n v="3114698.66"/>
    <n v="3114698.66"/>
    <n v="0"/>
    <s v="un"/>
    <m/>
    <n v="0"/>
    <m/>
    <n v="0"/>
    <s v="31100001"/>
    <s v="102305"/>
    <x v="6"/>
    <s v="30641046074"/>
    <s v="AR"/>
    <s v="22"/>
    <x v="1"/>
    <s v="806,85000"/>
    <s v=""/>
    <n v="0"/>
    <s v=""/>
    <x v="0"/>
    <s v=""/>
    <s v="40001581"/>
    <n v="3860.3193406457212"/>
    <m/>
  </r>
  <r>
    <s v="AR20"/>
    <s v="AR02"/>
    <s v=""/>
    <s v=""/>
    <s v="SER-11003"/>
    <s v="ZBOL"/>
    <s v="1155610"/>
    <s v="10"/>
    <s v="ECORDER"/>
    <s v="02"/>
    <s v="ZLF"/>
    <s v="80098643"/>
    <s v="10"/>
    <s v=""/>
    <s v=""/>
    <s v="0"/>
    <s v=""/>
    <s v="0025R00004904"/>
    <d v="2023-11-21T00:00:00"/>
    <x v="2"/>
    <d v="2023-12-24T00:00:00"/>
    <n v="0"/>
    <n v="0"/>
    <s v=""/>
    <m/>
    <s v="ZSER"/>
    <s v="BBA-diciembre 2023-UTE PS"/>
    <s v=""/>
    <s v="ZTAX"/>
    <s v="20002585"/>
    <s v="SERV.MANTENIMIENTO EQUIPOS DOS"/>
    <n v="1"/>
    <n v="0"/>
    <n v="1942"/>
    <n v="1942"/>
    <n v="1566902.7"/>
    <n v="0"/>
    <s v="un"/>
    <m/>
    <n v="0"/>
    <m/>
    <n v="0"/>
    <s v="31100001"/>
    <s v="102305"/>
    <x v="6"/>
    <s v="30641046074"/>
    <s v="AR"/>
    <s v="22"/>
    <x v="0"/>
    <s v="806,85000"/>
    <s v=""/>
    <n v="0"/>
    <s v=""/>
    <x v="0"/>
    <s v=""/>
    <s v="40001560"/>
    <n v="1942"/>
    <m/>
  </r>
  <r>
    <s v="AR20"/>
    <s v="AR02"/>
    <s v=""/>
    <s v=""/>
    <s v="QIPETQSOL"/>
    <s v="ZBOL"/>
    <s v="1155611"/>
    <s v="10"/>
    <s v="ECORDER"/>
    <s v="02"/>
    <s v="ZLF"/>
    <s v="80098644"/>
    <s v="10"/>
    <s v=""/>
    <s v=""/>
    <s v="0"/>
    <s v=""/>
    <s v="0026R00011214"/>
    <d v="2023-11-20T00:00:00"/>
    <x v="2"/>
    <d v="2023-12-27T00:00:00"/>
    <n v="0"/>
    <n v="0"/>
    <s v=""/>
    <m/>
    <s v="ZMAT"/>
    <s v="PQ-Paso Barda- diciembre 2023"/>
    <s v=""/>
    <s v="ZTAN"/>
    <s v="SB14CT"/>
    <s v="SOLVENTE"/>
    <n v="2035"/>
    <n v="0"/>
    <n v="1.41"/>
    <n v="2869.35"/>
    <n v="2315135.0499999998"/>
    <n v="0"/>
    <s v="lt"/>
    <m/>
    <n v="0"/>
    <m/>
    <n v="0"/>
    <s v="32100001"/>
    <s v="100062"/>
    <x v="7"/>
    <s v="30546689979"/>
    <s v="AR"/>
    <s v="20"/>
    <x v="0"/>
    <s v="806,85000"/>
    <s v=""/>
    <n v="0"/>
    <s v=""/>
    <x v="1"/>
    <s v=""/>
    <s v="40001411"/>
    <n v="2869.35"/>
    <m/>
  </r>
  <r>
    <s v="AR20"/>
    <s v="AR02"/>
    <s v=""/>
    <s v=""/>
    <s v="QIPETQINH"/>
    <s v="ZBOL"/>
    <s v="1155611"/>
    <s v="20"/>
    <s v="ECORDER"/>
    <s v="02"/>
    <s v="ZLF"/>
    <s v="80098644"/>
    <s v="20"/>
    <s v=""/>
    <s v=""/>
    <s v="0"/>
    <s v=""/>
    <s v="0026R00011214"/>
    <d v="2023-11-20T00:00:00"/>
    <x v="2"/>
    <d v="2023-12-27T00:00:00"/>
    <n v="0"/>
    <n v="0"/>
    <s v=""/>
    <m/>
    <s v="ZMAT"/>
    <s v="PQ-Paso Barda- diciembre 2023"/>
    <s v=""/>
    <s v="ZTAN"/>
    <s v="IC5400CT"/>
    <s v="INHIBID DE INCRUSTACIONES IC5400CT REV"/>
    <n v="149"/>
    <n v="0"/>
    <n v="4.0599999999999996"/>
    <n v="604.94000000000005"/>
    <n v="488095.84"/>
    <n v="0"/>
    <s v="lt"/>
    <m/>
    <n v="0"/>
    <m/>
    <n v="0"/>
    <s v="32100001"/>
    <s v="100062"/>
    <x v="7"/>
    <s v="30546689979"/>
    <s v="AR"/>
    <s v="20"/>
    <x v="0"/>
    <s v="806,85000"/>
    <s v=""/>
    <n v="0"/>
    <s v=""/>
    <x v="1"/>
    <s v=""/>
    <s v="40001411"/>
    <n v="604.94000000000005"/>
    <m/>
  </r>
  <r>
    <s v="AR20"/>
    <s v="AR02"/>
    <s v=""/>
    <s v=""/>
    <s v="QIPETQSEC"/>
    <s v="ZBOL"/>
    <s v="1155611"/>
    <s v="30"/>
    <s v="ECORDER"/>
    <s v="02"/>
    <s v="ZLF"/>
    <s v="80098644"/>
    <s v="30"/>
    <s v=""/>
    <s v=""/>
    <s v="0"/>
    <s v=""/>
    <s v="0026R00011214"/>
    <d v="2023-11-20T00:00:00"/>
    <x v="2"/>
    <d v="2023-12-27T00:00:00"/>
    <n v="0"/>
    <n v="0"/>
    <s v=""/>
    <m/>
    <s v="ZMAT"/>
    <s v="PQ-Paso Barda- diciembre 2023"/>
    <s v=""/>
    <s v="ZTAN"/>
    <s v="BSH8050CT"/>
    <s v="SECUESTR DE SULFHIDRICO BSH8050CT"/>
    <n v="5493"/>
    <n v="0"/>
    <n v="4.1100000000000003"/>
    <n v="22576.23"/>
    <n v="18215631.18"/>
    <n v="0"/>
    <s v="lt"/>
    <m/>
    <n v="0"/>
    <m/>
    <n v="0"/>
    <s v="32100001"/>
    <s v="100062"/>
    <x v="7"/>
    <s v="30546689979"/>
    <s v="AR"/>
    <s v="20"/>
    <x v="0"/>
    <s v="806,85000"/>
    <s v=""/>
    <n v="0"/>
    <s v=""/>
    <x v="1"/>
    <s v=""/>
    <s v="40001411"/>
    <n v="22576.23"/>
    <m/>
  </r>
  <r>
    <s v="AR20"/>
    <s v="AR02"/>
    <s v=""/>
    <s v=""/>
    <s v="VECLIETQ3"/>
    <s v="ZBOL"/>
    <s v="1155612"/>
    <s v="10"/>
    <s v="ECORDER"/>
    <s v="02"/>
    <s v="ZLF"/>
    <s v="80098645"/>
    <s v="10"/>
    <s v=""/>
    <s v=""/>
    <s v="0"/>
    <s v=""/>
    <s v="0026R00011172"/>
    <d v="2023-11-20T00:00:00"/>
    <x v="2"/>
    <d v="2023-12-25T00:00:00"/>
    <n v="0"/>
    <n v="0"/>
    <s v=""/>
    <m/>
    <s v="ZSER"/>
    <s v="SERV-Paso Barda- diciembre 2023"/>
    <s v=""/>
    <s v="ZTAX"/>
    <s v="20002374"/>
    <s v="SERV"/>
    <n v="1"/>
    <n v="0"/>
    <n v="538831.15"/>
    <n v="538831.15"/>
    <n v="538831.15"/>
    <n v="0"/>
    <s v="un"/>
    <m/>
    <n v="0"/>
    <m/>
    <n v="0"/>
    <s v="31100001"/>
    <s v="100062"/>
    <x v="7"/>
    <s v="30546689979"/>
    <s v="AR"/>
    <s v="20"/>
    <x v="1"/>
    <s v="806,85000"/>
    <s v=""/>
    <n v="0"/>
    <s v=""/>
    <x v="1"/>
    <s v=""/>
    <s v="40001412"/>
    <n v="667.82072256305389"/>
    <m/>
  </r>
  <r>
    <s v="AR20"/>
    <s v="AR02"/>
    <s v=""/>
    <s v=""/>
    <s v="QIPETQDES"/>
    <s v="ZNRE"/>
    <s v="1155613"/>
    <s v="10"/>
    <s v="ECORDER"/>
    <s v="02"/>
    <s v="ZLF"/>
    <s v="80098646"/>
    <s v="10"/>
    <s v=""/>
    <s v=""/>
    <s v="0"/>
    <s v=""/>
    <s v="0026R00011173"/>
    <d v="2023-11-21T00:00:00"/>
    <x v="2"/>
    <d v="2023-12-25T00:00:00"/>
    <n v="0"/>
    <n v="0"/>
    <s v=""/>
    <m/>
    <s v="ZMAT"/>
    <s v="PQ-MA- diciembre 2023"/>
    <s v=""/>
    <s v="ZTAN"/>
    <s v="RT80CT"/>
    <s v="DESEMULSIONANTE"/>
    <n v="1000"/>
    <n v="0"/>
    <n v="3.92"/>
    <n v="3920"/>
    <n v="3162852"/>
    <n v="0"/>
    <s v="lt"/>
    <m/>
    <n v="0"/>
    <m/>
    <n v="0"/>
    <s v="32100020"/>
    <s v="200000"/>
    <x v="8"/>
    <s v="30709858595"/>
    <s v="AR"/>
    <s v="20"/>
    <x v="0"/>
    <s v="806,85000"/>
    <s v=""/>
    <n v="0"/>
    <s v=""/>
    <x v="1"/>
    <s v=""/>
    <s v=""/>
    <n v="3920"/>
    <m/>
  </r>
  <r>
    <s v="AR20"/>
    <s v="AR02"/>
    <s v=""/>
    <s v=""/>
    <s v="QIPETQDES"/>
    <s v="ZBOL"/>
    <s v="1155614"/>
    <s v="10"/>
    <s v="ECORDER"/>
    <s v="02"/>
    <s v="ZLF"/>
    <s v="80098647"/>
    <s v="10"/>
    <s v=""/>
    <s v=""/>
    <s v="0"/>
    <s v=""/>
    <s v="0026R00011174"/>
    <d v="2023-11-21T00:00:00"/>
    <x v="2"/>
    <d v="2023-12-25T00:00:00"/>
    <n v="0"/>
    <n v="0"/>
    <s v=""/>
    <m/>
    <s v="ZMAT"/>
    <s v="Vista-AMOR- PQ-diciembre 2023"/>
    <s v=""/>
    <s v="ZTAN"/>
    <s v="DBN2446CT"/>
    <s v="DESEMULSIONANTE"/>
    <n v="1300"/>
    <n v="0"/>
    <n v="6.44"/>
    <n v="8372"/>
    <n v="6754948.2000000002"/>
    <n v="0"/>
    <s v="lt"/>
    <m/>
    <n v="0"/>
    <m/>
    <n v="0"/>
    <s v="32100001"/>
    <s v="102320"/>
    <x v="0"/>
    <s v="30711235899"/>
    <s v="AR"/>
    <s v="20"/>
    <x v="0"/>
    <s v="806,85000"/>
    <s v=""/>
    <n v="0"/>
    <s v=""/>
    <x v="0"/>
    <s v=""/>
    <s v="40001821"/>
    <n v="8372"/>
    <m/>
  </r>
  <r>
    <s v="AR20"/>
    <s v="AR02"/>
    <s v=""/>
    <s v=""/>
    <s v="QIPETQINH"/>
    <s v="ZBOL"/>
    <s v="1155614"/>
    <s v="20"/>
    <s v="ECORDER"/>
    <s v="02"/>
    <s v="ZLF"/>
    <s v="80098647"/>
    <s v="20"/>
    <s v=""/>
    <s v=""/>
    <s v="0"/>
    <s v=""/>
    <s v="0026R00011174"/>
    <d v="2023-11-21T00:00:00"/>
    <x v="2"/>
    <d v="2023-12-25T00:00:00"/>
    <n v="0"/>
    <n v="0"/>
    <s v=""/>
    <m/>
    <s v="ZMAT"/>
    <s v="Vista-AMOR- PQ-diciembre 2023"/>
    <s v=""/>
    <s v="ZTAN"/>
    <s v="IC5091CT"/>
    <s v="INHIBID DE INCRUSTACIONES IC5091CT REV"/>
    <n v="340"/>
    <n v="0"/>
    <n v="3.89"/>
    <n v="1322.6"/>
    <n v="1067139.81"/>
    <n v="0"/>
    <s v="lt"/>
    <m/>
    <n v="0"/>
    <m/>
    <n v="0"/>
    <s v="32100001"/>
    <s v="102320"/>
    <x v="0"/>
    <s v="30711235899"/>
    <s v="AR"/>
    <s v="20"/>
    <x v="0"/>
    <s v="806,85000"/>
    <s v=""/>
    <n v="0"/>
    <s v=""/>
    <x v="0"/>
    <s v=""/>
    <s v="40001821"/>
    <n v="1322.6"/>
    <m/>
  </r>
  <r>
    <s v="AR20"/>
    <s v="AR02"/>
    <s v=""/>
    <s v=""/>
    <s v="VECLIETQ3"/>
    <s v="ZBOL"/>
    <s v="1155614"/>
    <s v="30"/>
    <s v="ECORDER"/>
    <s v="02"/>
    <s v="ZLF"/>
    <s v="80098647"/>
    <s v="30"/>
    <s v=""/>
    <s v=""/>
    <s v="0"/>
    <s v=""/>
    <s v="0026R00011174"/>
    <d v="2023-11-21T00:00:00"/>
    <x v="2"/>
    <d v="2023-12-25T00:00:00"/>
    <n v="0"/>
    <n v="0"/>
    <s v=""/>
    <m/>
    <s v="ZSER"/>
    <s v="Vista-AMOR- PQ-diciembre 2023"/>
    <s v=""/>
    <s v="ZTAX"/>
    <s v="20002378"/>
    <s v="SERVICIO DE OPERACION Y MTTO"/>
    <n v="1"/>
    <n v="0"/>
    <n v="179"/>
    <n v="179"/>
    <n v="144426.15"/>
    <n v="0"/>
    <s v="un"/>
    <m/>
    <n v="0"/>
    <m/>
    <n v="0"/>
    <s v="31100001"/>
    <s v="102320"/>
    <x v="0"/>
    <s v="30711235899"/>
    <s v="AR"/>
    <s v="20"/>
    <x v="0"/>
    <s v="806,85000"/>
    <s v=""/>
    <n v="0"/>
    <s v=""/>
    <x v="0"/>
    <s v=""/>
    <s v="40001821"/>
    <n v="179"/>
    <m/>
  </r>
  <r>
    <s v="AR20"/>
    <s v="AR02"/>
    <s v=""/>
    <s v=""/>
    <s v="VECLIETQ3"/>
    <s v="ZBOL"/>
    <s v="1155614"/>
    <s v="40"/>
    <s v="ECORDER"/>
    <s v="02"/>
    <s v="ZLF"/>
    <s v="80098647"/>
    <s v="40"/>
    <s v=""/>
    <s v=""/>
    <s v="0"/>
    <s v=""/>
    <s v="0026R00011174"/>
    <d v="2023-11-21T00:00:00"/>
    <x v="2"/>
    <d v="2023-12-25T00:00:00"/>
    <n v="0"/>
    <n v="0"/>
    <s v=""/>
    <m/>
    <s v="ZSER"/>
    <s v="Vista-AMOR- PQ-diciembre 2023"/>
    <s v=""/>
    <s v="ZTAX"/>
    <s v="20002378"/>
    <s v="SERVICIO DE OPERACION Y MTTO"/>
    <n v="4"/>
    <n v="0"/>
    <n v="235"/>
    <n v="940"/>
    <n v="758439"/>
    <n v="0"/>
    <s v="un"/>
    <m/>
    <n v="0"/>
    <m/>
    <n v="0"/>
    <s v="31100001"/>
    <s v="102320"/>
    <x v="0"/>
    <s v="30711235899"/>
    <s v="AR"/>
    <s v="20"/>
    <x v="0"/>
    <s v="806,85000"/>
    <s v=""/>
    <n v="0"/>
    <s v=""/>
    <x v="0"/>
    <s v=""/>
    <s v="40001821"/>
    <n v="940"/>
    <m/>
  </r>
  <r>
    <s v="AR20"/>
    <s v="AR02"/>
    <s v=""/>
    <s v=""/>
    <s v="VECLIETQ3"/>
    <s v="ZBOL"/>
    <s v="1155614"/>
    <s v="50"/>
    <s v="ECORDER"/>
    <s v="02"/>
    <s v="ZLF"/>
    <s v="80098647"/>
    <s v="50"/>
    <s v=""/>
    <s v=""/>
    <s v="0"/>
    <s v=""/>
    <s v="0026R00011174"/>
    <d v="2023-11-21T00:00:00"/>
    <x v="2"/>
    <d v="2023-12-25T00:00:00"/>
    <n v="0"/>
    <n v="0"/>
    <s v=""/>
    <m/>
    <s v="ZSER"/>
    <s v="Vista-AMOR- PQ-diciembre 2023"/>
    <s v=""/>
    <s v="ZTAX"/>
    <s v="20002359"/>
    <s v="SERVICIO DE DOSIFICACION PTOS QUIMICOS"/>
    <n v="3"/>
    <n v="0"/>
    <n v="163"/>
    <n v="489"/>
    <n v="394549.65"/>
    <n v="0"/>
    <s v="un"/>
    <m/>
    <n v="0"/>
    <m/>
    <n v="0"/>
    <s v="31100001"/>
    <s v="102320"/>
    <x v="0"/>
    <s v="30711235899"/>
    <s v="AR"/>
    <s v="20"/>
    <x v="0"/>
    <s v="806,85000"/>
    <s v=""/>
    <n v="0"/>
    <s v=""/>
    <x v="0"/>
    <s v=""/>
    <s v="40001821"/>
    <n v="489"/>
    <m/>
  </r>
  <r>
    <s v="AR20"/>
    <s v="AR02"/>
    <s v=""/>
    <s v=""/>
    <s v="VECLIETQ3"/>
    <s v="ZBOL"/>
    <s v="1155615"/>
    <s v="10"/>
    <s v="ECORDER"/>
    <s v="02"/>
    <s v="ZLF"/>
    <s v="80098648"/>
    <s v="10"/>
    <s v=""/>
    <s v=""/>
    <s v="0"/>
    <s v=""/>
    <s v="0026R00011175"/>
    <d v="2023-11-21T00:00:00"/>
    <x v="2"/>
    <d v="2023-12-25T00:00:00"/>
    <n v="0"/>
    <n v="0"/>
    <s v=""/>
    <m/>
    <s v="ZSER"/>
    <s v="Vista-AMOR-SERV reposiciÃ³n-diciemb"/>
    <s v=""/>
    <s v="ZTAX"/>
    <s v="20002374"/>
    <s v="SERV"/>
    <n v="2"/>
    <n v="0"/>
    <n v="725837"/>
    <n v="1451674"/>
    <n v="1451674"/>
    <n v="0"/>
    <s v="un"/>
    <m/>
    <n v="0"/>
    <m/>
    <n v="0"/>
    <s v="31100001"/>
    <s v="102320"/>
    <x v="0"/>
    <s v="30711235899"/>
    <s v="AR"/>
    <s v="20"/>
    <x v="1"/>
    <s v="806,85000"/>
    <s v=""/>
    <n v="0"/>
    <s v=""/>
    <x v="0"/>
    <s v=""/>
    <s v="40001822"/>
    <n v="1799.1869616409492"/>
    <m/>
  </r>
  <r>
    <s v="AR20"/>
    <s v="AR02"/>
    <s v=""/>
    <s v=""/>
    <s v="VECLIETQ3"/>
    <s v="ZBOL"/>
    <s v="1155615"/>
    <s v="20"/>
    <s v="ECORDER"/>
    <s v="02"/>
    <s v="ZLF"/>
    <s v="80098648"/>
    <s v="20"/>
    <s v=""/>
    <s v=""/>
    <s v="0"/>
    <s v=""/>
    <s v="0026R00011175"/>
    <d v="2023-11-21T00:00:00"/>
    <x v="2"/>
    <d v="2023-12-25T00:00:00"/>
    <n v="0"/>
    <n v="0"/>
    <s v=""/>
    <m/>
    <s v="ZSER"/>
    <s v="Vista-AMOR-SERV reposiciÃ³n-diciemb"/>
    <s v=""/>
    <s v="ZTAX"/>
    <s v="20002374"/>
    <s v="SERV"/>
    <n v="0.15"/>
    <n v="0"/>
    <n v="6533365"/>
    <n v="980004.75"/>
    <n v="980004.75"/>
    <n v="0"/>
    <s v="un"/>
    <m/>
    <n v="0"/>
    <m/>
    <n v="0"/>
    <s v="31100001"/>
    <s v="102320"/>
    <x v="0"/>
    <s v="30711235899"/>
    <s v="AR"/>
    <s v="20"/>
    <x v="1"/>
    <s v="806,85000"/>
    <s v=""/>
    <n v="0"/>
    <s v=""/>
    <x v="0"/>
    <s v=""/>
    <s v="40001822"/>
    <n v="1214.6058746978993"/>
    <m/>
  </r>
  <r>
    <s v="AR20"/>
    <s v="AR02"/>
    <s v=""/>
    <s v=""/>
    <s v="QIPETQSOL"/>
    <s v="ZBOL"/>
    <s v="1155616"/>
    <s v="10"/>
    <s v="ECORDER"/>
    <s v="02"/>
    <s v="ZLF"/>
    <s v="80098649"/>
    <s v="10"/>
    <s v=""/>
    <s v=""/>
    <s v="0"/>
    <s v=""/>
    <s v="0025R00004905"/>
    <d v="2023-11-21T00:00:00"/>
    <x v="2"/>
    <d v="2023-12-25T00:00:00"/>
    <n v="0"/>
    <n v="0"/>
    <s v=""/>
    <m/>
    <s v="ZMAT"/>
    <s v="Vista VRU-diciembre 2023"/>
    <s v=""/>
    <s v="ZTAN"/>
    <s v="SB14CT"/>
    <s v="SOLVENTE"/>
    <n v="3000"/>
    <n v="0"/>
    <n v="1.72"/>
    <n v="5160"/>
    <n v="4163346"/>
    <n v="0"/>
    <s v="lt"/>
    <m/>
    <n v="0"/>
    <m/>
    <n v="0"/>
    <s v="32100001"/>
    <s v="102151"/>
    <x v="1"/>
    <s v="33515950899"/>
    <s v="AR"/>
    <s v="22"/>
    <x v="0"/>
    <s v="806,85000"/>
    <s v=""/>
    <n v="0"/>
    <s v=""/>
    <x v="0"/>
    <s v=""/>
    <s v="40001821"/>
    <n v="5160"/>
    <m/>
  </r>
  <r>
    <s v="AR20"/>
    <s v="AR02"/>
    <s v=""/>
    <s v=""/>
    <s v="VECLIETQ3"/>
    <s v="ZBOL"/>
    <s v="1155617"/>
    <s v="10"/>
    <s v="ECORDER"/>
    <s v="02"/>
    <s v="ZLF"/>
    <s v="80098650"/>
    <s v="10"/>
    <s v=""/>
    <s v=""/>
    <s v="0"/>
    <s v=""/>
    <s v="0025R00004906"/>
    <d v="2023-11-21T00:00:00"/>
    <x v="2"/>
    <d v="2023-12-25T00:00:00"/>
    <n v="0"/>
    <n v="0"/>
    <s v=""/>
    <m/>
    <s v="ZSER"/>
    <s v="Vista-VRU-SERV reposiciÃ³n-diciembr"/>
    <s v=""/>
    <s v="ZTAX"/>
    <s v="20002374"/>
    <s v="SERV"/>
    <n v="3"/>
    <n v="0"/>
    <n v="725837"/>
    <n v="2177511"/>
    <n v="2177511"/>
    <n v="0"/>
    <s v="un"/>
    <m/>
    <n v="0"/>
    <m/>
    <n v="0"/>
    <s v="31100001"/>
    <s v="102151"/>
    <x v="1"/>
    <s v="33515950899"/>
    <s v="AR"/>
    <s v="22"/>
    <x v="1"/>
    <s v="806,85000"/>
    <s v=""/>
    <n v="0"/>
    <s v=""/>
    <x v="0"/>
    <s v=""/>
    <s v="40001822"/>
    <n v="2698.7804424614242"/>
    <m/>
  </r>
  <r>
    <s v="AR20"/>
    <s v="AR02"/>
    <s v=""/>
    <s v=""/>
    <s v="VECLIETQ3"/>
    <s v="ZBOL"/>
    <s v="1155619"/>
    <s v="10"/>
    <s v="ECORDER"/>
    <s v="02"/>
    <s v="ZLF"/>
    <s v="80098651"/>
    <s v="10"/>
    <s v=""/>
    <s v=""/>
    <s v="0"/>
    <s v=""/>
    <s v="0025R00004907"/>
    <d v="2023-11-21T00:00:00"/>
    <x v="2"/>
    <d v="2023-12-25T00:00:00"/>
    <n v="0"/>
    <n v="0"/>
    <s v=""/>
    <m/>
    <s v="ZSER"/>
    <s v="Vista-SERV reposiciÃ³n-diciembre 20"/>
    <s v=""/>
    <s v="ZTAX"/>
    <s v="20002374"/>
    <s v="SERV"/>
    <n v="3"/>
    <n v="0"/>
    <n v="725837"/>
    <n v="2177511"/>
    <n v="2177511"/>
    <n v="0"/>
    <s v="un"/>
    <m/>
    <n v="0"/>
    <m/>
    <n v="0"/>
    <s v="31100001"/>
    <s v="102540"/>
    <x v="3"/>
    <s v="30717233480"/>
    <s v="AR"/>
    <s v="20"/>
    <x v="1"/>
    <s v="806,85000"/>
    <s v=""/>
    <n v="0"/>
    <s v=""/>
    <x v="0"/>
    <s v=""/>
    <s v="40001822"/>
    <n v="2698.7804424614242"/>
    <m/>
  </r>
  <r>
    <s v="AR20"/>
    <s v="AR02"/>
    <s v=""/>
    <s v=""/>
    <s v="VECLIETQ3"/>
    <s v="ZBOL"/>
    <s v="1155619"/>
    <s v="20"/>
    <s v="ECORDER"/>
    <s v="02"/>
    <s v="ZLF"/>
    <s v="80098651"/>
    <s v="20"/>
    <s v=""/>
    <s v=""/>
    <s v="0"/>
    <s v=""/>
    <s v="0025R00004907"/>
    <d v="2023-11-21T00:00:00"/>
    <x v="2"/>
    <d v="2023-12-25T00:00:00"/>
    <n v="0"/>
    <n v="0"/>
    <s v=""/>
    <m/>
    <s v="ZSER"/>
    <s v="Vista-SERV reposiciÃ³n-diciembre 20"/>
    <s v=""/>
    <s v="ZTAX"/>
    <s v="20002374"/>
    <s v="SERV"/>
    <n v="0.2"/>
    <n v="0"/>
    <n v="6533365"/>
    <n v="1306673"/>
    <n v="1306673"/>
    <n v="0"/>
    <s v="un"/>
    <m/>
    <n v="0"/>
    <m/>
    <n v="0"/>
    <s v="31100001"/>
    <s v="102540"/>
    <x v="3"/>
    <s v="30717233480"/>
    <s v="AR"/>
    <s v="20"/>
    <x v="1"/>
    <s v="806,85000"/>
    <s v=""/>
    <n v="0"/>
    <s v=""/>
    <x v="0"/>
    <s v=""/>
    <s v="40001822"/>
    <n v="1619.4744995971989"/>
    <m/>
  </r>
  <r>
    <s v="AR20"/>
    <s v="AR02"/>
    <s v=""/>
    <s v=""/>
    <s v="VECLIETQ3"/>
    <s v="ZBOL"/>
    <s v="1155621"/>
    <s v="10"/>
    <s v="ECORDER"/>
    <s v="02"/>
    <s v="ZLF"/>
    <s v="80098652"/>
    <s v="10"/>
    <s v=""/>
    <s v=""/>
    <s v="0"/>
    <s v=""/>
    <s v="0025R00004908"/>
    <d v="2023-11-21T00:00:00"/>
    <x v="2"/>
    <d v="2023-12-25T00:00:00"/>
    <n v="0"/>
    <n v="0"/>
    <s v=""/>
    <m/>
    <s v="ZSER"/>
    <s v="Vista-BP- BBA Solar-diciembre 2023"/>
    <s v=""/>
    <s v="ZTAX"/>
    <s v="20002378"/>
    <s v="SERVICIO DE OPERACION Y MTTO"/>
    <n v="4"/>
    <n v="0"/>
    <n v="179"/>
    <n v="716"/>
    <n v="577704.6"/>
    <n v="0"/>
    <s v="un"/>
    <m/>
    <n v="0"/>
    <m/>
    <n v="0"/>
    <s v="31100001"/>
    <s v="102540"/>
    <x v="3"/>
    <s v="30717233480"/>
    <s v="AR"/>
    <s v="20"/>
    <x v="0"/>
    <s v="806,85000"/>
    <s v=""/>
    <n v="0"/>
    <s v=""/>
    <x v="0"/>
    <s v=""/>
    <s v="40001821"/>
    <n v="716"/>
    <m/>
  </r>
  <r>
    <s v="AR20"/>
    <s v="AR02"/>
    <s v=""/>
    <s v=""/>
    <s v="VECLIETQ3"/>
    <s v="ZBOL"/>
    <s v="1155621"/>
    <s v="20"/>
    <s v="ECORDER"/>
    <s v="02"/>
    <s v="ZLF"/>
    <s v="80098652"/>
    <s v="20"/>
    <s v=""/>
    <s v=""/>
    <s v="0"/>
    <s v=""/>
    <s v="0025R00004908"/>
    <d v="2023-11-21T00:00:00"/>
    <x v="2"/>
    <d v="2023-12-25T00:00:00"/>
    <n v="0"/>
    <n v="0"/>
    <s v=""/>
    <m/>
    <s v="ZSER"/>
    <s v="Vista-BP- BBA Solar-diciembre 2023"/>
    <s v=""/>
    <s v="ZTAX"/>
    <s v="20002378"/>
    <s v="SERVICIO DE OPERACION Y MTTO"/>
    <n v="1"/>
    <n v="0"/>
    <n v="235"/>
    <n v="235"/>
    <n v="189609.75"/>
    <n v="0"/>
    <s v="un"/>
    <m/>
    <n v="0"/>
    <m/>
    <n v="0"/>
    <s v="31100001"/>
    <s v="102540"/>
    <x v="3"/>
    <s v="30717233480"/>
    <s v="AR"/>
    <s v="20"/>
    <x v="0"/>
    <s v="806,85000"/>
    <s v=""/>
    <n v="0"/>
    <s v=""/>
    <x v="0"/>
    <s v=""/>
    <s v="40001821"/>
    <n v="235"/>
    <m/>
  </r>
  <r>
    <s v="AR20"/>
    <s v="AR02"/>
    <s v=""/>
    <s v=""/>
    <s v="QIPETQDES"/>
    <s v="ZKE"/>
    <s v="1155622"/>
    <s v="10"/>
    <s v="ECORDER"/>
    <s v="02"/>
    <s v="ZLF"/>
    <s v="80098653"/>
    <s v="10"/>
    <s v=""/>
    <s v=""/>
    <s v="0"/>
    <s v=""/>
    <s v="0003R00008490"/>
    <d v="2023-11-21T00:00:00"/>
    <x v="2"/>
    <d v="2023-12-25T00:00:00"/>
    <n v="0"/>
    <n v="0"/>
    <s v=""/>
    <m/>
    <s v="ZMAT"/>
    <s v="Vista-diciembre 2023 pq"/>
    <s v=""/>
    <s v="KEN"/>
    <s v="DBN2446CT"/>
    <s v="DESEMULSIONANTE"/>
    <n v="4100"/>
    <n v="0"/>
    <n v="6.44"/>
    <n v="26404"/>
    <n v="21304067.399999999"/>
    <n v="0"/>
    <s v="lt"/>
    <m/>
    <n v="0"/>
    <m/>
    <n v="0"/>
    <s v="32100001"/>
    <s v="102540"/>
    <x v="3"/>
    <s v="30717233480"/>
    <s v="AR"/>
    <s v="20"/>
    <x v="0"/>
    <s v="806,85000"/>
    <s v=""/>
    <n v="0"/>
    <s v=""/>
    <x v="0"/>
    <s v=""/>
    <s v="40001821"/>
    <n v="26404"/>
    <m/>
  </r>
  <r>
    <s v="AR20"/>
    <s v="AR02"/>
    <s v=""/>
    <s v=""/>
    <s v="QIPETQESP"/>
    <s v="ZKE"/>
    <s v="1155622"/>
    <s v="20"/>
    <s v="ECORDER"/>
    <s v="02"/>
    <s v="ZLF"/>
    <s v="80098653"/>
    <s v="20"/>
    <s v=""/>
    <s v=""/>
    <s v="0"/>
    <s v=""/>
    <s v="0003R00008490"/>
    <d v="2023-11-21T00:00:00"/>
    <x v="2"/>
    <d v="2023-12-25T00:00:00"/>
    <n v="0"/>
    <n v="0"/>
    <s v=""/>
    <m/>
    <s v="ZMAT"/>
    <s v="Vista-diciembre 2023 pq"/>
    <s v=""/>
    <s v="KEN"/>
    <s v="ESB9846CT"/>
    <s v="ESPUMIG ESB9846CT"/>
    <n v="1350"/>
    <n v="0"/>
    <n v="3.53"/>
    <n v="4765.5"/>
    <n v="3845043.68"/>
    <n v="0"/>
    <s v="lt"/>
    <m/>
    <n v="0"/>
    <m/>
    <n v="0"/>
    <s v="32100001"/>
    <s v="102540"/>
    <x v="3"/>
    <s v="30717233480"/>
    <s v="AR"/>
    <s v="20"/>
    <x v="0"/>
    <s v="806,85000"/>
    <s v=""/>
    <n v="0"/>
    <s v=""/>
    <x v="0"/>
    <s v=""/>
    <s v="40001821"/>
    <n v="4765.5"/>
    <m/>
  </r>
  <r>
    <s v="AR20"/>
    <s v="AR02"/>
    <s v=""/>
    <s v=""/>
    <s v="QIPETQSOL"/>
    <s v="ZKE"/>
    <s v="1155622"/>
    <s v="30"/>
    <s v="ECORDER"/>
    <s v="02"/>
    <s v="ZLF"/>
    <s v="80098653"/>
    <s v="30"/>
    <s v=""/>
    <s v=""/>
    <s v="0"/>
    <s v=""/>
    <s v="0003R00008490"/>
    <d v="2023-11-21T00:00:00"/>
    <x v="2"/>
    <d v="2023-12-25T00:00:00"/>
    <n v="0"/>
    <n v="0"/>
    <s v=""/>
    <m/>
    <s v="ZMAT"/>
    <s v="Vista-diciembre 2023 pq"/>
    <s v=""/>
    <s v="KEN"/>
    <s v="SB14CT"/>
    <s v="SOLVENTE"/>
    <n v="1500"/>
    <n v="0"/>
    <n v="1.72"/>
    <n v="2580"/>
    <n v="2081673"/>
    <n v="0"/>
    <s v="lt"/>
    <m/>
    <n v="0"/>
    <m/>
    <n v="0"/>
    <s v="32100001"/>
    <s v="102540"/>
    <x v="3"/>
    <s v="30717233480"/>
    <s v="AR"/>
    <s v="20"/>
    <x v="0"/>
    <s v="806,85000"/>
    <s v=""/>
    <n v="0"/>
    <s v=""/>
    <x v="0"/>
    <s v=""/>
    <s v="40001821"/>
    <n v="2580"/>
    <m/>
  </r>
  <r>
    <s v="AR20"/>
    <s v="AR02"/>
    <s v=""/>
    <s v=""/>
    <s v="QIPETQINH"/>
    <s v="ZKE"/>
    <s v="1155622"/>
    <s v="40"/>
    <s v="ECORDER"/>
    <s v="02"/>
    <s v="ZLF"/>
    <s v="80098653"/>
    <s v="40"/>
    <s v=""/>
    <s v=""/>
    <s v="0"/>
    <s v=""/>
    <s v="0003R00008490"/>
    <d v="2023-11-21T00:00:00"/>
    <x v="2"/>
    <d v="2023-12-25T00:00:00"/>
    <n v="0"/>
    <n v="0"/>
    <s v=""/>
    <m/>
    <s v="ZMAT"/>
    <s v="Vista-diciembre 2023 pq"/>
    <s v=""/>
    <s v="KEN"/>
    <s v="IC5091CT"/>
    <s v="INHIBID DE INCRUSTACIONES IC5091CT REV"/>
    <n v="640"/>
    <n v="0"/>
    <n v="3.89"/>
    <n v="2489.6"/>
    <n v="2008733.76"/>
    <n v="0"/>
    <s v="lt"/>
    <m/>
    <n v="0"/>
    <m/>
    <n v="0"/>
    <s v="32100001"/>
    <s v="102540"/>
    <x v="3"/>
    <s v="30717233480"/>
    <s v="AR"/>
    <s v="20"/>
    <x v="0"/>
    <s v="806,85000"/>
    <s v=""/>
    <n v="0"/>
    <s v=""/>
    <x v="0"/>
    <s v=""/>
    <s v="40001821"/>
    <n v="2489.6"/>
    <m/>
  </r>
  <r>
    <s v="AR20"/>
    <s v="AR02"/>
    <s v=""/>
    <s v=""/>
    <s v="QIPETQINH"/>
    <s v="ZKE"/>
    <s v="1155622"/>
    <s v="50"/>
    <s v="ECORDER"/>
    <s v="02"/>
    <s v="ZLF"/>
    <s v="80098653"/>
    <s v="50"/>
    <s v=""/>
    <s v=""/>
    <s v="0"/>
    <s v=""/>
    <s v="0003R00008490"/>
    <d v="2023-11-21T00:00:00"/>
    <x v="2"/>
    <d v="2023-12-25T00:00:00"/>
    <n v="0"/>
    <n v="0"/>
    <s v=""/>
    <m/>
    <s v="ZMAT"/>
    <s v="Vista-diciembre 2023 pq"/>
    <s v=""/>
    <s v="KEN"/>
    <s v="IPB650ACT"/>
    <s v="INHIBID DE PARAFINAS IPB650ACT REV &quot;L&quot;"/>
    <n v="420"/>
    <n v="0"/>
    <n v="7.21"/>
    <n v="3028.2"/>
    <n v="2443303.17"/>
    <n v="0"/>
    <s v="lt"/>
    <m/>
    <n v="0"/>
    <m/>
    <n v="0"/>
    <s v="32100001"/>
    <s v="102540"/>
    <x v="3"/>
    <s v="30717233480"/>
    <s v="AR"/>
    <s v="20"/>
    <x v="0"/>
    <s v="806,85000"/>
    <s v=""/>
    <n v="0"/>
    <s v=""/>
    <x v="0"/>
    <s v=""/>
    <s v="40001821"/>
    <n v="3028.2"/>
    <m/>
  </r>
  <r>
    <s v="AR20"/>
    <s v="AR02"/>
    <s v=""/>
    <s v=""/>
    <s v="QIPETQINH"/>
    <s v="ZKE"/>
    <s v="1155622"/>
    <s v="60"/>
    <s v="ECORDER"/>
    <s v="02"/>
    <s v="ZLF"/>
    <s v="80098653"/>
    <s v="60"/>
    <s v=""/>
    <s v=""/>
    <s v="0"/>
    <s v=""/>
    <s v="0003R00008490"/>
    <d v="2023-11-21T00:00:00"/>
    <x v="2"/>
    <d v="2023-12-25T00:00:00"/>
    <n v="0"/>
    <n v="0"/>
    <s v=""/>
    <m/>
    <s v="ZMAT"/>
    <s v="Vista-diciembre 2023 pq"/>
    <s v=""/>
    <s v="KEN"/>
    <s v="IPB953CT"/>
    <s v="INHIBID DE PARAFINAS IPB953CT; REVISION"/>
    <n v="1420"/>
    <n v="0"/>
    <n v="7.15"/>
    <n v="10153"/>
    <n v="8191948.0499999998"/>
    <n v="0"/>
    <s v="lt"/>
    <m/>
    <n v="0"/>
    <m/>
    <n v="0"/>
    <s v="32100001"/>
    <s v="102540"/>
    <x v="3"/>
    <s v="30717233480"/>
    <s v="AR"/>
    <s v="20"/>
    <x v="0"/>
    <s v="806,85000"/>
    <s v=""/>
    <n v="0"/>
    <s v=""/>
    <x v="0"/>
    <s v=""/>
    <s v="40001821"/>
    <n v="10153"/>
    <m/>
  </r>
  <r>
    <s v="AR20"/>
    <s v="AR02"/>
    <s v=""/>
    <s v=""/>
    <s v="QIPETQINH"/>
    <s v="ZKB"/>
    <s v="1155623"/>
    <s v="10"/>
    <s v="ECORDER"/>
    <s v=""/>
    <s v="ZLF"/>
    <s v="80098654"/>
    <s v="10"/>
    <s v=""/>
    <s v=""/>
    <s v="0"/>
    <s v=""/>
    <s v="0003R00008489"/>
    <d v="2023-11-21T00:00:00"/>
    <x v="2"/>
    <d v="2023-12-25T00:00:00"/>
    <n v="0"/>
    <n v="0"/>
    <s v=""/>
    <m/>
    <s v="ZMAT"/>
    <s v="Vista-diciembre 2023 pq"/>
    <s v=""/>
    <s v="KBN"/>
    <s v="IC5091CT"/>
    <s v="INHIBID DE INCRUSTACIONES IC5091CT REV"/>
    <n v="140"/>
    <n v="0"/>
    <n v="0"/>
    <n v="0"/>
    <n v="0"/>
    <n v="0"/>
    <s v="lt"/>
    <m/>
    <n v="0"/>
    <m/>
    <n v="0"/>
    <s v="32100001"/>
    <s v="102540"/>
    <x v="3"/>
    <s v="30717233480"/>
    <s v="AR"/>
    <s v="20"/>
    <x v="0"/>
    <s v="806,85000"/>
    <s v=""/>
    <n v="0"/>
    <s v=""/>
    <x v="0"/>
    <s v=""/>
    <s v="40001821"/>
    <n v="0"/>
    <m/>
  </r>
  <r>
    <s v="AR20"/>
    <s v="AR02"/>
    <s v=""/>
    <s v=""/>
    <s v="QIPETQINH"/>
    <s v="ZBOL"/>
    <s v="1155791"/>
    <s v="10"/>
    <s v="ECORDER"/>
    <s v="02"/>
    <s v="ZLF"/>
    <s v="80098830"/>
    <s v="10"/>
    <s v=""/>
    <s v=""/>
    <s v="0"/>
    <s v=""/>
    <s v="0026R00011189"/>
    <d v="2023-11-21T00:00:00"/>
    <x v="2"/>
    <d v="2023-12-27T00:00:00"/>
    <n v="0"/>
    <n v="0"/>
    <s v=""/>
    <m/>
    <s v="ZMAT"/>
    <s v="PQ-diciembre 2023-CHO PS"/>
    <s v=""/>
    <s v="ZTAN"/>
    <s v="CY51WCT"/>
    <s v="INHIBID DE CORROSION CY51WCT REV &quot; AK &quot;"/>
    <n v="670"/>
    <n v="0"/>
    <n v="4.04"/>
    <n v="2706.8"/>
    <n v="2183981.58"/>
    <n v="0"/>
    <s v="lt"/>
    <m/>
    <n v="0"/>
    <m/>
    <n v="0"/>
    <s v="32100001"/>
    <s v="102225"/>
    <x v="5"/>
    <s v="33652607689"/>
    <s v="AR"/>
    <s v="20"/>
    <x v="0"/>
    <s v="806,85000"/>
    <s v=""/>
    <n v="0"/>
    <s v=""/>
    <x v="0"/>
    <s v=""/>
    <s v="40001560"/>
    <n v="2706.8"/>
    <m/>
  </r>
  <r>
    <s v="AR20"/>
    <s v="AR02"/>
    <s v=""/>
    <s v=""/>
    <s v="QIPETQINH"/>
    <s v="ZBOL"/>
    <s v="1155791"/>
    <s v="20"/>
    <s v="ECORDER"/>
    <s v="02"/>
    <s v="ZLF"/>
    <s v="80098830"/>
    <s v="20"/>
    <s v=""/>
    <s v=""/>
    <s v="0"/>
    <s v=""/>
    <s v="0026R00011189"/>
    <d v="2023-11-21T00:00:00"/>
    <x v="2"/>
    <d v="2023-12-27T00:00:00"/>
    <n v="0"/>
    <n v="0"/>
    <s v=""/>
    <m/>
    <s v="ZMAT"/>
    <s v="PQ-diciembre 2023-CHO PS"/>
    <s v=""/>
    <s v="ZTAN"/>
    <s v="IC5087CT"/>
    <s v="INHIBID DE INCRUSTACIONES IC5087CT REV"/>
    <n v="405"/>
    <n v="0"/>
    <n v="3.06"/>
    <n v="1239.3"/>
    <n v="999929.21"/>
    <n v="0"/>
    <s v="lt"/>
    <m/>
    <n v="0"/>
    <m/>
    <n v="0"/>
    <s v="32100001"/>
    <s v="102225"/>
    <x v="5"/>
    <s v="33652607689"/>
    <s v="AR"/>
    <s v="20"/>
    <x v="0"/>
    <s v="806,85000"/>
    <s v=""/>
    <n v="0"/>
    <s v=""/>
    <x v="0"/>
    <s v=""/>
    <s v="40001560"/>
    <n v="1239.3"/>
    <m/>
  </r>
  <r>
    <s v="AR20"/>
    <s v="AR02"/>
    <s v=""/>
    <s v=""/>
    <s v="MAPETQPES"/>
    <s v="ZBOL"/>
    <s v="1155791"/>
    <s v="30"/>
    <s v="ECORDER"/>
    <s v="02"/>
    <s v="ZLF"/>
    <s v="80098830"/>
    <s v="30"/>
    <s v=""/>
    <s v=""/>
    <s v="0"/>
    <s v=""/>
    <s v="0026R00011189"/>
    <d v="2023-11-21T00:00:00"/>
    <x v="2"/>
    <d v="2023-12-27T00:00:00"/>
    <n v="0"/>
    <n v="0"/>
    <s v=""/>
    <m/>
    <s v="ZMAT"/>
    <s v="PQ-diciembre 2023-CHO PS"/>
    <s v=""/>
    <s v="ZTAN"/>
    <s v="FBS2000CT"/>
    <s v="FLOCULANTE"/>
    <n v="660"/>
    <n v="0"/>
    <n v="2.79"/>
    <n v="1841.4"/>
    <n v="1485733.59"/>
    <n v="0"/>
    <s v="lt"/>
    <m/>
    <n v="0"/>
    <m/>
    <n v="0"/>
    <s v="32100001"/>
    <s v="102225"/>
    <x v="5"/>
    <s v="33652607689"/>
    <s v="AR"/>
    <s v="20"/>
    <x v="0"/>
    <s v="806,85000"/>
    <s v=""/>
    <n v="0"/>
    <s v=""/>
    <x v="0"/>
    <s v=""/>
    <s v="40001560"/>
    <n v="1841.4"/>
    <m/>
  </r>
  <r>
    <s v="AR20"/>
    <s v="AR02"/>
    <s v=""/>
    <s v=""/>
    <s v="QIPETQINH"/>
    <s v="ZBOL"/>
    <s v="1155791"/>
    <s v="40"/>
    <s v="ECORDER"/>
    <s v="02"/>
    <s v="ZLF"/>
    <s v="80098830"/>
    <s v="40"/>
    <s v=""/>
    <s v=""/>
    <s v="0"/>
    <s v=""/>
    <s v="0026R00011189"/>
    <d v="2023-11-21T00:00:00"/>
    <x v="2"/>
    <d v="2023-12-27T00:00:00"/>
    <n v="0"/>
    <n v="0"/>
    <s v=""/>
    <m/>
    <s v="ZMAT"/>
    <s v="PQ-diciembre 2023-CHO PS"/>
    <s v=""/>
    <s v="ZTAN"/>
    <s v="IC5091CT"/>
    <s v="INHIBID DE INCRUSTACIONES IC5091CT REV"/>
    <n v="1190"/>
    <n v="0"/>
    <n v="4.0199999999999996"/>
    <n v="4783.8"/>
    <n v="3859809.03"/>
    <n v="0"/>
    <s v="lt"/>
    <m/>
    <n v="0"/>
    <m/>
    <n v="0"/>
    <s v="32100001"/>
    <s v="102225"/>
    <x v="5"/>
    <s v="33652607689"/>
    <s v="AR"/>
    <s v="20"/>
    <x v="0"/>
    <s v="806,85000"/>
    <s v=""/>
    <n v="0"/>
    <s v=""/>
    <x v="0"/>
    <s v=""/>
    <s v="40001560"/>
    <n v="4783.8"/>
    <m/>
  </r>
  <r>
    <s v="AR20"/>
    <s v="AR02"/>
    <s v=""/>
    <s v=""/>
    <s v="QIPETQDES"/>
    <s v="ZBOL"/>
    <s v="1155791"/>
    <s v="50"/>
    <s v="ECORDER"/>
    <s v="02"/>
    <s v="ZLF"/>
    <s v="80098830"/>
    <s v="50"/>
    <s v=""/>
    <s v=""/>
    <s v="0"/>
    <s v=""/>
    <s v="0026R00011189"/>
    <d v="2023-11-21T00:00:00"/>
    <x v="2"/>
    <d v="2023-12-27T00:00:00"/>
    <n v="0"/>
    <n v="0"/>
    <s v=""/>
    <m/>
    <s v="ZMAT"/>
    <s v="PQ-diciembre 2023-CHO PS"/>
    <s v=""/>
    <s v="ZTAN"/>
    <s v="DBN1464CT"/>
    <s v="DESEMULS DBN1464CT"/>
    <n v="1985"/>
    <n v="0"/>
    <n v="6.41"/>
    <n v="12723.85"/>
    <n v="10266238.369999999"/>
    <n v="0"/>
    <s v="lt"/>
    <m/>
    <n v="0"/>
    <m/>
    <n v="0"/>
    <s v="32100001"/>
    <s v="102225"/>
    <x v="5"/>
    <s v="33652607689"/>
    <s v="AR"/>
    <s v="20"/>
    <x v="0"/>
    <s v="806,85000"/>
    <s v=""/>
    <n v="0"/>
    <s v=""/>
    <x v="0"/>
    <s v=""/>
    <s v="40001560"/>
    <n v="12723.85"/>
    <m/>
  </r>
  <r>
    <s v="AR20"/>
    <s v="AR02"/>
    <s v=""/>
    <s v=""/>
    <s v="VECLIETQ3"/>
    <s v="ZBOL"/>
    <s v="1155792"/>
    <s v="10"/>
    <s v="ECORDER"/>
    <s v="02"/>
    <s v="ZLF"/>
    <s v="80098831"/>
    <s v="10"/>
    <s v=""/>
    <s v=""/>
    <s v="0"/>
    <s v=""/>
    <s v="0026R00011190"/>
    <d v="2023-11-21T00:00:00"/>
    <x v="2"/>
    <d v="2023-12-27T00:00:00"/>
    <n v="0"/>
    <n v="0"/>
    <s v=""/>
    <m/>
    <s v="ZSER"/>
    <s v="SER-diciembre 2023-CHO PS"/>
    <s v=""/>
    <s v="ZTAX"/>
    <s v="20002374"/>
    <s v="SERV"/>
    <n v="1"/>
    <n v="0"/>
    <n v="2080068.65"/>
    <n v="2080068.65"/>
    <n v="2080068.65"/>
    <n v="0"/>
    <s v="un"/>
    <m/>
    <n v="0"/>
    <m/>
    <n v="0"/>
    <s v="31100001"/>
    <s v="102225"/>
    <x v="5"/>
    <s v="33652607689"/>
    <s v="AR"/>
    <s v="20"/>
    <x v="1"/>
    <s v="806,85000"/>
    <s v=""/>
    <n v="0"/>
    <s v=""/>
    <x v="0"/>
    <s v=""/>
    <s v="40001581"/>
    <n v="2578.0115882753917"/>
    <m/>
  </r>
  <r>
    <s v="AR20"/>
    <s v="AR02"/>
    <s v=""/>
    <s v=""/>
    <s v="SER-11003"/>
    <s v="ZBOL"/>
    <s v="1155793"/>
    <s v="10"/>
    <s v="ECORDER"/>
    <s v="02"/>
    <s v="ZLF"/>
    <s v="80098833"/>
    <s v="10"/>
    <s v=""/>
    <s v=""/>
    <s v="0"/>
    <s v=""/>
    <s v="0026R00011191"/>
    <d v="2023-11-21T00:00:00"/>
    <x v="2"/>
    <d v="2023-12-27T00:00:00"/>
    <n v="0"/>
    <n v="0"/>
    <s v=""/>
    <m/>
    <s v="ZSER"/>
    <s v="BBA-diciembre 2023-CHO PS"/>
    <s v=""/>
    <s v="ZTAX"/>
    <s v="20002585"/>
    <s v="SERV.MANTENIMIENTO EQUIPOS DOS"/>
    <n v="10"/>
    <n v="0"/>
    <n v="75"/>
    <n v="750"/>
    <n v="605137.5"/>
    <n v="0"/>
    <s v="un"/>
    <m/>
    <n v="0"/>
    <m/>
    <n v="0"/>
    <s v="31100001"/>
    <s v="102225"/>
    <x v="5"/>
    <s v="33652607689"/>
    <s v="AR"/>
    <s v="20"/>
    <x v="0"/>
    <s v="806,85000"/>
    <s v=""/>
    <n v="0"/>
    <s v=""/>
    <x v="0"/>
    <s v=""/>
    <s v="40001560"/>
    <n v="750"/>
    <m/>
  </r>
  <r>
    <s v="AR20"/>
    <s v="AR02"/>
    <s v=""/>
    <s v=""/>
    <s v="QIPETQINH"/>
    <s v="ZBOL"/>
    <s v="1155837"/>
    <s v="10"/>
    <s v="ECORDER"/>
    <s v="02"/>
    <s v="ZLF"/>
    <s v="80098860"/>
    <s v="1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IPB71CT"/>
    <s v="INHIBID DE PARAFINAS IPB71CT; REVISION"/>
    <n v="285"/>
    <n v="0"/>
    <n v="4.7"/>
    <n v="1339.5"/>
    <n v="1080775.58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1339.5"/>
    <m/>
  </r>
  <r>
    <s v="AR20"/>
    <s v="AR02"/>
    <s v=""/>
    <s v=""/>
    <s v="QIPETQSOL"/>
    <s v="ZBOL"/>
    <s v="1155837"/>
    <s v="20"/>
    <s v="ECORDER"/>
    <s v="02"/>
    <s v="ZLF"/>
    <s v="80098860"/>
    <s v="2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SB14CT"/>
    <s v="SOLVENTE"/>
    <n v="4447"/>
    <n v="0"/>
    <n v="1.41"/>
    <n v="6270.27"/>
    <n v="5059167.3499999996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6270.27"/>
    <m/>
  </r>
  <r>
    <s v="AR20"/>
    <s v="AR02"/>
    <s v=""/>
    <s v=""/>
    <s v="QIPETQRDF"/>
    <s v="ZBOL"/>
    <s v="1155837"/>
    <s v="30"/>
    <s v="ECORDER"/>
    <s v="02"/>
    <s v="ZLF"/>
    <s v="80098860"/>
    <s v="3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RFB790CT"/>
    <s v="REDUCTOR DE FRICCION"/>
    <n v="599"/>
    <n v="0"/>
    <n v="4.66"/>
    <n v="2791.34"/>
    <n v="2252192.6800000002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2791.34"/>
    <m/>
  </r>
  <r>
    <s v="AR20"/>
    <s v="AR02"/>
    <s v=""/>
    <s v=""/>
    <s v="QIPETQBAC"/>
    <s v="ZBOL"/>
    <s v="1155837"/>
    <s v="40"/>
    <s v="ECORDER"/>
    <s v="02"/>
    <s v="ZLF"/>
    <s v="80098860"/>
    <s v="4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BX960CT"/>
    <s v="BACTERICIDA"/>
    <n v="6671"/>
    <n v="0"/>
    <n v="4.5"/>
    <n v="30019.5"/>
    <n v="24221233.579999998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30019.5"/>
    <m/>
  </r>
  <r>
    <s v="AR20"/>
    <s v="AR02"/>
    <s v=""/>
    <s v=""/>
    <s v="QIPETQINH"/>
    <s v="ZBOL"/>
    <s v="1155837"/>
    <s v="50"/>
    <s v="ECORDER"/>
    <s v="02"/>
    <s v="ZLF"/>
    <s v="80098860"/>
    <s v="5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IC5087ACT"/>
    <s v="INHIBID DE INCRUSTACIONES"/>
    <n v="2838"/>
    <n v="0"/>
    <n v="4.5999999999999996"/>
    <n v="13054.8"/>
    <n v="10533265.380000001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13054.8"/>
    <m/>
  </r>
  <r>
    <s v="AR20"/>
    <s v="AR02"/>
    <s v=""/>
    <s v=""/>
    <s v="QIPETQINH"/>
    <s v="ZBOL"/>
    <s v="1155837"/>
    <s v="60"/>
    <s v="ECORDER"/>
    <s v="02"/>
    <s v="ZLF"/>
    <s v="80098860"/>
    <s v="6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ICS400CT"/>
    <s v="INHIBID MULTIPROPOSITO ICS400CT; REVISIO"/>
    <n v="1966"/>
    <n v="0"/>
    <n v="4.42"/>
    <n v="8689.7199999999993"/>
    <n v="7011300.5800000001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8689.7199999999993"/>
    <m/>
  </r>
  <r>
    <s v="AR20"/>
    <s v="AR02"/>
    <s v=""/>
    <s v=""/>
    <s v="QIPETQINH"/>
    <s v="ZBOL"/>
    <s v="1155837"/>
    <s v="70"/>
    <s v="ECORDER"/>
    <s v="02"/>
    <s v="ZLF"/>
    <s v="80098860"/>
    <s v="7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CY51WCT"/>
    <s v="INHIBID DE CORROSION CY51WCT REV &quot; AK &quot;"/>
    <n v="13436"/>
    <n v="0"/>
    <n v="4.75"/>
    <n v="63821"/>
    <n v="51493973.850000001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63821"/>
    <m/>
  </r>
  <r>
    <s v="AR20"/>
    <s v="AR02"/>
    <s v=""/>
    <s v=""/>
    <s v="QIPETQINH"/>
    <s v="ZBOL"/>
    <s v="1155837"/>
    <s v="80"/>
    <s v="ECORDER"/>
    <s v="02"/>
    <s v="ZLF"/>
    <s v="80098860"/>
    <s v="8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IPB650CT"/>
    <s v="INHIBID DE PARAFINAS IPB650CT REV &quot;R&quot;"/>
    <n v="1731"/>
    <n v="0"/>
    <n v="7.2"/>
    <n v="12463.2"/>
    <n v="10055932.92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12463.2"/>
    <m/>
  </r>
  <r>
    <s v="AR20"/>
    <s v="AR02"/>
    <s v=""/>
    <s v=""/>
    <s v="QIPETQSEC"/>
    <s v="ZBOL"/>
    <s v="1155837"/>
    <s v="90"/>
    <s v="ECORDER"/>
    <s v="02"/>
    <s v="ZLF"/>
    <s v="80098860"/>
    <s v="9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BSH8050CT"/>
    <s v="SECUESTR DE SULFHIDRICO BSH8050CT"/>
    <n v="1426"/>
    <n v="0"/>
    <n v="4.1100000000000003"/>
    <n v="5860.86"/>
    <n v="4728834.8899999997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5860.86"/>
    <m/>
  </r>
  <r>
    <s v="AR20"/>
    <s v="AR02"/>
    <s v=""/>
    <s v=""/>
    <s v="QIPETQINH"/>
    <s v="ZBOL"/>
    <s v="1155837"/>
    <s v="100"/>
    <s v="ECORDER"/>
    <s v="02"/>
    <s v="ZLF"/>
    <s v="80098860"/>
    <s v="10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IPB658CT"/>
    <s v="INHIBID DE PARAFINAS"/>
    <n v="2106"/>
    <n v="0"/>
    <n v="7.2"/>
    <n v="15163.2"/>
    <n v="12234427.92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15163.2"/>
    <m/>
  </r>
  <r>
    <s v="AR20"/>
    <s v="AR02"/>
    <s v=""/>
    <s v=""/>
    <s v="QIPETQINH"/>
    <s v="ZBOL"/>
    <s v="1155837"/>
    <s v="110"/>
    <s v="ECORDER"/>
    <s v="02"/>
    <s v="ZLF"/>
    <s v="80098860"/>
    <s v="11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IC5091CT"/>
    <s v="INHIBID DE INCRUSTACIONES IC5091CT REV"/>
    <n v="312"/>
    <n v="0"/>
    <n v="4.0199999999999996"/>
    <n v="1254.24"/>
    <n v="1011983.54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1254.24"/>
    <m/>
  </r>
  <r>
    <s v="AR20"/>
    <s v="AR02"/>
    <s v=""/>
    <s v=""/>
    <s v="MAPETQPES"/>
    <s v="ZBOL"/>
    <s v="1155837"/>
    <s v="120"/>
    <s v="ECORDER"/>
    <s v="02"/>
    <s v="ZLF"/>
    <s v="80098860"/>
    <s v="12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IC7001"/>
    <s v="INHIBIDOR DE INCRUSTACIONES"/>
    <n v="0.82"/>
    <n v="0"/>
    <n v="1416"/>
    <n v="1161.1199999999999"/>
    <n v="936849.67"/>
    <n v="0"/>
    <s v="tam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1161.1199999999999"/>
    <m/>
  </r>
  <r>
    <s v="AR20"/>
    <s v="AR02"/>
    <s v=""/>
    <s v=""/>
    <s v="QIPETQINH"/>
    <s v="ZBOL"/>
    <s v="1155837"/>
    <s v="130"/>
    <s v="ECORDER"/>
    <s v="02"/>
    <s v="ZLF"/>
    <s v="80098860"/>
    <s v="130"/>
    <s v=""/>
    <s v=""/>
    <s v="0"/>
    <s v=""/>
    <s v="0025R00004938"/>
    <d v="2023-11-21T00:00:00"/>
    <x v="2"/>
    <d v="2023-12-27T00:00:00"/>
    <n v="0"/>
    <n v="0"/>
    <s v=""/>
    <m/>
    <s v="ZMAT"/>
    <s v="PQ-Catriel- diciembre 2023"/>
    <s v=""/>
    <s v="ZTAN"/>
    <s v="IPB279CT"/>
    <s v="INHIBID DE PARAFINAS IPB279CT REV &quot;A&quot;"/>
    <n v="669"/>
    <n v="0"/>
    <n v="5.9"/>
    <n v="3947.1"/>
    <n v="3184717.64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40001411"/>
    <n v="3947.1"/>
    <m/>
  </r>
  <r>
    <s v="AR20"/>
    <s v="AR02"/>
    <s v=""/>
    <s v=""/>
    <s v="VECLIETQ3"/>
    <s v="ZBOL"/>
    <s v="1155838"/>
    <s v="10"/>
    <s v="ECORDER"/>
    <s v="02"/>
    <s v="ZLF"/>
    <s v="80098861"/>
    <s v="10"/>
    <s v=""/>
    <s v=""/>
    <s v="0"/>
    <s v=""/>
    <s v="0025R00004939"/>
    <d v="2023-11-21T00:00:00"/>
    <x v="2"/>
    <d v="2023-12-27T00:00:00"/>
    <n v="0"/>
    <n v="0"/>
    <s v=""/>
    <m/>
    <s v="ZSER"/>
    <s v="SERV-Catriel- diciembre 2023"/>
    <s v=""/>
    <s v="ZTAX"/>
    <s v="20002374"/>
    <s v="SERV"/>
    <n v="1"/>
    <n v="0"/>
    <n v="22207489.18"/>
    <n v="22207489.18"/>
    <n v="22207489.18"/>
    <n v="0"/>
    <s v="un"/>
    <m/>
    <n v="0"/>
    <m/>
    <n v="0"/>
    <s v="31100001"/>
    <s v="100062"/>
    <x v="7"/>
    <s v="30546689979"/>
    <s v="AR"/>
    <s v="22"/>
    <x v="1"/>
    <s v="806,85000"/>
    <s v=""/>
    <n v="0"/>
    <s v=""/>
    <x v="2"/>
    <s v=""/>
    <s v="40001412"/>
    <n v="27523.689880399081"/>
    <m/>
  </r>
  <r>
    <s v="AR20"/>
    <s v="AR02"/>
    <s v=""/>
    <s v=""/>
    <s v="QIPETQANE"/>
    <s v="ZKA"/>
    <s v="60008049"/>
    <s v="10"/>
    <s v="SELIZON"/>
    <s v=""/>
    <s v="ZLR"/>
    <s v="84004397"/>
    <s v="10"/>
    <s v=""/>
    <s v=""/>
    <s v="0"/>
    <s v=""/>
    <s v=""/>
    <m/>
    <x v="3"/>
    <d v="2023-12-21T00:00:00"/>
    <n v="0"/>
    <n v="0"/>
    <s v=""/>
    <m/>
    <s v="ZMAT"/>
    <s v=""/>
    <s v=""/>
    <s v="KAN"/>
    <s v="ABC11CT"/>
    <s v="ANTIESPUM ABC11CT REV K"/>
    <n v="170"/>
    <n v="0"/>
    <n v="0"/>
    <n v="0"/>
    <n v="0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"/>
    <n v="0"/>
    <m/>
  </r>
  <r>
    <s v="AR20"/>
    <s v="AR02"/>
    <s v=""/>
    <s v=""/>
    <s v="QIPETQDES"/>
    <s v="ZKA"/>
    <s v="60008049"/>
    <s v="20"/>
    <s v="SELIZON"/>
    <s v=""/>
    <s v="ZLR"/>
    <s v="84004397"/>
    <s v="20"/>
    <s v=""/>
    <s v=""/>
    <s v="0"/>
    <s v=""/>
    <s v=""/>
    <m/>
    <x v="3"/>
    <d v="2023-12-21T00:00:00"/>
    <n v="0"/>
    <n v="0"/>
    <s v=""/>
    <m/>
    <s v="ZMAT"/>
    <s v=""/>
    <s v=""/>
    <s v="KAN"/>
    <s v="DBN1710CT"/>
    <s v="DESEMULSIONANTE"/>
    <n v="1590"/>
    <n v="0"/>
    <n v="0"/>
    <n v="0"/>
    <n v="0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"/>
    <n v="0"/>
    <m/>
  </r>
  <r>
    <s v="AR20"/>
    <s v="AR02"/>
    <s v=""/>
    <s v=""/>
    <s v="QIPETQDES"/>
    <s v="ZKA"/>
    <s v="60008049"/>
    <s v="30"/>
    <s v="SELIZON"/>
    <s v=""/>
    <s v="ZLR"/>
    <s v="84004397"/>
    <s v="30"/>
    <s v=""/>
    <s v=""/>
    <s v="0"/>
    <s v=""/>
    <s v=""/>
    <m/>
    <x v="3"/>
    <d v="2023-12-21T00:00:00"/>
    <n v="0"/>
    <n v="0"/>
    <s v=""/>
    <m/>
    <s v="ZMAT"/>
    <s v=""/>
    <s v=""/>
    <s v="KAN"/>
    <s v="DBN7203CT"/>
    <s v="DESEMULS"/>
    <n v="1450"/>
    <n v="0"/>
    <n v="0"/>
    <n v="0"/>
    <n v="0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"/>
    <n v="0"/>
    <m/>
  </r>
  <r>
    <s v="AR20"/>
    <s v="AR02"/>
    <s v=""/>
    <s v=""/>
    <s v="QIPETQDES"/>
    <s v="ZKA"/>
    <s v="60008049"/>
    <s v="40"/>
    <s v="SELIZON"/>
    <s v=""/>
    <s v="ZLR"/>
    <s v="84004397"/>
    <s v="40"/>
    <s v=""/>
    <s v=""/>
    <s v="0"/>
    <s v=""/>
    <s v=""/>
    <m/>
    <x v="3"/>
    <d v="2023-12-21T00:00:00"/>
    <n v="0"/>
    <n v="0"/>
    <s v=""/>
    <m/>
    <s v="ZMAT"/>
    <s v=""/>
    <s v=""/>
    <s v="KAN"/>
    <s v="DBN7311CT"/>
    <s v="DESEMULSIONANTE"/>
    <n v="850"/>
    <n v="0"/>
    <n v="0"/>
    <n v="0"/>
    <n v="0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"/>
    <n v="0"/>
    <m/>
  </r>
  <r>
    <s v="AR20"/>
    <s v="AR02"/>
    <s v=""/>
    <s v=""/>
    <s v="QIPETQFLO"/>
    <s v="ZKA"/>
    <s v="60008049"/>
    <s v="50"/>
    <s v="SELIZON"/>
    <s v=""/>
    <s v="ZLR"/>
    <s v="84004397"/>
    <s v="50"/>
    <s v=""/>
    <s v=""/>
    <s v="0"/>
    <s v=""/>
    <s v=""/>
    <m/>
    <x v="3"/>
    <d v="2023-12-21T00:00:00"/>
    <n v="0"/>
    <n v="0"/>
    <s v=""/>
    <m/>
    <s v="ZMAT"/>
    <s v=""/>
    <s v=""/>
    <s v="KAN"/>
    <s v="FBS9550CT"/>
    <s v="FLOCULANTE"/>
    <n v="140"/>
    <n v="0"/>
    <n v="0"/>
    <n v="0"/>
    <n v="0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"/>
    <n v="0"/>
    <m/>
  </r>
  <r>
    <s v="AR20"/>
    <s v="AR02"/>
    <s v=""/>
    <s v=""/>
    <s v="QIPETQINH"/>
    <s v="ZKA"/>
    <s v="60008049"/>
    <s v="60"/>
    <s v="SELIZON"/>
    <s v=""/>
    <s v="ZLR"/>
    <s v="84004397"/>
    <s v="60"/>
    <s v=""/>
    <s v=""/>
    <s v="0"/>
    <s v=""/>
    <s v=""/>
    <m/>
    <x v="3"/>
    <d v="2023-12-21T00:00:00"/>
    <n v="0"/>
    <n v="0"/>
    <s v=""/>
    <m/>
    <s v="ZMAT"/>
    <s v=""/>
    <s v=""/>
    <s v="KAN"/>
    <s v="IC7016CT"/>
    <s v="INHIBID DE INCRUSTACIONES IC7016CT"/>
    <n v="4025"/>
    <n v="0"/>
    <n v="0"/>
    <n v="0"/>
    <n v="0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"/>
    <n v="0"/>
    <m/>
  </r>
  <r>
    <s v="AR20"/>
    <s v="AR02"/>
    <s v=""/>
    <s v=""/>
    <s v="QIPETQRDF"/>
    <s v="ZKA"/>
    <s v="60008049"/>
    <s v="70"/>
    <s v="SELIZON"/>
    <s v=""/>
    <s v="ZLR"/>
    <s v="84004397"/>
    <s v="70"/>
    <s v=""/>
    <s v=""/>
    <s v="0"/>
    <s v=""/>
    <s v=""/>
    <m/>
    <x v="3"/>
    <d v="2023-12-21T00:00:00"/>
    <n v="0"/>
    <n v="0"/>
    <s v=""/>
    <m/>
    <s v="ZMAT"/>
    <s v=""/>
    <s v=""/>
    <s v="KAN"/>
    <s v="RFB625CT"/>
    <s v="REDUCTOR DE FRICCIÓN"/>
    <n v="880"/>
    <n v="0"/>
    <n v="0"/>
    <n v="0"/>
    <n v="0"/>
    <n v="0"/>
    <s v="lt"/>
    <m/>
    <n v="0"/>
    <m/>
    <n v="0"/>
    <s v="32100001"/>
    <s v="102305"/>
    <x v="6"/>
    <s v="30641046074"/>
    <s v="AR"/>
    <s v="22"/>
    <x v="0"/>
    <s v="806,85000"/>
    <s v=""/>
    <n v="0"/>
    <s v=""/>
    <x v="0"/>
    <s v=""/>
    <s v=""/>
    <n v="0"/>
    <m/>
  </r>
  <r>
    <s v="AR20"/>
    <s v="AR02"/>
    <s v=""/>
    <s v=""/>
    <s v="QIPETQDES"/>
    <s v="ZKA"/>
    <s v="60008050"/>
    <s v="10"/>
    <s v="SELIZON"/>
    <s v=""/>
    <s v="ZLR"/>
    <s v="84004398"/>
    <s v="10"/>
    <s v=""/>
    <s v=""/>
    <s v="0"/>
    <s v=""/>
    <s v=""/>
    <m/>
    <x v="3"/>
    <d v="2023-12-21T00:00:00"/>
    <n v="0"/>
    <n v="0"/>
    <s v=""/>
    <m/>
    <s v="ZMAT"/>
    <s v=""/>
    <s v=""/>
    <s v="KAN"/>
    <s v="DBN5645CT"/>
    <s v="DESEMULSIONANTE"/>
    <n v="200"/>
    <n v="0"/>
    <n v="0"/>
    <n v="0"/>
    <n v="0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"/>
    <n v="0"/>
    <m/>
  </r>
  <r>
    <s v="AR20"/>
    <s v="AR02"/>
    <s v=""/>
    <s v=""/>
    <s v="QIPETQFLO"/>
    <s v="ZKA"/>
    <s v="60008050"/>
    <s v="20"/>
    <s v="SELIZON"/>
    <s v=""/>
    <s v="ZLR"/>
    <s v="84004398"/>
    <s v="20"/>
    <s v=""/>
    <s v=""/>
    <s v="0"/>
    <s v=""/>
    <s v=""/>
    <m/>
    <x v="3"/>
    <d v="2023-12-21T00:00:00"/>
    <n v="0"/>
    <n v="0"/>
    <s v=""/>
    <m/>
    <s v="ZMAT"/>
    <s v=""/>
    <s v=""/>
    <s v="KAN"/>
    <s v="FBS1599"/>
    <s v="FLOCULANTE"/>
    <n v="0.6"/>
    <n v="0"/>
    <n v="0"/>
    <n v="0"/>
    <n v="0"/>
    <n v="0"/>
    <s v="tam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"/>
    <n v="0"/>
    <m/>
  </r>
  <r>
    <s v="AR20"/>
    <s v="AR02"/>
    <s v=""/>
    <s v=""/>
    <s v="QIPETQINH"/>
    <s v="ZKA"/>
    <s v="60008050"/>
    <s v="30"/>
    <s v="SELIZON"/>
    <s v=""/>
    <s v="ZLR"/>
    <s v="84004398"/>
    <s v="30"/>
    <s v=""/>
    <s v=""/>
    <s v="0"/>
    <s v=""/>
    <s v=""/>
    <m/>
    <x v="3"/>
    <d v="2023-12-21T00:00:00"/>
    <n v="0"/>
    <n v="0"/>
    <s v=""/>
    <m/>
    <s v="ZMAT"/>
    <s v=""/>
    <s v=""/>
    <s v="KAN"/>
    <s v="IPB651CT"/>
    <s v="INHIBID DE PARAFINAS IPB651CT REV &quot;G&quot;"/>
    <n v="290"/>
    <n v="0"/>
    <n v="0"/>
    <n v="0"/>
    <n v="0"/>
    <n v="0"/>
    <s v="lt"/>
    <m/>
    <n v="0"/>
    <m/>
    <n v="0"/>
    <s v="32100001"/>
    <s v="102225"/>
    <x v="5"/>
    <s v="33652607689"/>
    <s v="AR"/>
    <s v="22"/>
    <x v="0"/>
    <s v="806,85000"/>
    <s v=""/>
    <n v="0"/>
    <s v=""/>
    <x v="0"/>
    <s v=""/>
    <s v=""/>
    <n v="0"/>
    <m/>
  </r>
  <r>
    <s v="AR20"/>
    <s v="AR02"/>
    <s v=""/>
    <s v=""/>
    <s v="QIPETQINH"/>
    <s v="ZKA"/>
    <s v="60008051"/>
    <s v="10"/>
    <s v="SELIZON"/>
    <s v=""/>
    <s v="ZLR"/>
    <s v="84004399"/>
    <s v="10"/>
    <s v=""/>
    <s v=""/>
    <s v="0"/>
    <s v=""/>
    <s v=""/>
    <m/>
    <x v="3"/>
    <d v="2023-12-21T00:00:00"/>
    <n v="0"/>
    <n v="0"/>
    <s v=""/>
    <m/>
    <s v="ZMAT"/>
    <s v=""/>
    <s v=""/>
    <s v="KAN"/>
    <s v="CY51WCT"/>
    <s v="INHIBID DE CORROSION CY51WCT REV &quot; AK &quot;"/>
    <n v="300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n v="0"/>
    <m/>
  </r>
  <r>
    <s v="AR20"/>
    <s v="AR02"/>
    <s v=""/>
    <s v=""/>
    <s v="QIPETQDES"/>
    <s v="ZKA"/>
    <s v="60008051"/>
    <s v="20"/>
    <s v="SELIZON"/>
    <s v=""/>
    <s v="ZLR"/>
    <s v="84004399"/>
    <s v="20"/>
    <s v=""/>
    <s v=""/>
    <s v="0"/>
    <s v=""/>
    <s v=""/>
    <m/>
    <x v="3"/>
    <d v="2023-12-21T00:00:00"/>
    <n v="0"/>
    <n v="0"/>
    <s v=""/>
    <m/>
    <s v="ZMAT"/>
    <s v=""/>
    <s v=""/>
    <s v="KAN"/>
    <s v="DBN5631CT"/>
    <s v="DESEMULS"/>
    <n v="42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n v="0"/>
    <m/>
  </r>
  <r>
    <s v="AR20"/>
    <s v="AR02"/>
    <s v=""/>
    <s v=""/>
    <s v="QIPETQDIS"/>
    <s v="ZKA"/>
    <s v="60008051"/>
    <s v="30"/>
    <s v="SELIZON"/>
    <s v=""/>
    <s v="ZLR"/>
    <s v="84004399"/>
    <s v="30"/>
    <s v=""/>
    <s v=""/>
    <s v="0"/>
    <s v=""/>
    <s v=""/>
    <m/>
    <x v="3"/>
    <d v="2023-12-21T00:00:00"/>
    <n v="0"/>
    <n v="0"/>
    <s v=""/>
    <m/>
    <s v="ZMAT"/>
    <s v=""/>
    <s v=""/>
    <s v="KAN"/>
    <s v="DPA7367CT"/>
    <s v="DISPERS DE ASFALTENOS DPA7367CT"/>
    <n v="165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n v="0"/>
    <m/>
  </r>
  <r>
    <s v="AR20"/>
    <s v="AR02"/>
    <s v=""/>
    <s v=""/>
    <s v="QIPETQINH"/>
    <s v="ZKA"/>
    <s v="60008051"/>
    <s v="40"/>
    <s v="SELIZON"/>
    <s v=""/>
    <s v="ZLR"/>
    <s v="84004399"/>
    <s v="40"/>
    <s v=""/>
    <s v=""/>
    <s v="0"/>
    <s v=""/>
    <s v=""/>
    <m/>
    <x v="3"/>
    <d v="2023-12-21T00:00:00"/>
    <n v="0"/>
    <n v="0"/>
    <s v=""/>
    <m/>
    <s v="ZMAT"/>
    <s v=""/>
    <s v=""/>
    <s v="KAN"/>
    <s v="IC5087CT"/>
    <s v="INHIBID DE INCRUSTACIONES IC5087CT REV"/>
    <n v="60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n v="0"/>
    <m/>
  </r>
  <r>
    <s v="AR20"/>
    <s v="AR02"/>
    <s v=""/>
    <s v=""/>
    <s v="QIPETQINH"/>
    <s v="ZKA"/>
    <s v="60008051"/>
    <s v="50"/>
    <s v="SELIZON"/>
    <s v=""/>
    <s v="ZLR"/>
    <s v="84004399"/>
    <s v="50"/>
    <s v=""/>
    <s v=""/>
    <s v="0"/>
    <s v=""/>
    <s v=""/>
    <m/>
    <x v="3"/>
    <d v="2023-12-21T00:00:00"/>
    <n v="0"/>
    <n v="0"/>
    <s v=""/>
    <m/>
    <s v="ZMAT"/>
    <s v=""/>
    <s v=""/>
    <s v="KAN"/>
    <s v="IC5400CT"/>
    <s v="INHIBID DE INCRUSTACIONES IC5400CT REV"/>
    <n v="10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n v="0"/>
    <m/>
  </r>
  <r>
    <s v="AR20"/>
    <s v="AR02"/>
    <s v=""/>
    <s v=""/>
    <s v="QIPETQINH"/>
    <s v="ZKA"/>
    <s v="60008051"/>
    <s v="60"/>
    <s v="SELIZON"/>
    <s v=""/>
    <s v="ZLR"/>
    <s v="84004399"/>
    <s v="60"/>
    <s v=""/>
    <s v=""/>
    <s v="0"/>
    <s v=""/>
    <s v=""/>
    <m/>
    <x v="3"/>
    <d v="2023-12-21T00:00:00"/>
    <n v="0"/>
    <n v="0"/>
    <s v=""/>
    <m/>
    <s v="ZMAT"/>
    <s v=""/>
    <s v=""/>
    <s v="KAN"/>
    <s v="ICS400CT"/>
    <s v="INHIBID MULTIPROPOSITO ICS400CT; REVISIO"/>
    <n v="80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n v="0"/>
    <m/>
  </r>
  <r>
    <s v="AR20"/>
    <s v="AR02"/>
    <s v=""/>
    <s v=""/>
    <s v="QIPETQINH"/>
    <s v="ZKA"/>
    <s v="60008051"/>
    <s v="70"/>
    <s v="SELIZON"/>
    <s v=""/>
    <s v="ZLR"/>
    <s v="84004399"/>
    <s v="70"/>
    <s v=""/>
    <s v=""/>
    <s v="0"/>
    <s v=""/>
    <s v=""/>
    <m/>
    <x v="3"/>
    <d v="2023-12-21T00:00:00"/>
    <n v="0"/>
    <n v="0"/>
    <s v=""/>
    <m/>
    <s v="ZMAT"/>
    <s v=""/>
    <s v=""/>
    <s v="KAN"/>
    <s v="IPB22CT"/>
    <s v="INHIBID DE PARAFINAS IPB22CT REV &quot;A&quot;"/>
    <n v="200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n v="0"/>
    <m/>
  </r>
  <r>
    <s v="AR20"/>
    <s v="AR02"/>
    <s v=""/>
    <s v=""/>
    <s v="QIPETQINH"/>
    <s v="ZKA"/>
    <s v="60008051"/>
    <s v="80"/>
    <s v="SELIZON"/>
    <s v=""/>
    <s v="ZLR"/>
    <s v="84004399"/>
    <s v="80"/>
    <s v=""/>
    <s v=""/>
    <s v="0"/>
    <s v=""/>
    <s v=""/>
    <m/>
    <x v="3"/>
    <d v="2023-12-21T00:00:00"/>
    <n v="0"/>
    <n v="0"/>
    <s v=""/>
    <m/>
    <s v="ZMAT"/>
    <s v=""/>
    <s v=""/>
    <s v="KAN"/>
    <s v="IPB6256CT"/>
    <s v="INHIBID DE ASFALTENOS IPB6256CT REV &quot;J&quot;"/>
    <n v="10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n v="0"/>
    <m/>
  </r>
  <r>
    <s v="AR20"/>
    <s v="AR02"/>
    <s v=""/>
    <s v=""/>
    <s v="QIPETQINH"/>
    <s v="ZKA"/>
    <s v="60008051"/>
    <s v="90"/>
    <s v="SELIZON"/>
    <s v=""/>
    <s v="ZLR"/>
    <s v="84004399"/>
    <s v="90"/>
    <s v=""/>
    <s v=""/>
    <s v="0"/>
    <s v=""/>
    <s v=""/>
    <m/>
    <x v="3"/>
    <d v="2023-12-21T00:00:00"/>
    <n v="0"/>
    <n v="0"/>
    <s v=""/>
    <m/>
    <s v="ZMAT"/>
    <s v=""/>
    <s v=""/>
    <s v="KAN"/>
    <s v="IPB650ACT"/>
    <s v="INHIBID DE PARAFINAS IPB650ACT REV &quot;L&quot;"/>
    <n v="23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n v="0"/>
    <m/>
  </r>
  <r>
    <s v="AR20"/>
    <s v="AR02"/>
    <s v=""/>
    <s v=""/>
    <s v="QIPETQINH"/>
    <s v="ZKA"/>
    <s v="60008051"/>
    <s v="100"/>
    <s v="SELIZON"/>
    <s v=""/>
    <s v="ZLR"/>
    <s v="84004399"/>
    <s v="100"/>
    <s v=""/>
    <s v=""/>
    <s v="0"/>
    <s v=""/>
    <s v=""/>
    <m/>
    <x v="3"/>
    <d v="2023-12-21T00:00:00"/>
    <n v="0"/>
    <n v="0"/>
    <s v=""/>
    <m/>
    <s v="ZMAT"/>
    <s v=""/>
    <s v=""/>
    <s v="KAN"/>
    <s v="IPB650CT"/>
    <s v="INHIBID DE PARAFINAS IPB650CT REV &quot;R&quot;"/>
    <n v="20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n v="0"/>
    <m/>
  </r>
  <r>
    <s v="AR20"/>
    <s v="AR02"/>
    <s v=""/>
    <s v=""/>
    <s v="QIPETQINH"/>
    <s v="ZKA"/>
    <s v="60008051"/>
    <s v="110"/>
    <s v="SELIZON"/>
    <s v=""/>
    <s v="ZLR"/>
    <s v="84004399"/>
    <s v="110"/>
    <s v=""/>
    <s v=""/>
    <s v="0"/>
    <s v=""/>
    <s v=""/>
    <m/>
    <x v="3"/>
    <d v="2023-12-21T00:00:00"/>
    <n v="0"/>
    <n v="0"/>
    <s v=""/>
    <m/>
    <s v="ZMAT"/>
    <s v=""/>
    <s v=""/>
    <s v="KAN"/>
    <s v="IPB71CT"/>
    <s v="INHIBID DE PARAFINAS IPB71CT; REVISION"/>
    <n v="189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m/>
    <m/>
  </r>
  <r>
    <s v="AR20"/>
    <s v="AR02"/>
    <s v=""/>
    <s v=""/>
    <s v="QIPETQRDF"/>
    <s v="ZKA"/>
    <s v="60008051"/>
    <s v="120"/>
    <s v="SELIZON"/>
    <s v=""/>
    <s v="ZLR"/>
    <s v="84004399"/>
    <s v="120"/>
    <s v=""/>
    <s v=""/>
    <s v="0"/>
    <s v=""/>
    <s v=""/>
    <m/>
    <x v="3"/>
    <d v="2023-12-21T00:00:00"/>
    <n v="0"/>
    <n v="0"/>
    <s v=""/>
    <m/>
    <s v="ZMAT"/>
    <s v=""/>
    <s v=""/>
    <s v="KAN"/>
    <s v="RFB790CT"/>
    <s v="REDUCTOR DE FRICCION"/>
    <n v="10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m/>
    <m/>
  </r>
  <r>
    <s v="AR20"/>
    <s v="AR02"/>
    <s v=""/>
    <s v=""/>
    <s v="QIPETQSOL"/>
    <s v="ZKA"/>
    <s v="60008051"/>
    <s v="130"/>
    <s v="SELIZON"/>
    <s v=""/>
    <s v="ZLR"/>
    <s v="84004399"/>
    <s v="130"/>
    <s v=""/>
    <s v=""/>
    <s v="0"/>
    <s v=""/>
    <s v=""/>
    <m/>
    <x v="3"/>
    <d v="2023-12-21T00:00:00"/>
    <n v="0"/>
    <n v="0"/>
    <s v=""/>
    <m/>
    <s v="ZMAT"/>
    <s v=""/>
    <s v=""/>
    <s v="KAN"/>
    <s v="SB45CT"/>
    <s v="SOLVENTE"/>
    <n v="1000"/>
    <n v="0"/>
    <n v="0"/>
    <n v="0"/>
    <n v="0"/>
    <n v="0"/>
    <s v="lt"/>
    <m/>
    <n v="0"/>
    <m/>
    <n v="0"/>
    <s v="32100001"/>
    <s v="100062"/>
    <x v="7"/>
    <s v="30546689979"/>
    <s v="AR"/>
    <s v="22"/>
    <x v="0"/>
    <s v="806,85000"/>
    <s v=""/>
    <n v="0"/>
    <s v=""/>
    <x v="2"/>
    <s v=""/>
    <s v=""/>
    <m/>
    <m/>
  </r>
  <r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x v="9"/>
    <m/>
    <m/>
    <m/>
    <x v="2"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4BB12-9FB3-4D45-979A-7C1D23F35DB6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4" showAll="0"/>
    <pivotField numFmtId="4" showAll="0"/>
    <pivotField numFmtId="4" showAll="0"/>
    <pivotField numFmtId="4"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00619-9972-41FD-8038-AF1031AA4C97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:H32" firstHeaderRow="1" firstDataRow="3" firstDataCol="1" rowPageCount="1" colPageCount="1"/>
  <pivotFields count="58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multipleItemSelectionAllowed="1" showAll="0" defaultSubtotal="0"/>
    <pivotField axis="axisPage" multipleItemSelectionAllowed="1" showAll="0" defaultSubtotal="0">
      <items count="4">
        <item h="1" x="1"/>
        <item h="1" x="0"/>
        <item x="2"/>
        <item h="1" x="3"/>
      </items>
    </pivotField>
    <pivotField numFmtId="14" showAll="0" defaultSubtotal="0"/>
    <pivotField numFmtId="4" showAll="0" defaultSubtotal="0"/>
    <pivotField numFmtId="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64" showAll="0" defaultSubtotal="0"/>
    <pivotField numFmtId="164" showAll="0" defaultSubtotal="0"/>
    <pivotField numFmtId="4" showAll="0" defaultSubtotal="0"/>
    <pivotField dataField="1" numFmtId="4" showAll="0" defaultSubtotal="0"/>
    <pivotField numFmtId="4" showAll="0" defaultSubtotal="0"/>
    <pivotField numFmtId="4" showAll="0" defaultSubtotal="0"/>
    <pivotField showAll="0" defaultSubtotal="0"/>
    <pivotField showAll="0" defaultSubtotal="0"/>
    <pivotField numFmtId="4" showAll="0" defaultSubtotal="0"/>
    <pivotField showAll="0" defaultSubtotal="0"/>
    <pivotField numFmtId="4" showAll="0" defaultSubtotal="0"/>
    <pivotField showAll="0" defaultSubtotal="0"/>
    <pivotField showAll="0" defaultSubtotal="0"/>
    <pivotField axis="axisRow" showAll="0" defaultSubtotal="0">
      <items count="10">
        <item x="3"/>
        <item x="0"/>
        <item x="8"/>
        <item x="6"/>
        <item x="5"/>
        <item x="4"/>
        <item x="2"/>
        <item x="1"/>
        <item x="7"/>
        <item x="9"/>
      </items>
    </pivotField>
    <pivotField showAll="0" defaultSubtotal="0"/>
    <pivotField showAll="0" defaultSubtotal="0"/>
    <pivotField showAll="0" defaultSubtotal="0"/>
    <pivotField axis="axisCol" showAll="0" defaultSubtotal="0">
      <items count="3">
        <item x="1"/>
        <item x="0"/>
        <item x="2"/>
      </items>
    </pivotField>
    <pivotField showAll="0" defaultSubtotal="0"/>
    <pivotField showAll="0" defaultSubtotal="0"/>
    <pivotField numFmtId="4" showAll="0" defaultSubtotal="0"/>
    <pivotField showAll="0" defaultSubtotal="0"/>
    <pivotField axis="axisCol" showAll="0" defaultSubtotal="0">
      <items count="4">
        <item x="2"/>
        <item x="0"/>
        <item x="1"/>
        <item x="3"/>
      </items>
    </pivotField>
    <pivotField showAll="0" defaultSubtotal="0"/>
    <pivotField showAll="0" defaultSubtotal="0"/>
    <pivotField showAll="0" defaultSubtotal="0"/>
    <pivotField showAll="0" defaultSubtotal="0"/>
  </pivotFields>
  <rowFields count="1">
    <field x="44"/>
  </rowFields>
  <rowItems count="9">
    <i>
      <x/>
    </i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Fields count="2">
    <field x="53"/>
    <field x="48"/>
  </colFields>
  <colItems count="7">
    <i>
      <x/>
      <x/>
    </i>
    <i r="1">
      <x v="1"/>
    </i>
    <i>
      <x v="1"/>
      <x/>
    </i>
    <i r="1">
      <x v="1"/>
    </i>
    <i>
      <x v="2"/>
      <x/>
    </i>
    <i r="1">
      <x v="1"/>
    </i>
    <i t="grand">
      <x/>
    </i>
  </colItems>
  <pageFields count="1">
    <pageField fld="19" hier="-1"/>
  </pageFields>
  <dataFields count="1">
    <dataField name="Suma de Monto en moneda Origen" fld="3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DCE1F-06E2-42BE-A914-91D8E4A235AE}" name="TablaDiná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14" firstHeaderRow="1" firstDataRow="2" firstDataCol="1" rowPageCount="1" colPageCount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numFmtId="1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4" showAll="0"/>
    <pivotField numFmtId="4" showAll="0"/>
    <pivotField numFmtId="4" showAll="0"/>
    <pivotField numFmtId="4" showAll="0"/>
    <pivotField showAll="0"/>
    <pivotField showAll="0"/>
    <pivotField numFmtId="4" showAll="0"/>
    <pivotField showAll="0"/>
    <pivotField numFmtId="4" showAll="0"/>
    <pivotField showAll="0"/>
    <pivotField showAll="0"/>
    <pivotField axis="axisRow" showAll="0">
      <items count="11">
        <item x="3"/>
        <item x="0"/>
        <item x="8"/>
        <item x="6"/>
        <item x="5"/>
        <item x="4"/>
        <item x="2"/>
        <item x="1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numFmtId="4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44"/>
  </rowFields>
  <rowItems count="9">
    <i>
      <x/>
    </i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Fields count="1">
    <field x="53"/>
  </colFields>
  <colItems count="4">
    <i>
      <x/>
    </i>
    <i>
      <x v="1"/>
    </i>
    <i>
      <x v="2"/>
    </i>
    <i t="grand">
      <x/>
    </i>
  </colItems>
  <pageFields count="1">
    <pageField fld="19" hier="-1"/>
  </pageFields>
  <dataFields count="1">
    <dataField name="Suma de usd total" fld="5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A42994-71DA-4071-9C18-0C9B520ABDA7}" name="Tabla2" displayName="Tabla2" ref="A1:BF12" totalsRowShown="0">
  <autoFilter ref="A1:BF12" xr:uid="{13A42994-71DA-4071-9C18-0C9B520ABDA7}"/>
  <tableColumns count="58">
    <tableColumn id="1" xr3:uid="{9B6FCC2C-232C-4608-9DA9-6410C06C53E4}" name="Org. Vta."/>
    <tableColumn id="2" xr3:uid="{DED9AB57-7D92-4E2F-9062-95117018AA0A}" name="Oficina de venta"/>
    <tableColumn id="3" xr3:uid="{E2D64253-4FAA-459E-9813-47D14484636F}" name="Grupo de vendedores"/>
    <tableColumn id="4" xr3:uid="{34A829FD-16B9-4967-A328-3C9220DF029C}" name="Área Petrolera"/>
    <tableColumn id="5" xr3:uid="{B58EAB63-E349-48D6-93A3-67A42251840B}" name="Rubro/Subrubro"/>
    <tableColumn id="6" xr3:uid="{BC2F223F-47DD-4809-B245-CCF2761EE491}" name="Clase de Pedido"/>
    <tableColumn id="7" xr3:uid="{99F0F97E-B8B5-4EC0-8444-287F2215B6FB}" name="Pedido"/>
    <tableColumn id="8" xr3:uid="{4A3B6DEF-C7D2-4A0C-B687-F76935234FE2}" name="Pos.Pedido"/>
    <tableColumn id="9" xr3:uid="{2626F417-2D73-42E7-972B-AF5CFD1AC755}" name="Usuario creación"/>
    <tableColumn id="10" xr3:uid="{3736BA58-E534-4231-B8EA-19B6A10093D8}" name="Bloqueo Facturación"/>
    <tableColumn id="11" xr3:uid="{C9E1E3B0-670E-4B4D-9061-DD6C0DA8089A}" name="Clase Remito"/>
    <tableColumn id="12" xr3:uid="{61FDE1A0-4D52-4FE8-AC7A-0F4BB99F5790}" name="Entrega"/>
    <tableColumn id="13" xr3:uid="{4F19D07F-8551-4717-94F3-01C95C2B9230}" name="Pos.Entrega"/>
    <tableColumn id="14" xr3:uid="{2618F633-29BD-4C4C-B89A-3554AD0802F4}" name="Clase Factura"/>
    <tableColumn id="15" xr3:uid="{29050A44-1CE2-483D-AD27-21B78B118F77}" name="Factura"/>
    <tableColumn id="16" xr3:uid="{EA3915D2-C5FD-4349-94D4-78FF8E0AA0C6}" name="Posición"/>
    <tableColumn id="17" xr3:uid="{3DDF6125-2525-4EA5-A518-6CD0FF45DEE9}" name="Tipo de Factura"/>
    <tableColumn id="18" xr3:uid="{79D84E0E-51DD-469D-B20C-76EAB185E3AB}" name="N° Legal Remito"/>
    <tableColumn id="19" xr3:uid="{5661C7D9-ABE2-4CD8-B65D-FDD35C59E4F0}" name="Fecha Inicio Prestación de servicios" dataDxfId="5"/>
    <tableColumn id="20" xr3:uid="{B3F2DBFF-EA9C-4C54-AB17-DCF6256A7DE1}" name="Fecha Prestación de servicios" dataDxfId="4"/>
    <tableColumn id="21" xr3:uid="{335B9CDA-8BCB-43DE-A49A-F9A3168D1C10}" name="Fecha Remito" dataDxfId="3"/>
    <tableColumn id="22" xr3:uid="{DB716737-D30E-4D60-8D9B-541ED2400B3F}" name="Nuevo precio"/>
    <tableColumn id="23" xr3:uid="{17CD1DF8-1C3E-4113-9BB4-F22D8804E992}" name="Precio variable"/>
    <tableColumn id="24" xr3:uid="{2066D656-DF71-47E9-B05D-C8E01898FDBE}" name="N° Legal Factura"/>
    <tableColumn id="25" xr3:uid="{F10A16D1-D29F-4818-BA50-999C9C4EC838}" name="Fecha Factura"/>
    <tableColumn id="26" xr3:uid="{211B3241-BD6B-4069-9816-CCBF040FAC54}" name="Tipo Producto"/>
    <tableColumn id="27" xr3:uid="{4304D00E-270A-4DDE-ACBD-AE32E508AE7C}" name="Certificado"/>
    <tableColumn id="28" xr3:uid="{A36FC70C-C71F-4C79-B11D-444BDD4C4C03}" name="cc"/>
    <tableColumn id="29" xr3:uid="{4EA77C23-569E-4750-9FFD-E00DA9A44CDC}" name="Tipo de posición"/>
    <tableColumn id="30" xr3:uid="{D28D8846-025D-4016-B7B1-75D9F0EDAF89}" name="Material"/>
    <tableColumn id="31" xr3:uid="{16D60DB0-52A9-4C6F-8E48-3C7B700A4767}" name="Descripción Material"/>
    <tableColumn id="32" xr3:uid="{2E86A691-7C70-4319-937E-344530FF4CBB}" name="Cantidad Remito"/>
    <tableColumn id="33" xr3:uid="{7BAF0C95-3CB3-46D7-8B54-833C7F053CE8}" name="Cantidad facturada"/>
    <tableColumn id="34" xr3:uid="{E276C9E3-669B-4F9F-8B33-4631734A9978}" name="Monto unitario en moneda origen"/>
    <tableColumn id="35" xr3:uid="{73EC7B61-678F-4EA4-BB60-13A5C9FC480B}" name="Monto en moneda Origen"/>
    <tableColumn id="36" xr3:uid="{DD315618-C242-4A37-AD60-FD190EB6900F}" name="Monto en Pesos Remito"/>
    <tableColumn id="37" xr3:uid="{A0DB2208-1D08-4F68-B0F1-B9BC56073228}" name="Monto fac Moneda"/>
    <tableColumn id="38" xr3:uid="{81F2C154-BBE2-4044-BE43-E222B303E588}" name="Unidad de Medida"/>
    <tableColumn id="39" xr3:uid="{F136831A-48A3-41DC-9E42-089A23F71728}" name="Fecha Ult.Rev.Provision"/>
    <tableColumn id="40" xr3:uid="{6112FB0E-A576-4637-92A6-4A876248AE3E}" name="Monto Rev.Provision"/>
    <tableColumn id="41" xr3:uid="{3371C105-FCF5-4147-8740-9DDF40B0A70B}" name="Fecha Ult.Provision"/>
    <tableColumn id="42" xr3:uid="{584AC6BF-75FD-44B9-B911-D1C6DF980B82}" name="Monto Provision"/>
    <tableColumn id="43" xr3:uid="{F62ED6AF-650B-44C3-8547-DC1FC86C40E0}" name="Cuenta Contable"/>
    <tableColumn id="44" xr3:uid="{ABEAF55D-7F60-4F39-8BF2-2F90CDE52334}" name="Solicitante"/>
    <tableColumn id="45" xr3:uid="{CC93FD65-214C-4233-8432-B45921059CEF}" name="Nombre de Cliente"/>
    <tableColumn id="46" xr3:uid="{0386C612-6698-4E3E-AD43-1393E942A0EF}" name="Cuit de Cliente"/>
    <tableColumn id="47" xr3:uid="{C656210D-1B2F-4181-A3DB-0411C654CE02}" name="Lugar prestación (PAIS)"/>
    <tableColumn id="48" xr3:uid="{1767A5BE-DB5A-4068-8D92-54C47BA0A5F4}" name="Lugar prestación (provincia)"/>
    <tableColumn id="49" xr3:uid="{7B73F13D-A49D-4A9E-9536-8A73476841A9}" name="Moneda Remito"/>
    <tableColumn id="50" xr3:uid="{CE4BD79A-1DE5-4352-AB1E-579A84415D17}" name="Tipo de cambio Remito"/>
    <tableColumn id="51" xr3:uid="{554AF480-B4C5-48DD-9129-B8CE032705B1}" name="Tipo de cambio factura"/>
    <tableColumn id="52" xr3:uid="{13B29798-B6CE-4CE0-9F92-3DB1BAF0E88D}" name="Exposure"/>
    <tableColumn id="53" xr3:uid="{D7AC6C2E-70F8-48ED-941A-5459F1645EAE}" name="Orden"/>
    <tableColumn id="54" xr3:uid="{1756D6A9-FE9C-43BF-99FC-328288645A7B}" name="CEBE"/>
    <tableColumn id="55" xr3:uid="{49C07B98-38EA-41C0-92C2-B0F06958912F}" name="PEP"/>
    <tableColumn id="56" xr3:uid="{D1AACD94-7B30-4839-829C-836E22CDD4C4}" name="Contrato"/>
    <tableColumn id="57" xr3:uid="{8BC11D46-F08D-4712-963C-1514077000DB}" name="usd total"/>
    <tableColumn id="58" xr3:uid="{AC101595-7059-4747-80D1-C70CB0367220}" name="806,8500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7AA17-F458-49E4-97AE-763155EEDEC6}" name="Tabla1" displayName="Tabla1" ref="A1:BF2" totalsRowShown="0">
  <autoFilter ref="A1:BF2" xr:uid="{B8D7AA17-F458-49E4-97AE-763155EEDEC6}"/>
  <tableColumns count="58">
    <tableColumn id="1" xr3:uid="{5B5C6241-AE04-4587-BC7E-CDEFA3226536}" name="Org. Vta."/>
    <tableColumn id="2" xr3:uid="{AAC2B95B-7E3C-4FBC-A1F8-837E9E98D2EF}" name="Oficina de venta"/>
    <tableColumn id="3" xr3:uid="{CE50734C-C0BC-4BEF-B42D-B6C37F15F059}" name="Grupo de vendedores"/>
    <tableColumn id="4" xr3:uid="{3D178390-C20F-46D8-A076-9DC6E67CFB94}" name="Área Petrolera"/>
    <tableColumn id="5" xr3:uid="{5310F7FA-E252-47A3-9E4A-D2647EF50764}" name="Rubro/Subrubro"/>
    <tableColumn id="6" xr3:uid="{2707CB13-70EB-4F69-A8B9-B2F3DCB35F2E}" name="Clase de Pedido"/>
    <tableColumn id="7" xr3:uid="{A44E5AD9-4FA9-4111-994C-848472370DA5}" name="Pedido"/>
    <tableColumn id="8" xr3:uid="{0374A989-CB41-4DA9-BD85-ADE96A512AF8}" name="Pos.Pedido"/>
    <tableColumn id="9" xr3:uid="{053795BB-B28F-4EE0-985A-BCE92790884C}" name="Usuario creación"/>
    <tableColumn id="10" xr3:uid="{5BD2B5EB-B9B7-4AE0-AA3B-283DBA9A32A4}" name="Bloqueo Facturación"/>
    <tableColumn id="11" xr3:uid="{065A97B6-F705-47FE-BC0E-E79E4E66913C}" name="Clase Remito"/>
    <tableColumn id="12" xr3:uid="{D58ED0BE-066B-4C5B-9BF0-3C3D911B8CDE}" name="Entrega"/>
    <tableColumn id="13" xr3:uid="{3A2A2E9B-086C-43E9-9224-6FC435E47A5E}" name="Pos.Entrega"/>
    <tableColumn id="14" xr3:uid="{D5F8CD6B-8DED-4E70-8BC4-67F15635DB48}" name="Clase Factura"/>
    <tableColumn id="15" xr3:uid="{CD6961F2-A4E8-411F-874F-99580B6EB3EA}" name="Factura"/>
    <tableColumn id="16" xr3:uid="{B9EE8BCD-A019-4F2B-979C-53CC44828662}" name="Posición"/>
    <tableColumn id="17" xr3:uid="{EAFAFB38-3FB8-4EE9-849C-8C2FA9ECB2A0}" name="Tipo de Factura"/>
    <tableColumn id="18" xr3:uid="{8EA15918-3B3F-417E-A386-35F9A5CCA3CF}" name="N° Legal Remito"/>
    <tableColumn id="19" xr3:uid="{7A70EBE0-0F4F-459E-9DCA-B4D7C31F12FA}" name="Fecha Inicio Prestación de servicios" dataDxfId="2"/>
    <tableColumn id="20" xr3:uid="{78C06FA0-9FD6-4FC3-9A51-F49B0F37024A}" name="Fecha Prestación de servicios" dataDxfId="1"/>
    <tableColumn id="21" xr3:uid="{383346F2-02CD-465D-8D7B-D7206D86BF20}" name="Fecha Remito" dataDxfId="0"/>
    <tableColumn id="22" xr3:uid="{09D629A6-950D-44D2-A147-E1080B6B8297}" name="Nuevo precio"/>
    <tableColumn id="23" xr3:uid="{BD8A784F-5D48-4BDA-BA91-E6236977199C}" name="Precio variable"/>
    <tableColumn id="24" xr3:uid="{CF011E4C-9DC8-4087-875B-0D0F5DD88927}" name="N° Legal Factura"/>
    <tableColumn id="25" xr3:uid="{787D61C6-BB77-432C-8687-BA1169AEEDD4}" name="Fecha Factura"/>
    <tableColumn id="26" xr3:uid="{E978048E-9A9E-4586-B8A7-15DA4577350D}" name="Tipo Producto"/>
    <tableColumn id="27" xr3:uid="{A9920D74-F7ED-4A86-ABC3-B39C833D5D95}" name="Certificado"/>
    <tableColumn id="28" xr3:uid="{B923CE49-8A2C-406A-9C1D-D042A4B7D0BE}" name="cc"/>
    <tableColumn id="29" xr3:uid="{73BE0F4F-6DF4-40A2-9411-A1F29705F61A}" name="Tipo de posición"/>
    <tableColumn id="30" xr3:uid="{2EFE7999-5136-47EB-ACBC-F8B9BDC8AD85}" name="Material"/>
    <tableColumn id="31" xr3:uid="{1B3A1D23-C310-472D-AD0E-CEF215C85DCC}" name="Descripción Material"/>
    <tableColumn id="32" xr3:uid="{FED93CEC-72B3-48B9-9CD0-B7F8C9969B80}" name="Cantidad Remito"/>
    <tableColumn id="33" xr3:uid="{18BCA052-5F30-4B13-8529-CC7663BE94D8}" name="Cantidad facturada"/>
    <tableColumn id="34" xr3:uid="{EAB68717-9B54-4F44-8842-2A1B2D8EA84F}" name="Monto unitario en moneda origen"/>
    <tableColumn id="35" xr3:uid="{712907C2-7432-49E1-A391-B04208AA7F81}" name="Monto en moneda Origen"/>
    <tableColumn id="36" xr3:uid="{D08BDFFF-27C3-4911-9E3E-97EDBFAB301A}" name="Monto en Pesos Remito"/>
    <tableColumn id="37" xr3:uid="{AD5D4E69-F786-474B-9EDB-195F5FA4B3E8}" name="Monto fac Moneda"/>
    <tableColumn id="38" xr3:uid="{3C47FF16-A64C-4675-9D78-FB1747583225}" name="Unidad de Medida"/>
    <tableColumn id="39" xr3:uid="{B1BFBF5B-2D61-4AA8-A130-038AA4FA500A}" name="Fecha Ult.Rev.Provision"/>
    <tableColumn id="40" xr3:uid="{AB8B33E4-7CAB-4C63-89E6-D1F8E0389C75}" name="Monto Rev.Provision"/>
    <tableColumn id="41" xr3:uid="{FD6C7EF0-98B8-4D0B-BAB4-7F81866F49A0}" name="Fecha Ult.Provision"/>
    <tableColumn id="42" xr3:uid="{98E23D09-11D6-4FB9-A5DF-7D226A74E2F6}" name="Monto Provision"/>
    <tableColumn id="43" xr3:uid="{6B4CC593-5032-4832-88ED-2E68EF328F18}" name="Cuenta Contable"/>
    <tableColumn id="44" xr3:uid="{68F5EEC2-F9D6-4CFB-A4A5-79994EA140D6}" name="Solicitante"/>
    <tableColumn id="45" xr3:uid="{BC9111DD-1EC2-4823-86B2-D8D6855C3923}" name="Nombre de Cliente"/>
    <tableColumn id="46" xr3:uid="{1F16F71F-51BE-43F0-BC48-913D6B080772}" name="Cuit de Cliente"/>
    <tableColumn id="47" xr3:uid="{5727B7E5-196E-4954-9CDA-DD8A7D37354A}" name="Lugar prestación (PAIS)"/>
    <tableColumn id="48" xr3:uid="{FE2C7A9F-0007-48A2-97E5-206A82EFCA05}" name="Lugar prestación (provincia)"/>
    <tableColumn id="49" xr3:uid="{42140DE1-B41B-4749-B3ED-CF7E522C9DDB}" name="Moneda Remito"/>
    <tableColumn id="50" xr3:uid="{5A6D587E-6B4B-4483-B51E-1BE993A79280}" name="Tipo de cambio Remito"/>
    <tableColumn id="51" xr3:uid="{F1AD9251-DFAD-4A53-BF52-2E323EF42049}" name="Tipo de cambio factura"/>
    <tableColumn id="52" xr3:uid="{0C4F6EB9-8479-481E-85E4-438BF4C00D2E}" name="Exposure"/>
    <tableColumn id="53" xr3:uid="{4DB0C4AB-B419-4CAD-A5FA-352080CC4549}" name="Orden"/>
    <tableColumn id="54" xr3:uid="{BCCBB51E-8B44-488E-9570-5D26AF0DB8C0}" name="CEBE"/>
    <tableColumn id="55" xr3:uid="{C5C8F743-E9C2-41CA-BCA2-9795E3DDDB91}" name="PEP"/>
    <tableColumn id="56" xr3:uid="{946F0081-001A-4594-8DD1-951113680D90}" name="Contrato"/>
    <tableColumn id="57" xr3:uid="{E4932ED7-3826-4146-8666-32C2226B4EDC}" name="usd total"/>
    <tableColumn id="58" xr3:uid="{CDDE0538-B8FB-4DAF-B7F8-F6D520319279}" name="806,85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0B51-B3BA-40C2-BF0D-FAB252ECE862}">
  <dimension ref="A3:C20"/>
  <sheetViews>
    <sheetView workbookViewId="0">
      <selection activeCell="F14" sqref="F14"/>
    </sheetView>
  </sheetViews>
  <sheetFormatPr baseColWidth="10" defaultRowHeight="12.75" x14ac:dyDescent="0.2"/>
  <sheetData>
    <row r="3" spans="1:3" x14ac:dyDescent="0.2">
      <c r="A3" s="6"/>
      <c r="B3" s="7"/>
      <c r="C3" s="8"/>
    </row>
    <row r="4" spans="1:3" x14ac:dyDescent="0.2">
      <c r="A4" s="9"/>
      <c r="B4" s="10"/>
      <c r="C4" s="11"/>
    </row>
    <row r="5" spans="1:3" x14ac:dyDescent="0.2">
      <c r="A5" s="9"/>
      <c r="B5" s="10"/>
      <c r="C5" s="11"/>
    </row>
    <row r="6" spans="1:3" x14ac:dyDescent="0.2">
      <c r="A6" s="9"/>
      <c r="B6" s="10"/>
      <c r="C6" s="11"/>
    </row>
    <row r="7" spans="1:3" x14ac:dyDescent="0.2">
      <c r="A7" s="9"/>
      <c r="B7" s="10"/>
      <c r="C7" s="11"/>
    </row>
    <row r="8" spans="1:3" x14ac:dyDescent="0.2">
      <c r="A8" s="9"/>
      <c r="B8" s="10"/>
      <c r="C8" s="11"/>
    </row>
    <row r="9" spans="1:3" x14ac:dyDescent="0.2">
      <c r="A9" s="9"/>
      <c r="B9" s="10"/>
      <c r="C9" s="11"/>
    </row>
    <row r="10" spans="1:3" x14ac:dyDescent="0.2">
      <c r="A10" s="9"/>
      <c r="B10" s="10"/>
      <c r="C10" s="11"/>
    </row>
    <row r="11" spans="1:3" x14ac:dyDescent="0.2">
      <c r="A11" s="9"/>
      <c r="B11" s="10"/>
      <c r="C11" s="11"/>
    </row>
    <row r="12" spans="1:3" x14ac:dyDescent="0.2">
      <c r="A12" s="9"/>
      <c r="B12" s="10"/>
      <c r="C12" s="11"/>
    </row>
    <row r="13" spans="1:3" x14ac:dyDescent="0.2">
      <c r="A13" s="9"/>
      <c r="B13" s="10"/>
      <c r="C13" s="11"/>
    </row>
    <row r="14" spans="1:3" x14ac:dyDescent="0.2">
      <c r="A14" s="9"/>
      <c r="B14" s="10"/>
      <c r="C14" s="11"/>
    </row>
    <row r="15" spans="1:3" x14ac:dyDescent="0.2">
      <c r="A15" s="9"/>
      <c r="B15" s="10"/>
      <c r="C15" s="11"/>
    </row>
    <row r="16" spans="1:3" x14ac:dyDescent="0.2">
      <c r="A16" s="9"/>
      <c r="B16" s="10"/>
      <c r="C16" s="11"/>
    </row>
    <row r="17" spans="1:3" x14ac:dyDescent="0.2">
      <c r="A17" s="9"/>
      <c r="B17" s="10"/>
      <c r="C17" s="11"/>
    </row>
    <row r="18" spans="1:3" x14ac:dyDescent="0.2">
      <c r="A18" s="9"/>
      <c r="B18" s="10"/>
      <c r="C18" s="11"/>
    </row>
    <row r="19" spans="1:3" x14ac:dyDescent="0.2">
      <c r="A19" s="9"/>
      <c r="B19" s="10"/>
      <c r="C19" s="11"/>
    </row>
    <row r="20" spans="1:3" x14ac:dyDescent="0.2">
      <c r="A20" s="12"/>
      <c r="B20" s="13"/>
      <c r="C2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80C0-5CFA-4EE5-93FD-B60078101E7C}">
  <dimension ref="A1:BF12"/>
  <sheetViews>
    <sheetView topLeftCell="V1" workbookViewId="0">
      <selection activeCell="H19" sqref="H19"/>
    </sheetView>
  </sheetViews>
  <sheetFormatPr baseColWidth="10" defaultRowHeight="12.75" x14ac:dyDescent="0.2"/>
  <cols>
    <col min="2" max="2" width="18" customWidth="1"/>
    <col min="3" max="3" width="22.7109375" customWidth="1"/>
    <col min="4" max="4" width="16.42578125" customWidth="1"/>
    <col min="5" max="5" width="17.5703125" customWidth="1"/>
    <col min="6" max="6" width="18" customWidth="1"/>
    <col min="8" max="8" width="13.42578125" customWidth="1"/>
    <col min="9" max="9" width="18.42578125" customWidth="1"/>
    <col min="10" max="10" width="22" customWidth="1"/>
    <col min="11" max="11" width="15.140625" customWidth="1"/>
    <col min="13" max="13" width="14" customWidth="1"/>
    <col min="14" max="14" width="15.5703125" customWidth="1"/>
    <col min="17" max="17" width="17.42578125" customWidth="1"/>
    <col min="18" max="18" width="17.85546875" customWidth="1"/>
    <col min="19" max="19" width="35.7109375" customWidth="1"/>
    <col min="20" max="20" width="30.140625" customWidth="1"/>
    <col min="21" max="21" width="15.7109375" customWidth="1"/>
    <col min="22" max="22" width="15.140625" customWidth="1"/>
    <col min="23" max="23" width="17" customWidth="1"/>
    <col min="24" max="24" width="18.28515625" customWidth="1"/>
    <col min="25" max="25" width="16.140625" customWidth="1"/>
    <col min="26" max="26" width="15.85546875" customWidth="1"/>
    <col min="27" max="27" width="13" customWidth="1"/>
    <col min="29" max="29" width="18.140625" customWidth="1"/>
    <col min="31" max="31" width="21.7109375" customWidth="1"/>
    <col min="32" max="32" width="18.28515625" customWidth="1"/>
    <col min="33" max="33" width="20.42578125" customWidth="1"/>
    <col min="34" max="34" width="33.5703125" customWidth="1"/>
    <col min="35" max="35" width="26.28515625" customWidth="1"/>
    <col min="36" max="36" width="24.42578125" customWidth="1"/>
    <col min="37" max="37" width="19.85546875" customWidth="1"/>
    <col min="38" max="38" width="19.7109375" customWidth="1"/>
    <col min="39" max="39" width="24.7109375" customWidth="1"/>
    <col min="40" max="40" width="21.7109375" customWidth="1"/>
    <col min="41" max="41" width="20.7109375" customWidth="1"/>
    <col min="42" max="42" width="17.7109375" customWidth="1"/>
    <col min="43" max="43" width="18.28515625" customWidth="1"/>
    <col min="44" max="44" width="12.85546875" customWidth="1"/>
    <col min="45" max="45" width="20.140625" customWidth="1"/>
    <col min="46" max="46" width="16.5703125" customWidth="1"/>
    <col min="47" max="47" width="24.5703125" customWidth="1"/>
    <col min="48" max="48" width="28.5703125" customWidth="1"/>
    <col min="49" max="49" width="17.42578125" customWidth="1"/>
    <col min="50" max="50" width="24.28515625" customWidth="1"/>
    <col min="51" max="51" width="24.140625" customWidth="1"/>
    <col min="52" max="52" width="11.5703125" customWidth="1"/>
    <col min="58" max="58" width="11.7109375" customWidth="1"/>
  </cols>
  <sheetData>
    <row r="1" spans="1:58" x14ac:dyDescent="0.2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407</v>
      </c>
      <c r="AC1" t="s">
        <v>379</v>
      </c>
      <c r="AD1" t="s">
        <v>380</v>
      </c>
      <c r="AE1" t="s">
        <v>381</v>
      </c>
      <c r="AF1" t="s">
        <v>382</v>
      </c>
      <c r="AG1" t="s">
        <v>383</v>
      </c>
      <c r="AH1" t="s">
        <v>384</v>
      </c>
      <c r="AI1" t="s">
        <v>385</v>
      </c>
      <c r="AJ1" t="s">
        <v>386</v>
      </c>
      <c r="AK1" t="s">
        <v>387</v>
      </c>
      <c r="AL1" t="s">
        <v>388</v>
      </c>
      <c r="AM1" t="s">
        <v>389</v>
      </c>
      <c r="AN1" t="s">
        <v>390</v>
      </c>
      <c r="AO1" t="s">
        <v>391</v>
      </c>
      <c r="AP1" t="s">
        <v>392</v>
      </c>
      <c r="AQ1" t="s">
        <v>393</v>
      </c>
      <c r="AR1" t="s">
        <v>394</v>
      </c>
      <c r="AS1" t="s">
        <v>395</v>
      </c>
      <c r="AT1" t="s">
        <v>396</v>
      </c>
      <c r="AU1" t="s">
        <v>397</v>
      </c>
      <c r="AV1" t="s">
        <v>398</v>
      </c>
      <c r="AW1" t="s">
        <v>399</v>
      </c>
      <c r="AX1" t="s">
        <v>400</v>
      </c>
      <c r="AY1" t="s">
        <v>401</v>
      </c>
      <c r="AZ1" t="s">
        <v>402</v>
      </c>
      <c r="BA1" t="s">
        <v>403</v>
      </c>
      <c r="BB1" t="s">
        <v>404</v>
      </c>
      <c r="BC1" t="s">
        <v>405</v>
      </c>
      <c r="BD1" t="s">
        <v>406</v>
      </c>
      <c r="BE1" t="s">
        <v>408</v>
      </c>
      <c r="BF1" t="s">
        <v>29</v>
      </c>
    </row>
    <row r="2" spans="1:58" x14ac:dyDescent="0.2">
      <c r="A2" t="s">
        <v>0</v>
      </c>
      <c r="B2" t="s">
        <v>1</v>
      </c>
      <c r="C2" t="s">
        <v>2</v>
      </c>
      <c r="D2" t="s">
        <v>2</v>
      </c>
      <c r="E2" t="s">
        <v>33</v>
      </c>
      <c r="F2" t="s">
        <v>289</v>
      </c>
      <c r="G2" t="s">
        <v>290</v>
      </c>
      <c r="H2" t="s">
        <v>6</v>
      </c>
      <c r="I2" t="s">
        <v>7</v>
      </c>
      <c r="J2" t="s">
        <v>2</v>
      </c>
      <c r="K2" t="s">
        <v>8</v>
      </c>
      <c r="L2" t="s">
        <v>291</v>
      </c>
      <c r="M2" t="s">
        <v>6</v>
      </c>
      <c r="N2" t="s">
        <v>2</v>
      </c>
      <c r="O2" t="s">
        <v>2</v>
      </c>
      <c r="P2" t="s">
        <v>93</v>
      </c>
      <c r="Q2" t="s">
        <v>2</v>
      </c>
      <c r="R2" t="s">
        <v>292</v>
      </c>
      <c r="S2" s="18">
        <v>45251</v>
      </c>
      <c r="T2" s="18">
        <v>45280</v>
      </c>
      <c r="U2" s="18">
        <v>45285</v>
      </c>
      <c r="V2">
        <v>0</v>
      </c>
      <c r="W2">
        <v>0</v>
      </c>
      <c r="X2" t="s">
        <v>2</v>
      </c>
      <c r="Z2" t="s">
        <v>16</v>
      </c>
      <c r="AA2" t="s">
        <v>282</v>
      </c>
      <c r="AB2" t="s">
        <v>2</v>
      </c>
      <c r="AC2" t="s">
        <v>293</v>
      </c>
      <c r="AD2" t="s">
        <v>35</v>
      </c>
      <c r="AE2" t="s">
        <v>36</v>
      </c>
      <c r="AF2">
        <v>140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21</v>
      </c>
      <c r="AN2">
        <v>0</v>
      </c>
      <c r="AP2">
        <v>0</v>
      </c>
      <c r="AQ2" t="s">
        <v>22</v>
      </c>
      <c r="AR2" t="s">
        <v>96</v>
      </c>
      <c r="AS2" t="s">
        <v>97</v>
      </c>
      <c r="AT2" t="s">
        <v>98</v>
      </c>
      <c r="AU2" t="s">
        <v>26</v>
      </c>
      <c r="AV2" t="s">
        <v>27</v>
      </c>
      <c r="AW2" t="s">
        <v>28</v>
      </c>
      <c r="AX2" t="s">
        <v>29</v>
      </c>
      <c r="AY2" t="s">
        <v>2</v>
      </c>
      <c r="AZ2">
        <v>0</v>
      </c>
      <c r="BA2" t="s">
        <v>2</v>
      </c>
      <c r="BB2" t="s">
        <v>31</v>
      </c>
      <c r="BC2" t="s">
        <v>2</v>
      </c>
      <c r="BD2" t="s">
        <v>32</v>
      </c>
      <c r="BE2">
        <v>0</v>
      </c>
    </row>
    <row r="3" spans="1:58" x14ac:dyDescent="0.2">
      <c r="A3" t="s">
        <v>0</v>
      </c>
      <c r="B3" t="s">
        <v>1</v>
      </c>
      <c r="C3" t="s">
        <v>2</v>
      </c>
      <c r="D3" t="s">
        <v>2</v>
      </c>
      <c r="E3" t="s">
        <v>33</v>
      </c>
      <c r="F3" t="s">
        <v>278</v>
      </c>
      <c r="G3" t="s">
        <v>279</v>
      </c>
      <c r="H3" t="s">
        <v>80</v>
      </c>
      <c r="I3" t="s">
        <v>7</v>
      </c>
      <c r="J3" t="s">
        <v>91</v>
      </c>
      <c r="K3" t="s">
        <v>8</v>
      </c>
      <c r="L3" t="s">
        <v>280</v>
      </c>
      <c r="M3" t="s">
        <v>80</v>
      </c>
      <c r="N3" t="s">
        <v>2</v>
      </c>
      <c r="O3" t="s">
        <v>2</v>
      </c>
      <c r="P3" t="s">
        <v>93</v>
      </c>
      <c r="Q3" t="s">
        <v>2</v>
      </c>
      <c r="R3" t="s">
        <v>281</v>
      </c>
      <c r="S3" s="18">
        <v>45251</v>
      </c>
      <c r="T3" s="18">
        <v>45280</v>
      </c>
      <c r="U3" s="18">
        <v>45285</v>
      </c>
      <c r="V3">
        <v>0</v>
      </c>
      <c r="W3">
        <v>0</v>
      </c>
      <c r="X3" t="s">
        <v>2</v>
      </c>
      <c r="Z3" t="s">
        <v>16</v>
      </c>
      <c r="AA3" t="s">
        <v>282</v>
      </c>
      <c r="AB3" t="s">
        <v>2</v>
      </c>
      <c r="AC3" t="s">
        <v>283</v>
      </c>
      <c r="AD3" t="s">
        <v>287</v>
      </c>
      <c r="AE3" t="s">
        <v>288</v>
      </c>
      <c r="AF3">
        <v>1420</v>
      </c>
      <c r="AG3">
        <v>0</v>
      </c>
      <c r="AH3">
        <v>7.15</v>
      </c>
      <c r="AI3">
        <v>10153</v>
      </c>
      <c r="AJ3">
        <v>8191948.0499999998</v>
      </c>
      <c r="AK3">
        <v>0</v>
      </c>
      <c r="AL3" t="s">
        <v>21</v>
      </c>
      <c r="AN3">
        <v>0</v>
      </c>
      <c r="AP3">
        <v>0</v>
      </c>
      <c r="AQ3" t="s">
        <v>22</v>
      </c>
      <c r="AR3" t="s">
        <v>96</v>
      </c>
      <c r="AS3" t="s">
        <v>97</v>
      </c>
      <c r="AT3" t="s">
        <v>98</v>
      </c>
      <c r="AU3" t="s">
        <v>26</v>
      </c>
      <c r="AV3" t="s">
        <v>27</v>
      </c>
      <c r="AW3" t="s">
        <v>28</v>
      </c>
      <c r="AX3" t="s">
        <v>29</v>
      </c>
      <c r="AY3" t="s">
        <v>2</v>
      </c>
      <c r="AZ3">
        <v>0</v>
      </c>
      <c r="BA3" t="s">
        <v>2</v>
      </c>
      <c r="BB3" t="s">
        <v>31</v>
      </c>
      <c r="BC3" t="s">
        <v>2</v>
      </c>
      <c r="BD3" t="s">
        <v>32</v>
      </c>
      <c r="BE3">
        <v>10153</v>
      </c>
    </row>
    <row r="4" spans="1:58" x14ac:dyDescent="0.2">
      <c r="A4" t="s">
        <v>0</v>
      </c>
      <c r="B4" t="s">
        <v>1</v>
      </c>
      <c r="C4" t="s">
        <v>2</v>
      </c>
      <c r="D4" t="s">
        <v>2</v>
      </c>
      <c r="E4" t="s">
        <v>33</v>
      </c>
      <c r="F4" t="s">
        <v>278</v>
      </c>
      <c r="G4" t="s">
        <v>279</v>
      </c>
      <c r="H4" t="s">
        <v>79</v>
      </c>
      <c r="I4" t="s">
        <v>7</v>
      </c>
      <c r="J4" t="s">
        <v>91</v>
      </c>
      <c r="K4" t="s">
        <v>8</v>
      </c>
      <c r="L4" t="s">
        <v>280</v>
      </c>
      <c r="M4" t="s">
        <v>79</v>
      </c>
      <c r="N4" t="s">
        <v>2</v>
      </c>
      <c r="O4" t="s">
        <v>2</v>
      </c>
      <c r="P4" t="s">
        <v>93</v>
      </c>
      <c r="Q4" t="s">
        <v>2</v>
      </c>
      <c r="R4" t="s">
        <v>281</v>
      </c>
      <c r="S4" s="18">
        <v>45251</v>
      </c>
      <c r="T4" s="18">
        <v>45280</v>
      </c>
      <c r="U4" s="18">
        <v>45285</v>
      </c>
      <c r="V4">
        <v>0</v>
      </c>
      <c r="W4">
        <v>0</v>
      </c>
      <c r="X4" t="s">
        <v>2</v>
      </c>
      <c r="Z4" t="s">
        <v>16</v>
      </c>
      <c r="AA4" t="s">
        <v>282</v>
      </c>
      <c r="AB4" t="s">
        <v>2</v>
      </c>
      <c r="AC4" t="s">
        <v>283</v>
      </c>
      <c r="AD4" t="s">
        <v>77</v>
      </c>
      <c r="AE4" t="s">
        <v>78</v>
      </c>
      <c r="AF4">
        <v>420</v>
      </c>
      <c r="AG4">
        <v>0</v>
      </c>
      <c r="AH4">
        <v>7.21</v>
      </c>
      <c r="AI4">
        <v>3028.2</v>
      </c>
      <c r="AJ4">
        <v>2443303.17</v>
      </c>
      <c r="AK4">
        <v>0</v>
      </c>
      <c r="AL4" t="s">
        <v>21</v>
      </c>
      <c r="AN4">
        <v>0</v>
      </c>
      <c r="AP4">
        <v>0</v>
      </c>
      <c r="AQ4" t="s">
        <v>22</v>
      </c>
      <c r="AR4" t="s">
        <v>96</v>
      </c>
      <c r="AS4" t="s">
        <v>97</v>
      </c>
      <c r="AT4" t="s">
        <v>98</v>
      </c>
      <c r="AU4" t="s">
        <v>26</v>
      </c>
      <c r="AV4" t="s">
        <v>27</v>
      </c>
      <c r="AW4" t="s">
        <v>28</v>
      </c>
      <c r="AX4" t="s">
        <v>29</v>
      </c>
      <c r="AY4" t="s">
        <v>2</v>
      </c>
      <c r="AZ4">
        <v>0</v>
      </c>
      <c r="BA4" t="s">
        <v>2</v>
      </c>
      <c r="BB4" t="s">
        <v>31</v>
      </c>
      <c r="BC4" t="s">
        <v>2</v>
      </c>
      <c r="BD4" t="s">
        <v>32</v>
      </c>
      <c r="BE4">
        <v>3028.2</v>
      </c>
    </row>
    <row r="5" spans="1:58" x14ac:dyDescent="0.2">
      <c r="A5" t="s">
        <v>0</v>
      </c>
      <c r="B5" t="s">
        <v>1</v>
      </c>
      <c r="C5" t="s">
        <v>2</v>
      </c>
      <c r="D5" t="s">
        <v>2</v>
      </c>
      <c r="E5" t="s">
        <v>33</v>
      </c>
      <c r="F5" t="s">
        <v>278</v>
      </c>
      <c r="G5" t="s">
        <v>279</v>
      </c>
      <c r="H5" t="s">
        <v>76</v>
      </c>
      <c r="I5" t="s">
        <v>7</v>
      </c>
      <c r="J5" t="s">
        <v>91</v>
      </c>
      <c r="K5" t="s">
        <v>8</v>
      </c>
      <c r="L5" t="s">
        <v>280</v>
      </c>
      <c r="M5" t="s">
        <v>76</v>
      </c>
      <c r="N5" t="s">
        <v>2</v>
      </c>
      <c r="O5" t="s">
        <v>2</v>
      </c>
      <c r="P5" t="s">
        <v>93</v>
      </c>
      <c r="Q5" t="s">
        <v>2</v>
      </c>
      <c r="R5" t="s">
        <v>281</v>
      </c>
      <c r="S5" s="18">
        <v>45251</v>
      </c>
      <c r="T5" s="18">
        <v>45280</v>
      </c>
      <c r="U5" s="18">
        <v>45285</v>
      </c>
      <c r="V5">
        <v>0</v>
      </c>
      <c r="W5">
        <v>0</v>
      </c>
      <c r="X5" t="s">
        <v>2</v>
      </c>
      <c r="Z5" t="s">
        <v>16</v>
      </c>
      <c r="AA5" t="s">
        <v>282</v>
      </c>
      <c r="AB5" t="s">
        <v>2</v>
      </c>
      <c r="AC5" t="s">
        <v>283</v>
      </c>
      <c r="AD5" t="s">
        <v>35</v>
      </c>
      <c r="AE5" t="s">
        <v>36</v>
      </c>
      <c r="AF5">
        <v>640</v>
      </c>
      <c r="AG5">
        <v>0</v>
      </c>
      <c r="AH5">
        <v>3.89</v>
      </c>
      <c r="AI5">
        <v>2489.6</v>
      </c>
      <c r="AJ5">
        <v>2008733.76</v>
      </c>
      <c r="AK5">
        <v>0</v>
      </c>
      <c r="AL5" t="s">
        <v>21</v>
      </c>
      <c r="AN5">
        <v>0</v>
      </c>
      <c r="AP5">
        <v>0</v>
      </c>
      <c r="AQ5" t="s">
        <v>22</v>
      </c>
      <c r="AR5" t="s">
        <v>96</v>
      </c>
      <c r="AS5" t="s">
        <v>97</v>
      </c>
      <c r="AT5" t="s">
        <v>98</v>
      </c>
      <c r="AU5" t="s">
        <v>26</v>
      </c>
      <c r="AV5" t="s">
        <v>27</v>
      </c>
      <c r="AW5" t="s">
        <v>28</v>
      </c>
      <c r="AX5" t="s">
        <v>29</v>
      </c>
      <c r="AY5" t="s">
        <v>2</v>
      </c>
      <c r="AZ5">
        <v>0</v>
      </c>
      <c r="BA5" t="s">
        <v>2</v>
      </c>
      <c r="BB5" t="s">
        <v>31</v>
      </c>
      <c r="BC5" t="s">
        <v>2</v>
      </c>
      <c r="BD5" t="s">
        <v>32</v>
      </c>
      <c r="BE5">
        <v>2489.6</v>
      </c>
    </row>
    <row r="6" spans="1:58" x14ac:dyDescent="0.2">
      <c r="A6" t="s">
        <v>0</v>
      </c>
      <c r="B6" t="s">
        <v>1</v>
      </c>
      <c r="C6" t="s">
        <v>2</v>
      </c>
      <c r="D6" t="s">
        <v>2</v>
      </c>
      <c r="E6" t="s">
        <v>37</v>
      </c>
      <c r="F6" t="s">
        <v>278</v>
      </c>
      <c r="G6" t="s">
        <v>279</v>
      </c>
      <c r="H6" t="s">
        <v>38</v>
      </c>
      <c r="I6" t="s">
        <v>7</v>
      </c>
      <c r="J6" t="s">
        <v>91</v>
      </c>
      <c r="K6" t="s">
        <v>8</v>
      </c>
      <c r="L6" t="s">
        <v>280</v>
      </c>
      <c r="M6" t="s">
        <v>38</v>
      </c>
      <c r="N6" t="s">
        <v>2</v>
      </c>
      <c r="O6" t="s">
        <v>2</v>
      </c>
      <c r="P6" t="s">
        <v>93</v>
      </c>
      <c r="Q6" t="s">
        <v>2</v>
      </c>
      <c r="R6" t="s">
        <v>281</v>
      </c>
      <c r="S6" s="18">
        <v>45251</v>
      </c>
      <c r="T6" s="18">
        <v>45280</v>
      </c>
      <c r="U6" s="18">
        <v>45285</v>
      </c>
      <c r="V6">
        <v>0</v>
      </c>
      <c r="W6">
        <v>0</v>
      </c>
      <c r="X6" t="s">
        <v>2</v>
      </c>
      <c r="Z6" t="s">
        <v>16</v>
      </c>
      <c r="AA6" t="s">
        <v>282</v>
      </c>
      <c r="AB6" t="s">
        <v>2</v>
      </c>
      <c r="AC6" t="s">
        <v>283</v>
      </c>
      <c r="AD6" t="s">
        <v>39</v>
      </c>
      <c r="AE6" t="s">
        <v>40</v>
      </c>
      <c r="AF6">
        <v>1500</v>
      </c>
      <c r="AG6">
        <v>0</v>
      </c>
      <c r="AH6">
        <v>1.72</v>
      </c>
      <c r="AI6">
        <v>2580</v>
      </c>
      <c r="AJ6">
        <v>2081673</v>
      </c>
      <c r="AK6">
        <v>0</v>
      </c>
      <c r="AL6" t="s">
        <v>21</v>
      </c>
      <c r="AN6">
        <v>0</v>
      </c>
      <c r="AP6">
        <v>0</v>
      </c>
      <c r="AQ6" t="s">
        <v>22</v>
      </c>
      <c r="AR6" t="s">
        <v>96</v>
      </c>
      <c r="AS6" t="s">
        <v>97</v>
      </c>
      <c r="AT6" t="s">
        <v>98</v>
      </c>
      <c r="AU6" t="s">
        <v>26</v>
      </c>
      <c r="AV6" t="s">
        <v>27</v>
      </c>
      <c r="AW6" t="s">
        <v>28</v>
      </c>
      <c r="AX6" t="s">
        <v>29</v>
      </c>
      <c r="AY6" t="s">
        <v>2</v>
      </c>
      <c r="AZ6">
        <v>0</v>
      </c>
      <c r="BA6" t="s">
        <v>2</v>
      </c>
      <c r="BB6" t="s">
        <v>31</v>
      </c>
      <c r="BC6" t="s">
        <v>2</v>
      </c>
      <c r="BD6" t="s">
        <v>32</v>
      </c>
      <c r="BE6">
        <v>2580</v>
      </c>
    </row>
    <row r="7" spans="1:58" x14ac:dyDescent="0.2">
      <c r="A7" t="s">
        <v>0</v>
      </c>
      <c r="B7" t="s">
        <v>1</v>
      </c>
      <c r="C7" t="s">
        <v>2</v>
      </c>
      <c r="D7" t="s">
        <v>2</v>
      </c>
      <c r="E7" t="s">
        <v>284</v>
      </c>
      <c r="F7" t="s">
        <v>278</v>
      </c>
      <c r="G7" t="s">
        <v>279</v>
      </c>
      <c r="H7" t="s">
        <v>27</v>
      </c>
      <c r="I7" t="s">
        <v>7</v>
      </c>
      <c r="J7" t="s">
        <v>91</v>
      </c>
      <c r="K7" t="s">
        <v>8</v>
      </c>
      <c r="L7" t="s">
        <v>280</v>
      </c>
      <c r="M7" t="s">
        <v>27</v>
      </c>
      <c r="N7" t="s">
        <v>2</v>
      </c>
      <c r="O7" t="s">
        <v>2</v>
      </c>
      <c r="P7" t="s">
        <v>93</v>
      </c>
      <c r="Q7" t="s">
        <v>2</v>
      </c>
      <c r="R7" t="s">
        <v>281</v>
      </c>
      <c r="S7" s="18">
        <v>45251</v>
      </c>
      <c r="T7" s="18">
        <v>45280</v>
      </c>
      <c r="U7" s="18">
        <v>45285</v>
      </c>
      <c r="V7">
        <v>0</v>
      </c>
      <c r="W7">
        <v>0</v>
      </c>
      <c r="X7" t="s">
        <v>2</v>
      </c>
      <c r="Z7" t="s">
        <v>16</v>
      </c>
      <c r="AA7" t="s">
        <v>282</v>
      </c>
      <c r="AB7" t="s">
        <v>2</v>
      </c>
      <c r="AC7" t="s">
        <v>283</v>
      </c>
      <c r="AD7" t="s">
        <v>285</v>
      </c>
      <c r="AE7" t="s">
        <v>286</v>
      </c>
      <c r="AF7">
        <v>1350</v>
      </c>
      <c r="AG7">
        <v>0</v>
      </c>
      <c r="AH7">
        <v>3.53</v>
      </c>
      <c r="AI7">
        <v>4765.5</v>
      </c>
      <c r="AJ7">
        <v>3845043.68</v>
      </c>
      <c r="AK7">
        <v>0</v>
      </c>
      <c r="AL7" t="s">
        <v>21</v>
      </c>
      <c r="AN7">
        <v>0</v>
      </c>
      <c r="AP7">
        <v>0</v>
      </c>
      <c r="AQ7" t="s">
        <v>22</v>
      </c>
      <c r="AR7" t="s">
        <v>96</v>
      </c>
      <c r="AS7" t="s">
        <v>97</v>
      </c>
      <c r="AT7" t="s">
        <v>98</v>
      </c>
      <c r="AU7" t="s">
        <v>26</v>
      </c>
      <c r="AV7" t="s">
        <v>27</v>
      </c>
      <c r="AW7" t="s">
        <v>28</v>
      </c>
      <c r="AX7" t="s">
        <v>29</v>
      </c>
      <c r="AY7" t="s">
        <v>2</v>
      </c>
      <c r="AZ7">
        <v>0</v>
      </c>
      <c r="BA7" t="s">
        <v>2</v>
      </c>
      <c r="BB7" t="s">
        <v>31</v>
      </c>
      <c r="BC7" t="s">
        <v>2</v>
      </c>
      <c r="BD7" t="s">
        <v>32</v>
      </c>
      <c r="BE7">
        <v>4765.5</v>
      </c>
    </row>
    <row r="8" spans="1:58" x14ac:dyDescent="0.2">
      <c r="A8" t="s">
        <v>0</v>
      </c>
      <c r="B8" t="s">
        <v>1</v>
      </c>
      <c r="C8" t="s">
        <v>2</v>
      </c>
      <c r="D8" t="s">
        <v>2</v>
      </c>
      <c r="E8" t="s">
        <v>3</v>
      </c>
      <c r="F8" t="s">
        <v>278</v>
      </c>
      <c r="G8" t="s">
        <v>279</v>
      </c>
      <c r="H8" t="s">
        <v>6</v>
      </c>
      <c r="I8" t="s">
        <v>7</v>
      </c>
      <c r="J8" t="s">
        <v>91</v>
      </c>
      <c r="K8" t="s">
        <v>8</v>
      </c>
      <c r="L8" t="s">
        <v>280</v>
      </c>
      <c r="M8" t="s">
        <v>6</v>
      </c>
      <c r="N8" t="s">
        <v>2</v>
      </c>
      <c r="O8" t="s">
        <v>2</v>
      </c>
      <c r="P8" t="s">
        <v>93</v>
      </c>
      <c r="Q8" t="s">
        <v>2</v>
      </c>
      <c r="R8" t="s">
        <v>281</v>
      </c>
      <c r="S8" s="18">
        <v>45251</v>
      </c>
      <c r="T8" s="18">
        <v>45280</v>
      </c>
      <c r="U8" s="18">
        <v>45285</v>
      </c>
      <c r="V8">
        <v>0</v>
      </c>
      <c r="W8">
        <v>0</v>
      </c>
      <c r="X8" t="s">
        <v>2</v>
      </c>
      <c r="Z8" t="s">
        <v>16</v>
      </c>
      <c r="AA8" t="s">
        <v>282</v>
      </c>
      <c r="AB8" t="s">
        <v>2</v>
      </c>
      <c r="AC8" t="s">
        <v>283</v>
      </c>
      <c r="AD8" t="s">
        <v>19</v>
      </c>
      <c r="AE8" t="s">
        <v>20</v>
      </c>
      <c r="AF8">
        <v>4100</v>
      </c>
      <c r="AG8">
        <v>0</v>
      </c>
      <c r="AH8">
        <v>6.44</v>
      </c>
      <c r="AI8">
        <v>26404</v>
      </c>
      <c r="AJ8">
        <v>21304067.399999999</v>
      </c>
      <c r="AK8">
        <v>0</v>
      </c>
      <c r="AL8" t="s">
        <v>21</v>
      </c>
      <c r="AN8">
        <v>0</v>
      </c>
      <c r="AP8">
        <v>0</v>
      </c>
      <c r="AQ8" t="s">
        <v>22</v>
      </c>
      <c r="AR8" t="s">
        <v>96</v>
      </c>
      <c r="AS8" t="s">
        <v>97</v>
      </c>
      <c r="AT8" t="s">
        <v>98</v>
      </c>
      <c r="AU8" t="s">
        <v>26</v>
      </c>
      <c r="AV8" t="s">
        <v>27</v>
      </c>
      <c r="AW8" t="s">
        <v>28</v>
      </c>
      <c r="AX8" t="s">
        <v>29</v>
      </c>
      <c r="AY8" t="s">
        <v>2</v>
      </c>
      <c r="AZ8">
        <v>0</v>
      </c>
      <c r="BA8" t="s">
        <v>2</v>
      </c>
      <c r="BB8" t="s">
        <v>31</v>
      </c>
      <c r="BC8" t="s">
        <v>2</v>
      </c>
      <c r="BD8" t="s">
        <v>32</v>
      </c>
      <c r="BE8">
        <v>26404</v>
      </c>
    </row>
    <row r="9" spans="1:58" x14ac:dyDescent="0.2">
      <c r="A9" t="s">
        <v>0</v>
      </c>
      <c r="B9" t="s">
        <v>1</v>
      </c>
      <c r="C9" t="s">
        <v>2</v>
      </c>
      <c r="D9" t="s">
        <v>2</v>
      </c>
      <c r="E9" t="s">
        <v>41</v>
      </c>
      <c r="F9" t="s">
        <v>4</v>
      </c>
      <c r="G9" t="s">
        <v>274</v>
      </c>
      <c r="H9" t="s">
        <v>27</v>
      </c>
      <c r="I9" t="s">
        <v>7</v>
      </c>
      <c r="J9" t="s">
        <v>91</v>
      </c>
      <c r="K9" t="s">
        <v>8</v>
      </c>
      <c r="L9" t="s">
        <v>275</v>
      </c>
      <c r="M9" t="s">
        <v>27</v>
      </c>
      <c r="N9" t="s">
        <v>2</v>
      </c>
      <c r="O9" t="s">
        <v>2</v>
      </c>
      <c r="P9" t="s">
        <v>93</v>
      </c>
      <c r="Q9" t="s">
        <v>2</v>
      </c>
      <c r="R9" t="s">
        <v>276</v>
      </c>
      <c r="S9" s="18">
        <v>45251</v>
      </c>
      <c r="T9" s="18">
        <v>45280</v>
      </c>
      <c r="U9" s="18">
        <v>45285</v>
      </c>
      <c r="V9">
        <v>0</v>
      </c>
      <c r="W9">
        <v>0</v>
      </c>
      <c r="X9" t="s">
        <v>2</v>
      </c>
      <c r="Z9" t="s">
        <v>47</v>
      </c>
      <c r="AA9" t="s">
        <v>277</v>
      </c>
      <c r="AB9" t="s">
        <v>2</v>
      </c>
      <c r="AC9" t="s">
        <v>49</v>
      </c>
      <c r="AD9" t="s">
        <v>50</v>
      </c>
      <c r="AE9" t="s">
        <v>51</v>
      </c>
      <c r="AF9">
        <v>1</v>
      </c>
      <c r="AG9">
        <v>0</v>
      </c>
      <c r="AH9">
        <v>235</v>
      </c>
      <c r="AI9">
        <v>235</v>
      </c>
      <c r="AJ9">
        <v>189609.75</v>
      </c>
      <c r="AK9">
        <v>0</v>
      </c>
      <c r="AL9" t="s">
        <v>52</v>
      </c>
      <c r="AN9">
        <v>0</v>
      </c>
      <c r="AP9">
        <v>0</v>
      </c>
      <c r="AQ9" t="s">
        <v>53</v>
      </c>
      <c r="AR9" t="s">
        <v>96</v>
      </c>
      <c r="AS9" t="s">
        <v>97</v>
      </c>
      <c r="AT9" t="s">
        <v>98</v>
      </c>
      <c r="AU9" t="s">
        <v>26</v>
      </c>
      <c r="AV9" t="s">
        <v>27</v>
      </c>
      <c r="AW9" t="s">
        <v>28</v>
      </c>
      <c r="AX9" t="s">
        <v>29</v>
      </c>
      <c r="AY9" t="s">
        <v>2</v>
      </c>
      <c r="AZ9">
        <v>0</v>
      </c>
      <c r="BA9" t="s">
        <v>2</v>
      </c>
      <c r="BB9" t="s">
        <v>31</v>
      </c>
      <c r="BC9" t="s">
        <v>2</v>
      </c>
      <c r="BD9" t="s">
        <v>32</v>
      </c>
      <c r="BE9">
        <v>235</v>
      </c>
    </row>
    <row r="10" spans="1:58" x14ac:dyDescent="0.2">
      <c r="A10" t="s">
        <v>0</v>
      </c>
      <c r="B10" t="s">
        <v>1</v>
      </c>
      <c r="C10" t="s">
        <v>2</v>
      </c>
      <c r="D10" t="s">
        <v>2</v>
      </c>
      <c r="E10" t="s">
        <v>41</v>
      </c>
      <c r="F10" t="s">
        <v>4</v>
      </c>
      <c r="G10" t="s">
        <v>274</v>
      </c>
      <c r="H10" t="s">
        <v>6</v>
      </c>
      <c r="I10" t="s">
        <v>7</v>
      </c>
      <c r="J10" t="s">
        <v>91</v>
      </c>
      <c r="K10" t="s">
        <v>8</v>
      </c>
      <c r="L10" t="s">
        <v>275</v>
      </c>
      <c r="M10" t="s">
        <v>6</v>
      </c>
      <c r="N10" t="s">
        <v>2</v>
      </c>
      <c r="O10" t="s">
        <v>2</v>
      </c>
      <c r="P10" t="s">
        <v>93</v>
      </c>
      <c r="Q10" t="s">
        <v>2</v>
      </c>
      <c r="R10" t="s">
        <v>276</v>
      </c>
      <c r="S10" s="18">
        <v>45251</v>
      </c>
      <c r="T10" s="18">
        <v>45280</v>
      </c>
      <c r="U10" s="18">
        <v>45285</v>
      </c>
      <c r="V10">
        <v>0</v>
      </c>
      <c r="W10">
        <v>0</v>
      </c>
      <c r="X10" t="s">
        <v>2</v>
      </c>
      <c r="Z10" t="s">
        <v>47</v>
      </c>
      <c r="AA10" t="s">
        <v>277</v>
      </c>
      <c r="AB10" t="s">
        <v>2</v>
      </c>
      <c r="AC10" t="s">
        <v>49</v>
      </c>
      <c r="AD10" t="s">
        <v>50</v>
      </c>
      <c r="AE10" t="s">
        <v>51</v>
      </c>
      <c r="AF10">
        <v>4</v>
      </c>
      <c r="AG10">
        <v>0</v>
      </c>
      <c r="AH10">
        <v>179</v>
      </c>
      <c r="AI10">
        <v>716</v>
      </c>
      <c r="AJ10">
        <v>577704.6</v>
      </c>
      <c r="AK10">
        <v>0</v>
      </c>
      <c r="AL10" t="s">
        <v>52</v>
      </c>
      <c r="AN10">
        <v>0</v>
      </c>
      <c r="AP10">
        <v>0</v>
      </c>
      <c r="AQ10" t="s">
        <v>53</v>
      </c>
      <c r="AR10" t="s">
        <v>96</v>
      </c>
      <c r="AS10" t="s">
        <v>97</v>
      </c>
      <c r="AT10" t="s">
        <v>98</v>
      </c>
      <c r="AU10" t="s">
        <v>26</v>
      </c>
      <c r="AV10" t="s">
        <v>27</v>
      </c>
      <c r="AW10" t="s">
        <v>28</v>
      </c>
      <c r="AX10" t="s">
        <v>29</v>
      </c>
      <c r="AY10" t="s">
        <v>2</v>
      </c>
      <c r="AZ10">
        <v>0</v>
      </c>
      <c r="BA10" t="s">
        <v>2</v>
      </c>
      <c r="BB10" t="s">
        <v>31</v>
      </c>
      <c r="BC10" t="s">
        <v>2</v>
      </c>
      <c r="BD10" t="s">
        <v>32</v>
      </c>
      <c r="BE10">
        <v>716</v>
      </c>
    </row>
    <row r="11" spans="1:58" x14ac:dyDescent="0.2">
      <c r="A11" t="s">
        <v>0</v>
      </c>
      <c r="B11" t="s">
        <v>1</v>
      </c>
      <c r="C11" t="s">
        <v>2</v>
      </c>
      <c r="D11" t="s">
        <v>2</v>
      </c>
      <c r="E11" t="s">
        <v>41</v>
      </c>
      <c r="F11" t="s">
        <v>4</v>
      </c>
      <c r="G11" t="s">
        <v>270</v>
      </c>
      <c r="H11" t="s">
        <v>27</v>
      </c>
      <c r="I11" t="s">
        <v>7</v>
      </c>
      <c r="J11" t="s">
        <v>91</v>
      </c>
      <c r="K11" t="s">
        <v>8</v>
      </c>
      <c r="L11" t="s">
        <v>271</v>
      </c>
      <c r="M11" t="s">
        <v>27</v>
      </c>
      <c r="N11" t="s">
        <v>2</v>
      </c>
      <c r="O11" t="s">
        <v>2</v>
      </c>
      <c r="P11" t="s">
        <v>93</v>
      </c>
      <c r="Q11" t="s">
        <v>2</v>
      </c>
      <c r="R11" t="s">
        <v>272</v>
      </c>
      <c r="S11" s="18">
        <v>45251</v>
      </c>
      <c r="T11" s="18">
        <v>45280</v>
      </c>
      <c r="U11" s="18">
        <v>45285</v>
      </c>
      <c r="V11">
        <v>0</v>
      </c>
      <c r="W11">
        <v>0</v>
      </c>
      <c r="X11" t="s">
        <v>2</v>
      </c>
      <c r="Z11" t="s">
        <v>47</v>
      </c>
      <c r="AA11" t="s">
        <v>273</v>
      </c>
      <c r="AB11" t="s">
        <v>2</v>
      </c>
      <c r="AC11" t="s">
        <v>49</v>
      </c>
      <c r="AD11" t="s">
        <v>64</v>
      </c>
      <c r="AE11" t="s">
        <v>65</v>
      </c>
      <c r="AF11">
        <v>0.2</v>
      </c>
      <c r="AG11">
        <v>0</v>
      </c>
      <c r="AH11">
        <v>6533365</v>
      </c>
      <c r="AI11">
        <v>1306673</v>
      </c>
      <c r="AJ11">
        <v>1306673</v>
      </c>
      <c r="AK11">
        <v>0</v>
      </c>
      <c r="AL11" t="s">
        <v>52</v>
      </c>
      <c r="AN11">
        <v>0</v>
      </c>
      <c r="AP11">
        <v>0</v>
      </c>
      <c r="AQ11" t="s">
        <v>53</v>
      </c>
      <c r="AR11" t="s">
        <v>96</v>
      </c>
      <c r="AS11" t="s">
        <v>97</v>
      </c>
      <c r="AT11" t="s">
        <v>98</v>
      </c>
      <c r="AU11" t="s">
        <v>26</v>
      </c>
      <c r="AV11" t="s">
        <v>27</v>
      </c>
      <c r="AW11" t="s">
        <v>66</v>
      </c>
      <c r="AX11" t="s">
        <v>29</v>
      </c>
      <c r="AY11" t="s">
        <v>2</v>
      </c>
      <c r="AZ11">
        <v>0</v>
      </c>
      <c r="BA11" t="s">
        <v>2</v>
      </c>
      <c r="BB11" t="s">
        <v>31</v>
      </c>
      <c r="BC11" t="s">
        <v>2</v>
      </c>
      <c r="BD11" t="s">
        <v>69</v>
      </c>
      <c r="BE11">
        <v>1619.4744995971989</v>
      </c>
    </row>
    <row r="12" spans="1:58" x14ac:dyDescent="0.2">
      <c r="A12" t="s">
        <v>0</v>
      </c>
      <c r="B12" t="s">
        <v>1</v>
      </c>
      <c r="C12" t="s">
        <v>2</v>
      </c>
      <c r="D12" t="s">
        <v>2</v>
      </c>
      <c r="E12" t="s">
        <v>41</v>
      </c>
      <c r="F12" t="s">
        <v>4</v>
      </c>
      <c r="G12" t="s">
        <v>270</v>
      </c>
      <c r="H12" t="s">
        <v>6</v>
      </c>
      <c r="I12" t="s">
        <v>7</v>
      </c>
      <c r="J12" t="s">
        <v>91</v>
      </c>
      <c r="K12" t="s">
        <v>8</v>
      </c>
      <c r="L12" t="s">
        <v>271</v>
      </c>
      <c r="M12" t="s">
        <v>6</v>
      </c>
      <c r="N12" t="s">
        <v>2</v>
      </c>
      <c r="O12" t="s">
        <v>2</v>
      </c>
      <c r="P12" t="s">
        <v>93</v>
      </c>
      <c r="Q12" t="s">
        <v>2</v>
      </c>
      <c r="R12" t="s">
        <v>272</v>
      </c>
      <c r="S12" s="18">
        <v>45251</v>
      </c>
      <c r="T12" s="18">
        <v>45280</v>
      </c>
      <c r="U12" s="18">
        <v>45285</v>
      </c>
      <c r="V12">
        <v>0</v>
      </c>
      <c r="W12">
        <v>0</v>
      </c>
      <c r="X12" t="s">
        <v>2</v>
      </c>
      <c r="Z12" t="s">
        <v>47</v>
      </c>
      <c r="AA12" t="s">
        <v>273</v>
      </c>
      <c r="AB12" t="s">
        <v>2</v>
      </c>
      <c r="AC12" t="s">
        <v>49</v>
      </c>
      <c r="AD12" t="s">
        <v>64</v>
      </c>
      <c r="AE12" t="s">
        <v>65</v>
      </c>
      <c r="AF12">
        <v>3</v>
      </c>
      <c r="AG12">
        <v>0</v>
      </c>
      <c r="AH12">
        <v>725837</v>
      </c>
      <c r="AI12">
        <v>2177511</v>
      </c>
      <c r="AJ12">
        <v>2177511</v>
      </c>
      <c r="AK12">
        <v>0</v>
      </c>
      <c r="AL12" t="s">
        <v>52</v>
      </c>
      <c r="AN12">
        <v>0</v>
      </c>
      <c r="AP12">
        <v>0</v>
      </c>
      <c r="AQ12" t="s">
        <v>53</v>
      </c>
      <c r="AR12" t="s">
        <v>96</v>
      </c>
      <c r="AS12" t="s">
        <v>97</v>
      </c>
      <c r="AT12" t="s">
        <v>98</v>
      </c>
      <c r="AU12" t="s">
        <v>26</v>
      </c>
      <c r="AV12" t="s">
        <v>27</v>
      </c>
      <c r="AW12" t="s">
        <v>66</v>
      </c>
      <c r="AX12" t="s">
        <v>29</v>
      </c>
      <c r="AY12" t="s">
        <v>2</v>
      </c>
      <c r="AZ12">
        <v>0</v>
      </c>
      <c r="BA12" t="s">
        <v>2</v>
      </c>
      <c r="BB12" t="s">
        <v>31</v>
      </c>
      <c r="BC12" t="s">
        <v>2</v>
      </c>
      <c r="BD12" t="s">
        <v>69</v>
      </c>
      <c r="BE12">
        <v>2698.7804424614242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7D98-F7B0-4CCE-9BE5-788536FD8D9A}">
  <dimension ref="A1:BF2"/>
  <sheetViews>
    <sheetView topLeftCell="AG1" workbookViewId="0">
      <selection activeCell="AI3" sqref="AI3"/>
    </sheetView>
  </sheetViews>
  <sheetFormatPr baseColWidth="10" defaultRowHeight="12.75" x14ac:dyDescent="0.2"/>
  <cols>
    <col min="2" max="2" width="18" customWidth="1"/>
    <col min="3" max="3" width="22.7109375" customWidth="1"/>
    <col min="4" max="4" width="16.42578125" customWidth="1"/>
    <col min="5" max="5" width="17.5703125" customWidth="1"/>
    <col min="6" max="6" width="18" customWidth="1"/>
    <col min="8" max="8" width="13.42578125" customWidth="1"/>
    <col min="9" max="9" width="18.42578125" customWidth="1"/>
    <col min="10" max="10" width="22" customWidth="1"/>
    <col min="11" max="11" width="15.140625" customWidth="1"/>
    <col min="13" max="13" width="14" customWidth="1"/>
    <col min="14" max="14" width="15.5703125" customWidth="1"/>
    <col min="17" max="17" width="17.42578125" customWidth="1"/>
    <col min="18" max="18" width="17.85546875" customWidth="1"/>
    <col min="19" max="19" width="35.7109375" customWidth="1"/>
    <col min="20" max="20" width="30.140625" customWidth="1"/>
    <col min="21" max="21" width="15.7109375" customWidth="1"/>
    <col min="22" max="22" width="15.140625" customWidth="1"/>
    <col min="23" max="23" width="17" customWidth="1"/>
    <col min="24" max="24" width="18.28515625" customWidth="1"/>
    <col min="25" max="25" width="16.140625" customWidth="1"/>
    <col min="26" max="26" width="15.85546875" customWidth="1"/>
    <col min="27" max="27" width="13" customWidth="1"/>
    <col min="29" max="29" width="18.140625" customWidth="1"/>
    <col min="31" max="31" width="21.7109375" customWidth="1"/>
    <col min="32" max="32" width="18.28515625" customWidth="1"/>
    <col min="33" max="33" width="20.42578125" customWidth="1"/>
    <col min="34" max="34" width="33.5703125" customWidth="1"/>
    <col min="35" max="35" width="26.28515625" customWidth="1"/>
    <col min="36" max="36" width="24.42578125" customWidth="1"/>
    <col min="37" max="37" width="19.85546875" customWidth="1"/>
    <col min="38" max="38" width="19.7109375" customWidth="1"/>
    <col min="39" max="39" width="24.7109375" customWidth="1"/>
    <col min="40" max="40" width="21.7109375" customWidth="1"/>
    <col min="41" max="41" width="20.7109375" customWidth="1"/>
    <col min="42" max="42" width="17.7109375" customWidth="1"/>
    <col min="43" max="43" width="18.28515625" customWidth="1"/>
    <col min="44" max="44" width="12.85546875" customWidth="1"/>
    <col min="45" max="45" width="20.140625" customWidth="1"/>
    <col min="46" max="46" width="16.5703125" customWidth="1"/>
    <col min="47" max="47" width="24.5703125" customWidth="1"/>
    <col min="48" max="48" width="28.5703125" customWidth="1"/>
    <col min="49" max="49" width="17.42578125" customWidth="1"/>
    <col min="50" max="50" width="24.28515625" customWidth="1"/>
    <col min="51" max="51" width="24.140625" customWidth="1"/>
    <col min="52" max="52" width="11.5703125" customWidth="1"/>
    <col min="58" max="58" width="11.7109375" customWidth="1"/>
  </cols>
  <sheetData>
    <row r="1" spans="1:58" x14ac:dyDescent="0.2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  <c r="O1" t="s">
        <v>366</v>
      </c>
      <c r="P1" t="s">
        <v>367</v>
      </c>
      <c r="Q1" t="s">
        <v>368</v>
      </c>
      <c r="R1" t="s">
        <v>369</v>
      </c>
      <c r="S1" t="s">
        <v>370</v>
      </c>
      <c r="T1" t="s">
        <v>371</v>
      </c>
      <c r="U1" t="s">
        <v>372</v>
      </c>
      <c r="V1" t="s">
        <v>373</v>
      </c>
      <c r="W1" t="s">
        <v>374</v>
      </c>
      <c r="X1" t="s">
        <v>375</v>
      </c>
      <c r="Y1" t="s">
        <v>376</v>
      </c>
      <c r="Z1" t="s">
        <v>377</v>
      </c>
      <c r="AA1" t="s">
        <v>378</v>
      </c>
      <c r="AB1" t="s">
        <v>407</v>
      </c>
      <c r="AC1" t="s">
        <v>379</v>
      </c>
      <c r="AD1" t="s">
        <v>380</v>
      </c>
      <c r="AE1" t="s">
        <v>381</v>
      </c>
      <c r="AF1" t="s">
        <v>382</v>
      </c>
      <c r="AG1" t="s">
        <v>383</v>
      </c>
      <c r="AH1" t="s">
        <v>384</v>
      </c>
      <c r="AI1" t="s">
        <v>385</v>
      </c>
      <c r="AJ1" t="s">
        <v>386</v>
      </c>
      <c r="AK1" t="s">
        <v>387</v>
      </c>
      <c r="AL1" t="s">
        <v>388</v>
      </c>
      <c r="AM1" t="s">
        <v>389</v>
      </c>
      <c r="AN1" t="s">
        <v>390</v>
      </c>
      <c r="AO1" t="s">
        <v>391</v>
      </c>
      <c r="AP1" t="s">
        <v>392</v>
      </c>
      <c r="AQ1" t="s">
        <v>393</v>
      </c>
      <c r="AR1" t="s">
        <v>394</v>
      </c>
      <c r="AS1" t="s">
        <v>395</v>
      </c>
      <c r="AT1" t="s">
        <v>396</v>
      </c>
      <c r="AU1" t="s">
        <v>397</v>
      </c>
      <c r="AV1" t="s">
        <v>398</v>
      </c>
      <c r="AW1" t="s">
        <v>399</v>
      </c>
      <c r="AX1" t="s">
        <v>400</v>
      </c>
      <c r="AY1" t="s">
        <v>401</v>
      </c>
      <c r="AZ1" t="s">
        <v>402</v>
      </c>
      <c r="BA1" t="s">
        <v>403</v>
      </c>
      <c r="BB1" t="s">
        <v>404</v>
      </c>
      <c r="BC1" t="s">
        <v>405</v>
      </c>
      <c r="BD1" t="s">
        <v>406</v>
      </c>
      <c r="BE1" t="s">
        <v>408</v>
      </c>
      <c r="BF1" t="s">
        <v>29</v>
      </c>
    </row>
    <row r="2" spans="1:58" x14ac:dyDescent="0.2">
      <c r="A2" t="s">
        <v>0</v>
      </c>
      <c r="B2" t="s">
        <v>1</v>
      </c>
      <c r="C2" t="s">
        <v>2</v>
      </c>
      <c r="D2" t="s">
        <v>2</v>
      </c>
      <c r="E2" t="s">
        <v>41</v>
      </c>
      <c r="F2" t="s">
        <v>4</v>
      </c>
      <c r="G2" t="s">
        <v>234</v>
      </c>
      <c r="H2" t="s">
        <v>6</v>
      </c>
      <c r="I2" t="s">
        <v>7</v>
      </c>
      <c r="J2" t="s">
        <v>91</v>
      </c>
      <c r="K2" t="s">
        <v>8</v>
      </c>
      <c r="L2" t="s">
        <v>235</v>
      </c>
      <c r="M2" t="s">
        <v>6</v>
      </c>
      <c r="N2" t="s">
        <v>2</v>
      </c>
      <c r="O2" t="s">
        <v>2</v>
      </c>
      <c r="P2" t="s">
        <v>93</v>
      </c>
      <c r="Q2" t="s">
        <v>2</v>
      </c>
      <c r="R2" t="s">
        <v>236</v>
      </c>
      <c r="S2" s="18">
        <v>45250</v>
      </c>
      <c r="T2" s="18">
        <v>45280</v>
      </c>
      <c r="U2" s="18">
        <v>45285</v>
      </c>
      <c r="V2">
        <v>0</v>
      </c>
      <c r="W2">
        <v>0</v>
      </c>
      <c r="X2" t="s">
        <v>2</v>
      </c>
      <c r="Z2" t="s">
        <v>47</v>
      </c>
      <c r="AA2" t="s">
        <v>237</v>
      </c>
      <c r="AB2" t="s">
        <v>2</v>
      </c>
      <c r="AC2" t="s">
        <v>49</v>
      </c>
      <c r="AD2" t="s">
        <v>64</v>
      </c>
      <c r="AE2" t="s">
        <v>65</v>
      </c>
      <c r="AF2">
        <v>1</v>
      </c>
      <c r="AG2">
        <v>0</v>
      </c>
      <c r="AH2">
        <v>538831.15</v>
      </c>
      <c r="AI2">
        <v>538831.15</v>
      </c>
      <c r="AJ2">
        <v>538831.15</v>
      </c>
      <c r="AK2">
        <v>0</v>
      </c>
      <c r="AL2" t="s">
        <v>52</v>
      </c>
      <c r="AN2">
        <v>0</v>
      </c>
      <c r="AP2">
        <v>0</v>
      </c>
      <c r="AQ2" t="s">
        <v>53</v>
      </c>
      <c r="AR2" t="s">
        <v>238</v>
      </c>
      <c r="AS2" t="s">
        <v>239</v>
      </c>
      <c r="AT2" t="s">
        <v>240</v>
      </c>
      <c r="AU2" t="s">
        <v>26</v>
      </c>
      <c r="AV2" t="s">
        <v>27</v>
      </c>
      <c r="AW2" t="s">
        <v>66</v>
      </c>
      <c r="AX2" t="s">
        <v>29</v>
      </c>
      <c r="AY2" t="s">
        <v>2</v>
      </c>
      <c r="AZ2">
        <v>0</v>
      </c>
      <c r="BA2" t="s">
        <v>2</v>
      </c>
      <c r="BB2" t="s">
        <v>241</v>
      </c>
      <c r="BC2" t="s">
        <v>2</v>
      </c>
      <c r="BD2" t="s">
        <v>242</v>
      </c>
      <c r="BE2">
        <v>667.82072256305389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9049-3670-4390-BE62-EF83EA803613}">
  <dimension ref="A2:H37"/>
  <sheetViews>
    <sheetView tabSelected="1" topLeftCell="A13" workbookViewId="0">
      <selection activeCell="K17" sqref="K17"/>
    </sheetView>
  </sheetViews>
  <sheetFormatPr baseColWidth="10" defaultRowHeight="12.75" x14ac:dyDescent="0.2"/>
  <cols>
    <col min="1" max="1" width="42" bestFit="1" customWidth="1"/>
    <col min="2" max="2" width="23" bestFit="1" customWidth="1"/>
    <col min="3" max="3" width="10" bestFit="1" customWidth="1"/>
    <col min="4" max="4" width="14.7109375" bestFit="1" customWidth="1"/>
    <col min="5" max="5" width="10" bestFit="1" customWidth="1"/>
    <col min="6" max="6" width="14.7109375" bestFit="1" customWidth="1"/>
    <col min="7" max="7" width="9" bestFit="1" customWidth="1"/>
    <col min="8" max="8" width="13.140625" bestFit="1" customWidth="1"/>
    <col min="9" max="9" width="9" bestFit="1" customWidth="1"/>
    <col min="10" max="10" width="18" bestFit="1" customWidth="1"/>
    <col min="11" max="11" width="13.140625" bestFit="1" customWidth="1"/>
    <col min="12" max="12" width="30.140625" bestFit="1" customWidth="1"/>
    <col min="13" max="13" width="46" bestFit="1" customWidth="1"/>
    <col min="14" max="14" width="17.5703125" bestFit="1" customWidth="1"/>
    <col min="15" max="15" width="33.42578125" bestFit="1" customWidth="1"/>
    <col min="16" max="16" width="17.5703125" bestFit="1" customWidth="1"/>
    <col min="17" max="17" width="33.42578125" bestFit="1" customWidth="1"/>
    <col min="18" max="18" width="30.140625" bestFit="1" customWidth="1"/>
    <col min="19" max="19" width="46" bestFit="1" customWidth="1"/>
    <col min="20" max="20" width="22.85546875" bestFit="1" customWidth="1"/>
    <col min="21" max="21" width="38.7109375" bestFit="1" customWidth="1"/>
  </cols>
  <sheetData>
    <row r="2" spans="1:5" x14ac:dyDescent="0.2">
      <c r="A2" s="15" t="s">
        <v>371</v>
      </c>
      <c r="B2" s="19">
        <v>45280</v>
      </c>
    </row>
    <row r="4" spans="1:5" x14ac:dyDescent="0.2">
      <c r="A4" s="15" t="s">
        <v>412</v>
      </c>
      <c r="B4" s="15" t="s">
        <v>409</v>
      </c>
    </row>
    <row r="5" spans="1:5" x14ac:dyDescent="0.2">
      <c r="A5" s="15" t="s">
        <v>411</v>
      </c>
      <c r="B5" t="s">
        <v>312</v>
      </c>
      <c r="C5" t="s">
        <v>31</v>
      </c>
      <c r="D5" t="s">
        <v>241</v>
      </c>
      <c r="E5" t="s">
        <v>410</v>
      </c>
    </row>
    <row r="6" spans="1:5" x14ac:dyDescent="0.2">
      <c r="A6" s="16" t="s">
        <v>97</v>
      </c>
      <c r="B6" s="17"/>
      <c r="C6" s="17">
        <v>54689.554942058618</v>
      </c>
      <c r="D6" s="17"/>
      <c r="E6" s="17">
        <v>54689.554942058618</v>
      </c>
    </row>
    <row r="7" spans="1:5" x14ac:dyDescent="0.2">
      <c r="A7" s="16" t="s">
        <v>24</v>
      </c>
      <c r="B7" s="17"/>
      <c r="C7" s="17">
        <v>14316.39283633885</v>
      </c>
      <c r="D7" s="17"/>
      <c r="E7" s="17">
        <v>14316.39283633885</v>
      </c>
    </row>
    <row r="8" spans="1:5" x14ac:dyDescent="0.2">
      <c r="A8" s="16" t="s">
        <v>250</v>
      </c>
      <c r="B8" s="17"/>
      <c r="C8" s="17"/>
      <c r="D8" s="17">
        <v>3920</v>
      </c>
      <c r="E8" s="17">
        <v>3920</v>
      </c>
    </row>
    <row r="9" spans="1:5" x14ac:dyDescent="0.2">
      <c r="A9" s="16" t="s">
        <v>208</v>
      </c>
      <c r="B9" s="17"/>
      <c r="C9" s="17">
        <v>89571.66934064572</v>
      </c>
      <c r="D9" s="17"/>
      <c r="E9" s="17">
        <v>89571.66934064572</v>
      </c>
    </row>
    <row r="10" spans="1:5" x14ac:dyDescent="0.2">
      <c r="A10" s="16" t="s">
        <v>123</v>
      </c>
      <c r="B10" s="17"/>
      <c r="C10" s="17">
        <v>163385.52500216887</v>
      </c>
      <c r="D10" s="17"/>
      <c r="E10" s="17">
        <v>163385.52500216887</v>
      </c>
    </row>
    <row r="11" spans="1:5" x14ac:dyDescent="0.2">
      <c r="A11" s="16" t="s">
        <v>108</v>
      </c>
      <c r="B11" s="17"/>
      <c r="C11" s="17">
        <v>14368</v>
      </c>
      <c r="D11" s="17"/>
      <c r="E11" s="17">
        <v>14368</v>
      </c>
    </row>
    <row r="12" spans="1:5" x14ac:dyDescent="0.2">
      <c r="A12" s="16" t="s">
        <v>55</v>
      </c>
      <c r="B12" s="17"/>
      <c r="C12" s="17">
        <v>7858.7804424614242</v>
      </c>
      <c r="D12" s="17"/>
      <c r="E12" s="17">
        <v>7858.7804424614242</v>
      </c>
    </row>
    <row r="13" spans="1:5" x14ac:dyDescent="0.2">
      <c r="A13" s="16" t="s">
        <v>239</v>
      </c>
      <c r="B13" s="17">
        <v>193359.53988039904</v>
      </c>
      <c r="C13" s="17"/>
      <c r="D13" s="17">
        <v>26718.340722563054</v>
      </c>
      <c r="E13" s="17">
        <v>220077.8806029621</v>
      </c>
    </row>
    <row r="14" spans="1:5" x14ac:dyDescent="0.2">
      <c r="A14" s="16" t="s">
        <v>410</v>
      </c>
      <c r="B14" s="17">
        <v>193359.53988039904</v>
      </c>
      <c r="C14" s="17">
        <v>344189.92256367352</v>
      </c>
      <c r="D14" s="17">
        <v>30638.340722563054</v>
      </c>
      <c r="E14" s="17">
        <v>568187.80316663557</v>
      </c>
    </row>
    <row r="19" spans="1:8" x14ac:dyDescent="0.2">
      <c r="A19" s="15" t="s">
        <v>371</v>
      </c>
      <c r="B19" s="19">
        <v>45280</v>
      </c>
    </row>
    <row r="21" spans="1:8" x14ac:dyDescent="0.2">
      <c r="A21" s="15" t="s">
        <v>418</v>
      </c>
      <c r="B21" s="15" t="s">
        <v>409</v>
      </c>
    </row>
    <row r="22" spans="1:8" x14ac:dyDescent="0.2">
      <c r="B22" t="s">
        <v>312</v>
      </c>
      <c r="D22" t="s">
        <v>31</v>
      </c>
      <c r="F22" t="s">
        <v>241</v>
      </c>
      <c r="H22" t="s">
        <v>410</v>
      </c>
    </row>
    <row r="23" spans="1:8" x14ac:dyDescent="0.2">
      <c r="A23" s="15" t="s">
        <v>411</v>
      </c>
      <c r="B23" t="s">
        <v>66</v>
      </c>
      <c r="C23" t="s">
        <v>28</v>
      </c>
      <c r="D23" t="s">
        <v>66</v>
      </c>
      <c r="E23" t="s">
        <v>28</v>
      </c>
      <c r="F23" t="s">
        <v>66</v>
      </c>
      <c r="G23" t="s">
        <v>28</v>
      </c>
    </row>
    <row r="24" spans="1:8" x14ac:dyDescent="0.2">
      <c r="A24" s="16" t="s">
        <v>97</v>
      </c>
      <c r="B24" s="17"/>
      <c r="C24" s="17"/>
      <c r="D24" s="17">
        <v>3484184</v>
      </c>
      <c r="E24" s="17">
        <v>50371.299999999996</v>
      </c>
      <c r="F24" s="17"/>
      <c r="G24" s="17"/>
      <c r="H24" s="17">
        <v>3534555.3</v>
      </c>
    </row>
    <row r="25" spans="1:8" x14ac:dyDescent="0.2">
      <c r="A25" s="16" t="s">
        <v>24</v>
      </c>
      <c r="B25" s="17"/>
      <c r="C25" s="17"/>
      <c r="D25" s="17">
        <v>2431678.75</v>
      </c>
      <c r="E25" s="17">
        <v>11302.6</v>
      </c>
      <c r="F25" s="17"/>
      <c r="G25" s="17"/>
      <c r="H25" s="17">
        <v>2442981.35</v>
      </c>
    </row>
    <row r="26" spans="1:8" x14ac:dyDescent="0.2">
      <c r="A26" s="16" t="s">
        <v>250</v>
      </c>
      <c r="B26" s="17"/>
      <c r="C26" s="17"/>
      <c r="D26" s="17"/>
      <c r="E26" s="17"/>
      <c r="F26" s="17"/>
      <c r="G26" s="17">
        <v>3920</v>
      </c>
      <c r="H26" s="17">
        <v>3920</v>
      </c>
    </row>
    <row r="27" spans="1:8" x14ac:dyDescent="0.2">
      <c r="A27" s="16" t="s">
        <v>208</v>
      </c>
      <c r="B27" s="17"/>
      <c r="C27" s="17"/>
      <c r="D27" s="17">
        <v>3114698.66</v>
      </c>
      <c r="E27" s="17">
        <v>85711.35</v>
      </c>
      <c r="F27" s="17"/>
      <c r="G27" s="17"/>
      <c r="H27" s="17">
        <v>3200410.0100000002</v>
      </c>
    </row>
    <row r="28" spans="1:8" x14ac:dyDescent="0.2">
      <c r="A28" s="16" t="s">
        <v>123</v>
      </c>
      <c r="B28" s="17"/>
      <c r="C28" s="17"/>
      <c r="D28" s="17">
        <v>6152428.9300000006</v>
      </c>
      <c r="E28" s="17">
        <v>155760.27999999994</v>
      </c>
      <c r="F28" s="17"/>
      <c r="G28" s="17"/>
      <c r="H28" s="17">
        <v>6308189.2100000009</v>
      </c>
    </row>
    <row r="29" spans="1:8" x14ac:dyDescent="0.2">
      <c r="A29" s="16" t="s">
        <v>108</v>
      </c>
      <c r="B29" s="17"/>
      <c r="C29" s="17"/>
      <c r="D29" s="17"/>
      <c r="E29" s="17">
        <v>14368</v>
      </c>
      <c r="F29" s="17"/>
      <c r="G29" s="17"/>
      <c r="H29" s="17">
        <v>14368</v>
      </c>
    </row>
    <row r="30" spans="1:8" x14ac:dyDescent="0.2">
      <c r="A30" s="16" t="s">
        <v>55</v>
      </c>
      <c r="B30" s="17"/>
      <c r="C30" s="17"/>
      <c r="D30" s="17">
        <v>2177511</v>
      </c>
      <c r="E30" s="17">
        <v>5160</v>
      </c>
      <c r="F30" s="17"/>
      <c r="G30" s="17"/>
      <c r="H30" s="17">
        <v>2182671</v>
      </c>
    </row>
    <row r="31" spans="1:8" x14ac:dyDescent="0.2">
      <c r="A31" s="16" t="s">
        <v>239</v>
      </c>
      <c r="B31" s="17">
        <v>22207489.18</v>
      </c>
      <c r="C31" s="17">
        <v>165835.84999999998</v>
      </c>
      <c r="D31" s="17"/>
      <c r="E31" s="17"/>
      <c r="F31" s="17">
        <v>538831.15</v>
      </c>
      <c r="G31" s="17">
        <v>26050.52</v>
      </c>
      <c r="H31" s="17">
        <v>22938206.699999999</v>
      </c>
    </row>
    <row r="32" spans="1:8" x14ac:dyDescent="0.2">
      <c r="A32" s="16" t="s">
        <v>410</v>
      </c>
      <c r="B32" s="17">
        <v>22207489.18</v>
      </c>
      <c r="C32" s="17">
        <v>165835.84999999998</v>
      </c>
      <c r="D32" s="17">
        <v>17360501.34</v>
      </c>
      <c r="E32" s="17">
        <v>322673.52999999991</v>
      </c>
      <c r="F32" s="17">
        <v>538831.15</v>
      </c>
      <c r="G32" s="17">
        <v>29970.52</v>
      </c>
      <c r="H32" s="17">
        <v>40625301.57</v>
      </c>
    </row>
    <row r="34" spans="2:7" x14ac:dyDescent="0.2">
      <c r="B34">
        <f>GETPIVOTDATA("Monto en moneda Origen",$A$21,"Moneda Remito","ARS","CEBE","AR0CATQ101")/360</f>
        <v>61687.469944444441</v>
      </c>
      <c r="D34">
        <f>GETPIVOTDATA("Monto en moneda Origen",$A$21,"Moneda Remito","ARS","CEBE","AR0CATQ102")/360</f>
        <v>48223.614833333333</v>
      </c>
      <c r="F34">
        <f>GETPIVOTDATA("Monto en moneda Origen",$A$21,"Moneda Remito","ARS","CEBE","AR0RSTQ102")/360</f>
        <v>1496.7531944444445</v>
      </c>
    </row>
    <row r="36" spans="2:7" x14ac:dyDescent="0.2">
      <c r="G36">
        <f>B34+GETPIVOTDATA("Monto en moneda Origen",$A$21,"Moneda Remito","USD","CEBE","AR0CATQ101")+D34+GETPIVOTDATA("Monto en moneda Origen",$A$21,"Moneda Remito","USD","CEBE","AR0CATQ102")+F34+GETPIVOTDATA("Monto en moneda Origen",$A$21,"Moneda Remito","USD","CEBE","AR0RSTQ102")</f>
        <v>629887.73797222215</v>
      </c>
    </row>
    <row r="37" spans="2:7" x14ac:dyDescent="0.2">
      <c r="G37">
        <f>G36-GETPIVOTDATA("usd total",$A$4)</f>
        <v>61699.934805586585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44"/>
  <sheetViews>
    <sheetView topLeftCell="AP1" workbookViewId="0">
      <selection activeCell="AW1" sqref="AW1:AW1048576"/>
    </sheetView>
  </sheetViews>
  <sheetFormatPr baseColWidth="10" defaultColWidth="9.140625" defaultRowHeight="12.75" x14ac:dyDescent="0.2"/>
  <cols>
    <col min="1" max="1" width="11" bestFit="1" customWidth="1"/>
    <col min="2" max="2" width="6" bestFit="1" customWidth="1"/>
    <col min="3" max="3" width="21" bestFit="1" customWidth="1"/>
    <col min="4" max="5" width="16" bestFit="1" customWidth="1"/>
    <col min="6" max="6" width="6" bestFit="1" customWidth="1"/>
    <col min="7" max="7" width="10" bestFit="1" customWidth="1"/>
    <col min="8" max="8" width="12" bestFit="1" customWidth="1"/>
    <col min="9" max="9" width="18" bestFit="1" customWidth="1"/>
    <col min="10" max="10" width="13" bestFit="1" customWidth="1"/>
    <col min="11" max="11" width="14" bestFit="1" customWidth="1"/>
    <col min="12" max="12" width="10" bestFit="1" customWidth="1"/>
    <col min="13" max="13" width="13" bestFit="1" customWidth="1"/>
    <col min="14" max="14" width="15" bestFit="1" customWidth="1"/>
    <col min="15" max="17" width="10" bestFit="1" customWidth="1"/>
    <col min="18" max="18" width="17" bestFit="1" customWidth="1"/>
    <col min="19" max="20" width="13" bestFit="1" customWidth="1"/>
    <col min="21" max="22" width="14" bestFit="1" customWidth="1"/>
    <col min="23" max="23" width="6" bestFit="1" customWidth="1"/>
    <col min="24" max="24" width="18" bestFit="1" customWidth="1"/>
    <col min="25" max="26" width="15" bestFit="1" customWidth="1"/>
    <col min="27" max="27" width="37" bestFit="1" customWidth="1"/>
    <col min="28" max="29" width="6" bestFit="1" customWidth="1"/>
    <col min="30" max="30" width="11" bestFit="1" customWidth="1"/>
    <col min="31" max="31" width="42" bestFit="1" customWidth="1"/>
    <col min="32" max="32" width="17" bestFit="1" customWidth="1"/>
    <col min="33" max="33" width="10" bestFit="1" customWidth="1"/>
    <col min="34" max="36" width="13" bestFit="1" customWidth="1"/>
    <col min="37" max="37" width="18" bestFit="1" customWidth="1"/>
    <col min="38" max="38" width="12" bestFit="1" customWidth="1"/>
    <col min="39" max="39" width="13" bestFit="1" customWidth="1"/>
    <col min="40" max="40" width="6" bestFit="1" customWidth="1"/>
    <col min="41" max="41" width="21" bestFit="1" customWidth="1"/>
    <col min="42" max="42" width="6" bestFit="1" customWidth="1"/>
    <col min="43" max="43" width="17" bestFit="1" customWidth="1"/>
    <col min="44" max="44" width="13" bestFit="1" customWidth="1"/>
    <col min="45" max="45" width="37" bestFit="1" customWidth="1"/>
    <col min="46" max="46" width="17" bestFit="1" customWidth="1"/>
    <col min="47" max="47" width="15" bestFit="1" customWidth="1"/>
    <col min="48" max="48" width="17" bestFit="1" customWidth="1"/>
    <col min="49" max="49" width="5" bestFit="1" customWidth="1"/>
    <col min="50" max="51" width="12" bestFit="1" customWidth="1"/>
    <col min="52" max="52" width="10" bestFit="1" customWidth="1"/>
    <col min="53" max="53" width="7" bestFit="1" customWidth="1"/>
    <col min="54" max="54" width="12" bestFit="1" customWidth="1"/>
    <col min="55" max="55" width="5" bestFit="1" customWidth="1"/>
    <col min="56" max="56" width="10" bestFit="1" customWidth="1"/>
    <col min="57" max="57" width="9" bestFit="1" customWidth="1"/>
  </cols>
  <sheetData>
    <row r="1" spans="1:58" ht="63.75" x14ac:dyDescent="0.2">
      <c r="A1" s="1" t="s">
        <v>352</v>
      </c>
      <c r="B1" s="5" t="s">
        <v>353</v>
      </c>
      <c r="C1" s="1" t="s">
        <v>354</v>
      </c>
      <c r="D1" s="1" t="s">
        <v>355</v>
      </c>
      <c r="E1" s="1" t="s">
        <v>356</v>
      </c>
      <c r="F1" s="5" t="s">
        <v>357</v>
      </c>
      <c r="G1" s="1" t="s">
        <v>358</v>
      </c>
      <c r="H1" s="1" t="s">
        <v>359</v>
      </c>
      <c r="I1" s="1" t="s">
        <v>360</v>
      </c>
      <c r="J1" s="5" t="s">
        <v>361</v>
      </c>
      <c r="K1" s="1" t="s">
        <v>362</v>
      </c>
      <c r="L1" s="1" t="s">
        <v>363</v>
      </c>
      <c r="M1" s="1" t="s">
        <v>364</v>
      </c>
      <c r="N1" s="1" t="s">
        <v>365</v>
      </c>
      <c r="O1" s="1" t="s">
        <v>366</v>
      </c>
      <c r="P1" s="1" t="s">
        <v>367</v>
      </c>
      <c r="Q1" s="5" t="s">
        <v>368</v>
      </c>
      <c r="R1" s="1" t="s">
        <v>369</v>
      </c>
      <c r="S1" s="5" t="s">
        <v>370</v>
      </c>
      <c r="T1" s="5" t="s">
        <v>371</v>
      </c>
      <c r="U1" s="1" t="s">
        <v>372</v>
      </c>
      <c r="V1" s="1" t="s">
        <v>373</v>
      </c>
      <c r="W1" s="5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407</v>
      </c>
      <c r="AC1" s="5" t="s">
        <v>379</v>
      </c>
      <c r="AD1" s="1" t="s">
        <v>380</v>
      </c>
      <c r="AE1" s="1" t="s">
        <v>381</v>
      </c>
      <c r="AF1" s="1" t="s">
        <v>382</v>
      </c>
      <c r="AG1" s="5" t="s">
        <v>383</v>
      </c>
      <c r="AH1" s="5" t="s">
        <v>384</v>
      </c>
      <c r="AI1" s="5" t="s">
        <v>385</v>
      </c>
      <c r="AJ1" s="5" t="s">
        <v>386</v>
      </c>
      <c r="AK1" s="1" t="s">
        <v>387</v>
      </c>
      <c r="AL1" s="5" t="s">
        <v>388</v>
      </c>
      <c r="AM1" s="5" t="s">
        <v>389</v>
      </c>
      <c r="AN1" s="5" t="s">
        <v>390</v>
      </c>
      <c r="AO1" s="1" t="s">
        <v>391</v>
      </c>
      <c r="AP1" s="5" t="s">
        <v>392</v>
      </c>
      <c r="AQ1" s="1" t="s">
        <v>393</v>
      </c>
      <c r="AR1" s="1" t="s">
        <v>394</v>
      </c>
      <c r="AS1" s="1" t="s">
        <v>395</v>
      </c>
      <c r="AT1" s="1" t="s">
        <v>396</v>
      </c>
      <c r="AU1" s="5" t="s">
        <v>397</v>
      </c>
      <c r="AV1" s="5" t="s">
        <v>398</v>
      </c>
      <c r="AW1" s="5" t="s">
        <v>399</v>
      </c>
      <c r="AX1" s="5" t="s">
        <v>400</v>
      </c>
      <c r="AY1" s="5" t="s">
        <v>401</v>
      </c>
      <c r="AZ1" s="1" t="s">
        <v>402</v>
      </c>
      <c r="BA1" s="1" t="s">
        <v>403</v>
      </c>
      <c r="BB1" s="1" t="s">
        <v>404</v>
      </c>
      <c r="BC1" s="1" t="s">
        <v>405</v>
      </c>
      <c r="BD1" s="1" t="s">
        <v>406</v>
      </c>
      <c r="BE1" s="1" t="s">
        <v>408</v>
      </c>
      <c r="BF1" t="s">
        <v>29</v>
      </c>
    </row>
    <row r="2" spans="1:58" x14ac:dyDescent="0.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2</v>
      </c>
      <c r="K2" t="s">
        <v>8</v>
      </c>
      <c r="L2" t="s">
        <v>9</v>
      </c>
      <c r="M2" t="s">
        <v>6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s="2">
        <v>45251</v>
      </c>
      <c r="T2" s="2">
        <v>45250</v>
      </c>
      <c r="U2" s="2">
        <v>45282</v>
      </c>
      <c r="V2" s="3">
        <v>0</v>
      </c>
      <c r="W2" s="3">
        <v>0</v>
      </c>
      <c r="X2" t="s">
        <v>15</v>
      </c>
      <c r="Y2" s="2">
        <v>45282</v>
      </c>
      <c r="Z2" t="s">
        <v>16</v>
      </c>
      <c r="AA2" t="s">
        <v>17</v>
      </c>
      <c r="AB2" t="s">
        <v>2</v>
      </c>
      <c r="AC2" t="s">
        <v>18</v>
      </c>
      <c r="AD2" t="s">
        <v>19</v>
      </c>
      <c r="AE2" t="s">
        <v>20</v>
      </c>
      <c r="AF2" s="4">
        <v>220</v>
      </c>
      <c r="AG2" s="4">
        <v>220</v>
      </c>
      <c r="AH2" s="3">
        <v>6.44</v>
      </c>
      <c r="AI2" s="3">
        <v>1416.8</v>
      </c>
      <c r="AJ2" s="3">
        <v>1143145.08</v>
      </c>
      <c r="AK2" s="3">
        <v>1139390.56</v>
      </c>
      <c r="AL2" t="s">
        <v>21</v>
      </c>
      <c r="AM2" s="2"/>
      <c r="AN2" s="3">
        <v>0</v>
      </c>
      <c r="AO2" s="2"/>
      <c r="AP2" s="3">
        <v>0</v>
      </c>
      <c r="AQ2" t="s">
        <v>22</v>
      </c>
      <c r="AR2" t="s">
        <v>23</v>
      </c>
      <c r="AS2" t="s">
        <v>24</v>
      </c>
      <c r="AT2" t="s">
        <v>25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s="3">
        <v>0</v>
      </c>
      <c r="BA2" t="s">
        <v>2</v>
      </c>
      <c r="BB2" t="s">
        <v>31</v>
      </c>
      <c r="BC2" t="s">
        <v>2</v>
      </c>
      <c r="BD2" t="s">
        <v>32</v>
      </c>
      <c r="BE2">
        <f>IF(AW2="USD",AI2,AI2/$BF$1)</f>
        <v>1416.8</v>
      </c>
    </row>
    <row r="3" spans="1:58" x14ac:dyDescent="0.2">
      <c r="A3" t="s">
        <v>0</v>
      </c>
      <c r="B3" t="s">
        <v>1</v>
      </c>
      <c r="C3" t="s">
        <v>2</v>
      </c>
      <c r="D3" t="s">
        <v>2</v>
      </c>
      <c r="E3" t="s">
        <v>33</v>
      </c>
      <c r="F3" t="s">
        <v>4</v>
      </c>
      <c r="G3" t="s">
        <v>5</v>
      </c>
      <c r="H3" t="s">
        <v>27</v>
      </c>
      <c r="I3" t="s">
        <v>7</v>
      </c>
      <c r="J3" t="s">
        <v>2</v>
      </c>
      <c r="K3" t="s">
        <v>8</v>
      </c>
      <c r="L3" t="s">
        <v>9</v>
      </c>
      <c r="M3" t="s">
        <v>27</v>
      </c>
      <c r="N3" t="s">
        <v>10</v>
      </c>
      <c r="O3" t="s">
        <v>11</v>
      </c>
      <c r="P3" t="s">
        <v>34</v>
      </c>
      <c r="Q3" t="s">
        <v>13</v>
      </c>
      <c r="R3" t="s">
        <v>14</v>
      </c>
      <c r="S3" s="2">
        <v>45251</v>
      </c>
      <c r="T3" s="2">
        <v>45250</v>
      </c>
      <c r="U3" s="2">
        <v>45282</v>
      </c>
      <c r="V3" s="3">
        <v>0</v>
      </c>
      <c r="W3" s="3">
        <v>0</v>
      </c>
      <c r="X3" t="s">
        <v>15</v>
      </c>
      <c r="Y3" s="2">
        <v>45282</v>
      </c>
      <c r="Z3" t="s">
        <v>16</v>
      </c>
      <c r="AA3" t="s">
        <v>17</v>
      </c>
      <c r="AB3" t="s">
        <v>2</v>
      </c>
      <c r="AC3" t="s">
        <v>18</v>
      </c>
      <c r="AD3" t="s">
        <v>35</v>
      </c>
      <c r="AE3" t="s">
        <v>36</v>
      </c>
      <c r="AF3" s="4">
        <v>1000</v>
      </c>
      <c r="AG3" s="4">
        <v>1000</v>
      </c>
      <c r="AH3" s="3">
        <v>3.89</v>
      </c>
      <c r="AI3" s="3">
        <v>3890</v>
      </c>
      <c r="AJ3" s="3">
        <v>3138646.5</v>
      </c>
      <c r="AK3" s="3">
        <v>3128338</v>
      </c>
      <c r="AL3" t="s">
        <v>21</v>
      </c>
      <c r="AM3" s="2"/>
      <c r="AN3" s="3">
        <v>0</v>
      </c>
      <c r="AO3" s="2"/>
      <c r="AP3" s="3">
        <v>0</v>
      </c>
      <c r="AQ3" t="s">
        <v>22</v>
      </c>
      <c r="AR3" t="s">
        <v>23</v>
      </c>
      <c r="AS3" t="s">
        <v>24</v>
      </c>
      <c r="AT3" t="s">
        <v>25</v>
      </c>
      <c r="AU3" t="s">
        <v>26</v>
      </c>
      <c r="AV3" t="s">
        <v>27</v>
      </c>
      <c r="AW3" t="s">
        <v>28</v>
      </c>
      <c r="AX3" t="s">
        <v>29</v>
      </c>
      <c r="AY3" t="s">
        <v>30</v>
      </c>
      <c r="AZ3" s="3">
        <v>0</v>
      </c>
      <c r="BA3" t="s">
        <v>2</v>
      </c>
      <c r="BB3" t="s">
        <v>31</v>
      </c>
      <c r="BC3" t="s">
        <v>2</v>
      </c>
      <c r="BD3" t="s">
        <v>32</v>
      </c>
      <c r="BE3">
        <f t="shared" ref="BE3:BE66" si="0">IF(AW3="USD",AI3,AI3/$BF$1)</f>
        <v>3890</v>
      </c>
    </row>
    <row r="4" spans="1:58" x14ac:dyDescent="0.2">
      <c r="A4" t="s">
        <v>0</v>
      </c>
      <c r="B4" t="s">
        <v>1</v>
      </c>
      <c r="C4" t="s">
        <v>2</v>
      </c>
      <c r="D4" t="s">
        <v>2</v>
      </c>
      <c r="E4" t="s">
        <v>37</v>
      </c>
      <c r="F4" t="s">
        <v>4</v>
      </c>
      <c r="G4" t="s">
        <v>5</v>
      </c>
      <c r="H4" t="s">
        <v>38</v>
      </c>
      <c r="I4" t="s">
        <v>7</v>
      </c>
      <c r="J4" t="s">
        <v>2</v>
      </c>
      <c r="K4" t="s">
        <v>8</v>
      </c>
      <c r="L4" t="s">
        <v>9</v>
      </c>
      <c r="M4" t="s">
        <v>38</v>
      </c>
      <c r="N4" t="s">
        <v>10</v>
      </c>
      <c r="O4" t="s">
        <v>11</v>
      </c>
      <c r="P4" t="s">
        <v>38</v>
      </c>
      <c r="Q4" t="s">
        <v>13</v>
      </c>
      <c r="R4" t="s">
        <v>14</v>
      </c>
      <c r="S4" s="2">
        <v>45251</v>
      </c>
      <c r="T4" s="2">
        <v>45250</v>
      </c>
      <c r="U4" s="2">
        <v>45282</v>
      </c>
      <c r="V4" s="3">
        <v>0</v>
      </c>
      <c r="W4" s="3">
        <v>0</v>
      </c>
      <c r="X4" t="s">
        <v>15</v>
      </c>
      <c r="Y4" s="2">
        <v>45282</v>
      </c>
      <c r="Z4" t="s">
        <v>16</v>
      </c>
      <c r="AA4" t="s">
        <v>17</v>
      </c>
      <c r="AB4" t="s">
        <v>2</v>
      </c>
      <c r="AC4" t="s">
        <v>18</v>
      </c>
      <c r="AD4" t="s">
        <v>39</v>
      </c>
      <c r="AE4" t="s">
        <v>40</v>
      </c>
      <c r="AF4" s="4">
        <v>1710</v>
      </c>
      <c r="AG4" s="4">
        <v>1710</v>
      </c>
      <c r="AH4" s="3">
        <v>1.72</v>
      </c>
      <c r="AI4" s="3">
        <v>2941.2</v>
      </c>
      <c r="AJ4" s="3">
        <v>2373107.2200000002</v>
      </c>
      <c r="AK4" s="3">
        <v>2365313.04</v>
      </c>
      <c r="AL4" t="s">
        <v>21</v>
      </c>
      <c r="AM4" s="2"/>
      <c r="AN4" s="3">
        <v>0</v>
      </c>
      <c r="AO4" s="2"/>
      <c r="AP4" s="3">
        <v>0</v>
      </c>
      <c r="AQ4" t="s">
        <v>22</v>
      </c>
      <c r="AR4" t="s">
        <v>23</v>
      </c>
      <c r="AS4" t="s">
        <v>24</v>
      </c>
      <c r="AT4" t="s">
        <v>25</v>
      </c>
      <c r="AU4" t="s">
        <v>26</v>
      </c>
      <c r="AV4" t="s">
        <v>27</v>
      </c>
      <c r="AW4" t="s">
        <v>28</v>
      </c>
      <c r="AX4" t="s">
        <v>29</v>
      </c>
      <c r="AY4" t="s">
        <v>30</v>
      </c>
      <c r="AZ4" s="3">
        <v>0</v>
      </c>
      <c r="BA4" t="s">
        <v>2</v>
      </c>
      <c r="BB4" t="s">
        <v>31</v>
      </c>
      <c r="BC4" t="s">
        <v>2</v>
      </c>
      <c r="BD4" t="s">
        <v>32</v>
      </c>
      <c r="BE4">
        <f t="shared" si="0"/>
        <v>2941.2</v>
      </c>
    </row>
    <row r="5" spans="1:58" x14ac:dyDescent="0.2">
      <c r="A5" t="s">
        <v>0</v>
      </c>
      <c r="B5" t="s">
        <v>1</v>
      </c>
      <c r="C5" t="s">
        <v>2</v>
      </c>
      <c r="D5" t="s">
        <v>2</v>
      </c>
      <c r="E5" t="s">
        <v>41</v>
      </c>
      <c r="F5" t="s">
        <v>4</v>
      </c>
      <c r="G5" t="s">
        <v>42</v>
      </c>
      <c r="H5" t="s">
        <v>6</v>
      </c>
      <c r="I5" t="s">
        <v>7</v>
      </c>
      <c r="J5" t="s">
        <v>2</v>
      </c>
      <c r="K5" t="s">
        <v>8</v>
      </c>
      <c r="L5" t="s">
        <v>43</v>
      </c>
      <c r="M5" t="s">
        <v>6</v>
      </c>
      <c r="N5" t="s">
        <v>10</v>
      </c>
      <c r="O5" t="s">
        <v>44</v>
      </c>
      <c r="P5" t="s">
        <v>6</v>
      </c>
      <c r="Q5" t="s">
        <v>13</v>
      </c>
      <c r="R5" t="s">
        <v>45</v>
      </c>
      <c r="S5" s="2">
        <v>45190</v>
      </c>
      <c r="T5" s="2">
        <v>45219</v>
      </c>
      <c r="U5" s="2">
        <v>45281</v>
      </c>
      <c r="V5" s="3">
        <v>0</v>
      </c>
      <c r="W5" s="3">
        <v>0</v>
      </c>
      <c r="X5" t="s">
        <v>46</v>
      </c>
      <c r="Y5" s="2">
        <v>45281</v>
      </c>
      <c r="Z5" t="s">
        <v>47</v>
      </c>
      <c r="AA5" t="s">
        <v>48</v>
      </c>
      <c r="AB5" t="s">
        <v>2</v>
      </c>
      <c r="AC5" t="s">
        <v>49</v>
      </c>
      <c r="AD5" t="s">
        <v>50</v>
      </c>
      <c r="AE5" t="s">
        <v>51</v>
      </c>
      <c r="AF5" s="4">
        <v>5</v>
      </c>
      <c r="AG5" s="4">
        <v>5</v>
      </c>
      <c r="AH5" s="3">
        <v>179</v>
      </c>
      <c r="AI5" s="3">
        <v>895</v>
      </c>
      <c r="AJ5" s="3">
        <v>722130.75</v>
      </c>
      <c r="AK5" s="3">
        <v>719311.5</v>
      </c>
      <c r="AL5" t="s">
        <v>52</v>
      </c>
      <c r="AM5" s="2"/>
      <c r="AN5" s="3">
        <v>0</v>
      </c>
      <c r="AO5" s="2"/>
      <c r="AP5" s="3">
        <v>0</v>
      </c>
      <c r="AQ5" t="s">
        <v>53</v>
      </c>
      <c r="AR5" t="s">
        <v>54</v>
      </c>
      <c r="AS5" t="s">
        <v>55</v>
      </c>
      <c r="AT5" t="s">
        <v>56</v>
      </c>
      <c r="AU5" t="s">
        <v>26</v>
      </c>
      <c r="AV5" t="s">
        <v>12</v>
      </c>
      <c r="AW5" t="s">
        <v>28</v>
      </c>
      <c r="AX5" t="s">
        <v>29</v>
      </c>
      <c r="AY5" t="s">
        <v>57</v>
      </c>
      <c r="AZ5" s="3">
        <v>0</v>
      </c>
      <c r="BA5" t="s">
        <v>2</v>
      </c>
      <c r="BB5" t="s">
        <v>31</v>
      </c>
      <c r="BC5" t="s">
        <v>2</v>
      </c>
      <c r="BD5" t="s">
        <v>32</v>
      </c>
      <c r="BE5">
        <f t="shared" si="0"/>
        <v>895</v>
      </c>
    </row>
    <row r="6" spans="1:58" x14ac:dyDescent="0.2">
      <c r="A6" t="s">
        <v>0</v>
      </c>
      <c r="B6" t="s">
        <v>1</v>
      </c>
      <c r="C6" t="s">
        <v>2</v>
      </c>
      <c r="D6" t="s">
        <v>2</v>
      </c>
      <c r="E6" t="s">
        <v>41</v>
      </c>
      <c r="F6" t="s">
        <v>4</v>
      </c>
      <c r="G6" t="s">
        <v>42</v>
      </c>
      <c r="H6" t="s">
        <v>27</v>
      </c>
      <c r="I6" t="s">
        <v>7</v>
      </c>
      <c r="J6" t="s">
        <v>2</v>
      </c>
      <c r="K6" t="s">
        <v>8</v>
      </c>
      <c r="L6" t="s">
        <v>43</v>
      </c>
      <c r="M6" t="s">
        <v>27</v>
      </c>
      <c r="N6" t="s">
        <v>10</v>
      </c>
      <c r="O6" t="s">
        <v>44</v>
      </c>
      <c r="P6" t="s">
        <v>27</v>
      </c>
      <c r="Q6" t="s">
        <v>13</v>
      </c>
      <c r="R6" t="s">
        <v>45</v>
      </c>
      <c r="S6" s="2">
        <v>45190</v>
      </c>
      <c r="T6" s="2">
        <v>45219</v>
      </c>
      <c r="U6" s="2">
        <v>45281</v>
      </c>
      <c r="V6" s="3">
        <v>0</v>
      </c>
      <c r="W6" s="3">
        <v>0</v>
      </c>
      <c r="X6" t="s">
        <v>46</v>
      </c>
      <c r="Y6" s="2">
        <v>45281</v>
      </c>
      <c r="Z6" t="s">
        <v>47</v>
      </c>
      <c r="AA6" t="s">
        <v>48</v>
      </c>
      <c r="AB6" t="s">
        <v>2</v>
      </c>
      <c r="AC6" t="s">
        <v>49</v>
      </c>
      <c r="AD6" t="s">
        <v>50</v>
      </c>
      <c r="AE6" t="s">
        <v>51</v>
      </c>
      <c r="AF6" s="4">
        <v>1</v>
      </c>
      <c r="AG6" s="4">
        <v>1</v>
      </c>
      <c r="AH6" s="3">
        <v>235</v>
      </c>
      <c r="AI6" s="3">
        <v>235</v>
      </c>
      <c r="AJ6" s="3">
        <v>189609.75</v>
      </c>
      <c r="AK6" s="3">
        <v>188869.5</v>
      </c>
      <c r="AL6" t="s">
        <v>52</v>
      </c>
      <c r="AM6" s="2"/>
      <c r="AN6" s="3">
        <v>0</v>
      </c>
      <c r="AO6" s="2"/>
      <c r="AP6" s="3">
        <v>0</v>
      </c>
      <c r="AQ6" t="s">
        <v>53</v>
      </c>
      <c r="AR6" t="s">
        <v>54</v>
      </c>
      <c r="AS6" t="s">
        <v>55</v>
      </c>
      <c r="AT6" t="s">
        <v>56</v>
      </c>
      <c r="AU6" t="s">
        <v>26</v>
      </c>
      <c r="AV6" t="s">
        <v>12</v>
      </c>
      <c r="AW6" t="s">
        <v>28</v>
      </c>
      <c r="AX6" t="s">
        <v>29</v>
      </c>
      <c r="AY6" t="s">
        <v>57</v>
      </c>
      <c r="AZ6" s="3">
        <v>0</v>
      </c>
      <c r="BA6" t="s">
        <v>2</v>
      </c>
      <c r="BB6" t="s">
        <v>31</v>
      </c>
      <c r="BC6" t="s">
        <v>2</v>
      </c>
      <c r="BD6" t="s">
        <v>32</v>
      </c>
      <c r="BE6">
        <f t="shared" si="0"/>
        <v>235</v>
      </c>
    </row>
    <row r="7" spans="1:58" x14ac:dyDescent="0.2">
      <c r="A7" t="s">
        <v>0</v>
      </c>
      <c r="B7" t="s">
        <v>1</v>
      </c>
      <c r="C7" t="s">
        <v>2</v>
      </c>
      <c r="D7" t="s">
        <v>2</v>
      </c>
      <c r="E7" t="s">
        <v>41</v>
      </c>
      <c r="F7" t="s">
        <v>4</v>
      </c>
      <c r="G7" t="s">
        <v>58</v>
      </c>
      <c r="H7" t="s">
        <v>6</v>
      </c>
      <c r="I7" t="s">
        <v>7</v>
      </c>
      <c r="J7" t="s">
        <v>2</v>
      </c>
      <c r="K7" t="s">
        <v>8</v>
      </c>
      <c r="L7" t="s">
        <v>59</v>
      </c>
      <c r="M7" t="s">
        <v>6</v>
      </c>
      <c r="N7" t="s">
        <v>10</v>
      </c>
      <c r="O7" t="s">
        <v>60</v>
      </c>
      <c r="P7" t="s">
        <v>6</v>
      </c>
      <c r="Q7" t="s">
        <v>13</v>
      </c>
      <c r="R7" t="s">
        <v>61</v>
      </c>
      <c r="S7" s="2">
        <v>45251</v>
      </c>
      <c r="T7" s="2">
        <v>45250</v>
      </c>
      <c r="U7" s="2">
        <v>45282</v>
      </c>
      <c r="V7" s="3">
        <v>0</v>
      </c>
      <c r="W7" s="3">
        <v>0</v>
      </c>
      <c r="X7" t="s">
        <v>62</v>
      </c>
      <c r="Y7" s="2">
        <v>45286</v>
      </c>
      <c r="Z7" t="s">
        <v>47</v>
      </c>
      <c r="AA7" t="s">
        <v>63</v>
      </c>
      <c r="AB7" t="s">
        <v>2</v>
      </c>
      <c r="AC7" t="s">
        <v>49</v>
      </c>
      <c r="AD7" t="s">
        <v>64</v>
      </c>
      <c r="AE7" t="s">
        <v>65</v>
      </c>
      <c r="AF7" s="4">
        <v>5</v>
      </c>
      <c r="AG7" s="4">
        <v>5</v>
      </c>
      <c r="AH7" s="3">
        <v>653383</v>
      </c>
      <c r="AI7" s="3">
        <v>3266915</v>
      </c>
      <c r="AJ7" s="3">
        <v>3266915</v>
      </c>
      <c r="AK7" s="3">
        <v>3266915</v>
      </c>
      <c r="AL7" t="s">
        <v>52</v>
      </c>
      <c r="AM7" s="2"/>
      <c r="AN7" s="3">
        <v>0</v>
      </c>
      <c r="AO7" s="2"/>
      <c r="AP7" s="3">
        <v>0</v>
      </c>
      <c r="AQ7" t="s">
        <v>53</v>
      </c>
      <c r="AR7" t="s">
        <v>54</v>
      </c>
      <c r="AS7" t="s">
        <v>55</v>
      </c>
      <c r="AT7" t="s">
        <v>56</v>
      </c>
      <c r="AU7" t="s">
        <v>26</v>
      </c>
      <c r="AV7" t="s">
        <v>12</v>
      </c>
      <c r="AW7" t="s">
        <v>66</v>
      </c>
      <c r="AX7" t="s">
        <v>67</v>
      </c>
      <c r="AY7" t="s">
        <v>68</v>
      </c>
      <c r="AZ7" s="3">
        <v>5002.6400000000003</v>
      </c>
      <c r="BA7" t="s">
        <v>2</v>
      </c>
      <c r="BB7" t="s">
        <v>31</v>
      </c>
      <c r="BC7" t="s">
        <v>2</v>
      </c>
      <c r="BD7" t="s">
        <v>69</v>
      </c>
      <c r="BE7">
        <f t="shared" si="0"/>
        <v>4048.9744066431181</v>
      </c>
    </row>
    <row r="8" spans="1:58" x14ac:dyDescent="0.2">
      <c r="A8" t="s">
        <v>0</v>
      </c>
      <c r="B8" t="s">
        <v>1</v>
      </c>
      <c r="C8" t="s">
        <v>2</v>
      </c>
      <c r="D8" t="s">
        <v>2</v>
      </c>
      <c r="E8" t="s">
        <v>41</v>
      </c>
      <c r="F8" t="s">
        <v>4</v>
      </c>
      <c r="G8" t="s">
        <v>58</v>
      </c>
      <c r="H8" t="s">
        <v>27</v>
      </c>
      <c r="I8" t="s">
        <v>7</v>
      </c>
      <c r="J8" t="s">
        <v>2</v>
      </c>
      <c r="K8" t="s">
        <v>8</v>
      </c>
      <c r="L8" t="s">
        <v>59</v>
      </c>
      <c r="M8" t="s">
        <v>27</v>
      </c>
      <c r="N8" t="s">
        <v>10</v>
      </c>
      <c r="O8" t="s">
        <v>60</v>
      </c>
      <c r="P8" t="s">
        <v>27</v>
      </c>
      <c r="Q8" t="s">
        <v>13</v>
      </c>
      <c r="R8" t="s">
        <v>61</v>
      </c>
      <c r="S8" s="2">
        <v>45251</v>
      </c>
      <c r="T8" s="2">
        <v>45250</v>
      </c>
      <c r="U8" s="2">
        <v>45282</v>
      </c>
      <c r="V8" s="3">
        <v>0</v>
      </c>
      <c r="W8" s="3">
        <v>0</v>
      </c>
      <c r="X8" t="s">
        <v>62</v>
      </c>
      <c r="Y8" s="2">
        <v>45286</v>
      </c>
      <c r="Z8" t="s">
        <v>47</v>
      </c>
      <c r="AA8" t="s">
        <v>63</v>
      </c>
      <c r="AB8" t="s">
        <v>2</v>
      </c>
      <c r="AC8" t="s">
        <v>49</v>
      </c>
      <c r="AD8" t="s">
        <v>64</v>
      </c>
      <c r="AE8" t="s">
        <v>65</v>
      </c>
      <c r="AF8" s="4">
        <v>1</v>
      </c>
      <c r="AG8" s="4">
        <v>1</v>
      </c>
      <c r="AH8" s="3">
        <v>535188.84</v>
      </c>
      <c r="AI8" s="3">
        <v>535188.84</v>
      </c>
      <c r="AJ8" s="3">
        <v>535188.84</v>
      </c>
      <c r="AK8" s="3">
        <v>535188.84</v>
      </c>
      <c r="AL8" t="s">
        <v>52</v>
      </c>
      <c r="AM8" s="2"/>
      <c r="AN8" s="3">
        <v>0</v>
      </c>
      <c r="AO8" s="2"/>
      <c r="AP8" s="3">
        <v>0</v>
      </c>
      <c r="AQ8" t="s">
        <v>53</v>
      </c>
      <c r="AR8" t="s">
        <v>54</v>
      </c>
      <c r="AS8" t="s">
        <v>55</v>
      </c>
      <c r="AT8" t="s">
        <v>56</v>
      </c>
      <c r="AU8" t="s">
        <v>26</v>
      </c>
      <c r="AV8" t="s">
        <v>12</v>
      </c>
      <c r="AW8" t="s">
        <v>66</v>
      </c>
      <c r="AX8" t="s">
        <v>67</v>
      </c>
      <c r="AY8" t="s">
        <v>68</v>
      </c>
      <c r="AZ8" s="3">
        <v>819.53</v>
      </c>
      <c r="BA8" t="s">
        <v>2</v>
      </c>
      <c r="BB8" t="s">
        <v>31</v>
      </c>
      <c r="BC8" t="s">
        <v>2</v>
      </c>
      <c r="BD8" t="s">
        <v>69</v>
      </c>
      <c r="BE8">
        <f t="shared" si="0"/>
        <v>663.30648819483167</v>
      </c>
    </row>
    <row r="9" spans="1:58" x14ac:dyDescent="0.2">
      <c r="A9" t="s">
        <v>0</v>
      </c>
      <c r="B9" t="s">
        <v>1</v>
      </c>
      <c r="C9" t="s">
        <v>2</v>
      </c>
      <c r="D9" t="s">
        <v>2</v>
      </c>
      <c r="E9" t="s">
        <v>3</v>
      </c>
      <c r="F9" t="s">
        <v>4</v>
      </c>
      <c r="G9" t="s">
        <v>70</v>
      </c>
      <c r="H9" t="s">
        <v>6</v>
      </c>
      <c r="I9" t="s">
        <v>7</v>
      </c>
      <c r="J9" t="s">
        <v>2</v>
      </c>
      <c r="K9" t="s">
        <v>8</v>
      </c>
      <c r="L9" t="s">
        <v>71</v>
      </c>
      <c r="M9" t="s">
        <v>6</v>
      </c>
      <c r="N9" t="s">
        <v>10</v>
      </c>
      <c r="O9" t="s">
        <v>72</v>
      </c>
      <c r="P9" t="s">
        <v>6</v>
      </c>
      <c r="Q9" t="s">
        <v>13</v>
      </c>
      <c r="R9" t="s">
        <v>73</v>
      </c>
      <c r="S9" s="2">
        <v>45251</v>
      </c>
      <c r="T9" s="2">
        <v>45250</v>
      </c>
      <c r="U9" s="2">
        <v>45283</v>
      </c>
      <c r="V9" s="3">
        <v>0</v>
      </c>
      <c r="W9" s="3">
        <v>0</v>
      </c>
      <c r="X9" t="s">
        <v>74</v>
      </c>
      <c r="Y9" s="2">
        <v>45286</v>
      </c>
      <c r="Z9" t="s">
        <v>16</v>
      </c>
      <c r="AA9" t="s">
        <v>75</v>
      </c>
      <c r="AB9" t="s">
        <v>2</v>
      </c>
      <c r="AC9" t="s">
        <v>18</v>
      </c>
      <c r="AD9" t="s">
        <v>19</v>
      </c>
      <c r="AE9" t="s">
        <v>20</v>
      </c>
      <c r="AF9" s="4">
        <v>1850</v>
      </c>
      <c r="AG9" s="4">
        <v>1850</v>
      </c>
      <c r="AH9" s="3">
        <v>6.44</v>
      </c>
      <c r="AI9" s="3">
        <v>11914</v>
      </c>
      <c r="AJ9" s="3">
        <v>9612810.9000000004</v>
      </c>
      <c r="AK9" s="3">
        <v>9587791.5</v>
      </c>
      <c r="AL9" t="s">
        <v>21</v>
      </c>
      <c r="AM9" s="2"/>
      <c r="AN9" s="3">
        <v>0</v>
      </c>
      <c r="AO9" s="2"/>
      <c r="AP9" s="3">
        <v>0</v>
      </c>
      <c r="AQ9" t="s">
        <v>22</v>
      </c>
      <c r="AR9" t="s">
        <v>54</v>
      </c>
      <c r="AS9" t="s">
        <v>55</v>
      </c>
      <c r="AT9" t="s">
        <v>56</v>
      </c>
      <c r="AU9" t="s">
        <v>26</v>
      </c>
      <c r="AV9" t="s">
        <v>12</v>
      </c>
      <c r="AW9" t="s">
        <v>28</v>
      </c>
      <c r="AX9" t="s">
        <v>29</v>
      </c>
      <c r="AY9" t="s">
        <v>68</v>
      </c>
      <c r="AZ9" s="3">
        <v>0</v>
      </c>
      <c r="BA9" t="s">
        <v>2</v>
      </c>
      <c r="BB9" t="s">
        <v>31</v>
      </c>
      <c r="BC9" t="s">
        <v>2</v>
      </c>
      <c r="BD9" t="s">
        <v>32</v>
      </c>
      <c r="BE9">
        <f t="shared" si="0"/>
        <v>11914</v>
      </c>
    </row>
    <row r="10" spans="1:58" x14ac:dyDescent="0.2">
      <c r="A10" t="s">
        <v>0</v>
      </c>
      <c r="B10" t="s">
        <v>1</v>
      </c>
      <c r="C10" t="s">
        <v>2</v>
      </c>
      <c r="D10" t="s">
        <v>2</v>
      </c>
      <c r="E10" t="s">
        <v>37</v>
      </c>
      <c r="F10" t="s">
        <v>4</v>
      </c>
      <c r="G10" t="s">
        <v>70</v>
      </c>
      <c r="H10" t="s">
        <v>27</v>
      </c>
      <c r="I10" t="s">
        <v>7</v>
      </c>
      <c r="J10" t="s">
        <v>2</v>
      </c>
      <c r="K10" t="s">
        <v>8</v>
      </c>
      <c r="L10" t="s">
        <v>71</v>
      </c>
      <c r="M10" t="s">
        <v>27</v>
      </c>
      <c r="N10" t="s">
        <v>10</v>
      </c>
      <c r="O10" t="s">
        <v>72</v>
      </c>
      <c r="P10" t="s">
        <v>27</v>
      </c>
      <c r="Q10" t="s">
        <v>13</v>
      </c>
      <c r="R10" t="s">
        <v>73</v>
      </c>
      <c r="S10" s="2">
        <v>45251</v>
      </c>
      <c r="T10" s="2">
        <v>45250</v>
      </c>
      <c r="U10" s="2">
        <v>45283</v>
      </c>
      <c r="V10" s="3">
        <v>0</v>
      </c>
      <c r="W10" s="3">
        <v>0</v>
      </c>
      <c r="X10" t="s">
        <v>74</v>
      </c>
      <c r="Y10" s="2">
        <v>45286</v>
      </c>
      <c r="Z10" t="s">
        <v>16</v>
      </c>
      <c r="AA10" t="s">
        <v>75</v>
      </c>
      <c r="AB10" t="s">
        <v>2</v>
      </c>
      <c r="AC10" t="s">
        <v>18</v>
      </c>
      <c r="AD10" t="s">
        <v>39</v>
      </c>
      <c r="AE10" t="s">
        <v>40</v>
      </c>
      <c r="AF10" s="4">
        <v>4100</v>
      </c>
      <c r="AG10" s="4">
        <v>4100</v>
      </c>
      <c r="AH10" s="3">
        <v>1.72</v>
      </c>
      <c r="AI10" s="3">
        <v>7052</v>
      </c>
      <c r="AJ10" s="3">
        <v>5689906.2000000002</v>
      </c>
      <c r="AK10" s="3">
        <v>5675097</v>
      </c>
      <c r="AL10" t="s">
        <v>21</v>
      </c>
      <c r="AM10" s="2"/>
      <c r="AN10" s="3">
        <v>0</v>
      </c>
      <c r="AO10" s="2"/>
      <c r="AP10" s="3">
        <v>0</v>
      </c>
      <c r="AQ10" t="s">
        <v>22</v>
      </c>
      <c r="AR10" t="s">
        <v>54</v>
      </c>
      <c r="AS10" t="s">
        <v>55</v>
      </c>
      <c r="AT10" t="s">
        <v>56</v>
      </c>
      <c r="AU10" t="s">
        <v>26</v>
      </c>
      <c r="AV10" t="s">
        <v>12</v>
      </c>
      <c r="AW10" t="s">
        <v>28</v>
      </c>
      <c r="AX10" t="s">
        <v>29</v>
      </c>
      <c r="AY10" t="s">
        <v>68</v>
      </c>
      <c r="AZ10" s="3">
        <v>0</v>
      </c>
      <c r="BA10" t="s">
        <v>2</v>
      </c>
      <c r="BB10" t="s">
        <v>31</v>
      </c>
      <c r="BC10" t="s">
        <v>2</v>
      </c>
      <c r="BD10" t="s">
        <v>32</v>
      </c>
      <c r="BE10">
        <f t="shared" si="0"/>
        <v>7052</v>
      </c>
    </row>
    <row r="11" spans="1:58" x14ac:dyDescent="0.2">
      <c r="A11" t="s">
        <v>0</v>
      </c>
      <c r="B11" t="s">
        <v>1</v>
      </c>
      <c r="C11" t="s">
        <v>2</v>
      </c>
      <c r="D11" t="s">
        <v>2</v>
      </c>
      <c r="E11" t="s">
        <v>33</v>
      </c>
      <c r="F11" t="s">
        <v>4</v>
      </c>
      <c r="G11" t="s">
        <v>70</v>
      </c>
      <c r="H11" t="s">
        <v>38</v>
      </c>
      <c r="I11" t="s">
        <v>7</v>
      </c>
      <c r="J11" t="s">
        <v>2</v>
      </c>
      <c r="K11" t="s">
        <v>8</v>
      </c>
      <c r="L11" t="s">
        <v>71</v>
      </c>
      <c r="M11" t="s">
        <v>38</v>
      </c>
      <c r="N11" t="s">
        <v>10</v>
      </c>
      <c r="O11" t="s">
        <v>72</v>
      </c>
      <c r="P11" t="s">
        <v>38</v>
      </c>
      <c r="Q11" t="s">
        <v>13</v>
      </c>
      <c r="R11" t="s">
        <v>73</v>
      </c>
      <c r="S11" s="2">
        <v>45251</v>
      </c>
      <c r="T11" s="2">
        <v>45250</v>
      </c>
      <c r="U11" s="2">
        <v>45283</v>
      </c>
      <c r="V11" s="3">
        <v>0</v>
      </c>
      <c r="W11" s="3">
        <v>0</v>
      </c>
      <c r="X11" t="s">
        <v>74</v>
      </c>
      <c r="Y11" s="2">
        <v>45286</v>
      </c>
      <c r="Z11" t="s">
        <v>16</v>
      </c>
      <c r="AA11" t="s">
        <v>75</v>
      </c>
      <c r="AB11" t="s">
        <v>2</v>
      </c>
      <c r="AC11" t="s">
        <v>18</v>
      </c>
      <c r="AD11" t="s">
        <v>35</v>
      </c>
      <c r="AE11" t="s">
        <v>36</v>
      </c>
      <c r="AF11" s="4">
        <v>60</v>
      </c>
      <c r="AG11" s="4">
        <v>60</v>
      </c>
      <c r="AH11" s="3">
        <v>3.89</v>
      </c>
      <c r="AI11" s="3">
        <v>233.4</v>
      </c>
      <c r="AJ11" s="3">
        <v>188318.79</v>
      </c>
      <c r="AK11" s="3">
        <v>187828.65</v>
      </c>
      <c r="AL11" t="s">
        <v>21</v>
      </c>
      <c r="AM11" s="2"/>
      <c r="AN11" s="3">
        <v>0</v>
      </c>
      <c r="AO11" s="2"/>
      <c r="AP11" s="3">
        <v>0</v>
      </c>
      <c r="AQ11" t="s">
        <v>22</v>
      </c>
      <c r="AR11" t="s">
        <v>54</v>
      </c>
      <c r="AS11" t="s">
        <v>55</v>
      </c>
      <c r="AT11" t="s">
        <v>56</v>
      </c>
      <c r="AU11" t="s">
        <v>26</v>
      </c>
      <c r="AV11" t="s">
        <v>12</v>
      </c>
      <c r="AW11" t="s">
        <v>28</v>
      </c>
      <c r="AX11" t="s">
        <v>29</v>
      </c>
      <c r="AY11" t="s">
        <v>68</v>
      </c>
      <c r="AZ11" s="3">
        <v>0</v>
      </c>
      <c r="BA11" t="s">
        <v>2</v>
      </c>
      <c r="BB11" t="s">
        <v>31</v>
      </c>
      <c r="BC11" t="s">
        <v>2</v>
      </c>
      <c r="BD11" t="s">
        <v>32</v>
      </c>
      <c r="BE11">
        <f t="shared" si="0"/>
        <v>233.4</v>
      </c>
    </row>
    <row r="12" spans="1:58" x14ac:dyDescent="0.2">
      <c r="A12" t="s">
        <v>0</v>
      </c>
      <c r="B12" t="s">
        <v>1</v>
      </c>
      <c r="C12" t="s">
        <v>2</v>
      </c>
      <c r="D12" t="s">
        <v>2</v>
      </c>
      <c r="E12" t="s">
        <v>33</v>
      </c>
      <c r="F12" t="s">
        <v>4</v>
      </c>
      <c r="G12" t="s">
        <v>70</v>
      </c>
      <c r="H12" t="s">
        <v>76</v>
      </c>
      <c r="I12" t="s">
        <v>7</v>
      </c>
      <c r="J12" t="s">
        <v>2</v>
      </c>
      <c r="K12" t="s">
        <v>8</v>
      </c>
      <c r="L12" t="s">
        <v>71</v>
      </c>
      <c r="M12" t="s">
        <v>76</v>
      </c>
      <c r="N12" t="s">
        <v>10</v>
      </c>
      <c r="O12" t="s">
        <v>72</v>
      </c>
      <c r="P12" t="s">
        <v>76</v>
      </c>
      <c r="Q12" t="s">
        <v>13</v>
      </c>
      <c r="R12" t="s">
        <v>73</v>
      </c>
      <c r="S12" s="2">
        <v>45251</v>
      </c>
      <c r="T12" s="2">
        <v>45250</v>
      </c>
      <c r="U12" s="2">
        <v>45283</v>
      </c>
      <c r="V12" s="3">
        <v>0</v>
      </c>
      <c r="W12" s="3">
        <v>0</v>
      </c>
      <c r="X12" t="s">
        <v>74</v>
      </c>
      <c r="Y12" s="2">
        <v>45286</v>
      </c>
      <c r="Z12" t="s">
        <v>16</v>
      </c>
      <c r="AA12" t="s">
        <v>75</v>
      </c>
      <c r="AB12" t="s">
        <v>2</v>
      </c>
      <c r="AC12" t="s">
        <v>18</v>
      </c>
      <c r="AD12" t="s">
        <v>77</v>
      </c>
      <c r="AE12" t="s">
        <v>78</v>
      </c>
      <c r="AF12" s="4">
        <v>1000</v>
      </c>
      <c r="AG12" s="4">
        <v>1000</v>
      </c>
      <c r="AH12" s="3">
        <v>7.21</v>
      </c>
      <c r="AI12" s="3">
        <v>7210</v>
      </c>
      <c r="AJ12" s="3">
        <v>5817388.5</v>
      </c>
      <c r="AK12" s="3">
        <v>5802247.5</v>
      </c>
      <c r="AL12" t="s">
        <v>21</v>
      </c>
      <c r="AM12" s="2"/>
      <c r="AN12" s="3">
        <v>0</v>
      </c>
      <c r="AO12" s="2"/>
      <c r="AP12" s="3">
        <v>0</v>
      </c>
      <c r="AQ12" t="s">
        <v>22</v>
      </c>
      <c r="AR12" t="s">
        <v>54</v>
      </c>
      <c r="AS12" t="s">
        <v>55</v>
      </c>
      <c r="AT12" t="s">
        <v>56</v>
      </c>
      <c r="AU12" t="s">
        <v>26</v>
      </c>
      <c r="AV12" t="s">
        <v>12</v>
      </c>
      <c r="AW12" t="s">
        <v>28</v>
      </c>
      <c r="AX12" t="s">
        <v>29</v>
      </c>
      <c r="AY12" t="s">
        <v>68</v>
      </c>
      <c r="AZ12" s="3">
        <v>0</v>
      </c>
      <c r="BA12" t="s">
        <v>2</v>
      </c>
      <c r="BB12" t="s">
        <v>31</v>
      </c>
      <c r="BC12" t="s">
        <v>2</v>
      </c>
      <c r="BD12" t="s">
        <v>32</v>
      </c>
      <c r="BE12">
        <f t="shared" si="0"/>
        <v>7210</v>
      </c>
    </row>
    <row r="13" spans="1:58" x14ac:dyDescent="0.2">
      <c r="A13" t="s">
        <v>0</v>
      </c>
      <c r="B13" t="s">
        <v>1</v>
      </c>
      <c r="C13" t="s">
        <v>2</v>
      </c>
      <c r="D13" t="s">
        <v>2</v>
      </c>
      <c r="E13" t="s">
        <v>41</v>
      </c>
      <c r="F13" t="s">
        <v>4</v>
      </c>
      <c r="G13" t="s">
        <v>70</v>
      </c>
      <c r="H13" t="s">
        <v>79</v>
      </c>
      <c r="I13" t="s">
        <v>7</v>
      </c>
      <c r="J13" t="s">
        <v>2</v>
      </c>
      <c r="K13" t="s">
        <v>8</v>
      </c>
      <c r="L13" t="s">
        <v>71</v>
      </c>
      <c r="M13" t="s">
        <v>79</v>
      </c>
      <c r="N13" t="s">
        <v>10</v>
      </c>
      <c r="O13" t="s">
        <v>72</v>
      </c>
      <c r="P13" t="s">
        <v>79</v>
      </c>
      <c r="Q13" t="s">
        <v>13</v>
      </c>
      <c r="R13" t="s">
        <v>73</v>
      </c>
      <c r="S13" s="2">
        <v>45251</v>
      </c>
      <c r="T13" s="2">
        <v>45250</v>
      </c>
      <c r="U13" s="2">
        <v>45283</v>
      </c>
      <c r="V13" s="3">
        <v>0</v>
      </c>
      <c r="W13" s="3">
        <v>0</v>
      </c>
      <c r="X13" t="s">
        <v>74</v>
      </c>
      <c r="Y13" s="2">
        <v>45286</v>
      </c>
      <c r="Z13" t="s">
        <v>47</v>
      </c>
      <c r="AA13" t="s">
        <v>75</v>
      </c>
      <c r="AB13" t="s">
        <v>2</v>
      </c>
      <c r="AC13" t="s">
        <v>49</v>
      </c>
      <c r="AD13" t="s">
        <v>50</v>
      </c>
      <c r="AE13" t="s">
        <v>51</v>
      </c>
      <c r="AF13" s="4">
        <v>4</v>
      </c>
      <c r="AG13" s="4">
        <v>4</v>
      </c>
      <c r="AH13" s="3">
        <v>179</v>
      </c>
      <c r="AI13" s="3">
        <v>716</v>
      </c>
      <c r="AJ13" s="3">
        <v>577704.6</v>
      </c>
      <c r="AK13" s="3">
        <v>576201</v>
      </c>
      <c r="AL13" t="s">
        <v>52</v>
      </c>
      <c r="AM13" s="2"/>
      <c r="AN13" s="3">
        <v>0</v>
      </c>
      <c r="AO13" s="2"/>
      <c r="AP13" s="3">
        <v>0</v>
      </c>
      <c r="AQ13" t="s">
        <v>53</v>
      </c>
      <c r="AR13" t="s">
        <v>54</v>
      </c>
      <c r="AS13" t="s">
        <v>55</v>
      </c>
      <c r="AT13" t="s">
        <v>56</v>
      </c>
      <c r="AU13" t="s">
        <v>26</v>
      </c>
      <c r="AV13" t="s">
        <v>12</v>
      </c>
      <c r="AW13" t="s">
        <v>28</v>
      </c>
      <c r="AX13" t="s">
        <v>29</v>
      </c>
      <c r="AY13" t="s">
        <v>68</v>
      </c>
      <c r="AZ13" s="3">
        <v>0</v>
      </c>
      <c r="BA13" t="s">
        <v>2</v>
      </c>
      <c r="BB13" t="s">
        <v>31</v>
      </c>
      <c r="BC13" t="s">
        <v>2</v>
      </c>
      <c r="BD13" t="s">
        <v>32</v>
      </c>
      <c r="BE13">
        <f t="shared" si="0"/>
        <v>716</v>
      </c>
    </row>
    <row r="14" spans="1:58" x14ac:dyDescent="0.2">
      <c r="A14" t="s">
        <v>0</v>
      </c>
      <c r="B14" t="s">
        <v>1</v>
      </c>
      <c r="C14" t="s">
        <v>2</v>
      </c>
      <c r="D14" t="s">
        <v>2</v>
      </c>
      <c r="E14" t="s">
        <v>41</v>
      </c>
      <c r="F14" t="s">
        <v>4</v>
      </c>
      <c r="G14" t="s">
        <v>70</v>
      </c>
      <c r="H14" t="s">
        <v>80</v>
      </c>
      <c r="I14" t="s">
        <v>7</v>
      </c>
      <c r="J14" t="s">
        <v>2</v>
      </c>
      <c r="K14" t="s">
        <v>8</v>
      </c>
      <c r="L14" t="s">
        <v>71</v>
      </c>
      <c r="M14" t="s">
        <v>80</v>
      </c>
      <c r="N14" t="s">
        <v>10</v>
      </c>
      <c r="O14" t="s">
        <v>72</v>
      </c>
      <c r="P14" t="s">
        <v>80</v>
      </c>
      <c r="Q14" t="s">
        <v>13</v>
      </c>
      <c r="R14" t="s">
        <v>73</v>
      </c>
      <c r="S14" s="2">
        <v>45251</v>
      </c>
      <c r="T14" s="2">
        <v>45250</v>
      </c>
      <c r="U14" s="2">
        <v>45283</v>
      </c>
      <c r="V14" s="3">
        <v>0</v>
      </c>
      <c r="W14" s="3">
        <v>0</v>
      </c>
      <c r="X14" t="s">
        <v>74</v>
      </c>
      <c r="Y14" s="2">
        <v>45286</v>
      </c>
      <c r="Z14" t="s">
        <v>47</v>
      </c>
      <c r="AA14" t="s">
        <v>75</v>
      </c>
      <c r="AB14" t="s">
        <v>2</v>
      </c>
      <c r="AC14" t="s">
        <v>49</v>
      </c>
      <c r="AD14" t="s">
        <v>50</v>
      </c>
      <c r="AE14" t="s">
        <v>51</v>
      </c>
      <c r="AF14" s="4">
        <v>1</v>
      </c>
      <c r="AG14" s="4">
        <v>1</v>
      </c>
      <c r="AH14" s="3">
        <v>235</v>
      </c>
      <c r="AI14" s="3">
        <v>235</v>
      </c>
      <c r="AJ14" s="3">
        <v>189609.75</v>
      </c>
      <c r="AK14" s="3">
        <v>189116.25</v>
      </c>
      <c r="AL14" t="s">
        <v>52</v>
      </c>
      <c r="AM14" s="2"/>
      <c r="AN14" s="3">
        <v>0</v>
      </c>
      <c r="AO14" s="2"/>
      <c r="AP14" s="3">
        <v>0</v>
      </c>
      <c r="AQ14" t="s">
        <v>53</v>
      </c>
      <c r="AR14" t="s">
        <v>54</v>
      </c>
      <c r="AS14" t="s">
        <v>55</v>
      </c>
      <c r="AT14" t="s">
        <v>56</v>
      </c>
      <c r="AU14" t="s">
        <v>26</v>
      </c>
      <c r="AV14" t="s">
        <v>12</v>
      </c>
      <c r="AW14" t="s">
        <v>28</v>
      </c>
      <c r="AX14" t="s">
        <v>29</v>
      </c>
      <c r="AY14" t="s">
        <v>68</v>
      </c>
      <c r="AZ14" s="3">
        <v>0</v>
      </c>
      <c r="BA14" t="s">
        <v>2</v>
      </c>
      <c r="BB14" t="s">
        <v>31</v>
      </c>
      <c r="BC14" t="s">
        <v>2</v>
      </c>
      <c r="BD14" t="s">
        <v>32</v>
      </c>
      <c r="BE14">
        <f t="shared" si="0"/>
        <v>235</v>
      </c>
    </row>
    <row r="15" spans="1:58" x14ac:dyDescent="0.2">
      <c r="A15" t="s">
        <v>0</v>
      </c>
      <c r="B15" t="s">
        <v>1</v>
      </c>
      <c r="C15" t="s">
        <v>2</v>
      </c>
      <c r="D15" t="s">
        <v>2</v>
      </c>
      <c r="E15" t="s">
        <v>3</v>
      </c>
      <c r="F15" t="s">
        <v>4</v>
      </c>
      <c r="G15" t="s">
        <v>81</v>
      </c>
      <c r="H15" t="s">
        <v>6</v>
      </c>
      <c r="I15" t="s">
        <v>7</v>
      </c>
      <c r="J15" t="s">
        <v>2</v>
      </c>
      <c r="K15" t="s">
        <v>8</v>
      </c>
      <c r="L15" t="s">
        <v>82</v>
      </c>
      <c r="M15" t="s">
        <v>6</v>
      </c>
      <c r="N15" t="s">
        <v>10</v>
      </c>
      <c r="O15" t="s">
        <v>83</v>
      </c>
      <c r="P15" t="s">
        <v>6</v>
      </c>
      <c r="Q15" t="s">
        <v>13</v>
      </c>
      <c r="R15" t="s">
        <v>84</v>
      </c>
      <c r="S15" s="2">
        <v>45251</v>
      </c>
      <c r="T15" s="2">
        <v>45250</v>
      </c>
      <c r="U15" s="2">
        <v>45283</v>
      </c>
      <c r="V15" s="3">
        <v>0</v>
      </c>
      <c r="W15" s="3">
        <v>0</v>
      </c>
      <c r="X15" t="s">
        <v>85</v>
      </c>
      <c r="Y15" s="2">
        <v>45286</v>
      </c>
      <c r="Z15" t="s">
        <v>16</v>
      </c>
      <c r="AA15" t="s">
        <v>86</v>
      </c>
      <c r="AB15" t="s">
        <v>2</v>
      </c>
      <c r="AC15" t="s">
        <v>18</v>
      </c>
      <c r="AD15" t="s">
        <v>19</v>
      </c>
      <c r="AE15" t="s">
        <v>20</v>
      </c>
      <c r="AF15" s="4">
        <v>2250</v>
      </c>
      <c r="AG15" s="4">
        <v>2250</v>
      </c>
      <c r="AH15" s="3">
        <v>6.44</v>
      </c>
      <c r="AI15" s="3">
        <v>14490</v>
      </c>
      <c r="AJ15" s="3">
        <v>11691256.5</v>
      </c>
      <c r="AK15" s="3">
        <v>11660827.5</v>
      </c>
      <c r="AL15" t="s">
        <v>21</v>
      </c>
      <c r="AM15" s="2"/>
      <c r="AN15" s="3">
        <v>0</v>
      </c>
      <c r="AO15" s="2"/>
      <c r="AP15" s="3">
        <v>0</v>
      </c>
      <c r="AQ15" t="s">
        <v>22</v>
      </c>
      <c r="AR15" t="s">
        <v>87</v>
      </c>
      <c r="AS15" t="s">
        <v>88</v>
      </c>
      <c r="AT15" t="s">
        <v>89</v>
      </c>
      <c r="AU15" t="s">
        <v>26</v>
      </c>
      <c r="AV15" t="s">
        <v>27</v>
      </c>
      <c r="AW15" t="s">
        <v>28</v>
      </c>
      <c r="AX15" t="s">
        <v>29</v>
      </c>
      <c r="AY15" t="s">
        <v>68</v>
      </c>
      <c r="AZ15" s="3">
        <v>0</v>
      </c>
      <c r="BA15" t="s">
        <v>2</v>
      </c>
      <c r="BB15" t="s">
        <v>31</v>
      </c>
      <c r="BC15" t="s">
        <v>2</v>
      </c>
      <c r="BD15" t="s">
        <v>32</v>
      </c>
      <c r="BE15">
        <f t="shared" si="0"/>
        <v>14490</v>
      </c>
    </row>
    <row r="16" spans="1:58" x14ac:dyDescent="0.2">
      <c r="A16" t="s">
        <v>0</v>
      </c>
      <c r="B16" t="s">
        <v>1</v>
      </c>
      <c r="C16" t="s">
        <v>2</v>
      </c>
      <c r="D16" t="s">
        <v>2</v>
      </c>
      <c r="E16" t="s">
        <v>33</v>
      </c>
      <c r="F16" t="s">
        <v>4</v>
      </c>
      <c r="G16" t="s">
        <v>81</v>
      </c>
      <c r="H16" t="s">
        <v>27</v>
      </c>
      <c r="I16" t="s">
        <v>7</v>
      </c>
      <c r="J16" t="s">
        <v>2</v>
      </c>
      <c r="K16" t="s">
        <v>8</v>
      </c>
      <c r="L16" t="s">
        <v>82</v>
      </c>
      <c r="M16" t="s">
        <v>27</v>
      </c>
      <c r="N16" t="s">
        <v>10</v>
      </c>
      <c r="O16" t="s">
        <v>83</v>
      </c>
      <c r="P16" t="s">
        <v>27</v>
      </c>
      <c r="Q16" t="s">
        <v>13</v>
      </c>
      <c r="R16" t="s">
        <v>84</v>
      </c>
      <c r="S16" s="2">
        <v>45251</v>
      </c>
      <c r="T16" s="2">
        <v>45250</v>
      </c>
      <c r="U16" s="2">
        <v>45283</v>
      </c>
      <c r="V16" s="3">
        <v>0</v>
      </c>
      <c r="W16" s="3">
        <v>0</v>
      </c>
      <c r="X16" t="s">
        <v>85</v>
      </c>
      <c r="Y16" s="2">
        <v>45286</v>
      </c>
      <c r="Z16" t="s">
        <v>16</v>
      </c>
      <c r="AA16" t="s">
        <v>86</v>
      </c>
      <c r="AB16" t="s">
        <v>2</v>
      </c>
      <c r="AC16" t="s">
        <v>18</v>
      </c>
      <c r="AD16" t="s">
        <v>35</v>
      </c>
      <c r="AE16" t="s">
        <v>36</v>
      </c>
      <c r="AF16" s="4">
        <v>140</v>
      </c>
      <c r="AG16" s="4">
        <v>140</v>
      </c>
      <c r="AH16" s="3">
        <v>3.89</v>
      </c>
      <c r="AI16" s="3">
        <v>544.6</v>
      </c>
      <c r="AJ16" s="3">
        <v>439410.51</v>
      </c>
      <c r="AK16" s="3">
        <v>438266.85</v>
      </c>
      <c r="AL16" t="s">
        <v>21</v>
      </c>
      <c r="AM16" s="2"/>
      <c r="AN16" s="3">
        <v>0</v>
      </c>
      <c r="AO16" s="2"/>
      <c r="AP16" s="3">
        <v>0</v>
      </c>
      <c r="AQ16" t="s">
        <v>22</v>
      </c>
      <c r="AR16" t="s">
        <v>87</v>
      </c>
      <c r="AS16" t="s">
        <v>88</v>
      </c>
      <c r="AT16" t="s">
        <v>89</v>
      </c>
      <c r="AU16" t="s">
        <v>26</v>
      </c>
      <c r="AV16" t="s">
        <v>27</v>
      </c>
      <c r="AW16" t="s">
        <v>28</v>
      </c>
      <c r="AX16" t="s">
        <v>29</v>
      </c>
      <c r="AY16" t="s">
        <v>68</v>
      </c>
      <c r="AZ16" s="3">
        <v>0</v>
      </c>
      <c r="BA16" t="s">
        <v>2</v>
      </c>
      <c r="BB16" t="s">
        <v>31</v>
      </c>
      <c r="BC16" t="s">
        <v>2</v>
      </c>
      <c r="BD16" t="s">
        <v>32</v>
      </c>
      <c r="BE16">
        <f t="shared" si="0"/>
        <v>544.6</v>
      </c>
    </row>
    <row r="17" spans="1:57" x14ac:dyDescent="0.2">
      <c r="A17" t="s">
        <v>0</v>
      </c>
      <c r="B17" t="s">
        <v>1</v>
      </c>
      <c r="C17" t="s">
        <v>2</v>
      </c>
      <c r="D17" t="s">
        <v>2</v>
      </c>
      <c r="E17" t="s">
        <v>37</v>
      </c>
      <c r="F17" t="s">
        <v>4</v>
      </c>
      <c r="G17" t="s">
        <v>90</v>
      </c>
      <c r="H17" t="s">
        <v>6</v>
      </c>
      <c r="I17" t="s">
        <v>7</v>
      </c>
      <c r="J17" t="s">
        <v>91</v>
      </c>
      <c r="K17" t="s">
        <v>8</v>
      </c>
      <c r="L17" t="s">
        <v>92</v>
      </c>
      <c r="M17" t="s">
        <v>6</v>
      </c>
      <c r="N17" t="s">
        <v>2</v>
      </c>
      <c r="O17" t="s">
        <v>2</v>
      </c>
      <c r="P17" t="s">
        <v>93</v>
      </c>
      <c r="Q17" t="s">
        <v>2</v>
      </c>
      <c r="R17" t="s">
        <v>94</v>
      </c>
      <c r="S17" s="2">
        <v>45251</v>
      </c>
      <c r="T17" s="2">
        <v>45250</v>
      </c>
      <c r="U17" s="2">
        <v>45283</v>
      </c>
      <c r="V17" s="3">
        <v>0</v>
      </c>
      <c r="W17" s="3">
        <v>0</v>
      </c>
      <c r="X17" t="s">
        <v>2</v>
      </c>
      <c r="Y17" s="2"/>
      <c r="Z17" t="s">
        <v>16</v>
      </c>
      <c r="AA17" t="s">
        <v>95</v>
      </c>
      <c r="AB17" t="s">
        <v>2</v>
      </c>
      <c r="AC17" t="s">
        <v>18</v>
      </c>
      <c r="AD17" t="s">
        <v>39</v>
      </c>
      <c r="AE17" t="s">
        <v>40</v>
      </c>
      <c r="AF17" s="4">
        <v>1300</v>
      </c>
      <c r="AG17" s="4">
        <v>0</v>
      </c>
      <c r="AH17" s="3">
        <v>1.72</v>
      </c>
      <c r="AI17" s="3">
        <v>2236</v>
      </c>
      <c r="AJ17" s="3">
        <v>1804116.6</v>
      </c>
      <c r="AK17" s="3">
        <v>0</v>
      </c>
      <c r="AL17" t="s">
        <v>21</v>
      </c>
      <c r="AM17" s="2"/>
      <c r="AN17" s="3">
        <v>0</v>
      </c>
      <c r="AO17" s="2"/>
      <c r="AP17" s="3">
        <v>0</v>
      </c>
      <c r="AQ17" t="s">
        <v>22</v>
      </c>
      <c r="AR17" t="s">
        <v>96</v>
      </c>
      <c r="AS17" t="s">
        <v>97</v>
      </c>
      <c r="AT17" t="s">
        <v>98</v>
      </c>
      <c r="AU17" t="s">
        <v>26</v>
      </c>
      <c r="AV17" t="s">
        <v>27</v>
      </c>
      <c r="AW17" t="s">
        <v>28</v>
      </c>
      <c r="AX17" t="s">
        <v>29</v>
      </c>
      <c r="AY17" t="s">
        <v>2</v>
      </c>
      <c r="AZ17" s="3">
        <v>0</v>
      </c>
      <c r="BA17" t="s">
        <v>2</v>
      </c>
      <c r="BB17" t="s">
        <v>31</v>
      </c>
      <c r="BC17" t="s">
        <v>2</v>
      </c>
      <c r="BD17" t="s">
        <v>32</v>
      </c>
      <c r="BE17">
        <f t="shared" si="0"/>
        <v>2236</v>
      </c>
    </row>
    <row r="18" spans="1:57" x14ac:dyDescent="0.2">
      <c r="A18" t="s">
        <v>0</v>
      </c>
      <c r="B18" t="s">
        <v>1</v>
      </c>
      <c r="C18" t="s">
        <v>2</v>
      </c>
      <c r="D18" t="s">
        <v>2</v>
      </c>
      <c r="E18" t="s">
        <v>3</v>
      </c>
      <c r="F18" t="s">
        <v>4</v>
      </c>
      <c r="G18" t="s">
        <v>99</v>
      </c>
      <c r="H18" t="s">
        <v>6</v>
      </c>
      <c r="I18" t="s">
        <v>7</v>
      </c>
      <c r="J18" t="s">
        <v>91</v>
      </c>
      <c r="K18" t="s">
        <v>8</v>
      </c>
      <c r="L18" t="s">
        <v>100</v>
      </c>
      <c r="M18" t="s">
        <v>6</v>
      </c>
      <c r="N18" t="s">
        <v>2</v>
      </c>
      <c r="O18" t="s">
        <v>2</v>
      </c>
      <c r="P18" t="s">
        <v>93</v>
      </c>
      <c r="Q18" t="s">
        <v>2</v>
      </c>
      <c r="R18" t="s">
        <v>101</v>
      </c>
      <c r="S18" s="2">
        <v>45251</v>
      </c>
      <c r="T18" s="2">
        <v>45250</v>
      </c>
      <c r="U18" s="2">
        <v>45283</v>
      </c>
      <c r="V18" s="3">
        <v>0</v>
      </c>
      <c r="W18" s="3">
        <v>0</v>
      </c>
      <c r="X18" t="s">
        <v>2</v>
      </c>
      <c r="Y18" s="2"/>
      <c r="Z18" t="s">
        <v>16</v>
      </c>
      <c r="AA18" t="s">
        <v>95</v>
      </c>
      <c r="AB18" t="s">
        <v>2</v>
      </c>
      <c r="AC18" t="s">
        <v>18</v>
      </c>
      <c r="AD18" t="s">
        <v>19</v>
      </c>
      <c r="AE18" t="s">
        <v>20</v>
      </c>
      <c r="AF18" s="4">
        <v>4140</v>
      </c>
      <c r="AG18" s="4">
        <v>0</v>
      </c>
      <c r="AH18" s="3">
        <v>6.44</v>
      </c>
      <c r="AI18" s="3">
        <v>26661.599999999999</v>
      </c>
      <c r="AJ18" s="3">
        <v>21511911.960000001</v>
      </c>
      <c r="AK18" s="3">
        <v>0</v>
      </c>
      <c r="AL18" t="s">
        <v>21</v>
      </c>
      <c r="AM18" s="2"/>
      <c r="AN18" s="3">
        <v>0</v>
      </c>
      <c r="AO18" s="2"/>
      <c r="AP18" s="3">
        <v>0</v>
      </c>
      <c r="AQ18" t="s">
        <v>22</v>
      </c>
      <c r="AR18" t="s">
        <v>96</v>
      </c>
      <c r="AS18" t="s">
        <v>97</v>
      </c>
      <c r="AT18" t="s">
        <v>98</v>
      </c>
      <c r="AU18" t="s">
        <v>26</v>
      </c>
      <c r="AV18" t="s">
        <v>27</v>
      </c>
      <c r="AW18" t="s">
        <v>28</v>
      </c>
      <c r="AX18" t="s">
        <v>29</v>
      </c>
      <c r="AY18" t="s">
        <v>2</v>
      </c>
      <c r="AZ18" s="3">
        <v>0</v>
      </c>
      <c r="BA18" t="s">
        <v>2</v>
      </c>
      <c r="BB18" t="s">
        <v>31</v>
      </c>
      <c r="BC18" t="s">
        <v>2</v>
      </c>
      <c r="BD18" t="s">
        <v>32</v>
      </c>
      <c r="BE18">
        <f t="shared" si="0"/>
        <v>26661.599999999999</v>
      </c>
    </row>
    <row r="19" spans="1:57" x14ac:dyDescent="0.2">
      <c r="A19" t="s">
        <v>0</v>
      </c>
      <c r="B19" t="s">
        <v>1</v>
      </c>
      <c r="C19" t="s">
        <v>2</v>
      </c>
      <c r="D19" t="s">
        <v>2</v>
      </c>
      <c r="E19" t="s">
        <v>37</v>
      </c>
      <c r="F19" t="s">
        <v>102</v>
      </c>
      <c r="G19" t="s">
        <v>103</v>
      </c>
      <c r="H19" t="s">
        <v>6</v>
      </c>
      <c r="I19" t="s">
        <v>7</v>
      </c>
      <c r="J19" t="s">
        <v>91</v>
      </c>
      <c r="K19" t="s">
        <v>8</v>
      </c>
      <c r="L19" t="s">
        <v>104</v>
      </c>
      <c r="M19" t="s">
        <v>6</v>
      </c>
      <c r="N19" t="s">
        <v>2</v>
      </c>
      <c r="O19" t="s">
        <v>2</v>
      </c>
      <c r="P19" t="s">
        <v>93</v>
      </c>
      <c r="Q19" t="s">
        <v>2</v>
      </c>
      <c r="R19" t="s">
        <v>105</v>
      </c>
      <c r="S19" s="2">
        <v>45251</v>
      </c>
      <c r="T19" s="2">
        <v>45280</v>
      </c>
      <c r="U19" s="2">
        <v>45284</v>
      </c>
      <c r="V19" s="3">
        <v>0</v>
      </c>
      <c r="W19" s="3">
        <v>0</v>
      </c>
      <c r="X19" t="s">
        <v>2</v>
      </c>
      <c r="Y19" s="2"/>
      <c r="Z19" t="s">
        <v>16</v>
      </c>
      <c r="AA19" t="s">
        <v>106</v>
      </c>
      <c r="AB19" t="s">
        <v>2</v>
      </c>
      <c r="AC19" t="s">
        <v>18</v>
      </c>
      <c r="AD19" t="s">
        <v>39</v>
      </c>
      <c r="AE19" t="s">
        <v>40</v>
      </c>
      <c r="AF19" s="4">
        <v>4500</v>
      </c>
      <c r="AG19" s="4">
        <v>0</v>
      </c>
      <c r="AH19" s="3">
        <v>1.72</v>
      </c>
      <c r="AI19" s="3">
        <v>7740</v>
      </c>
      <c r="AJ19" s="3">
        <v>6245019</v>
      </c>
      <c r="AK19" s="3">
        <v>0</v>
      </c>
      <c r="AL19" t="s">
        <v>21</v>
      </c>
      <c r="AM19" s="2"/>
      <c r="AN19" s="3">
        <v>0</v>
      </c>
      <c r="AO19" s="2"/>
      <c r="AP19" s="3">
        <v>0</v>
      </c>
      <c r="AQ19" t="s">
        <v>22</v>
      </c>
      <c r="AR19" t="s">
        <v>107</v>
      </c>
      <c r="AS19" t="s">
        <v>108</v>
      </c>
      <c r="AT19" t="s">
        <v>109</v>
      </c>
      <c r="AU19" t="s">
        <v>26</v>
      </c>
      <c r="AV19" t="s">
        <v>12</v>
      </c>
      <c r="AW19" t="s">
        <v>28</v>
      </c>
      <c r="AX19" t="s">
        <v>29</v>
      </c>
      <c r="AY19" t="s">
        <v>2</v>
      </c>
      <c r="AZ19" s="3">
        <v>0</v>
      </c>
      <c r="BA19" t="s">
        <v>2</v>
      </c>
      <c r="BB19" t="s">
        <v>31</v>
      </c>
      <c r="BC19" t="s">
        <v>2</v>
      </c>
      <c r="BD19" t="s">
        <v>2</v>
      </c>
      <c r="BE19">
        <f t="shared" si="0"/>
        <v>7740</v>
      </c>
    </row>
    <row r="20" spans="1:57" x14ac:dyDescent="0.2">
      <c r="A20" t="s">
        <v>0</v>
      </c>
      <c r="B20" t="s">
        <v>1</v>
      </c>
      <c r="C20" t="s">
        <v>2</v>
      </c>
      <c r="D20" t="s">
        <v>2</v>
      </c>
      <c r="E20" t="s">
        <v>41</v>
      </c>
      <c r="F20" t="s">
        <v>102</v>
      </c>
      <c r="G20" t="s">
        <v>110</v>
      </c>
      <c r="H20" t="s">
        <v>6</v>
      </c>
      <c r="I20" t="s">
        <v>7</v>
      </c>
      <c r="J20" t="s">
        <v>91</v>
      </c>
      <c r="K20" t="s">
        <v>8</v>
      </c>
      <c r="L20" t="s">
        <v>111</v>
      </c>
      <c r="M20" t="s">
        <v>6</v>
      </c>
      <c r="N20" t="s">
        <v>2</v>
      </c>
      <c r="O20" t="s">
        <v>2</v>
      </c>
      <c r="P20" t="s">
        <v>93</v>
      </c>
      <c r="Q20" t="s">
        <v>2</v>
      </c>
      <c r="R20" t="s">
        <v>112</v>
      </c>
      <c r="S20" s="2">
        <v>45251</v>
      </c>
      <c r="T20" s="2">
        <v>45280</v>
      </c>
      <c r="U20" s="2">
        <v>45284</v>
      </c>
      <c r="V20" s="3">
        <v>0</v>
      </c>
      <c r="W20" s="3">
        <v>0</v>
      </c>
      <c r="X20" t="s">
        <v>2</v>
      </c>
      <c r="Y20" s="2"/>
      <c r="Z20" t="s">
        <v>47</v>
      </c>
      <c r="AA20" t="s">
        <v>413</v>
      </c>
      <c r="AB20" t="s">
        <v>2</v>
      </c>
      <c r="AC20" t="s">
        <v>49</v>
      </c>
      <c r="AD20" t="s">
        <v>64</v>
      </c>
      <c r="AE20" t="s">
        <v>65</v>
      </c>
      <c r="AF20" s="4">
        <v>6</v>
      </c>
      <c r="AG20" s="4">
        <v>0</v>
      </c>
      <c r="AH20" s="3">
        <v>986</v>
      </c>
      <c r="AI20" s="3">
        <v>5916</v>
      </c>
      <c r="AJ20" s="3">
        <v>4773324.5999999996</v>
      </c>
      <c r="AK20" s="3">
        <v>0</v>
      </c>
      <c r="AL20" t="s">
        <v>52</v>
      </c>
      <c r="AM20" s="2"/>
      <c r="AN20" s="3">
        <v>0</v>
      </c>
      <c r="AO20" s="2"/>
      <c r="AP20" s="3">
        <v>0</v>
      </c>
      <c r="AQ20" t="s">
        <v>53</v>
      </c>
      <c r="AR20" t="s">
        <v>107</v>
      </c>
      <c r="AS20" t="s">
        <v>108</v>
      </c>
      <c r="AT20" t="s">
        <v>109</v>
      </c>
      <c r="AU20" t="s">
        <v>26</v>
      </c>
      <c r="AV20" t="s">
        <v>12</v>
      </c>
      <c r="AW20" t="s">
        <v>28</v>
      </c>
      <c r="AX20" t="s">
        <v>29</v>
      </c>
      <c r="AY20" t="s">
        <v>2</v>
      </c>
      <c r="AZ20" s="3">
        <v>0</v>
      </c>
      <c r="BA20" t="s">
        <v>2</v>
      </c>
      <c r="BB20" t="s">
        <v>31</v>
      </c>
      <c r="BC20" t="s">
        <v>2</v>
      </c>
      <c r="BD20" t="s">
        <v>2</v>
      </c>
      <c r="BE20">
        <f t="shared" si="0"/>
        <v>5916</v>
      </c>
    </row>
    <row r="21" spans="1:57" x14ac:dyDescent="0.2">
      <c r="A21" t="s">
        <v>0</v>
      </c>
      <c r="B21" t="s">
        <v>1</v>
      </c>
      <c r="C21" t="s">
        <v>2</v>
      </c>
      <c r="D21" t="s">
        <v>2</v>
      </c>
      <c r="E21" t="s">
        <v>113</v>
      </c>
      <c r="F21" t="s">
        <v>102</v>
      </c>
      <c r="G21" t="s">
        <v>110</v>
      </c>
      <c r="H21" t="s">
        <v>27</v>
      </c>
      <c r="I21" t="s">
        <v>7</v>
      </c>
      <c r="J21" t="s">
        <v>91</v>
      </c>
      <c r="K21" t="s">
        <v>8</v>
      </c>
      <c r="L21" t="s">
        <v>111</v>
      </c>
      <c r="M21" t="s">
        <v>27</v>
      </c>
      <c r="N21" t="s">
        <v>2</v>
      </c>
      <c r="O21" t="s">
        <v>2</v>
      </c>
      <c r="P21" t="s">
        <v>93</v>
      </c>
      <c r="Q21" t="s">
        <v>2</v>
      </c>
      <c r="R21" t="s">
        <v>112</v>
      </c>
      <c r="S21" s="2">
        <v>45251</v>
      </c>
      <c r="T21" s="2">
        <v>45280</v>
      </c>
      <c r="U21" s="2">
        <v>45284</v>
      </c>
      <c r="V21" s="3">
        <v>0</v>
      </c>
      <c r="W21" s="3">
        <v>0</v>
      </c>
      <c r="X21" t="s">
        <v>2</v>
      </c>
      <c r="Y21" s="2"/>
      <c r="Z21" t="s">
        <v>47</v>
      </c>
      <c r="AA21" t="s">
        <v>413</v>
      </c>
      <c r="AB21" t="s">
        <v>2</v>
      </c>
      <c r="AC21" t="s">
        <v>49</v>
      </c>
      <c r="AD21" t="s">
        <v>114</v>
      </c>
      <c r="AE21" t="s">
        <v>115</v>
      </c>
      <c r="AF21" s="4">
        <v>2</v>
      </c>
      <c r="AG21" s="4">
        <v>0</v>
      </c>
      <c r="AH21" s="3">
        <v>356</v>
      </c>
      <c r="AI21" s="3">
        <v>712</v>
      </c>
      <c r="AJ21" s="3">
        <v>574477.19999999995</v>
      </c>
      <c r="AK21" s="3">
        <v>0</v>
      </c>
      <c r="AL21" t="s">
        <v>52</v>
      </c>
      <c r="AM21" s="2"/>
      <c r="AN21" s="3">
        <v>0</v>
      </c>
      <c r="AO21" s="2"/>
      <c r="AP21" s="3">
        <v>0</v>
      </c>
      <c r="AQ21" t="s">
        <v>53</v>
      </c>
      <c r="AR21" t="s">
        <v>107</v>
      </c>
      <c r="AS21" t="s">
        <v>108</v>
      </c>
      <c r="AT21" t="s">
        <v>109</v>
      </c>
      <c r="AU21" t="s">
        <v>26</v>
      </c>
      <c r="AV21" t="s">
        <v>12</v>
      </c>
      <c r="AW21" t="s">
        <v>28</v>
      </c>
      <c r="AX21" t="s">
        <v>29</v>
      </c>
      <c r="AY21" t="s">
        <v>2</v>
      </c>
      <c r="AZ21" s="3">
        <v>0</v>
      </c>
      <c r="BA21" t="s">
        <v>2</v>
      </c>
      <c r="BB21" t="s">
        <v>31</v>
      </c>
      <c r="BC21" t="s">
        <v>2</v>
      </c>
      <c r="BD21" t="s">
        <v>2</v>
      </c>
      <c r="BE21">
        <f t="shared" si="0"/>
        <v>712</v>
      </c>
    </row>
    <row r="22" spans="1:57" x14ac:dyDescent="0.2">
      <c r="A22" t="s">
        <v>0</v>
      </c>
      <c r="B22" t="s">
        <v>1</v>
      </c>
      <c r="C22" t="s">
        <v>2</v>
      </c>
      <c r="D22" t="s">
        <v>2</v>
      </c>
      <c r="E22" t="s">
        <v>33</v>
      </c>
      <c r="F22" t="s">
        <v>4</v>
      </c>
      <c r="G22" t="s">
        <v>116</v>
      </c>
      <c r="H22" t="s">
        <v>6</v>
      </c>
      <c r="I22" t="s">
        <v>7</v>
      </c>
      <c r="J22" t="s">
        <v>91</v>
      </c>
      <c r="K22" t="s">
        <v>8</v>
      </c>
      <c r="L22" t="s">
        <v>117</v>
      </c>
      <c r="M22" t="s">
        <v>6</v>
      </c>
      <c r="N22" t="s">
        <v>2</v>
      </c>
      <c r="O22" t="s">
        <v>2</v>
      </c>
      <c r="P22" t="s">
        <v>93</v>
      </c>
      <c r="Q22" t="s">
        <v>2</v>
      </c>
      <c r="R22" t="s">
        <v>118</v>
      </c>
      <c r="S22" s="2">
        <v>45251</v>
      </c>
      <c r="T22" s="2">
        <v>45280</v>
      </c>
      <c r="U22" s="2">
        <v>45284</v>
      </c>
      <c r="V22" s="3">
        <v>0</v>
      </c>
      <c r="W22" s="3">
        <v>0</v>
      </c>
      <c r="X22" t="s">
        <v>2</v>
      </c>
      <c r="Y22" s="2"/>
      <c r="Z22" t="s">
        <v>16</v>
      </c>
      <c r="AA22" t="s">
        <v>119</v>
      </c>
      <c r="AB22" t="s">
        <v>2</v>
      </c>
      <c r="AC22" t="s">
        <v>18</v>
      </c>
      <c r="AD22" t="s">
        <v>120</v>
      </c>
      <c r="AE22" t="s">
        <v>121</v>
      </c>
      <c r="AF22" s="4">
        <v>4455</v>
      </c>
      <c r="AG22" s="4">
        <v>0</v>
      </c>
      <c r="AH22" s="3">
        <v>3.02</v>
      </c>
      <c r="AI22" s="3">
        <v>13454.1</v>
      </c>
      <c r="AJ22" s="3">
        <v>10855440.59</v>
      </c>
      <c r="AK22" s="3">
        <v>0</v>
      </c>
      <c r="AL22" t="s">
        <v>21</v>
      </c>
      <c r="AM22" s="2"/>
      <c r="AN22" s="3">
        <v>0</v>
      </c>
      <c r="AO22" s="2"/>
      <c r="AP22" s="3">
        <v>0</v>
      </c>
      <c r="AQ22" t="s">
        <v>22</v>
      </c>
      <c r="AR22" t="s">
        <v>122</v>
      </c>
      <c r="AS22" t="s">
        <v>123</v>
      </c>
      <c r="AT22" t="s">
        <v>124</v>
      </c>
      <c r="AU22" t="s">
        <v>26</v>
      </c>
      <c r="AV22" t="s">
        <v>12</v>
      </c>
      <c r="AW22" t="s">
        <v>28</v>
      </c>
      <c r="AX22" t="s">
        <v>29</v>
      </c>
      <c r="AY22" t="s">
        <v>2</v>
      </c>
      <c r="AZ22" s="3">
        <v>0</v>
      </c>
      <c r="BA22" t="s">
        <v>2</v>
      </c>
      <c r="BB22" t="s">
        <v>31</v>
      </c>
      <c r="BC22" t="s">
        <v>2</v>
      </c>
      <c r="BD22" t="s">
        <v>125</v>
      </c>
      <c r="BE22">
        <f t="shared" si="0"/>
        <v>13454.1</v>
      </c>
    </row>
    <row r="23" spans="1:57" x14ac:dyDescent="0.2">
      <c r="A23" t="s">
        <v>0</v>
      </c>
      <c r="B23" t="s">
        <v>1</v>
      </c>
      <c r="C23" t="s">
        <v>2</v>
      </c>
      <c r="D23" t="s">
        <v>2</v>
      </c>
      <c r="E23" t="s">
        <v>33</v>
      </c>
      <c r="F23" t="s">
        <v>4</v>
      </c>
      <c r="G23" t="s">
        <v>116</v>
      </c>
      <c r="H23" t="s">
        <v>27</v>
      </c>
      <c r="I23" t="s">
        <v>7</v>
      </c>
      <c r="J23" t="s">
        <v>91</v>
      </c>
      <c r="K23" t="s">
        <v>8</v>
      </c>
      <c r="L23" t="s">
        <v>117</v>
      </c>
      <c r="M23" t="s">
        <v>27</v>
      </c>
      <c r="N23" t="s">
        <v>2</v>
      </c>
      <c r="O23" t="s">
        <v>2</v>
      </c>
      <c r="P23" t="s">
        <v>93</v>
      </c>
      <c r="Q23" t="s">
        <v>2</v>
      </c>
      <c r="R23" t="s">
        <v>118</v>
      </c>
      <c r="S23" s="2">
        <v>45251</v>
      </c>
      <c r="T23" s="2">
        <v>45280</v>
      </c>
      <c r="U23" s="2">
        <v>45284</v>
      </c>
      <c r="V23" s="3">
        <v>0</v>
      </c>
      <c r="W23" s="3">
        <v>0</v>
      </c>
      <c r="X23" t="s">
        <v>2</v>
      </c>
      <c r="Y23" s="2"/>
      <c r="Z23" t="s">
        <v>16</v>
      </c>
      <c r="AA23" t="s">
        <v>119</v>
      </c>
      <c r="AB23" t="s">
        <v>2</v>
      </c>
      <c r="AC23" t="s">
        <v>18</v>
      </c>
      <c r="AD23" t="s">
        <v>126</v>
      </c>
      <c r="AE23" t="s">
        <v>127</v>
      </c>
      <c r="AF23" s="4">
        <v>2285</v>
      </c>
      <c r="AG23" s="4">
        <v>0</v>
      </c>
      <c r="AH23" s="3">
        <v>3.06</v>
      </c>
      <c r="AI23" s="3">
        <v>6992.1</v>
      </c>
      <c r="AJ23" s="3">
        <v>5641575.8899999997</v>
      </c>
      <c r="AK23" s="3">
        <v>0</v>
      </c>
      <c r="AL23" t="s">
        <v>21</v>
      </c>
      <c r="AM23" s="2"/>
      <c r="AN23" s="3">
        <v>0</v>
      </c>
      <c r="AO23" s="2"/>
      <c r="AP23" s="3">
        <v>0</v>
      </c>
      <c r="AQ23" t="s">
        <v>22</v>
      </c>
      <c r="AR23" t="s">
        <v>122</v>
      </c>
      <c r="AS23" t="s">
        <v>123</v>
      </c>
      <c r="AT23" t="s">
        <v>124</v>
      </c>
      <c r="AU23" t="s">
        <v>26</v>
      </c>
      <c r="AV23" t="s">
        <v>12</v>
      </c>
      <c r="AW23" t="s">
        <v>28</v>
      </c>
      <c r="AX23" t="s">
        <v>29</v>
      </c>
      <c r="AY23" t="s">
        <v>2</v>
      </c>
      <c r="AZ23" s="3">
        <v>0</v>
      </c>
      <c r="BA23" t="s">
        <v>2</v>
      </c>
      <c r="BB23" t="s">
        <v>31</v>
      </c>
      <c r="BC23" t="s">
        <v>2</v>
      </c>
      <c r="BD23" t="s">
        <v>125</v>
      </c>
      <c r="BE23">
        <f t="shared" si="0"/>
        <v>6992.1</v>
      </c>
    </row>
    <row r="24" spans="1:57" x14ac:dyDescent="0.2">
      <c r="A24" t="s">
        <v>0</v>
      </c>
      <c r="B24" t="s">
        <v>1</v>
      </c>
      <c r="C24" t="s">
        <v>2</v>
      </c>
      <c r="D24" t="s">
        <v>2</v>
      </c>
      <c r="E24" t="s">
        <v>33</v>
      </c>
      <c r="F24" t="s">
        <v>4</v>
      </c>
      <c r="G24" t="s">
        <v>116</v>
      </c>
      <c r="H24" t="s">
        <v>38</v>
      </c>
      <c r="I24" t="s">
        <v>7</v>
      </c>
      <c r="J24" t="s">
        <v>91</v>
      </c>
      <c r="K24" t="s">
        <v>8</v>
      </c>
      <c r="L24" t="s">
        <v>117</v>
      </c>
      <c r="M24" t="s">
        <v>38</v>
      </c>
      <c r="N24" t="s">
        <v>2</v>
      </c>
      <c r="O24" t="s">
        <v>2</v>
      </c>
      <c r="P24" t="s">
        <v>93</v>
      </c>
      <c r="Q24" t="s">
        <v>2</v>
      </c>
      <c r="R24" t="s">
        <v>118</v>
      </c>
      <c r="S24" s="2">
        <v>45251</v>
      </c>
      <c r="T24" s="2">
        <v>45280</v>
      </c>
      <c r="U24" s="2">
        <v>45284</v>
      </c>
      <c r="V24" s="3">
        <v>0</v>
      </c>
      <c r="W24" s="3">
        <v>0</v>
      </c>
      <c r="X24" t="s">
        <v>2</v>
      </c>
      <c r="Y24" s="2"/>
      <c r="Z24" t="s">
        <v>16</v>
      </c>
      <c r="AA24" t="s">
        <v>119</v>
      </c>
      <c r="AB24" t="s">
        <v>2</v>
      </c>
      <c r="AC24" t="s">
        <v>18</v>
      </c>
      <c r="AD24" t="s">
        <v>128</v>
      </c>
      <c r="AE24" t="s">
        <v>129</v>
      </c>
      <c r="AF24" s="4">
        <v>805</v>
      </c>
      <c r="AG24" s="4">
        <v>0</v>
      </c>
      <c r="AH24" s="3">
        <v>4.3899999999999997</v>
      </c>
      <c r="AI24" s="3">
        <v>3533.95</v>
      </c>
      <c r="AJ24" s="3">
        <v>2851367.56</v>
      </c>
      <c r="AK24" s="3">
        <v>0</v>
      </c>
      <c r="AL24" t="s">
        <v>21</v>
      </c>
      <c r="AM24" s="2"/>
      <c r="AN24" s="3">
        <v>0</v>
      </c>
      <c r="AO24" s="2"/>
      <c r="AP24" s="3">
        <v>0</v>
      </c>
      <c r="AQ24" t="s">
        <v>22</v>
      </c>
      <c r="AR24" t="s">
        <v>122</v>
      </c>
      <c r="AS24" t="s">
        <v>123</v>
      </c>
      <c r="AT24" t="s">
        <v>124</v>
      </c>
      <c r="AU24" t="s">
        <v>26</v>
      </c>
      <c r="AV24" t="s">
        <v>12</v>
      </c>
      <c r="AW24" t="s">
        <v>28</v>
      </c>
      <c r="AX24" t="s">
        <v>29</v>
      </c>
      <c r="AY24" t="s">
        <v>2</v>
      </c>
      <c r="AZ24" s="3">
        <v>0</v>
      </c>
      <c r="BA24" t="s">
        <v>2</v>
      </c>
      <c r="BB24" t="s">
        <v>31</v>
      </c>
      <c r="BC24" t="s">
        <v>2</v>
      </c>
      <c r="BD24" t="s">
        <v>125</v>
      </c>
      <c r="BE24">
        <f t="shared" si="0"/>
        <v>3533.95</v>
      </c>
    </row>
    <row r="25" spans="1:57" x14ac:dyDescent="0.2">
      <c r="A25" t="s">
        <v>0</v>
      </c>
      <c r="B25" t="s">
        <v>1</v>
      </c>
      <c r="C25" t="s">
        <v>2</v>
      </c>
      <c r="D25" t="s">
        <v>2</v>
      </c>
      <c r="E25" t="s">
        <v>130</v>
      </c>
      <c r="F25" t="s">
        <v>4</v>
      </c>
      <c r="G25" t="s">
        <v>116</v>
      </c>
      <c r="H25" t="s">
        <v>76</v>
      </c>
      <c r="I25" t="s">
        <v>7</v>
      </c>
      <c r="J25" t="s">
        <v>91</v>
      </c>
      <c r="K25" t="s">
        <v>8</v>
      </c>
      <c r="L25" t="s">
        <v>117</v>
      </c>
      <c r="M25" t="s">
        <v>76</v>
      </c>
      <c r="N25" t="s">
        <v>2</v>
      </c>
      <c r="O25" t="s">
        <v>2</v>
      </c>
      <c r="P25" t="s">
        <v>93</v>
      </c>
      <c r="Q25" t="s">
        <v>2</v>
      </c>
      <c r="R25" t="s">
        <v>118</v>
      </c>
      <c r="S25" s="2">
        <v>45251</v>
      </c>
      <c r="T25" s="2">
        <v>45280</v>
      </c>
      <c r="U25" s="2">
        <v>45284</v>
      </c>
      <c r="V25" s="3">
        <v>0</v>
      </c>
      <c r="W25" s="3">
        <v>0</v>
      </c>
      <c r="X25" t="s">
        <v>2</v>
      </c>
      <c r="Y25" s="2"/>
      <c r="Z25" t="s">
        <v>16</v>
      </c>
      <c r="AA25" t="s">
        <v>119</v>
      </c>
      <c r="AB25" t="s">
        <v>2</v>
      </c>
      <c r="AC25" t="s">
        <v>18</v>
      </c>
      <c r="AD25" t="s">
        <v>131</v>
      </c>
      <c r="AE25" t="s">
        <v>132</v>
      </c>
      <c r="AF25" s="4">
        <v>260</v>
      </c>
      <c r="AG25" s="4">
        <v>0</v>
      </c>
      <c r="AH25" s="3">
        <v>3.51</v>
      </c>
      <c r="AI25" s="3">
        <v>912.6</v>
      </c>
      <c r="AJ25" s="3">
        <v>736331.31</v>
      </c>
      <c r="AK25" s="3">
        <v>0</v>
      </c>
      <c r="AL25" t="s">
        <v>21</v>
      </c>
      <c r="AM25" s="2"/>
      <c r="AN25" s="3">
        <v>0</v>
      </c>
      <c r="AO25" s="2"/>
      <c r="AP25" s="3">
        <v>0</v>
      </c>
      <c r="AQ25" t="s">
        <v>22</v>
      </c>
      <c r="AR25" t="s">
        <v>122</v>
      </c>
      <c r="AS25" t="s">
        <v>123</v>
      </c>
      <c r="AT25" t="s">
        <v>124</v>
      </c>
      <c r="AU25" t="s">
        <v>26</v>
      </c>
      <c r="AV25" t="s">
        <v>12</v>
      </c>
      <c r="AW25" t="s">
        <v>28</v>
      </c>
      <c r="AX25" t="s">
        <v>29</v>
      </c>
      <c r="AY25" t="s">
        <v>2</v>
      </c>
      <c r="AZ25" s="3">
        <v>0</v>
      </c>
      <c r="BA25" t="s">
        <v>2</v>
      </c>
      <c r="BB25" t="s">
        <v>31</v>
      </c>
      <c r="BC25" t="s">
        <v>2</v>
      </c>
      <c r="BD25" t="s">
        <v>125</v>
      </c>
      <c r="BE25">
        <f t="shared" si="0"/>
        <v>912.6</v>
      </c>
    </row>
    <row r="26" spans="1:57" x14ac:dyDescent="0.2">
      <c r="A26" t="s">
        <v>0</v>
      </c>
      <c r="B26" t="s">
        <v>1</v>
      </c>
      <c r="C26" t="s">
        <v>2</v>
      </c>
      <c r="D26" t="s">
        <v>2</v>
      </c>
      <c r="E26" t="s">
        <v>133</v>
      </c>
      <c r="F26" t="s">
        <v>4</v>
      </c>
      <c r="G26" t="s">
        <v>116</v>
      </c>
      <c r="H26" t="s">
        <v>79</v>
      </c>
      <c r="I26" t="s">
        <v>7</v>
      </c>
      <c r="J26" t="s">
        <v>91</v>
      </c>
      <c r="K26" t="s">
        <v>8</v>
      </c>
      <c r="L26" t="s">
        <v>117</v>
      </c>
      <c r="M26" t="s">
        <v>79</v>
      </c>
      <c r="N26" t="s">
        <v>2</v>
      </c>
      <c r="O26" t="s">
        <v>2</v>
      </c>
      <c r="P26" t="s">
        <v>93</v>
      </c>
      <c r="Q26" t="s">
        <v>2</v>
      </c>
      <c r="R26" t="s">
        <v>118</v>
      </c>
      <c r="S26" s="2">
        <v>45251</v>
      </c>
      <c r="T26" s="2">
        <v>45280</v>
      </c>
      <c r="U26" s="2">
        <v>45284</v>
      </c>
      <c r="V26" s="3">
        <v>0</v>
      </c>
      <c r="W26" s="3">
        <v>0</v>
      </c>
      <c r="X26" t="s">
        <v>2</v>
      </c>
      <c r="Y26" s="2"/>
      <c r="Z26" t="s">
        <v>16</v>
      </c>
      <c r="AA26" t="s">
        <v>119</v>
      </c>
      <c r="AB26" t="s">
        <v>2</v>
      </c>
      <c r="AC26" t="s">
        <v>18</v>
      </c>
      <c r="AD26" t="s">
        <v>134</v>
      </c>
      <c r="AE26" t="s">
        <v>135</v>
      </c>
      <c r="AF26" s="4">
        <v>945</v>
      </c>
      <c r="AG26" s="4">
        <v>0</v>
      </c>
      <c r="AH26" s="3">
        <v>2.34</v>
      </c>
      <c r="AI26" s="3">
        <v>2211.3000000000002</v>
      </c>
      <c r="AJ26" s="3">
        <v>1784187.41</v>
      </c>
      <c r="AK26" s="3">
        <v>0</v>
      </c>
      <c r="AL26" t="s">
        <v>21</v>
      </c>
      <c r="AM26" s="2"/>
      <c r="AN26" s="3">
        <v>0</v>
      </c>
      <c r="AO26" s="2"/>
      <c r="AP26" s="3">
        <v>0</v>
      </c>
      <c r="AQ26" t="s">
        <v>22</v>
      </c>
      <c r="AR26" t="s">
        <v>122</v>
      </c>
      <c r="AS26" t="s">
        <v>123</v>
      </c>
      <c r="AT26" t="s">
        <v>124</v>
      </c>
      <c r="AU26" t="s">
        <v>26</v>
      </c>
      <c r="AV26" t="s">
        <v>12</v>
      </c>
      <c r="AW26" t="s">
        <v>28</v>
      </c>
      <c r="AX26" t="s">
        <v>29</v>
      </c>
      <c r="AY26" t="s">
        <v>2</v>
      </c>
      <c r="AZ26" s="3">
        <v>0</v>
      </c>
      <c r="BA26" t="s">
        <v>2</v>
      </c>
      <c r="BB26" t="s">
        <v>31</v>
      </c>
      <c r="BC26" t="s">
        <v>2</v>
      </c>
      <c r="BD26" t="s">
        <v>125</v>
      </c>
      <c r="BE26">
        <f t="shared" si="0"/>
        <v>2211.3000000000002</v>
      </c>
    </row>
    <row r="27" spans="1:57" x14ac:dyDescent="0.2">
      <c r="A27" t="s">
        <v>0</v>
      </c>
      <c r="B27" t="s">
        <v>1</v>
      </c>
      <c r="C27" t="s">
        <v>2</v>
      </c>
      <c r="D27" t="s">
        <v>2</v>
      </c>
      <c r="E27" t="s">
        <v>133</v>
      </c>
      <c r="F27" t="s">
        <v>4</v>
      </c>
      <c r="G27" t="s">
        <v>116</v>
      </c>
      <c r="H27" t="s">
        <v>80</v>
      </c>
      <c r="I27" t="s">
        <v>7</v>
      </c>
      <c r="J27" t="s">
        <v>91</v>
      </c>
      <c r="K27" t="s">
        <v>8</v>
      </c>
      <c r="L27" t="s">
        <v>117</v>
      </c>
      <c r="M27" t="s">
        <v>80</v>
      </c>
      <c r="N27" t="s">
        <v>2</v>
      </c>
      <c r="O27" t="s">
        <v>2</v>
      </c>
      <c r="P27" t="s">
        <v>93</v>
      </c>
      <c r="Q27" t="s">
        <v>2</v>
      </c>
      <c r="R27" t="s">
        <v>118</v>
      </c>
      <c r="S27" s="2">
        <v>45251</v>
      </c>
      <c r="T27" s="2">
        <v>45280</v>
      </c>
      <c r="U27" s="2">
        <v>45284</v>
      </c>
      <c r="V27" s="3">
        <v>0</v>
      </c>
      <c r="W27" s="3">
        <v>0</v>
      </c>
      <c r="X27" t="s">
        <v>2</v>
      </c>
      <c r="Y27" s="2"/>
      <c r="Z27" t="s">
        <v>16</v>
      </c>
      <c r="AA27" t="s">
        <v>119</v>
      </c>
      <c r="AB27" t="s">
        <v>2</v>
      </c>
      <c r="AC27" t="s">
        <v>18</v>
      </c>
      <c r="AD27" t="s">
        <v>136</v>
      </c>
      <c r="AE27" t="s">
        <v>135</v>
      </c>
      <c r="AF27" s="4">
        <v>900</v>
      </c>
      <c r="AG27" s="4">
        <v>0</v>
      </c>
      <c r="AH27" s="3">
        <v>4.32</v>
      </c>
      <c r="AI27" s="3">
        <v>3888</v>
      </c>
      <c r="AJ27" s="3">
        <v>3137032.8</v>
      </c>
      <c r="AK27" s="3">
        <v>0</v>
      </c>
      <c r="AL27" t="s">
        <v>21</v>
      </c>
      <c r="AM27" s="2"/>
      <c r="AN27" s="3">
        <v>0</v>
      </c>
      <c r="AO27" s="2"/>
      <c r="AP27" s="3">
        <v>0</v>
      </c>
      <c r="AQ27" t="s">
        <v>22</v>
      </c>
      <c r="AR27" t="s">
        <v>122</v>
      </c>
      <c r="AS27" t="s">
        <v>123</v>
      </c>
      <c r="AT27" t="s">
        <v>124</v>
      </c>
      <c r="AU27" t="s">
        <v>26</v>
      </c>
      <c r="AV27" t="s">
        <v>12</v>
      </c>
      <c r="AW27" t="s">
        <v>28</v>
      </c>
      <c r="AX27" t="s">
        <v>29</v>
      </c>
      <c r="AY27" t="s">
        <v>2</v>
      </c>
      <c r="AZ27" s="3">
        <v>0</v>
      </c>
      <c r="BA27" t="s">
        <v>2</v>
      </c>
      <c r="BB27" t="s">
        <v>31</v>
      </c>
      <c r="BC27" t="s">
        <v>2</v>
      </c>
      <c r="BD27" t="s">
        <v>125</v>
      </c>
      <c r="BE27">
        <f t="shared" si="0"/>
        <v>3888</v>
      </c>
    </row>
    <row r="28" spans="1:57" x14ac:dyDescent="0.2">
      <c r="A28" t="s">
        <v>0</v>
      </c>
      <c r="B28" t="s">
        <v>1</v>
      </c>
      <c r="C28" t="s">
        <v>2</v>
      </c>
      <c r="D28" t="s">
        <v>2</v>
      </c>
      <c r="E28" t="s">
        <v>3</v>
      </c>
      <c r="F28" t="s">
        <v>4</v>
      </c>
      <c r="G28" t="s">
        <v>116</v>
      </c>
      <c r="H28" t="s">
        <v>137</v>
      </c>
      <c r="I28" t="s">
        <v>7</v>
      </c>
      <c r="J28" t="s">
        <v>91</v>
      </c>
      <c r="K28" t="s">
        <v>8</v>
      </c>
      <c r="L28" t="s">
        <v>117</v>
      </c>
      <c r="M28" t="s">
        <v>137</v>
      </c>
      <c r="N28" t="s">
        <v>2</v>
      </c>
      <c r="O28" t="s">
        <v>2</v>
      </c>
      <c r="P28" t="s">
        <v>93</v>
      </c>
      <c r="Q28" t="s">
        <v>2</v>
      </c>
      <c r="R28" t="s">
        <v>118</v>
      </c>
      <c r="S28" s="2">
        <v>45251</v>
      </c>
      <c r="T28" s="2">
        <v>45280</v>
      </c>
      <c r="U28" s="2">
        <v>45284</v>
      </c>
      <c r="V28" s="3">
        <v>0</v>
      </c>
      <c r="W28" s="3">
        <v>0</v>
      </c>
      <c r="X28" t="s">
        <v>2</v>
      </c>
      <c r="Y28" s="2"/>
      <c r="Z28" t="s">
        <v>16</v>
      </c>
      <c r="AA28" t="s">
        <v>119</v>
      </c>
      <c r="AB28" t="s">
        <v>2</v>
      </c>
      <c r="AC28" t="s">
        <v>18</v>
      </c>
      <c r="AD28" t="s">
        <v>138</v>
      </c>
      <c r="AE28" t="s">
        <v>20</v>
      </c>
      <c r="AF28" s="4">
        <v>1200</v>
      </c>
      <c r="AG28" s="4">
        <v>0</v>
      </c>
      <c r="AH28" s="3">
        <v>7.39</v>
      </c>
      <c r="AI28" s="3">
        <v>8868</v>
      </c>
      <c r="AJ28" s="3">
        <v>7155145.7999999998</v>
      </c>
      <c r="AK28" s="3">
        <v>0</v>
      </c>
      <c r="AL28" t="s">
        <v>21</v>
      </c>
      <c r="AM28" s="2"/>
      <c r="AN28" s="3">
        <v>0</v>
      </c>
      <c r="AO28" s="2"/>
      <c r="AP28" s="3">
        <v>0</v>
      </c>
      <c r="AQ28" t="s">
        <v>22</v>
      </c>
      <c r="AR28" t="s">
        <v>122</v>
      </c>
      <c r="AS28" t="s">
        <v>123</v>
      </c>
      <c r="AT28" t="s">
        <v>124</v>
      </c>
      <c r="AU28" t="s">
        <v>26</v>
      </c>
      <c r="AV28" t="s">
        <v>12</v>
      </c>
      <c r="AW28" t="s">
        <v>28</v>
      </c>
      <c r="AX28" t="s">
        <v>29</v>
      </c>
      <c r="AY28" t="s">
        <v>2</v>
      </c>
      <c r="AZ28" s="3">
        <v>0</v>
      </c>
      <c r="BA28" t="s">
        <v>2</v>
      </c>
      <c r="BB28" t="s">
        <v>31</v>
      </c>
      <c r="BC28" t="s">
        <v>2</v>
      </c>
      <c r="BD28" t="s">
        <v>125</v>
      </c>
      <c r="BE28">
        <f t="shared" si="0"/>
        <v>8868</v>
      </c>
    </row>
    <row r="29" spans="1:57" x14ac:dyDescent="0.2">
      <c r="A29" t="s">
        <v>0</v>
      </c>
      <c r="B29" t="s">
        <v>1</v>
      </c>
      <c r="C29" t="s">
        <v>2</v>
      </c>
      <c r="D29" t="s">
        <v>2</v>
      </c>
      <c r="E29" t="s">
        <v>33</v>
      </c>
      <c r="F29" t="s">
        <v>4</v>
      </c>
      <c r="G29" t="s">
        <v>116</v>
      </c>
      <c r="H29" t="s">
        <v>139</v>
      </c>
      <c r="I29" t="s">
        <v>7</v>
      </c>
      <c r="J29" t="s">
        <v>91</v>
      </c>
      <c r="K29" t="s">
        <v>8</v>
      </c>
      <c r="L29" t="s">
        <v>117</v>
      </c>
      <c r="M29" t="s">
        <v>139</v>
      </c>
      <c r="N29" t="s">
        <v>2</v>
      </c>
      <c r="O29" t="s">
        <v>2</v>
      </c>
      <c r="P29" t="s">
        <v>93</v>
      </c>
      <c r="Q29" t="s">
        <v>2</v>
      </c>
      <c r="R29" t="s">
        <v>118</v>
      </c>
      <c r="S29" s="2">
        <v>45251</v>
      </c>
      <c r="T29" s="2">
        <v>45280</v>
      </c>
      <c r="U29" s="2">
        <v>45284</v>
      </c>
      <c r="V29" s="3">
        <v>0</v>
      </c>
      <c r="W29" s="3">
        <v>0</v>
      </c>
      <c r="X29" t="s">
        <v>2</v>
      </c>
      <c r="Y29" s="2"/>
      <c r="Z29" t="s">
        <v>16</v>
      </c>
      <c r="AA29" t="s">
        <v>119</v>
      </c>
      <c r="AB29" t="s">
        <v>2</v>
      </c>
      <c r="AC29" t="s">
        <v>18</v>
      </c>
      <c r="AD29" t="s">
        <v>140</v>
      </c>
      <c r="AE29" t="s">
        <v>141</v>
      </c>
      <c r="AF29" s="4">
        <v>160</v>
      </c>
      <c r="AG29" s="4">
        <v>0</v>
      </c>
      <c r="AH29" s="3">
        <v>4.97</v>
      </c>
      <c r="AI29" s="3">
        <v>795.2</v>
      </c>
      <c r="AJ29" s="3">
        <v>641607.12</v>
      </c>
      <c r="AK29" s="3">
        <v>0</v>
      </c>
      <c r="AL29" t="s">
        <v>21</v>
      </c>
      <c r="AM29" s="2"/>
      <c r="AN29" s="3">
        <v>0</v>
      </c>
      <c r="AO29" s="2"/>
      <c r="AP29" s="3">
        <v>0</v>
      </c>
      <c r="AQ29" t="s">
        <v>22</v>
      </c>
      <c r="AR29" t="s">
        <v>122</v>
      </c>
      <c r="AS29" t="s">
        <v>123</v>
      </c>
      <c r="AT29" t="s">
        <v>124</v>
      </c>
      <c r="AU29" t="s">
        <v>26</v>
      </c>
      <c r="AV29" t="s">
        <v>12</v>
      </c>
      <c r="AW29" t="s">
        <v>28</v>
      </c>
      <c r="AX29" t="s">
        <v>29</v>
      </c>
      <c r="AY29" t="s">
        <v>2</v>
      </c>
      <c r="AZ29" s="3">
        <v>0</v>
      </c>
      <c r="BA29" t="s">
        <v>2</v>
      </c>
      <c r="BB29" t="s">
        <v>31</v>
      </c>
      <c r="BC29" t="s">
        <v>2</v>
      </c>
      <c r="BD29" t="s">
        <v>125</v>
      </c>
      <c r="BE29">
        <f t="shared" si="0"/>
        <v>795.2</v>
      </c>
    </row>
    <row r="30" spans="1:57" x14ac:dyDescent="0.2">
      <c r="A30" t="s">
        <v>0</v>
      </c>
      <c r="B30" t="s">
        <v>1</v>
      </c>
      <c r="C30" t="s">
        <v>2</v>
      </c>
      <c r="D30" t="s">
        <v>2</v>
      </c>
      <c r="E30" t="s">
        <v>33</v>
      </c>
      <c r="F30" t="s">
        <v>4</v>
      </c>
      <c r="G30" t="s">
        <v>116</v>
      </c>
      <c r="H30" t="s">
        <v>142</v>
      </c>
      <c r="I30" t="s">
        <v>7</v>
      </c>
      <c r="J30" t="s">
        <v>91</v>
      </c>
      <c r="K30" t="s">
        <v>8</v>
      </c>
      <c r="L30" t="s">
        <v>117</v>
      </c>
      <c r="M30" t="s">
        <v>142</v>
      </c>
      <c r="N30" t="s">
        <v>2</v>
      </c>
      <c r="O30" t="s">
        <v>2</v>
      </c>
      <c r="P30" t="s">
        <v>93</v>
      </c>
      <c r="Q30" t="s">
        <v>2</v>
      </c>
      <c r="R30" t="s">
        <v>118</v>
      </c>
      <c r="S30" s="2">
        <v>45251</v>
      </c>
      <c r="T30" s="2">
        <v>45280</v>
      </c>
      <c r="U30" s="2">
        <v>45284</v>
      </c>
      <c r="V30" s="3">
        <v>0</v>
      </c>
      <c r="W30" s="3">
        <v>0</v>
      </c>
      <c r="X30" t="s">
        <v>2</v>
      </c>
      <c r="Y30" s="2"/>
      <c r="Z30" t="s">
        <v>16</v>
      </c>
      <c r="AA30" t="s">
        <v>119</v>
      </c>
      <c r="AB30" t="s">
        <v>2</v>
      </c>
      <c r="AC30" t="s">
        <v>18</v>
      </c>
      <c r="AD30" t="s">
        <v>143</v>
      </c>
      <c r="AE30" t="s">
        <v>144</v>
      </c>
      <c r="AF30" s="4">
        <v>530</v>
      </c>
      <c r="AG30" s="4">
        <v>0</v>
      </c>
      <c r="AH30" s="3">
        <v>6.73</v>
      </c>
      <c r="AI30" s="3">
        <v>3566.9</v>
      </c>
      <c r="AJ30" s="3">
        <v>2877953.27</v>
      </c>
      <c r="AK30" s="3">
        <v>0</v>
      </c>
      <c r="AL30" t="s">
        <v>21</v>
      </c>
      <c r="AM30" s="2"/>
      <c r="AN30" s="3">
        <v>0</v>
      </c>
      <c r="AO30" s="2"/>
      <c r="AP30" s="3">
        <v>0</v>
      </c>
      <c r="AQ30" t="s">
        <v>22</v>
      </c>
      <c r="AR30" t="s">
        <v>122</v>
      </c>
      <c r="AS30" t="s">
        <v>123</v>
      </c>
      <c r="AT30" t="s">
        <v>124</v>
      </c>
      <c r="AU30" t="s">
        <v>26</v>
      </c>
      <c r="AV30" t="s">
        <v>12</v>
      </c>
      <c r="AW30" t="s">
        <v>28</v>
      </c>
      <c r="AX30" t="s">
        <v>29</v>
      </c>
      <c r="AY30" t="s">
        <v>2</v>
      </c>
      <c r="AZ30" s="3">
        <v>0</v>
      </c>
      <c r="BA30" t="s">
        <v>2</v>
      </c>
      <c r="BB30" t="s">
        <v>31</v>
      </c>
      <c r="BC30" t="s">
        <v>2</v>
      </c>
      <c r="BD30" t="s">
        <v>125</v>
      </c>
      <c r="BE30">
        <f t="shared" si="0"/>
        <v>3566.9</v>
      </c>
    </row>
    <row r="31" spans="1:57" x14ac:dyDescent="0.2">
      <c r="A31" t="s">
        <v>0</v>
      </c>
      <c r="B31" t="s">
        <v>1</v>
      </c>
      <c r="C31" t="s">
        <v>2</v>
      </c>
      <c r="D31" t="s">
        <v>2</v>
      </c>
      <c r="E31" t="s">
        <v>33</v>
      </c>
      <c r="F31" t="s">
        <v>4</v>
      </c>
      <c r="G31" t="s">
        <v>116</v>
      </c>
      <c r="H31" t="s">
        <v>145</v>
      </c>
      <c r="I31" t="s">
        <v>7</v>
      </c>
      <c r="J31" t="s">
        <v>91</v>
      </c>
      <c r="K31" t="s">
        <v>8</v>
      </c>
      <c r="L31" t="s">
        <v>117</v>
      </c>
      <c r="M31" t="s">
        <v>145</v>
      </c>
      <c r="N31" t="s">
        <v>2</v>
      </c>
      <c r="O31" t="s">
        <v>2</v>
      </c>
      <c r="P31" t="s">
        <v>93</v>
      </c>
      <c r="Q31" t="s">
        <v>2</v>
      </c>
      <c r="R31" t="s">
        <v>118</v>
      </c>
      <c r="S31" s="2">
        <v>45251</v>
      </c>
      <c r="T31" s="2">
        <v>45280</v>
      </c>
      <c r="U31" s="2">
        <v>45284</v>
      </c>
      <c r="V31" s="3">
        <v>0</v>
      </c>
      <c r="W31" s="3">
        <v>0</v>
      </c>
      <c r="X31" t="s">
        <v>2</v>
      </c>
      <c r="Y31" s="2"/>
      <c r="Z31" t="s">
        <v>16</v>
      </c>
      <c r="AA31" t="s">
        <v>119</v>
      </c>
      <c r="AB31" t="s">
        <v>2</v>
      </c>
      <c r="AC31" t="s">
        <v>18</v>
      </c>
      <c r="AD31" t="s">
        <v>146</v>
      </c>
      <c r="AE31" t="s">
        <v>147</v>
      </c>
      <c r="AF31" s="4">
        <v>300</v>
      </c>
      <c r="AG31" s="4">
        <v>0</v>
      </c>
      <c r="AH31" s="3">
        <v>4.32</v>
      </c>
      <c r="AI31" s="3">
        <v>1296</v>
      </c>
      <c r="AJ31" s="3">
        <v>1045677.6</v>
      </c>
      <c r="AK31" s="3">
        <v>0</v>
      </c>
      <c r="AL31" t="s">
        <v>21</v>
      </c>
      <c r="AM31" s="2"/>
      <c r="AN31" s="3">
        <v>0</v>
      </c>
      <c r="AO31" s="2"/>
      <c r="AP31" s="3">
        <v>0</v>
      </c>
      <c r="AQ31" t="s">
        <v>22</v>
      </c>
      <c r="AR31" t="s">
        <v>122</v>
      </c>
      <c r="AS31" t="s">
        <v>123</v>
      </c>
      <c r="AT31" t="s">
        <v>124</v>
      </c>
      <c r="AU31" t="s">
        <v>26</v>
      </c>
      <c r="AV31" t="s">
        <v>12</v>
      </c>
      <c r="AW31" t="s">
        <v>28</v>
      </c>
      <c r="AX31" t="s">
        <v>29</v>
      </c>
      <c r="AY31" t="s">
        <v>2</v>
      </c>
      <c r="AZ31" s="3">
        <v>0</v>
      </c>
      <c r="BA31" t="s">
        <v>2</v>
      </c>
      <c r="BB31" t="s">
        <v>31</v>
      </c>
      <c r="BC31" t="s">
        <v>2</v>
      </c>
      <c r="BD31" t="s">
        <v>125</v>
      </c>
      <c r="BE31">
        <f t="shared" si="0"/>
        <v>1296</v>
      </c>
    </row>
    <row r="32" spans="1:57" x14ac:dyDescent="0.2">
      <c r="A32" t="s">
        <v>0</v>
      </c>
      <c r="B32" t="s">
        <v>1</v>
      </c>
      <c r="C32" t="s">
        <v>2</v>
      </c>
      <c r="D32" t="s">
        <v>2</v>
      </c>
      <c r="E32" t="s">
        <v>33</v>
      </c>
      <c r="F32" t="s">
        <v>4</v>
      </c>
      <c r="G32" t="s">
        <v>116</v>
      </c>
      <c r="H32" t="s">
        <v>148</v>
      </c>
      <c r="I32" t="s">
        <v>7</v>
      </c>
      <c r="J32" t="s">
        <v>91</v>
      </c>
      <c r="K32" t="s">
        <v>8</v>
      </c>
      <c r="L32" t="s">
        <v>117</v>
      </c>
      <c r="M32" t="s">
        <v>148</v>
      </c>
      <c r="N32" t="s">
        <v>2</v>
      </c>
      <c r="O32" t="s">
        <v>2</v>
      </c>
      <c r="P32" t="s">
        <v>93</v>
      </c>
      <c r="Q32" t="s">
        <v>2</v>
      </c>
      <c r="R32" t="s">
        <v>118</v>
      </c>
      <c r="S32" s="2">
        <v>45251</v>
      </c>
      <c r="T32" s="2">
        <v>45280</v>
      </c>
      <c r="U32" s="2">
        <v>45284</v>
      </c>
      <c r="V32" s="3">
        <v>0</v>
      </c>
      <c r="W32" s="3">
        <v>0</v>
      </c>
      <c r="X32" t="s">
        <v>2</v>
      </c>
      <c r="Y32" s="2"/>
      <c r="Z32" t="s">
        <v>16</v>
      </c>
      <c r="AA32" t="s">
        <v>119</v>
      </c>
      <c r="AB32" t="s">
        <v>2</v>
      </c>
      <c r="AC32" t="s">
        <v>18</v>
      </c>
      <c r="AD32" t="s">
        <v>149</v>
      </c>
      <c r="AE32" t="s">
        <v>150</v>
      </c>
      <c r="AF32" s="4">
        <v>600</v>
      </c>
      <c r="AG32" s="4">
        <v>0</v>
      </c>
      <c r="AH32" s="3">
        <v>5.59</v>
      </c>
      <c r="AI32" s="3">
        <v>3354</v>
      </c>
      <c r="AJ32" s="3">
        <v>2706174.9</v>
      </c>
      <c r="AK32" s="3">
        <v>0</v>
      </c>
      <c r="AL32" t="s">
        <v>21</v>
      </c>
      <c r="AM32" s="2"/>
      <c r="AN32" s="3">
        <v>0</v>
      </c>
      <c r="AO32" s="2"/>
      <c r="AP32" s="3">
        <v>0</v>
      </c>
      <c r="AQ32" t="s">
        <v>22</v>
      </c>
      <c r="AR32" t="s">
        <v>122</v>
      </c>
      <c r="AS32" t="s">
        <v>123</v>
      </c>
      <c r="AT32" t="s">
        <v>124</v>
      </c>
      <c r="AU32" t="s">
        <v>26</v>
      </c>
      <c r="AV32" t="s">
        <v>12</v>
      </c>
      <c r="AW32" t="s">
        <v>28</v>
      </c>
      <c r="AX32" t="s">
        <v>29</v>
      </c>
      <c r="AY32" t="s">
        <v>2</v>
      </c>
      <c r="AZ32" s="3">
        <v>0</v>
      </c>
      <c r="BA32" t="s">
        <v>2</v>
      </c>
      <c r="BB32" t="s">
        <v>31</v>
      </c>
      <c r="BC32" t="s">
        <v>2</v>
      </c>
      <c r="BD32" t="s">
        <v>125</v>
      </c>
      <c r="BE32">
        <f t="shared" si="0"/>
        <v>3354</v>
      </c>
    </row>
    <row r="33" spans="1:57" x14ac:dyDescent="0.2">
      <c r="A33" t="s">
        <v>0</v>
      </c>
      <c r="B33" t="s">
        <v>1</v>
      </c>
      <c r="C33" t="s">
        <v>2</v>
      </c>
      <c r="D33" t="s">
        <v>2</v>
      </c>
      <c r="E33" t="s">
        <v>3</v>
      </c>
      <c r="F33" t="s">
        <v>4</v>
      </c>
      <c r="G33" t="s">
        <v>116</v>
      </c>
      <c r="H33" t="s">
        <v>151</v>
      </c>
      <c r="I33" t="s">
        <v>7</v>
      </c>
      <c r="J33" t="s">
        <v>91</v>
      </c>
      <c r="K33" t="s">
        <v>8</v>
      </c>
      <c r="L33" t="s">
        <v>117</v>
      </c>
      <c r="M33" t="s">
        <v>151</v>
      </c>
      <c r="N33" t="s">
        <v>2</v>
      </c>
      <c r="O33" t="s">
        <v>2</v>
      </c>
      <c r="P33" t="s">
        <v>93</v>
      </c>
      <c r="Q33" t="s">
        <v>2</v>
      </c>
      <c r="R33" t="s">
        <v>118</v>
      </c>
      <c r="S33" s="2">
        <v>45251</v>
      </c>
      <c r="T33" s="2">
        <v>45280</v>
      </c>
      <c r="U33" s="2">
        <v>45284</v>
      </c>
      <c r="V33" s="3">
        <v>0</v>
      </c>
      <c r="W33" s="3">
        <v>0</v>
      </c>
      <c r="X33" t="s">
        <v>2</v>
      </c>
      <c r="Y33" s="2"/>
      <c r="Z33" t="s">
        <v>16</v>
      </c>
      <c r="AA33" t="s">
        <v>119</v>
      </c>
      <c r="AB33" t="s">
        <v>2</v>
      </c>
      <c r="AC33" t="s">
        <v>18</v>
      </c>
      <c r="AD33" t="s">
        <v>152</v>
      </c>
      <c r="AE33" t="s">
        <v>20</v>
      </c>
      <c r="AF33" s="4">
        <v>1250</v>
      </c>
      <c r="AG33" s="4">
        <v>0</v>
      </c>
      <c r="AH33" s="3">
        <v>5.46</v>
      </c>
      <c r="AI33" s="3">
        <v>6825</v>
      </c>
      <c r="AJ33" s="3">
        <v>5506751.25</v>
      </c>
      <c r="AK33" s="3">
        <v>0</v>
      </c>
      <c r="AL33" t="s">
        <v>21</v>
      </c>
      <c r="AM33" s="2"/>
      <c r="AN33" s="3">
        <v>0</v>
      </c>
      <c r="AO33" s="2"/>
      <c r="AP33" s="3">
        <v>0</v>
      </c>
      <c r="AQ33" t="s">
        <v>22</v>
      </c>
      <c r="AR33" t="s">
        <v>122</v>
      </c>
      <c r="AS33" t="s">
        <v>123</v>
      </c>
      <c r="AT33" t="s">
        <v>124</v>
      </c>
      <c r="AU33" t="s">
        <v>26</v>
      </c>
      <c r="AV33" t="s">
        <v>12</v>
      </c>
      <c r="AW33" t="s">
        <v>28</v>
      </c>
      <c r="AX33" t="s">
        <v>29</v>
      </c>
      <c r="AY33" t="s">
        <v>2</v>
      </c>
      <c r="AZ33" s="3">
        <v>0</v>
      </c>
      <c r="BA33" t="s">
        <v>2</v>
      </c>
      <c r="BB33" t="s">
        <v>31</v>
      </c>
      <c r="BC33" t="s">
        <v>2</v>
      </c>
      <c r="BD33" t="s">
        <v>125</v>
      </c>
      <c r="BE33">
        <f t="shared" si="0"/>
        <v>6825</v>
      </c>
    </row>
    <row r="34" spans="1:57" x14ac:dyDescent="0.2">
      <c r="A34" t="s">
        <v>0</v>
      </c>
      <c r="B34" t="s">
        <v>1</v>
      </c>
      <c r="C34" t="s">
        <v>2</v>
      </c>
      <c r="D34" t="s">
        <v>2</v>
      </c>
      <c r="E34" t="s">
        <v>133</v>
      </c>
      <c r="F34" t="s">
        <v>4</v>
      </c>
      <c r="G34" t="s">
        <v>116</v>
      </c>
      <c r="H34" t="s">
        <v>153</v>
      </c>
      <c r="I34" t="s">
        <v>7</v>
      </c>
      <c r="J34" t="s">
        <v>91</v>
      </c>
      <c r="K34" t="s">
        <v>8</v>
      </c>
      <c r="L34" t="s">
        <v>117</v>
      </c>
      <c r="M34" t="s">
        <v>153</v>
      </c>
      <c r="N34" t="s">
        <v>2</v>
      </c>
      <c r="O34" t="s">
        <v>2</v>
      </c>
      <c r="P34" t="s">
        <v>93</v>
      </c>
      <c r="Q34" t="s">
        <v>2</v>
      </c>
      <c r="R34" t="s">
        <v>118</v>
      </c>
      <c r="S34" s="2">
        <v>45251</v>
      </c>
      <c r="T34" s="2">
        <v>45280</v>
      </c>
      <c r="U34" s="2">
        <v>45284</v>
      </c>
      <c r="V34" s="3">
        <v>0</v>
      </c>
      <c r="W34" s="3">
        <v>0</v>
      </c>
      <c r="X34" t="s">
        <v>2</v>
      </c>
      <c r="Y34" s="2"/>
      <c r="Z34" t="s">
        <v>16</v>
      </c>
      <c r="AA34" t="s">
        <v>119</v>
      </c>
      <c r="AB34" t="s">
        <v>2</v>
      </c>
      <c r="AC34" t="s">
        <v>18</v>
      </c>
      <c r="AD34" t="s">
        <v>154</v>
      </c>
      <c r="AE34" t="s">
        <v>135</v>
      </c>
      <c r="AF34" s="4">
        <v>1700</v>
      </c>
      <c r="AG34" s="4">
        <v>0</v>
      </c>
      <c r="AH34" s="3">
        <v>4.3099999999999996</v>
      </c>
      <c r="AI34" s="3">
        <v>7327</v>
      </c>
      <c r="AJ34" s="3">
        <v>5911789.9500000002</v>
      </c>
      <c r="AK34" s="3">
        <v>0</v>
      </c>
      <c r="AL34" t="s">
        <v>21</v>
      </c>
      <c r="AM34" s="2"/>
      <c r="AN34" s="3">
        <v>0</v>
      </c>
      <c r="AO34" s="2"/>
      <c r="AP34" s="3">
        <v>0</v>
      </c>
      <c r="AQ34" t="s">
        <v>22</v>
      </c>
      <c r="AR34" t="s">
        <v>122</v>
      </c>
      <c r="AS34" t="s">
        <v>123</v>
      </c>
      <c r="AT34" t="s">
        <v>124</v>
      </c>
      <c r="AU34" t="s">
        <v>26</v>
      </c>
      <c r="AV34" t="s">
        <v>12</v>
      </c>
      <c r="AW34" t="s">
        <v>28</v>
      </c>
      <c r="AX34" t="s">
        <v>29</v>
      </c>
      <c r="AY34" t="s">
        <v>2</v>
      </c>
      <c r="AZ34" s="3">
        <v>0</v>
      </c>
      <c r="BA34" t="s">
        <v>2</v>
      </c>
      <c r="BB34" t="s">
        <v>31</v>
      </c>
      <c r="BC34" t="s">
        <v>2</v>
      </c>
      <c r="BD34" t="s">
        <v>125</v>
      </c>
      <c r="BE34">
        <f t="shared" si="0"/>
        <v>7327</v>
      </c>
    </row>
    <row r="35" spans="1:57" x14ac:dyDescent="0.2">
      <c r="A35" t="s">
        <v>0</v>
      </c>
      <c r="B35" t="s">
        <v>1</v>
      </c>
      <c r="C35" t="s">
        <v>2</v>
      </c>
      <c r="D35" t="s">
        <v>2</v>
      </c>
      <c r="E35" t="s">
        <v>37</v>
      </c>
      <c r="F35" t="s">
        <v>4</v>
      </c>
      <c r="G35" t="s">
        <v>116</v>
      </c>
      <c r="H35" t="s">
        <v>155</v>
      </c>
      <c r="I35" t="s">
        <v>7</v>
      </c>
      <c r="J35" t="s">
        <v>91</v>
      </c>
      <c r="K35" t="s">
        <v>8</v>
      </c>
      <c r="L35" t="s">
        <v>117</v>
      </c>
      <c r="M35" t="s">
        <v>155</v>
      </c>
      <c r="N35" t="s">
        <v>2</v>
      </c>
      <c r="O35" t="s">
        <v>2</v>
      </c>
      <c r="P35" t="s">
        <v>93</v>
      </c>
      <c r="Q35" t="s">
        <v>2</v>
      </c>
      <c r="R35" t="s">
        <v>118</v>
      </c>
      <c r="S35" s="2">
        <v>45251</v>
      </c>
      <c r="T35" s="2">
        <v>45280</v>
      </c>
      <c r="U35" s="2">
        <v>45284</v>
      </c>
      <c r="V35" s="3">
        <v>0</v>
      </c>
      <c r="W35" s="3">
        <v>0</v>
      </c>
      <c r="X35" t="s">
        <v>2</v>
      </c>
      <c r="Y35" s="2"/>
      <c r="Z35" t="s">
        <v>16</v>
      </c>
      <c r="AA35" t="s">
        <v>119</v>
      </c>
      <c r="AB35" t="s">
        <v>2</v>
      </c>
      <c r="AC35" t="s">
        <v>18</v>
      </c>
      <c r="AD35" t="s">
        <v>156</v>
      </c>
      <c r="AE35" t="s">
        <v>40</v>
      </c>
      <c r="AF35" s="4">
        <v>160</v>
      </c>
      <c r="AG35" s="4">
        <v>0</v>
      </c>
      <c r="AH35" s="3">
        <v>4.0999999999999996</v>
      </c>
      <c r="AI35" s="3">
        <v>656</v>
      </c>
      <c r="AJ35" s="3">
        <v>529293.6</v>
      </c>
      <c r="AK35" s="3">
        <v>0</v>
      </c>
      <c r="AL35" t="s">
        <v>21</v>
      </c>
      <c r="AM35" s="2"/>
      <c r="AN35" s="3">
        <v>0</v>
      </c>
      <c r="AO35" s="2"/>
      <c r="AP35" s="3">
        <v>0</v>
      </c>
      <c r="AQ35" t="s">
        <v>22</v>
      </c>
      <c r="AR35" t="s">
        <v>122</v>
      </c>
      <c r="AS35" t="s">
        <v>123</v>
      </c>
      <c r="AT35" t="s">
        <v>124</v>
      </c>
      <c r="AU35" t="s">
        <v>26</v>
      </c>
      <c r="AV35" t="s">
        <v>12</v>
      </c>
      <c r="AW35" t="s">
        <v>28</v>
      </c>
      <c r="AX35" t="s">
        <v>29</v>
      </c>
      <c r="AY35" t="s">
        <v>2</v>
      </c>
      <c r="AZ35" s="3">
        <v>0</v>
      </c>
      <c r="BA35" t="s">
        <v>2</v>
      </c>
      <c r="BB35" t="s">
        <v>31</v>
      </c>
      <c r="BC35" t="s">
        <v>2</v>
      </c>
      <c r="BD35" t="s">
        <v>125</v>
      </c>
      <c r="BE35">
        <f t="shared" si="0"/>
        <v>656</v>
      </c>
    </row>
    <row r="36" spans="1:57" x14ac:dyDescent="0.2">
      <c r="A36" t="s">
        <v>0</v>
      </c>
      <c r="B36" t="s">
        <v>1</v>
      </c>
      <c r="C36" t="s">
        <v>2</v>
      </c>
      <c r="D36" t="s">
        <v>2</v>
      </c>
      <c r="E36" t="s">
        <v>157</v>
      </c>
      <c r="F36" t="s">
        <v>4</v>
      </c>
      <c r="G36" t="s">
        <v>116</v>
      </c>
      <c r="H36" t="s">
        <v>158</v>
      </c>
      <c r="I36" t="s">
        <v>7</v>
      </c>
      <c r="J36" t="s">
        <v>91</v>
      </c>
      <c r="K36" t="s">
        <v>8</v>
      </c>
      <c r="L36" t="s">
        <v>117</v>
      </c>
      <c r="M36" t="s">
        <v>158</v>
      </c>
      <c r="N36" t="s">
        <v>2</v>
      </c>
      <c r="O36" t="s">
        <v>2</v>
      </c>
      <c r="P36" t="s">
        <v>93</v>
      </c>
      <c r="Q36" t="s">
        <v>2</v>
      </c>
      <c r="R36" t="s">
        <v>118</v>
      </c>
      <c r="S36" s="2">
        <v>45251</v>
      </c>
      <c r="T36" s="2">
        <v>45280</v>
      </c>
      <c r="U36" s="2">
        <v>45284</v>
      </c>
      <c r="V36" s="3">
        <v>0</v>
      </c>
      <c r="W36" s="3">
        <v>0</v>
      </c>
      <c r="X36" t="s">
        <v>2</v>
      </c>
      <c r="Y36" s="2"/>
      <c r="Z36" t="s">
        <v>16</v>
      </c>
      <c r="AA36" t="s">
        <v>119</v>
      </c>
      <c r="AB36" t="s">
        <v>2</v>
      </c>
      <c r="AC36" t="s">
        <v>18</v>
      </c>
      <c r="AD36" t="s">
        <v>159</v>
      </c>
      <c r="AE36" t="s">
        <v>160</v>
      </c>
      <c r="AF36" s="4">
        <v>325</v>
      </c>
      <c r="AG36" s="4">
        <v>0</v>
      </c>
      <c r="AH36" s="3">
        <v>5.8</v>
      </c>
      <c r="AI36" s="3">
        <v>1885</v>
      </c>
      <c r="AJ36" s="3">
        <v>1520912.25</v>
      </c>
      <c r="AK36" s="3">
        <v>0</v>
      </c>
      <c r="AL36" t="s">
        <v>21</v>
      </c>
      <c r="AM36" s="2"/>
      <c r="AN36" s="3">
        <v>0</v>
      </c>
      <c r="AO36" s="2"/>
      <c r="AP36" s="3">
        <v>0</v>
      </c>
      <c r="AQ36" t="s">
        <v>22</v>
      </c>
      <c r="AR36" t="s">
        <v>122</v>
      </c>
      <c r="AS36" t="s">
        <v>123</v>
      </c>
      <c r="AT36" t="s">
        <v>124</v>
      </c>
      <c r="AU36" t="s">
        <v>26</v>
      </c>
      <c r="AV36" t="s">
        <v>12</v>
      </c>
      <c r="AW36" t="s">
        <v>28</v>
      </c>
      <c r="AX36" t="s">
        <v>29</v>
      </c>
      <c r="AY36" t="s">
        <v>2</v>
      </c>
      <c r="AZ36" s="3">
        <v>0</v>
      </c>
      <c r="BA36" t="s">
        <v>2</v>
      </c>
      <c r="BB36" t="s">
        <v>31</v>
      </c>
      <c r="BC36" t="s">
        <v>2</v>
      </c>
      <c r="BD36" t="s">
        <v>125</v>
      </c>
      <c r="BE36">
        <f t="shared" si="0"/>
        <v>1885</v>
      </c>
    </row>
    <row r="37" spans="1:57" x14ac:dyDescent="0.2">
      <c r="A37" t="s">
        <v>0</v>
      </c>
      <c r="B37" t="s">
        <v>1</v>
      </c>
      <c r="C37" t="s">
        <v>2</v>
      </c>
      <c r="D37" t="s">
        <v>2</v>
      </c>
      <c r="E37" t="s">
        <v>113</v>
      </c>
      <c r="F37" t="s">
        <v>4</v>
      </c>
      <c r="G37" t="s">
        <v>116</v>
      </c>
      <c r="H37" t="s">
        <v>161</v>
      </c>
      <c r="I37" t="s">
        <v>7</v>
      </c>
      <c r="J37" t="s">
        <v>91</v>
      </c>
      <c r="K37" t="s">
        <v>8</v>
      </c>
      <c r="L37" t="s">
        <v>117</v>
      </c>
      <c r="M37" t="s">
        <v>161</v>
      </c>
      <c r="N37" t="s">
        <v>2</v>
      </c>
      <c r="O37" t="s">
        <v>2</v>
      </c>
      <c r="P37" t="s">
        <v>93</v>
      </c>
      <c r="Q37" t="s">
        <v>2</v>
      </c>
      <c r="R37" t="s">
        <v>118</v>
      </c>
      <c r="S37" s="2">
        <v>45251</v>
      </c>
      <c r="T37" s="2">
        <v>45280</v>
      </c>
      <c r="U37" s="2">
        <v>45284</v>
      </c>
      <c r="V37" s="3">
        <v>0</v>
      </c>
      <c r="W37" s="3">
        <v>0</v>
      </c>
      <c r="X37" t="s">
        <v>2</v>
      </c>
      <c r="Y37" s="2"/>
      <c r="Z37" t="s">
        <v>47</v>
      </c>
      <c r="AA37" t="s">
        <v>119</v>
      </c>
      <c r="AB37" t="s">
        <v>2</v>
      </c>
      <c r="AC37" t="s">
        <v>49</v>
      </c>
      <c r="AD37" t="s">
        <v>162</v>
      </c>
      <c r="AE37" t="s">
        <v>163</v>
      </c>
      <c r="AF37" s="4">
        <v>2055</v>
      </c>
      <c r="AG37" s="4">
        <v>0</v>
      </c>
      <c r="AH37" s="3">
        <v>5.59</v>
      </c>
      <c r="AI37" s="3">
        <v>11487.45</v>
      </c>
      <c r="AJ37" s="3">
        <v>9268649.0299999993</v>
      </c>
      <c r="AK37" s="3">
        <v>0</v>
      </c>
      <c r="AL37" t="s">
        <v>52</v>
      </c>
      <c r="AM37" s="2"/>
      <c r="AN37" s="3">
        <v>0</v>
      </c>
      <c r="AO37" s="2"/>
      <c r="AP37" s="3">
        <v>0</v>
      </c>
      <c r="AQ37" t="s">
        <v>53</v>
      </c>
      <c r="AR37" t="s">
        <v>122</v>
      </c>
      <c r="AS37" t="s">
        <v>123</v>
      </c>
      <c r="AT37" t="s">
        <v>124</v>
      </c>
      <c r="AU37" t="s">
        <v>26</v>
      </c>
      <c r="AV37" t="s">
        <v>12</v>
      </c>
      <c r="AW37" t="s">
        <v>28</v>
      </c>
      <c r="AX37" t="s">
        <v>29</v>
      </c>
      <c r="AY37" t="s">
        <v>2</v>
      </c>
      <c r="AZ37" s="3">
        <v>0</v>
      </c>
      <c r="BA37" t="s">
        <v>2</v>
      </c>
      <c r="BB37" t="s">
        <v>31</v>
      </c>
      <c r="BC37" t="s">
        <v>2</v>
      </c>
      <c r="BD37" t="s">
        <v>125</v>
      </c>
      <c r="BE37">
        <f t="shared" si="0"/>
        <v>11487.45</v>
      </c>
    </row>
    <row r="38" spans="1:57" x14ac:dyDescent="0.2">
      <c r="A38" t="s">
        <v>0</v>
      </c>
      <c r="B38" t="s">
        <v>1</v>
      </c>
      <c r="C38" t="s">
        <v>2</v>
      </c>
      <c r="D38" t="s">
        <v>2</v>
      </c>
      <c r="E38" t="s">
        <v>113</v>
      </c>
      <c r="F38" t="s">
        <v>4</v>
      </c>
      <c r="G38" t="s">
        <v>116</v>
      </c>
      <c r="H38" t="s">
        <v>164</v>
      </c>
      <c r="I38" t="s">
        <v>7</v>
      </c>
      <c r="J38" t="s">
        <v>91</v>
      </c>
      <c r="K38" t="s">
        <v>8</v>
      </c>
      <c r="L38" t="s">
        <v>117</v>
      </c>
      <c r="M38" t="s">
        <v>164</v>
      </c>
      <c r="N38" t="s">
        <v>2</v>
      </c>
      <c r="O38" t="s">
        <v>2</v>
      </c>
      <c r="P38" t="s">
        <v>93</v>
      </c>
      <c r="Q38" t="s">
        <v>2</v>
      </c>
      <c r="R38" t="s">
        <v>118</v>
      </c>
      <c r="S38" s="2">
        <v>45251</v>
      </c>
      <c r="T38" s="2">
        <v>45280</v>
      </c>
      <c r="U38" s="2">
        <v>45284</v>
      </c>
      <c r="V38" s="3">
        <v>0</v>
      </c>
      <c r="W38" s="3">
        <v>0</v>
      </c>
      <c r="X38" t="s">
        <v>2</v>
      </c>
      <c r="Y38" s="2"/>
      <c r="Z38" t="s">
        <v>47</v>
      </c>
      <c r="AA38" t="s">
        <v>119</v>
      </c>
      <c r="AB38" t="s">
        <v>2</v>
      </c>
      <c r="AC38" t="s">
        <v>49</v>
      </c>
      <c r="AD38" t="s">
        <v>165</v>
      </c>
      <c r="AE38" t="s">
        <v>166</v>
      </c>
      <c r="AF38" s="4">
        <v>2755</v>
      </c>
      <c r="AG38" s="4">
        <v>0</v>
      </c>
      <c r="AH38" s="3">
        <v>4.93</v>
      </c>
      <c r="AI38" s="3">
        <v>13582.15</v>
      </c>
      <c r="AJ38" s="3">
        <v>10958757.73</v>
      </c>
      <c r="AK38" s="3">
        <v>0</v>
      </c>
      <c r="AL38" t="s">
        <v>52</v>
      </c>
      <c r="AM38" s="2"/>
      <c r="AN38" s="3">
        <v>0</v>
      </c>
      <c r="AO38" s="2"/>
      <c r="AP38" s="3">
        <v>0</v>
      </c>
      <c r="AQ38" t="s">
        <v>53</v>
      </c>
      <c r="AR38" t="s">
        <v>122</v>
      </c>
      <c r="AS38" t="s">
        <v>123</v>
      </c>
      <c r="AT38" t="s">
        <v>124</v>
      </c>
      <c r="AU38" t="s">
        <v>26</v>
      </c>
      <c r="AV38" t="s">
        <v>12</v>
      </c>
      <c r="AW38" t="s">
        <v>28</v>
      </c>
      <c r="AX38" t="s">
        <v>29</v>
      </c>
      <c r="AY38" t="s">
        <v>2</v>
      </c>
      <c r="AZ38" s="3">
        <v>0</v>
      </c>
      <c r="BA38" t="s">
        <v>2</v>
      </c>
      <c r="BB38" t="s">
        <v>31</v>
      </c>
      <c r="BC38" t="s">
        <v>2</v>
      </c>
      <c r="BD38" t="s">
        <v>125</v>
      </c>
      <c r="BE38">
        <f t="shared" si="0"/>
        <v>13582.15</v>
      </c>
    </row>
    <row r="39" spans="1:57" x14ac:dyDescent="0.2">
      <c r="A39" t="s">
        <v>0</v>
      </c>
      <c r="B39" t="s">
        <v>1</v>
      </c>
      <c r="C39" t="s">
        <v>2</v>
      </c>
      <c r="D39" t="s">
        <v>2</v>
      </c>
      <c r="E39" t="s">
        <v>113</v>
      </c>
      <c r="F39" t="s">
        <v>4</v>
      </c>
      <c r="G39" t="s">
        <v>167</v>
      </c>
      <c r="H39" t="s">
        <v>6</v>
      </c>
      <c r="I39" t="s">
        <v>7</v>
      </c>
      <c r="J39" t="s">
        <v>91</v>
      </c>
      <c r="K39" t="s">
        <v>8</v>
      </c>
      <c r="L39" t="s">
        <v>168</v>
      </c>
      <c r="M39" t="s">
        <v>6</v>
      </c>
      <c r="N39" t="s">
        <v>2</v>
      </c>
      <c r="O39" t="s">
        <v>2</v>
      </c>
      <c r="P39" t="s">
        <v>93</v>
      </c>
      <c r="Q39" t="s">
        <v>2</v>
      </c>
      <c r="R39" t="s">
        <v>169</v>
      </c>
      <c r="S39" s="2">
        <v>45251</v>
      </c>
      <c r="T39" s="2">
        <v>45280</v>
      </c>
      <c r="U39" s="2">
        <v>45284</v>
      </c>
      <c r="V39" s="3">
        <v>0</v>
      </c>
      <c r="W39" s="3">
        <v>0</v>
      </c>
      <c r="X39" t="s">
        <v>2</v>
      </c>
      <c r="Y39" s="2"/>
      <c r="Z39" t="s">
        <v>47</v>
      </c>
      <c r="AA39" t="s">
        <v>170</v>
      </c>
      <c r="AB39" t="s">
        <v>2</v>
      </c>
      <c r="AC39" t="s">
        <v>49</v>
      </c>
      <c r="AD39" t="s">
        <v>171</v>
      </c>
      <c r="AE39" t="s">
        <v>172</v>
      </c>
      <c r="AF39" s="4">
        <v>0.6</v>
      </c>
      <c r="AG39" s="4">
        <v>0</v>
      </c>
      <c r="AH39" s="3">
        <v>4072360.28</v>
      </c>
      <c r="AI39" s="3">
        <v>2443416.17</v>
      </c>
      <c r="AJ39" s="3">
        <v>2443416.17</v>
      </c>
      <c r="AK39" s="3">
        <v>0</v>
      </c>
      <c r="AL39" t="s">
        <v>52</v>
      </c>
      <c r="AM39" s="2"/>
      <c r="AN39" s="3">
        <v>0</v>
      </c>
      <c r="AO39" s="2"/>
      <c r="AP39" s="3">
        <v>0</v>
      </c>
      <c r="AQ39" t="s">
        <v>53</v>
      </c>
      <c r="AR39" t="s">
        <v>122</v>
      </c>
      <c r="AS39" t="s">
        <v>123</v>
      </c>
      <c r="AT39" t="s">
        <v>124</v>
      </c>
      <c r="AU39" t="s">
        <v>26</v>
      </c>
      <c r="AV39" t="s">
        <v>12</v>
      </c>
      <c r="AW39" t="s">
        <v>66</v>
      </c>
      <c r="AX39" t="s">
        <v>29</v>
      </c>
      <c r="AY39" t="s">
        <v>2</v>
      </c>
      <c r="AZ39" s="3">
        <v>0</v>
      </c>
      <c r="BA39" t="s">
        <v>2</v>
      </c>
      <c r="BB39" t="s">
        <v>31</v>
      </c>
      <c r="BC39" t="s">
        <v>2</v>
      </c>
      <c r="BD39" t="s">
        <v>173</v>
      </c>
      <c r="BE39">
        <f t="shared" si="0"/>
        <v>3028.340050814897</v>
      </c>
    </row>
    <row r="40" spans="1:57" x14ac:dyDescent="0.2">
      <c r="A40" t="s">
        <v>0</v>
      </c>
      <c r="B40" t="s">
        <v>1</v>
      </c>
      <c r="C40" t="s">
        <v>2</v>
      </c>
      <c r="D40" t="s">
        <v>2</v>
      </c>
      <c r="E40" t="s">
        <v>113</v>
      </c>
      <c r="F40" t="s">
        <v>4</v>
      </c>
      <c r="G40" t="s">
        <v>174</v>
      </c>
      <c r="H40" t="s">
        <v>6</v>
      </c>
      <c r="I40" t="s">
        <v>7</v>
      </c>
      <c r="J40" t="s">
        <v>91</v>
      </c>
      <c r="K40" t="s">
        <v>8</v>
      </c>
      <c r="L40" t="s">
        <v>175</v>
      </c>
      <c r="M40" t="s">
        <v>6</v>
      </c>
      <c r="N40" t="s">
        <v>2</v>
      </c>
      <c r="O40" t="s">
        <v>2</v>
      </c>
      <c r="P40" t="s">
        <v>93</v>
      </c>
      <c r="Q40" t="s">
        <v>2</v>
      </c>
      <c r="R40" t="s">
        <v>176</v>
      </c>
      <c r="S40" s="2">
        <v>45251</v>
      </c>
      <c r="T40" s="2">
        <v>45280</v>
      </c>
      <c r="U40" s="2">
        <v>45284</v>
      </c>
      <c r="V40" s="3">
        <v>0</v>
      </c>
      <c r="W40" s="3">
        <v>0</v>
      </c>
      <c r="X40" t="s">
        <v>2</v>
      </c>
      <c r="Y40" s="2"/>
      <c r="Z40" t="s">
        <v>47</v>
      </c>
      <c r="AA40" t="s">
        <v>177</v>
      </c>
      <c r="AB40" t="s">
        <v>2</v>
      </c>
      <c r="AC40" t="s">
        <v>49</v>
      </c>
      <c r="AD40" t="s">
        <v>178</v>
      </c>
      <c r="AE40" t="s">
        <v>179</v>
      </c>
      <c r="AF40" s="4">
        <v>0.6</v>
      </c>
      <c r="AG40" s="4">
        <v>0</v>
      </c>
      <c r="AH40" s="3">
        <v>2094.98</v>
      </c>
      <c r="AI40" s="3">
        <v>1256.99</v>
      </c>
      <c r="AJ40" s="3">
        <v>1014202.38</v>
      </c>
      <c r="AK40" s="3">
        <v>0</v>
      </c>
      <c r="AL40" t="s">
        <v>52</v>
      </c>
      <c r="AM40" s="2"/>
      <c r="AN40" s="3">
        <v>0</v>
      </c>
      <c r="AO40" s="2"/>
      <c r="AP40" s="3">
        <v>0</v>
      </c>
      <c r="AQ40" t="s">
        <v>53</v>
      </c>
      <c r="AR40" t="s">
        <v>122</v>
      </c>
      <c r="AS40" t="s">
        <v>123</v>
      </c>
      <c r="AT40" t="s">
        <v>124</v>
      </c>
      <c r="AU40" t="s">
        <v>26</v>
      </c>
      <c r="AV40" t="s">
        <v>12</v>
      </c>
      <c r="AW40" t="s">
        <v>28</v>
      </c>
      <c r="AX40" t="s">
        <v>29</v>
      </c>
      <c r="AY40" t="s">
        <v>2</v>
      </c>
      <c r="AZ40" s="3">
        <v>0</v>
      </c>
      <c r="BA40" t="s">
        <v>2</v>
      </c>
      <c r="BB40" t="s">
        <v>31</v>
      </c>
      <c r="BC40" t="s">
        <v>2</v>
      </c>
      <c r="BD40" t="s">
        <v>125</v>
      </c>
      <c r="BE40">
        <f t="shared" si="0"/>
        <v>1256.99</v>
      </c>
    </row>
    <row r="41" spans="1:57" x14ac:dyDescent="0.2">
      <c r="A41" t="s">
        <v>0</v>
      </c>
      <c r="B41" t="s">
        <v>1</v>
      </c>
      <c r="C41" t="s">
        <v>2</v>
      </c>
      <c r="D41" t="s">
        <v>2</v>
      </c>
      <c r="E41" t="s">
        <v>33</v>
      </c>
      <c r="F41" t="s">
        <v>4</v>
      </c>
      <c r="G41" t="s">
        <v>180</v>
      </c>
      <c r="H41" t="s">
        <v>6</v>
      </c>
      <c r="I41" t="s">
        <v>7</v>
      </c>
      <c r="J41" t="s">
        <v>91</v>
      </c>
      <c r="K41" t="s">
        <v>8</v>
      </c>
      <c r="L41" t="s">
        <v>181</v>
      </c>
      <c r="M41" t="s">
        <v>6</v>
      </c>
      <c r="N41" t="s">
        <v>2</v>
      </c>
      <c r="O41" t="s">
        <v>2</v>
      </c>
      <c r="P41" t="s">
        <v>93</v>
      </c>
      <c r="Q41" t="s">
        <v>2</v>
      </c>
      <c r="R41" t="s">
        <v>182</v>
      </c>
      <c r="S41" s="2">
        <v>45251</v>
      </c>
      <c r="T41" s="2">
        <v>45280</v>
      </c>
      <c r="U41" s="2">
        <v>45284</v>
      </c>
      <c r="V41" s="3">
        <v>0</v>
      </c>
      <c r="W41" s="3">
        <v>0</v>
      </c>
      <c r="X41" t="s">
        <v>2</v>
      </c>
      <c r="Y41" s="2"/>
      <c r="Z41" t="s">
        <v>16</v>
      </c>
      <c r="AA41" t="s">
        <v>183</v>
      </c>
      <c r="AB41" t="s">
        <v>2</v>
      </c>
      <c r="AC41" t="s">
        <v>18</v>
      </c>
      <c r="AD41" t="s">
        <v>120</v>
      </c>
      <c r="AE41" t="s">
        <v>121</v>
      </c>
      <c r="AF41" s="4">
        <v>490</v>
      </c>
      <c r="AG41" s="4">
        <v>0</v>
      </c>
      <c r="AH41" s="3">
        <v>3.02</v>
      </c>
      <c r="AI41" s="3">
        <v>1479.8</v>
      </c>
      <c r="AJ41" s="3">
        <v>1193976.6299999999</v>
      </c>
      <c r="AK41" s="3">
        <v>0</v>
      </c>
      <c r="AL41" t="s">
        <v>21</v>
      </c>
      <c r="AM41" s="2"/>
      <c r="AN41" s="3">
        <v>0</v>
      </c>
      <c r="AO41" s="2"/>
      <c r="AP41" s="3">
        <v>0</v>
      </c>
      <c r="AQ41" t="s">
        <v>22</v>
      </c>
      <c r="AR41" t="s">
        <v>122</v>
      </c>
      <c r="AS41" t="s">
        <v>123</v>
      </c>
      <c r="AT41" t="s">
        <v>124</v>
      </c>
      <c r="AU41" t="s">
        <v>26</v>
      </c>
      <c r="AV41" t="s">
        <v>12</v>
      </c>
      <c r="AW41" t="s">
        <v>28</v>
      </c>
      <c r="AX41" t="s">
        <v>29</v>
      </c>
      <c r="AY41" t="s">
        <v>2</v>
      </c>
      <c r="AZ41" s="3">
        <v>0</v>
      </c>
      <c r="BA41" t="s">
        <v>2</v>
      </c>
      <c r="BB41" t="s">
        <v>31</v>
      </c>
      <c r="BC41" t="s">
        <v>2</v>
      </c>
      <c r="BD41" t="s">
        <v>125</v>
      </c>
      <c r="BE41">
        <f t="shared" si="0"/>
        <v>1479.8</v>
      </c>
    </row>
    <row r="42" spans="1:57" x14ac:dyDescent="0.2">
      <c r="A42" t="s">
        <v>0</v>
      </c>
      <c r="B42" t="s">
        <v>1</v>
      </c>
      <c r="C42" t="s">
        <v>2</v>
      </c>
      <c r="D42" t="s">
        <v>2</v>
      </c>
      <c r="E42" t="s">
        <v>33</v>
      </c>
      <c r="F42" t="s">
        <v>4</v>
      </c>
      <c r="G42" t="s">
        <v>180</v>
      </c>
      <c r="H42" t="s">
        <v>27</v>
      </c>
      <c r="I42" t="s">
        <v>7</v>
      </c>
      <c r="J42" t="s">
        <v>91</v>
      </c>
      <c r="K42" t="s">
        <v>8</v>
      </c>
      <c r="L42" t="s">
        <v>181</v>
      </c>
      <c r="M42" t="s">
        <v>27</v>
      </c>
      <c r="N42" t="s">
        <v>2</v>
      </c>
      <c r="O42" t="s">
        <v>2</v>
      </c>
      <c r="P42" t="s">
        <v>93</v>
      </c>
      <c r="Q42" t="s">
        <v>2</v>
      </c>
      <c r="R42" t="s">
        <v>182</v>
      </c>
      <c r="S42" s="2">
        <v>45251</v>
      </c>
      <c r="T42" s="2">
        <v>45280</v>
      </c>
      <c r="U42" s="2">
        <v>45284</v>
      </c>
      <c r="V42" s="3">
        <v>0</v>
      </c>
      <c r="W42" s="3">
        <v>0</v>
      </c>
      <c r="X42" t="s">
        <v>2</v>
      </c>
      <c r="Y42" s="2"/>
      <c r="Z42" t="s">
        <v>16</v>
      </c>
      <c r="AA42" t="s">
        <v>183</v>
      </c>
      <c r="AB42" t="s">
        <v>2</v>
      </c>
      <c r="AC42" t="s">
        <v>18</v>
      </c>
      <c r="AD42" t="s">
        <v>126</v>
      </c>
      <c r="AE42" t="s">
        <v>127</v>
      </c>
      <c r="AF42" s="4">
        <v>50</v>
      </c>
      <c r="AG42" s="4">
        <v>0</v>
      </c>
      <c r="AH42" s="3">
        <v>3.06</v>
      </c>
      <c r="AI42" s="3">
        <v>153</v>
      </c>
      <c r="AJ42" s="3">
        <v>123448.05</v>
      </c>
      <c r="AK42" s="3">
        <v>0</v>
      </c>
      <c r="AL42" t="s">
        <v>21</v>
      </c>
      <c r="AM42" s="2"/>
      <c r="AN42" s="3">
        <v>0</v>
      </c>
      <c r="AO42" s="2"/>
      <c r="AP42" s="3">
        <v>0</v>
      </c>
      <c r="AQ42" t="s">
        <v>22</v>
      </c>
      <c r="AR42" t="s">
        <v>122</v>
      </c>
      <c r="AS42" t="s">
        <v>123</v>
      </c>
      <c r="AT42" t="s">
        <v>124</v>
      </c>
      <c r="AU42" t="s">
        <v>26</v>
      </c>
      <c r="AV42" t="s">
        <v>12</v>
      </c>
      <c r="AW42" t="s">
        <v>28</v>
      </c>
      <c r="AX42" t="s">
        <v>29</v>
      </c>
      <c r="AY42" t="s">
        <v>2</v>
      </c>
      <c r="AZ42" s="3">
        <v>0</v>
      </c>
      <c r="BA42" t="s">
        <v>2</v>
      </c>
      <c r="BB42" t="s">
        <v>31</v>
      </c>
      <c r="BC42" t="s">
        <v>2</v>
      </c>
      <c r="BD42" t="s">
        <v>125</v>
      </c>
      <c r="BE42">
        <f t="shared" si="0"/>
        <v>153</v>
      </c>
    </row>
    <row r="43" spans="1:57" x14ac:dyDescent="0.2">
      <c r="A43" t="s">
        <v>0</v>
      </c>
      <c r="B43" t="s">
        <v>1</v>
      </c>
      <c r="C43" t="s">
        <v>2</v>
      </c>
      <c r="D43" t="s">
        <v>2</v>
      </c>
      <c r="E43" t="s">
        <v>33</v>
      </c>
      <c r="F43" t="s">
        <v>4</v>
      </c>
      <c r="G43" t="s">
        <v>180</v>
      </c>
      <c r="H43" t="s">
        <v>38</v>
      </c>
      <c r="I43" t="s">
        <v>7</v>
      </c>
      <c r="J43" t="s">
        <v>91</v>
      </c>
      <c r="K43" t="s">
        <v>8</v>
      </c>
      <c r="L43" t="s">
        <v>181</v>
      </c>
      <c r="M43" t="s">
        <v>38</v>
      </c>
      <c r="N43" t="s">
        <v>2</v>
      </c>
      <c r="O43" t="s">
        <v>2</v>
      </c>
      <c r="P43" t="s">
        <v>93</v>
      </c>
      <c r="Q43" t="s">
        <v>2</v>
      </c>
      <c r="R43" t="s">
        <v>182</v>
      </c>
      <c r="S43" s="2">
        <v>45251</v>
      </c>
      <c r="T43" s="2">
        <v>45280</v>
      </c>
      <c r="U43" s="2">
        <v>45284</v>
      </c>
      <c r="V43" s="3">
        <v>0</v>
      </c>
      <c r="W43" s="3">
        <v>0</v>
      </c>
      <c r="X43" t="s">
        <v>2</v>
      </c>
      <c r="Y43" s="2"/>
      <c r="Z43" t="s">
        <v>16</v>
      </c>
      <c r="AA43" t="s">
        <v>183</v>
      </c>
      <c r="AB43" t="s">
        <v>2</v>
      </c>
      <c r="AC43" t="s">
        <v>18</v>
      </c>
      <c r="AD43" t="s">
        <v>184</v>
      </c>
      <c r="AE43" t="s">
        <v>185</v>
      </c>
      <c r="AF43" s="4">
        <v>550</v>
      </c>
      <c r="AG43" s="4">
        <v>0</v>
      </c>
      <c r="AH43" s="3">
        <v>3.59</v>
      </c>
      <c r="AI43" s="3">
        <v>1974.5</v>
      </c>
      <c r="AJ43" s="3">
        <v>1593125.33</v>
      </c>
      <c r="AK43" s="3">
        <v>0</v>
      </c>
      <c r="AL43" t="s">
        <v>21</v>
      </c>
      <c r="AM43" s="2"/>
      <c r="AN43" s="3">
        <v>0</v>
      </c>
      <c r="AO43" s="2"/>
      <c r="AP43" s="3">
        <v>0</v>
      </c>
      <c r="AQ43" t="s">
        <v>22</v>
      </c>
      <c r="AR43" t="s">
        <v>122</v>
      </c>
      <c r="AS43" t="s">
        <v>123</v>
      </c>
      <c r="AT43" t="s">
        <v>124</v>
      </c>
      <c r="AU43" t="s">
        <v>26</v>
      </c>
      <c r="AV43" t="s">
        <v>12</v>
      </c>
      <c r="AW43" t="s">
        <v>28</v>
      </c>
      <c r="AX43" t="s">
        <v>29</v>
      </c>
      <c r="AY43" t="s">
        <v>2</v>
      </c>
      <c r="AZ43" s="3">
        <v>0</v>
      </c>
      <c r="BA43" t="s">
        <v>2</v>
      </c>
      <c r="BB43" t="s">
        <v>31</v>
      </c>
      <c r="BC43" t="s">
        <v>2</v>
      </c>
      <c r="BD43" t="s">
        <v>125</v>
      </c>
      <c r="BE43">
        <f t="shared" si="0"/>
        <v>1974.5</v>
      </c>
    </row>
    <row r="44" spans="1:57" x14ac:dyDescent="0.2">
      <c r="A44" t="s">
        <v>0</v>
      </c>
      <c r="B44" t="s">
        <v>1</v>
      </c>
      <c r="C44" t="s">
        <v>2</v>
      </c>
      <c r="D44" t="s">
        <v>2</v>
      </c>
      <c r="E44" t="s">
        <v>33</v>
      </c>
      <c r="F44" t="s">
        <v>4</v>
      </c>
      <c r="G44" t="s">
        <v>180</v>
      </c>
      <c r="H44" t="s">
        <v>76</v>
      </c>
      <c r="I44" t="s">
        <v>7</v>
      </c>
      <c r="J44" t="s">
        <v>91</v>
      </c>
      <c r="K44" t="s">
        <v>8</v>
      </c>
      <c r="L44" t="s">
        <v>181</v>
      </c>
      <c r="M44" t="s">
        <v>76</v>
      </c>
      <c r="N44" t="s">
        <v>2</v>
      </c>
      <c r="O44" t="s">
        <v>2</v>
      </c>
      <c r="P44" t="s">
        <v>93</v>
      </c>
      <c r="Q44" t="s">
        <v>2</v>
      </c>
      <c r="R44" t="s">
        <v>182</v>
      </c>
      <c r="S44" s="2">
        <v>45251</v>
      </c>
      <c r="T44" s="2">
        <v>45280</v>
      </c>
      <c r="U44" s="2">
        <v>45284</v>
      </c>
      <c r="V44" s="3">
        <v>0</v>
      </c>
      <c r="W44" s="3">
        <v>0</v>
      </c>
      <c r="X44" t="s">
        <v>2</v>
      </c>
      <c r="Y44" s="2"/>
      <c r="Z44" t="s">
        <v>16</v>
      </c>
      <c r="AA44" t="s">
        <v>183</v>
      </c>
      <c r="AB44" t="s">
        <v>2</v>
      </c>
      <c r="AC44" t="s">
        <v>18</v>
      </c>
      <c r="AD44" t="s">
        <v>128</v>
      </c>
      <c r="AE44" t="s">
        <v>129</v>
      </c>
      <c r="AF44" s="4">
        <v>160</v>
      </c>
      <c r="AG44" s="4">
        <v>0</v>
      </c>
      <c r="AH44" s="3">
        <v>4.3899999999999997</v>
      </c>
      <c r="AI44" s="3">
        <v>702.4</v>
      </c>
      <c r="AJ44" s="3">
        <v>566731.43999999994</v>
      </c>
      <c r="AK44" s="3">
        <v>0</v>
      </c>
      <c r="AL44" t="s">
        <v>21</v>
      </c>
      <c r="AM44" s="2"/>
      <c r="AN44" s="3">
        <v>0</v>
      </c>
      <c r="AO44" s="2"/>
      <c r="AP44" s="3">
        <v>0</v>
      </c>
      <c r="AQ44" t="s">
        <v>22</v>
      </c>
      <c r="AR44" t="s">
        <v>122</v>
      </c>
      <c r="AS44" t="s">
        <v>123</v>
      </c>
      <c r="AT44" t="s">
        <v>124</v>
      </c>
      <c r="AU44" t="s">
        <v>26</v>
      </c>
      <c r="AV44" t="s">
        <v>12</v>
      </c>
      <c r="AW44" t="s">
        <v>28</v>
      </c>
      <c r="AX44" t="s">
        <v>29</v>
      </c>
      <c r="AY44" t="s">
        <v>2</v>
      </c>
      <c r="AZ44" s="3">
        <v>0</v>
      </c>
      <c r="BA44" t="s">
        <v>2</v>
      </c>
      <c r="BB44" t="s">
        <v>31</v>
      </c>
      <c r="BC44" t="s">
        <v>2</v>
      </c>
      <c r="BD44" t="s">
        <v>125</v>
      </c>
      <c r="BE44">
        <f t="shared" si="0"/>
        <v>702.4</v>
      </c>
    </row>
    <row r="45" spans="1:57" x14ac:dyDescent="0.2">
      <c r="A45" t="s">
        <v>0</v>
      </c>
      <c r="B45" t="s">
        <v>1</v>
      </c>
      <c r="C45" t="s">
        <v>2</v>
      </c>
      <c r="D45" t="s">
        <v>2</v>
      </c>
      <c r="E45" t="s">
        <v>130</v>
      </c>
      <c r="F45" t="s">
        <v>4</v>
      </c>
      <c r="G45" t="s">
        <v>180</v>
      </c>
      <c r="H45" t="s">
        <v>79</v>
      </c>
      <c r="I45" t="s">
        <v>7</v>
      </c>
      <c r="J45" t="s">
        <v>91</v>
      </c>
      <c r="K45" t="s">
        <v>8</v>
      </c>
      <c r="L45" t="s">
        <v>181</v>
      </c>
      <c r="M45" t="s">
        <v>79</v>
      </c>
      <c r="N45" t="s">
        <v>2</v>
      </c>
      <c r="O45" t="s">
        <v>2</v>
      </c>
      <c r="P45" t="s">
        <v>93</v>
      </c>
      <c r="Q45" t="s">
        <v>2</v>
      </c>
      <c r="R45" t="s">
        <v>182</v>
      </c>
      <c r="S45" s="2">
        <v>45251</v>
      </c>
      <c r="T45" s="2">
        <v>45280</v>
      </c>
      <c r="U45" s="2">
        <v>45284</v>
      </c>
      <c r="V45" s="3">
        <v>0</v>
      </c>
      <c r="W45" s="3">
        <v>0</v>
      </c>
      <c r="X45" t="s">
        <v>2</v>
      </c>
      <c r="Y45" s="2"/>
      <c r="Z45" t="s">
        <v>16</v>
      </c>
      <c r="AA45" t="s">
        <v>183</v>
      </c>
      <c r="AB45" t="s">
        <v>2</v>
      </c>
      <c r="AC45" t="s">
        <v>18</v>
      </c>
      <c r="AD45" t="s">
        <v>131</v>
      </c>
      <c r="AE45" t="s">
        <v>132</v>
      </c>
      <c r="AF45" s="4">
        <v>70</v>
      </c>
      <c r="AG45" s="4">
        <v>0</v>
      </c>
      <c r="AH45" s="3">
        <v>3.51</v>
      </c>
      <c r="AI45" s="3">
        <v>245.7</v>
      </c>
      <c r="AJ45" s="3">
        <v>198243.05</v>
      </c>
      <c r="AK45" s="3">
        <v>0</v>
      </c>
      <c r="AL45" t="s">
        <v>21</v>
      </c>
      <c r="AM45" s="2"/>
      <c r="AN45" s="3">
        <v>0</v>
      </c>
      <c r="AO45" s="2"/>
      <c r="AP45" s="3">
        <v>0</v>
      </c>
      <c r="AQ45" t="s">
        <v>22</v>
      </c>
      <c r="AR45" t="s">
        <v>122</v>
      </c>
      <c r="AS45" t="s">
        <v>123</v>
      </c>
      <c r="AT45" t="s">
        <v>124</v>
      </c>
      <c r="AU45" t="s">
        <v>26</v>
      </c>
      <c r="AV45" t="s">
        <v>12</v>
      </c>
      <c r="AW45" t="s">
        <v>28</v>
      </c>
      <c r="AX45" t="s">
        <v>29</v>
      </c>
      <c r="AY45" t="s">
        <v>2</v>
      </c>
      <c r="AZ45" s="3">
        <v>0</v>
      </c>
      <c r="BA45" t="s">
        <v>2</v>
      </c>
      <c r="BB45" t="s">
        <v>31</v>
      </c>
      <c r="BC45" t="s">
        <v>2</v>
      </c>
      <c r="BD45" t="s">
        <v>125</v>
      </c>
      <c r="BE45">
        <f t="shared" si="0"/>
        <v>245.7</v>
      </c>
    </row>
    <row r="46" spans="1:57" x14ac:dyDescent="0.2">
      <c r="A46" t="s">
        <v>0</v>
      </c>
      <c r="B46" t="s">
        <v>1</v>
      </c>
      <c r="C46" t="s">
        <v>2</v>
      </c>
      <c r="D46" t="s">
        <v>2</v>
      </c>
      <c r="E46" t="s">
        <v>37</v>
      </c>
      <c r="F46" t="s">
        <v>4</v>
      </c>
      <c r="G46" t="s">
        <v>180</v>
      </c>
      <c r="H46" t="s">
        <v>80</v>
      </c>
      <c r="I46" t="s">
        <v>7</v>
      </c>
      <c r="J46" t="s">
        <v>91</v>
      </c>
      <c r="K46" t="s">
        <v>8</v>
      </c>
      <c r="L46" t="s">
        <v>181</v>
      </c>
      <c r="M46" t="s">
        <v>80</v>
      </c>
      <c r="N46" t="s">
        <v>2</v>
      </c>
      <c r="O46" t="s">
        <v>2</v>
      </c>
      <c r="P46" t="s">
        <v>93</v>
      </c>
      <c r="Q46" t="s">
        <v>2</v>
      </c>
      <c r="R46" t="s">
        <v>182</v>
      </c>
      <c r="S46" s="2">
        <v>45251</v>
      </c>
      <c r="T46" s="2">
        <v>45280</v>
      </c>
      <c r="U46" s="2">
        <v>45284</v>
      </c>
      <c r="V46" s="3">
        <v>0</v>
      </c>
      <c r="W46" s="3">
        <v>0</v>
      </c>
      <c r="X46" t="s">
        <v>2</v>
      </c>
      <c r="Y46" s="2"/>
      <c r="Z46" t="s">
        <v>16</v>
      </c>
      <c r="AA46" t="s">
        <v>183</v>
      </c>
      <c r="AB46" t="s">
        <v>2</v>
      </c>
      <c r="AC46" t="s">
        <v>18</v>
      </c>
      <c r="AD46" t="s">
        <v>39</v>
      </c>
      <c r="AE46" t="s">
        <v>40</v>
      </c>
      <c r="AF46" s="4">
        <v>700</v>
      </c>
      <c r="AG46" s="4">
        <v>0</v>
      </c>
      <c r="AH46" s="3">
        <v>1.5</v>
      </c>
      <c r="AI46" s="3">
        <v>1050</v>
      </c>
      <c r="AJ46" s="3">
        <v>847192.5</v>
      </c>
      <c r="AK46" s="3">
        <v>0</v>
      </c>
      <c r="AL46" t="s">
        <v>21</v>
      </c>
      <c r="AM46" s="2"/>
      <c r="AN46" s="3">
        <v>0</v>
      </c>
      <c r="AO46" s="2"/>
      <c r="AP46" s="3">
        <v>0</v>
      </c>
      <c r="AQ46" t="s">
        <v>22</v>
      </c>
      <c r="AR46" t="s">
        <v>122</v>
      </c>
      <c r="AS46" t="s">
        <v>123</v>
      </c>
      <c r="AT46" t="s">
        <v>124</v>
      </c>
      <c r="AU46" t="s">
        <v>26</v>
      </c>
      <c r="AV46" t="s">
        <v>12</v>
      </c>
      <c r="AW46" t="s">
        <v>28</v>
      </c>
      <c r="AX46" t="s">
        <v>29</v>
      </c>
      <c r="AY46" t="s">
        <v>2</v>
      </c>
      <c r="AZ46" s="3">
        <v>0</v>
      </c>
      <c r="BA46" t="s">
        <v>2</v>
      </c>
      <c r="BB46" t="s">
        <v>31</v>
      </c>
      <c r="BC46" t="s">
        <v>2</v>
      </c>
      <c r="BD46" t="s">
        <v>125</v>
      </c>
      <c r="BE46">
        <f t="shared" si="0"/>
        <v>1050</v>
      </c>
    </row>
    <row r="47" spans="1:57" x14ac:dyDescent="0.2">
      <c r="A47" t="s">
        <v>0</v>
      </c>
      <c r="B47" t="s">
        <v>1</v>
      </c>
      <c r="C47" t="s">
        <v>2</v>
      </c>
      <c r="D47" t="s">
        <v>2</v>
      </c>
      <c r="E47" t="s">
        <v>3</v>
      </c>
      <c r="F47" t="s">
        <v>4</v>
      </c>
      <c r="G47" t="s">
        <v>180</v>
      </c>
      <c r="H47" t="s">
        <v>137</v>
      </c>
      <c r="I47" t="s">
        <v>7</v>
      </c>
      <c r="J47" t="s">
        <v>91</v>
      </c>
      <c r="K47" t="s">
        <v>8</v>
      </c>
      <c r="L47" t="s">
        <v>181</v>
      </c>
      <c r="M47" t="s">
        <v>137</v>
      </c>
      <c r="N47" t="s">
        <v>2</v>
      </c>
      <c r="O47" t="s">
        <v>2</v>
      </c>
      <c r="P47" t="s">
        <v>93</v>
      </c>
      <c r="Q47" t="s">
        <v>2</v>
      </c>
      <c r="R47" t="s">
        <v>182</v>
      </c>
      <c r="S47" s="2">
        <v>45251</v>
      </c>
      <c r="T47" s="2">
        <v>45280</v>
      </c>
      <c r="U47" s="2">
        <v>45284</v>
      </c>
      <c r="V47" s="3">
        <v>0</v>
      </c>
      <c r="W47" s="3">
        <v>0</v>
      </c>
      <c r="X47" t="s">
        <v>2</v>
      </c>
      <c r="Y47" s="2"/>
      <c r="Z47" t="s">
        <v>16</v>
      </c>
      <c r="AA47" t="s">
        <v>183</v>
      </c>
      <c r="AB47" t="s">
        <v>2</v>
      </c>
      <c r="AC47" t="s">
        <v>18</v>
      </c>
      <c r="AD47" t="s">
        <v>186</v>
      </c>
      <c r="AE47" t="s">
        <v>187</v>
      </c>
      <c r="AF47" s="4">
        <v>1980</v>
      </c>
      <c r="AG47" s="4">
        <v>0</v>
      </c>
      <c r="AH47" s="3">
        <v>8.26</v>
      </c>
      <c r="AI47" s="3">
        <v>16354.8</v>
      </c>
      <c r="AJ47" s="3">
        <v>13195870.380000001</v>
      </c>
      <c r="AK47" s="3">
        <v>0</v>
      </c>
      <c r="AL47" t="s">
        <v>21</v>
      </c>
      <c r="AM47" s="2"/>
      <c r="AN47" s="3">
        <v>0</v>
      </c>
      <c r="AO47" s="2"/>
      <c r="AP47" s="3">
        <v>0</v>
      </c>
      <c r="AQ47" t="s">
        <v>22</v>
      </c>
      <c r="AR47" t="s">
        <v>122</v>
      </c>
      <c r="AS47" t="s">
        <v>123</v>
      </c>
      <c r="AT47" t="s">
        <v>124</v>
      </c>
      <c r="AU47" t="s">
        <v>26</v>
      </c>
      <c r="AV47" t="s">
        <v>12</v>
      </c>
      <c r="AW47" t="s">
        <v>28</v>
      </c>
      <c r="AX47" t="s">
        <v>29</v>
      </c>
      <c r="AY47" t="s">
        <v>2</v>
      </c>
      <c r="AZ47" s="3">
        <v>0</v>
      </c>
      <c r="BA47" t="s">
        <v>2</v>
      </c>
      <c r="BB47" t="s">
        <v>31</v>
      </c>
      <c r="BC47" t="s">
        <v>2</v>
      </c>
      <c r="BD47" t="s">
        <v>125</v>
      </c>
      <c r="BE47">
        <f t="shared" si="0"/>
        <v>16354.8</v>
      </c>
    </row>
    <row r="48" spans="1:57" x14ac:dyDescent="0.2">
      <c r="A48" t="s">
        <v>0</v>
      </c>
      <c r="B48" t="s">
        <v>1</v>
      </c>
      <c r="C48" t="s">
        <v>2</v>
      </c>
      <c r="D48" t="s">
        <v>2</v>
      </c>
      <c r="E48" t="s">
        <v>157</v>
      </c>
      <c r="F48" t="s">
        <v>4</v>
      </c>
      <c r="G48" t="s">
        <v>180</v>
      </c>
      <c r="H48" t="s">
        <v>139</v>
      </c>
      <c r="I48" t="s">
        <v>7</v>
      </c>
      <c r="J48" t="s">
        <v>91</v>
      </c>
      <c r="K48" t="s">
        <v>8</v>
      </c>
      <c r="L48" t="s">
        <v>181</v>
      </c>
      <c r="M48" t="s">
        <v>139</v>
      </c>
      <c r="N48" t="s">
        <v>2</v>
      </c>
      <c r="O48" t="s">
        <v>2</v>
      </c>
      <c r="P48" t="s">
        <v>93</v>
      </c>
      <c r="Q48" t="s">
        <v>2</v>
      </c>
      <c r="R48" t="s">
        <v>182</v>
      </c>
      <c r="S48" s="2">
        <v>45251</v>
      </c>
      <c r="T48" s="2">
        <v>45280</v>
      </c>
      <c r="U48" s="2">
        <v>45284</v>
      </c>
      <c r="V48" s="3">
        <v>0</v>
      </c>
      <c r="W48" s="3">
        <v>0</v>
      </c>
      <c r="X48" t="s">
        <v>2</v>
      </c>
      <c r="Y48" s="2"/>
      <c r="Z48" t="s">
        <v>16</v>
      </c>
      <c r="AA48" t="s">
        <v>183</v>
      </c>
      <c r="AB48" t="s">
        <v>2</v>
      </c>
      <c r="AC48" t="s">
        <v>18</v>
      </c>
      <c r="AD48" t="s">
        <v>188</v>
      </c>
      <c r="AE48" t="s">
        <v>189</v>
      </c>
      <c r="AF48" s="4">
        <v>340</v>
      </c>
      <c r="AG48" s="4">
        <v>0</v>
      </c>
      <c r="AH48" s="3">
        <v>2.79</v>
      </c>
      <c r="AI48" s="3">
        <v>948.6</v>
      </c>
      <c r="AJ48" s="3">
        <v>765377.91</v>
      </c>
      <c r="AK48" s="3">
        <v>0</v>
      </c>
      <c r="AL48" t="s">
        <v>21</v>
      </c>
      <c r="AM48" s="2"/>
      <c r="AN48" s="3">
        <v>0</v>
      </c>
      <c r="AO48" s="2"/>
      <c r="AP48" s="3">
        <v>0</v>
      </c>
      <c r="AQ48" t="s">
        <v>22</v>
      </c>
      <c r="AR48" t="s">
        <v>122</v>
      </c>
      <c r="AS48" t="s">
        <v>123</v>
      </c>
      <c r="AT48" t="s">
        <v>124</v>
      </c>
      <c r="AU48" t="s">
        <v>26</v>
      </c>
      <c r="AV48" t="s">
        <v>12</v>
      </c>
      <c r="AW48" t="s">
        <v>28</v>
      </c>
      <c r="AX48" t="s">
        <v>29</v>
      </c>
      <c r="AY48" t="s">
        <v>2</v>
      </c>
      <c r="AZ48" s="3">
        <v>0</v>
      </c>
      <c r="BA48" t="s">
        <v>2</v>
      </c>
      <c r="BB48" t="s">
        <v>31</v>
      </c>
      <c r="BC48" t="s">
        <v>2</v>
      </c>
      <c r="BD48" t="s">
        <v>125</v>
      </c>
      <c r="BE48">
        <f t="shared" si="0"/>
        <v>948.6</v>
      </c>
    </row>
    <row r="49" spans="1:57" x14ac:dyDescent="0.2">
      <c r="A49" t="s">
        <v>0</v>
      </c>
      <c r="B49" t="s">
        <v>1</v>
      </c>
      <c r="C49" t="s">
        <v>2</v>
      </c>
      <c r="D49" t="s">
        <v>2</v>
      </c>
      <c r="E49" t="s">
        <v>33</v>
      </c>
      <c r="F49" t="s">
        <v>4</v>
      </c>
      <c r="G49" t="s">
        <v>180</v>
      </c>
      <c r="H49" t="s">
        <v>142</v>
      </c>
      <c r="I49" t="s">
        <v>7</v>
      </c>
      <c r="J49" t="s">
        <v>91</v>
      </c>
      <c r="K49" t="s">
        <v>8</v>
      </c>
      <c r="L49" t="s">
        <v>181</v>
      </c>
      <c r="M49" t="s">
        <v>142</v>
      </c>
      <c r="N49" t="s">
        <v>2</v>
      </c>
      <c r="O49" t="s">
        <v>2</v>
      </c>
      <c r="P49" t="s">
        <v>93</v>
      </c>
      <c r="Q49" t="s">
        <v>2</v>
      </c>
      <c r="R49" t="s">
        <v>182</v>
      </c>
      <c r="S49" s="2">
        <v>45251</v>
      </c>
      <c r="T49" s="2">
        <v>45280</v>
      </c>
      <c r="U49" s="2">
        <v>45284</v>
      </c>
      <c r="V49" s="3">
        <v>0</v>
      </c>
      <c r="W49" s="3">
        <v>0</v>
      </c>
      <c r="X49" t="s">
        <v>2</v>
      </c>
      <c r="Y49" s="2"/>
      <c r="Z49" t="s">
        <v>16</v>
      </c>
      <c r="AA49" t="s">
        <v>183</v>
      </c>
      <c r="AB49" t="s">
        <v>2</v>
      </c>
      <c r="AC49" t="s">
        <v>18</v>
      </c>
      <c r="AD49" t="s">
        <v>143</v>
      </c>
      <c r="AE49" t="s">
        <v>144</v>
      </c>
      <c r="AF49" s="4">
        <v>440</v>
      </c>
      <c r="AG49" s="4">
        <v>0</v>
      </c>
      <c r="AH49" s="3">
        <v>6.73</v>
      </c>
      <c r="AI49" s="3">
        <v>2961.2</v>
      </c>
      <c r="AJ49" s="3">
        <v>2389244.2200000002</v>
      </c>
      <c r="AK49" s="3">
        <v>0</v>
      </c>
      <c r="AL49" t="s">
        <v>21</v>
      </c>
      <c r="AM49" s="2"/>
      <c r="AN49" s="3">
        <v>0</v>
      </c>
      <c r="AO49" s="2"/>
      <c r="AP49" s="3">
        <v>0</v>
      </c>
      <c r="AQ49" t="s">
        <v>22</v>
      </c>
      <c r="AR49" t="s">
        <v>122</v>
      </c>
      <c r="AS49" t="s">
        <v>123</v>
      </c>
      <c r="AT49" t="s">
        <v>124</v>
      </c>
      <c r="AU49" t="s">
        <v>26</v>
      </c>
      <c r="AV49" t="s">
        <v>12</v>
      </c>
      <c r="AW49" t="s">
        <v>28</v>
      </c>
      <c r="AX49" t="s">
        <v>29</v>
      </c>
      <c r="AY49" t="s">
        <v>2</v>
      </c>
      <c r="AZ49" s="3">
        <v>0</v>
      </c>
      <c r="BA49" t="s">
        <v>2</v>
      </c>
      <c r="BB49" t="s">
        <v>31</v>
      </c>
      <c r="BC49" t="s">
        <v>2</v>
      </c>
      <c r="BD49" t="s">
        <v>125</v>
      </c>
      <c r="BE49">
        <f t="shared" si="0"/>
        <v>2961.2</v>
      </c>
    </row>
    <row r="50" spans="1:57" x14ac:dyDescent="0.2">
      <c r="A50" t="s">
        <v>0</v>
      </c>
      <c r="B50" t="s">
        <v>1</v>
      </c>
      <c r="C50" t="s">
        <v>2</v>
      </c>
      <c r="D50" t="s">
        <v>2</v>
      </c>
      <c r="E50" t="s">
        <v>190</v>
      </c>
      <c r="F50" t="s">
        <v>4</v>
      </c>
      <c r="G50" t="s">
        <v>180</v>
      </c>
      <c r="H50" t="s">
        <v>145</v>
      </c>
      <c r="I50" t="s">
        <v>7</v>
      </c>
      <c r="J50" t="s">
        <v>91</v>
      </c>
      <c r="K50" t="s">
        <v>8</v>
      </c>
      <c r="L50" t="s">
        <v>181</v>
      </c>
      <c r="M50" t="s">
        <v>145</v>
      </c>
      <c r="N50" t="s">
        <v>2</v>
      </c>
      <c r="O50" t="s">
        <v>2</v>
      </c>
      <c r="P50" t="s">
        <v>93</v>
      </c>
      <c r="Q50" t="s">
        <v>2</v>
      </c>
      <c r="R50" t="s">
        <v>182</v>
      </c>
      <c r="S50" s="2">
        <v>45251</v>
      </c>
      <c r="T50" s="2">
        <v>45280</v>
      </c>
      <c r="U50" s="2">
        <v>45284</v>
      </c>
      <c r="V50" s="3">
        <v>0</v>
      </c>
      <c r="W50" s="3">
        <v>0</v>
      </c>
      <c r="X50" t="s">
        <v>2</v>
      </c>
      <c r="Y50" s="2"/>
      <c r="Z50" t="s">
        <v>16</v>
      </c>
      <c r="AA50" t="s">
        <v>183</v>
      </c>
      <c r="AB50" t="s">
        <v>2</v>
      </c>
      <c r="AC50" t="s">
        <v>18</v>
      </c>
      <c r="AD50" t="s">
        <v>191</v>
      </c>
      <c r="AE50" t="s">
        <v>192</v>
      </c>
      <c r="AF50" s="4">
        <v>2.2999999999999998</v>
      </c>
      <c r="AG50" s="4">
        <v>0</v>
      </c>
      <c r="AH50" s="3">
        <v>656</v>
      </c>
      <c r="AI50" s="3">
        <v>1508.8</v>
      </c>
      <c r="AJ50" s="3">
        <v>1217375.28</v>
      </c>
      <c r="AK50" s="3">
        <v>0</v>
      </c>
      <c r="AL50" t="s">
        <v>193</v>
      </c>
      <c r="AM50" s="2"/>
      <c r="AN50" s="3">
        <v>0</v>
      </c>
      <c r="AO50" s="2"/>
      <c r="AP50" s="3">
        <v>0</v>
      </c>
      <c r="AQ50" t="s">
        <v>22</v>
      </c>
      <c r="AR50" t="s">
        <v>122</v>
      </c>
      <c r="AS50" t="s">
        <v>123</v>
      </c>
      <c r="AT50" t="s">
        <v>124</v>
      </c>
      <c r="AU50" t="s">
        <v>26</v>
      </c>
      <c r="AV50" t="s">
        <v>12</v>
      </c>
      <c r="AW50" t="s">
        <v>28</v>
      </c>
      <c r="AX50" t="s">
        <v>29</v>
      </c>
      <c r="AY50" t="s">
        <v>2</v>
      </c>
      <c r="AZ50" s="3">
        <v>0</v>
      </c>
      <c r="BA50" t="s">
        <v>2</v>
      </c>
      <c r="BB50" t="s">
        <v>31</v>
      </c>
      <c r="BC50" t="s">
        <v>2</v>
      </c>
      <c r="BD50" t="s">
        <v>125</v>
      </c>
      <c r="BE50">
        <f t="shared" si="0"/>
        <v>1508.8</v>
      </c>
    </row>
    <row r="51" spans="1:57" x14ac:dyDescent="0.2">
      <c r="A51" t="s">
        <v>0</v>
      </c>
      <c r="B51" t="s">
        <v>1</v>
      </c>
      <c r="C51" t="s">
        <v>2</v>
      </c>
      <c r="D51" t="s">
        <v>2</v>
      </c>
      <c r="E51" t="s">
        <v>33</v>
      </c>
      <c r="F51" t="s">
        <v>4</v>
      </c>
      <c r="G51" t="s">
        <v>180</v>
      </c>
      <c r="H51" t="s">
        <v>148</v>
      </c>
      <c r="I51" t="s">
        <v>7</v>
      </c>
      <c r="J51" t="s">
        <v>91</v>
      </c>
      <c r="K51" t="s">
        <v>8</v>
      </c>
      <c r="L51" t="s">
        <v>181</v>
      </c>
      <c r="M51" t="s">
        <v>148</v>
      </c>
      <c r="N51" t="s">
        <v>2</v>
      </c>
      <c r="O51" t="s">
        <v>2</v>
      </c>
      <c r="P51" t="s">
        <v>93</v>
      </c>
      <c r="Q51" t="s">
        <v>2</v>
      </c>
      <c r="R51" t="s">
        <v>182</v>
      </c>
      <c r="S51" s="2">
        <v>45251</v>
      </c>
      <c r="T51" s="2">
        <v>45280</v>
      </c>
      <c r="U51" s="2">
        <v>45284</v>
      </c>
      <c r="V51" s="3">
        <v>0</v>
      </c>
      <c r="W51" s="3">
        <v>0</v>
      </c>
      <c r="X51" t="s">
        <v>2</v>
      </c>
      <c r="Y51" s="2"/>
      <c r="Z51" t="s">
        <v>16</v>
      </c>
      <c r="AA51" t="s">
        <v>183</v>
      </c>
      <c r="AB51" t="s">
        <v>2</v>
      </c>
      <c r="AC51" t="s">
        <v>18</v>
      </c>
      <c r="AD51" t="s">
        <v>149</v>
      </c>
      <c r="AE51" t="s">
        <v>150</v>
      </c>
      <c r="AF51" s="4">
        <v>200</v>
      </c>
      <c r="AG51" s="4">
        <v>0</v>
      </c>
      <c r="AH51" s="3">
        <v>5.59</v>
      </c>
      <c r="AI51" s="3">
        <v>1118</v>
      </c>
      <c r="AJ51" s="3">
        <v>902058.3</v>
      </c>
      <c r="AK51" s="3">
        <v>0</v>
      </c>
      <c r="AL51" t="s">
        <v>21</v>
      </c>
      <c r="AM51" s="2"/>
      <c r="AN51" s="3">
        <v>0</v>
      </c>
      <c r="AO51" s="2"/>
      <c r="AP51" s="3">
        <v>0</v>
      </c>
      <c r="AQ51" t="s">
        <v>22</v>
      </c>
      <c r="AR51" t="s">
        <v>122</v>
      </c>
      <c r="AS51" t="s">
        <v>123</v>
      </c>
      <c r="AT51" t="s">
        <v>124</v>
      </c>
      <c r="AU51" t="s">
        <v>26</v>
      </c>
      <c r="AV51" t="s">
        <v>12</v>
      </c>
      <c r="AW51" t="s">
        <v>28</v>
      </c>
      <c r="AX51" t="s">
        <v>29</v>
      </c>
      <c r="AY51" t="s">
        <v>2</v>
      </c>
      <c r="AZ51" s="3">
        <v>0</v>
      </c>
      <c r="BA51" t="s">
        <v>2</v>
      </c>
      <c r="BB51" t="s">
        <v>31</v>
      </c>
      <c r="BC51" t="s">
        <v>2</v>
      </c>
      <c r="BD51" t="s">
        <v>125</v>
      </c>
      <c r="BE51">
        <f t="shared" si="0"/>
        <v>1118</v>
      </c>
    </row>
    <row r="52" spans="1:57" x14ac:dyDescent="0.2">
      <c r="A52" t="s">
        <v>0</v>
      </c>
      <c r="B52" t="s">
        <v>1</v>
      </c>
      <c r="C52" t="s">
        <v>2</v>
      </c>
      <c r="D52" t="s">
        <v>2</v>
      </c>
      <c r="E52" t="s">
        <v>3</v>
      </c>
      <c r="F52" t="s">
        <v>4</v>
      </c>
      <c r="G52" t="s">
        <v>180</v>
      </c>
      <c r="H52" t="s">
        <v>151</v>
      </c>
      <c r="I52" t="s">
        <v>7</v>
      </c>
      <c r="J52" t="s">
        <v>91</v>
      </c>
      <c r="K52" t="s">
        <v>8</v>
      </c>
      <c r="L52" t="s">
        <v>181</v>
      </c>
      <c r="M52" t="s">
        <v>151</v>
      </c>
      <c r="N52" t="s">
        <v>2</v>
      </c>
      <c r="O52" t="s">
        <v>2</v>
      </c>
      <c r="P52" t="s">
        <v>93</v>
      </c>
      <c r="Q52" t="s">
        <v>2</v>
      </c>
      <c r="R52" t="s">
        <v>182</v>
      </c>
      <c r="S52" s="2">
        <v>45251</v>
      </c>
      <c r="T52" s="2">
        <v>45280</v>
      </c>
      <c r="U52" s="2">
        <v>45284</v>
      </c>
      <c r="V52" s="3">
        <v>0</v>
      </c>
      <c r="W52" s="3">
        <v>0</v>
      </c>
      <c r="X52" t="s">
        <v>2</v>
      </c>
      <c r="Y52" s="2"/>
      <c r="Z52" t="s">
        <v>16</v>
      </c>
      <c r="AA52" t="s">
        <v>183</v>
      </c>
      <c r="AB52" t="s">
        <v>2</v>
      </c>
      <c r="AC52" t="s">
        <v>18</v>
      </c>
      <c r="AD52" t="s">
        <v>152</v>
      </c>
      <c r="AE52" t="s">
        <v>20</v>
      </c>
      <c r="AF52" s="4">
        <v>220</v>
      </c>
      <c r="AG52" s="4">
        <v>0</v>
      </c>
      <c r="AH52" s="3">
        <v>5.46</v>
      </c>
      <c r="AI52" s="3">
        <v>1201.2</v>
      </c>
      <c r="AJ52" s="3">
        <v>969188.22</v>
      </c>
      <c r="AK52" s="3">
        <v>0</v>
      </c>
      <c r="AL52" t="s">
        <v>21</v>
      </c>
      <c r="AM52" s="2"/>
      <c r="AN52" s="3">
        <v>0</v>
      </c>
      <c r="AO52" s="2"/>
      <c r="AP52" s="3">
        <v>0</v>
      </c>
      <c r="AQ52" t="s">
        <v>22</v>
      </c>
      <c r="AR52" t="s">
        <v>122</v>
      </c>
      <c r="AS52" t="s">
        <v>123</v>
      </c>
      <c r="AT52" t="s">
        <v>124</v>
      </c>
      <c r="AU52" t="s">
        <v>26</v>
      </c>
      <c r="AV52" t="s">
        <v>12</v>
      </c>
      <c r="AW52" t="s">
        <v>28</v>
      </c>
      <c r="AX52" t="s">
        <v>29</v>
      </c>
      <c r="AY52" t="s">
        <v>2</v>
      </c>
      <c r="AZ52" s="3">
        <v>0</v>
      </c>
      <c r="BA52" t="s">
        <v>2</v>
      </c>
      <c r="BB52" t="s">
        <v>31</v>
      </c>
      <c r="BC52" t="s">
        <v>2</v>
      </c>
      <c r="BD52" t="s">
        <v>125</v>
      </c>
      <c r="BE52">
        <f t="shared" si="0"/>
        <v>1201.2</v>
      </c>
    </row>
    <row r="53" spans="1:57" x14ac:dyDescent="0.2">
      <c r="A53" t="s">
        <v>0</v>
      </c>
      <c r="B53" t="s">
        <v>1</v>
      </c>
      <c r="C53" t="s">
        <v>2</v>
      </c>
      <c r="D53" t="s">
        <v>2</v>
      </c>
      <c r="E53" t="s">
        <v>3</v>
      </c>
      <c r="F53" t="s">
        <v>4</v>
      </c>
      <c r="G53" t="s">
        <v>180</v>
      </c>
      <c r="H53" t="s">
        <v>153</v>
      </c>
      <c r="I53" t="s">
        <v>7</v>
      </c>
      <c r="J53" t="s">
        <v>91</v>
      </c>
      <c r="K53" t="s">
        <v>8</v>
      </c>
      <c r="L53" t="s">
        <v>181</v>
      </c>
      <c r="M53" t="s">
        <v>153</v>
      </c>
      <c r="N53" t="s">
        <v>2</v>
      </c>
      <c r="O53" t="s">
        <v>2</v>
      </c>
      <c r="P53" t="s">
        <v>93</v>
      </c>
      <c r="Q53" t="s">
        <v>2</v>
      </c>
      <c r="R53" t="s">
        <v>182</v>
      </c>
      <c r="S53" s="2">
        <v>45251</v>
      </c>
      <c r="T53" s="2">
        <v>45280</v>
      </c>
      <c r="U53" s="2">
        <v>45284</v>
      </c>
      <c r="V53" s="3">
        <v>0</v>
      </c>
      <c r="W53" s="3">
        <v>0</v>
      </c>
      <c r="X53" t="s">
        <v>2</v>
      </c>
      <c r="Y53" s="2"/>
      <c r="Z53" t="s">
        <v>16</v>
      </c>
      <c r="AA53" t="s">
        <v>183</v>
      </c>
      <c r="AB53" t="s">
        <v>2</v>
      </c>
      <c r="AC53" t="s">
        <v>18</v>
      </c>
      <c r="AD53" t="s">
        <v>194</v>
      </c>
      <c r="AE53" t="s">
        <v>187</v>
      </c>
      <c r="AF53" s="4">
        <v>280</v>
      </c>
      <c r="AG53" s="4">
        <v>0</v>
      </c>
      <c r="AH53" s="3">
        <v>5.65</v>
      </c>
      <c r="AI53" s="3">
        <v>1582</v>
      </c>
      <c r="AJ53" s="3">
        <v>1276436.7</v>
      </c>
      <c r="AK53" s="3">
        <v>0</v>
      </c>
      <c r="AL53" t="s">
        <v>21</v>
      </c>
      <c r="AM53" s="2"/>
      <c r="AN53" s="3">
        <v>0</v>
      </c>
      <c r="AO53" s="2"/>
      <c r="AP53" s="3">
        <v>0</v>
      </c>
      <c r="AQ53" t="s">
        <v>22</v>
      </c>
      <c r="AR53" t="s">
        <v>122</v>
      </c>
      <c r="AS53" t="s">
        <v>123</v>
      </c>
      <c r="AT53" t="s">
        <v>124</v>
      </c>
      <c r="AU53" t="s">
        <v>26</v>
      </c>
      <c r="AV53" t="s">
        <v>12</v>
      </c>
      <c r="AW53" t="s">
        <v>28</v>
      </c>
      <c r="AX53" t="s">
        <v>29</v>
      </c>
      <c r="AY53" t="s">
        <v>2</v>
      </c>
      <c r="AZ53" s="3">
        <v>0</v>
      </c>
      <c r="BA53" t="s">
        <v>2</v>
      </c>
      <c r="BB53" t="s">
        <v>31</v>
      </c>
      <c r="BC53" t="s">
        <v>2</v>
      </c>
      <c r="BD53" t="s">
        <v>125</v>
      </c>
      <c r="BE53">
        <f t="shared" si="0"/>
        <v>1582</v>
      </c>
    </row>
    <row r="54" spans="1:57" x14ac:dyDescent="0.2">
      <c r="A54" t="s">
        <v>0</v>
      </c>
      <c r="B54" t="s">
        <v>1</v>
      </c>
      <c r="C54" t="s">
        <v>2</v>
      </c>
      <c r="D54" t="s">
        <v>2</v>
      </c>
      <c r="E54" t="s">
        <v>33</v>
      </c>
      <c r="F54" t="s">
        <v>4</v>
      </c>
      <c r="G54" t="s">
        <v>180</v>
      </c>
      <c r="H54" t="s">
        <v>155</v>
      </c>
      <c r="I54" t="s">
        <v>7</v>
      </c>
      <c r="J54" t="s">
        <v>91</v>
      </c>
      <c r="K54" t="s">
        <v>8</v>
      </c>
      <c r="L54" t="s">
        <v>181</v>
      </c>
      <c r="M54" t="s">
        <v>155</v>
      </c>
      <c r="N54" t="s">
        <v>2</v>
      </c>
      <c r="O54" t="s">
        <v>2</v>
      </c>
      <c r="P54" t="s">
        <v>93</v>
      </c>
      <c r="Q54" t="s">
        <v>2</v>
      </c>
      <c r="R54" t="s">
        <v>182</v>
      </c>
      <c r="S54" s="2">
        <v>45251</v>
      </c>
      <c r="T54" s="2">
        <v>45280</v>
      </c>
      <c r="U54" s="2">
        <v>45284</v>
      </c>
      <c r="V54" s="3">
        <v>0</v>
      </c>
      <c r="W54" s="3">
        <v>0</v>
      </c>
      <c r="X54" t="s">
        <v>2</v>
      </c>
      <c r="Y54" s="2"/>
      <c r="Z54" t="s">
        <v>16</v>
      </c>
      <c r="AA54" t="s">
        <v>183</v>
      </c>
      <c r="AB54" t="s">
        <v>2</v>
      </c>
      <c r="AC54" t="s">
        <v>18</v>
      </c>
      <c r="AD54" t="s">
        <v>77</v>
      </c>
      <c r="AE54" t="s">
        <v>78</v>
      </c>
      <c r="AF54" s="4">
        <v>395</v>
      </c>
      <c r="AG54" s="4">
        <v>0</v>
      </c>
      <c r="AH54" s="3">
        <v>6.22</v>
      </c>
      <c r="AI54" s="3">
        <v>2456.9</v>
      </c>
      <c r="AJ54" s="3">
        <v>1982349.77</v>
      </c>
      <c r="AK54" s="3">
        <v>0</v>
      </c>
      <c r="AL54" t="s">
        <v>21</v>
      </c>
      <c r="AM54" s="2"/>
      <c r="AN54" s="3">
        <v>0</v>
      </c>
      <c r="AO54" s="2"/>
      <c r="AP54" s="3">
        <v>0</v>
      </c>
      <c r="AQ54" t="s">
        <v>22</v>
      </c>
      <c r="AR54" t="s">
        <v>122</v>
      </c>
      <c r="AS54" t="s">
        <v>123</v>
      </c>
      <c r="AT54" t="s">
        <v>124</v>
      </c>
      <c r="AU54" t="s">
        <v>26</v>
      </c>
      <c r="AV54" t="s">
        <v>12</v>
      </c>
      <c r="AW54" t="s">
        <v>28</v>
      </c>
      <c r="AX54" t="s">
        <v>29</v>
      </c>
      <c r="AY54" t="s">
        <v>2</v>
      </c>
      <c r="AZ54" s="3">
        <v>0</v>
      </c>
      <c r="BA54" t="s">
        <v>2</v>
      </c>
      <c r="BB54" t="s">
        <v>31</v>
      </c>
      <c r="BC54" t="s">
        <v>2</v>
      </c>
      <c r="BD54" t="s">
        <v>125</v>
      </c>
      <c r="BE54">
        <f t="shared" si="0"/>
        <v>2456.9</v>
      </c>
    </row>
    <row r="55" spans="1:57" x14ac:dyDescent="0.2">
      <c r="A55" t="s">
        <v>0</v>
      </c>
      <c r="B55" t="s">
        <v>1</v>
      </c>
      <c r="C55" t="s">
        <v>2</v>
      </c>
      <c r="D55" t="s">
        <v>2</v>
      </c>
      <c r="E55" t="s">
        <v>195</v>
      </c>
      <c r="F55" t="s">
        <v>4</v>
      </c>
      <c r="G55" t="s">
        <v>180</v>
      </c>
      <c r="H55" t="s">
        <v>158</v>
      </c>
      <c r="I55" t="s">
        <v>7</v>
      </c>
      <c r="J55" t="s">
        <v>91</v>
      </c>
      <c r="K55" t="s">
        <v>8</v>
      </c>
      <c r="L55" t="s">
        <v>181</v>
      </c>
      <c r="M55" t="s">
        <v>158</v>
      </c>
      <c r="N55" t="s">
        <v>2</v>
      </c>
      <c r="O55" t="s">
        <v>2</v>
      </c>
      <c r="P55" t="s">
        <v>93</v>
      </c>
      <c r="Q55" t="s">
        <v>2</v>
      </c>
      <c r="R55" t="s">
        <v>182</v>
      </c>
      <c r="S55" s="2">
        <v>45251</v>
      </c>
      <c r="T55" s="2">
        <v>45280</v>
      </c>
      <c r="U55" s="2">
        <v>45284</v>
      </c>
      <c r="V55" s="3">
        <v>0</v>
      </c>
      <c r="W55" s="3">
        <v>0</v>
      </c>
      <c r="X55" t="s">
        <v>2</v>
      </c>
      <c r="Y55" s="2"/>
      <c r="Z55" t="s">
        <v>16</v>
      </c>
      <c r="AA55" t="s">
        <v>183</v>
      </c>
      <c r="AB55" t="s">
        <v>2</v>
      </c>
      <c r="AC55" t="s">
        <v>18</v>
      </c>
      <c r="AD55" t="s">
        <v>196</v>
      </c>
      <c r="AE55" t="s">
        <v>189</v>
      </c>
      <c r="AF55" s="4">
        <v>0.6</v>
      </c>
      <c r="AG55" s="4">
        <v>0</v>
      </c>
      <c r="AH55" s="3">
        <v>642</v>
      </c>
      <c r="AI55" s="3">
        <v>385.2</v>
      </c>
      <c r="AJ55" s="3">
        <v>310798.62</v>
      </c>
      <c r="AK55" s="3">
        <v>0</v>
      </c>
      <c r="AL55" t="s">
        <v>193</v>
      </c>
      <c r="AM55" s="2"/>
      <c r="AN55" s="3">
        <v>0</v>
      </c>
      <c r="AO55" s="2"/>
      <c r="AP55" s="3">
        <v>0</v>
      </c>
      <c r="AQ55" t="s">
        <v>22</v>
      </c>
      <c r="AR55" t="s">
        <v>122</v>
      </c>
      <c r="AS55" t="s">
        <v>123</v>
      </c>
      <c r="AT55" t="s">
        <v>124</v>
      </c>
      <c r="AU55" t="s">
        <v>26</v>
      </c>
      <c r="AV55" t="s">
        <v>12</v>
      </c>
      <c r="AW55" t="s">
        <v>28</v>
      </c>
      <c r="AX55" t="s">
        <v>29</v>
      </c>
      <c r="AY55" t="s">
        <v>2</v>
      </c>
      <c r="AZ55" s="3">
        <v>0</v>
      </c>
      <c r="BA55" t="s">
        <v>2</v>
      </c>
      <c r="BB55" t="s">
        <v>31</v>
      </c>
      <c r="BC55" t="s">
        <v>2</v>
      </c>
      <c r="BD55" t="s">
        <v>125</v>
      </c>
      <c r="BE55">
        <f t="shared" si="0"/>
        <v>385.2</v>
      </c>
    </row>
    <row r="56" spans="1:57" x14ac:dyDescent="0.2">
      <c r="A56" t="s">
        <v>0</v>
      </c>
      <c r="B56" t="s">
        <v>1</v>
      </c>
      <c r="C56" t="s">
        <v>2</v>
      </c>
      <c r="D56" t="s">
        <v>2</v>
      </c>
      <c r="E56" t="s">
        <v>113</v>
      </c>
      <c r="F56" t="s">
        <v>4</v>
      </c>
      <c r="G56" t="s">
        <v>180</v>
      </c>
      <c r="H56" t="s">
        <v>161</v>
      </c>
      <c r="I56" t="s">
        <v>7</v>
      </c>
      <c r="J56" t="s">
        <v>91</v>
      </c>
      <c r="K56" t="s">
        <v>8</v>
      </c>
      <c r="L56" t="s">
        <v>181</v>
      </c>
      <c r="M56" t="s">
        <v>161</v>
      </c>
      <c r="N56" t="s">
        <v>2</v>
      </c>
      <c r="O56" t="s">
        <v>2</v>
      </c>
      <c r="P56" t="s">
        <v>93</v>
      </c>
      <c r="Q56" t="s">
        <v>2</v>
      </c>
      <c r="R56" t="s">
        <v>182</v>
      </c>
      <c r="S56" s="2">
        <v>45251</v>
      </c>
      <c r="T56" s="2">
        <v>45280</v>
      </c>
      <c r="U56" s="2">
        <v>45284</v>
      </c>
      <c r="V56" s="3">
        <v>0</v>
      </c>
      <c r="W56" s="3">
        <v>0</v>
      </c>
      <c r="X56" t="s">
        <v>2</v>
      </c>
      <c r="Y56" s="2"/>
      <c r="Z56" t="s">
        <v>47</v>
      </c>
      <c r="AA56" t="s">
        <v>183</v>
      </c>
      <c r="AB56" t="s">
        <v>2</v>
      </c>
      <c r="AC56" t="s">
        <v>49</v>
      </c>
      <c r="AD56" t="s">
        <v>162</v>
      </c>
      <c r="AE56" t="s">
        <v>163</v>
      </c>
      <c r="AF56" s="4">
        <v>870</v>
      </c>
      <c r="AG56" s="4">
        <v>0</v>
      </c>
      <c r="AH56" s="3">
        <v>5.59</v>
      </c>
      <c r="AI56" s="3">
        <v>4863.3</v>
      </c>
      <c r="AJ56" s="3">
        <v>3923953.61</v>
      </c>
      <c r="AK56" s="3">
        <v>0</v>
      </c>
      <c r="AL56" t="s">
        <v>52</v>
      </c>
      <c r="AM56" s="2"/>
      <c r="AN56" s="3">
        <v>0</v>
      </c>
      <c r="AO56" s="2"/>
      <c r="AP56" s="3">
        <v>0</v>
      </c>
      <c r="AQ56" t="s">
        <v>53</v>
      </c>
      <c r="AR56" t="s">
        <v>122</v>
      </c>
      <c r="AS56" t="s">
        <v>123</v>
      </c>
      <c r="AT56" t="s">
        <v>124</v>
      </c>
      <c r="AU56" t="s">
        <v>26</v>
      </c>
      <c r="AV56" t="s">
        <v>12</v>
      </c>
      <c r="AW56" t="s">
        <v>28</v>
      </c>
      <c r="AX56" t="s">
        <v>29</v>
      </c>
      <c r="AY56" t="s">
        <v>2</v>
      </c>
      <c r="AZ56" s="3">
        <v>0</v>
      </c>
      <c r="BA56" t="s">
        <v>2</v>
      </c>
      <c r="BB56" t="s">
        <v>31</v>
      </c>
      <c r="BC56" t="s">
        <v>2</v>
      </c>
      <c r="BD56" t="s">
        <v>125</v>
      </c>
      <c r="BE56">
        <f t="shared" si="0"/>
        <v>4863.3</v>
      </c>
    </row>
    <row r="57" spans="1:57" x14ac:dyDescent="0.2">
      <c r="A57" t="s">
        <v>0</v>
      </c>
      <c r="B57" t="s">
        <v>1</v>
      </c>
      <c r="C57" t="s">
        <v>2</v>
      </c>
      <c r="D57" t="s">
        <v>2</v>
      </c>
      <c r="E57" t="s">
        <v>113</v>
      </c>
      <c r="F57" t="s">
        <v>4</v>
      </c>
      <c r="G57" t="s">
        <v>197</v>
      </c>
      <c r="H57" t="s">
        <v>6</v>
      </c>
      <c r="I57" t="s">
        <v>7</v>
      </c>
      <c r="J57" t="s">
        <v>91</v>
      </c>
      <c r="K57" t="s">
        <v>8</v>
      </c>
      <c r="L57" t="s">
        <v>198</v>
      </c>
      <c r="M57" t="s">
        <v>6</v>
      </c>
      <c r="N57" t="s">
        <v>2</v>
      </c>
      <c r="O57" t="s">
        <v>2</v>
      </c>
      <c r="P57" t="s">
        <v>93</v>
      </c>
      <c r="Q57" t="s">
        <v>2</v>
      </c>
      <c r="R57" t="s">
        <v>199</v>
      </c>
      <c r="S57" s="2">
        <v>45251</v>
      </c>
      <c r="T57" s="2">
        <v>45280</v>
      </c>
      <c r="U57" s="2">
        <v>45284</v>
      </c>
      <c r="V57" s="3">
        <v>0</v>
      </c>
      <c r="W57" s="3">
        <v>0</v>
      </c>
      <c r="X57" t="s">
        <v>2</v>
      </c>
      <c r="Y57" s="2"/>
      <c r="Z57" t="s">
        <v>47</v>
      </c>
      <c r="AA57" t="s">
        <v>183</v>
      </c>
      <c r="AB57" t="s">
        <v>2</v>
      </c>
      <c r="AC57" t="s">
        <v>49</v>
      </c>
      <c r="AD57" t="s">
        <v>178</v>
      </c>
      <c r="AE57" t="s">
        <v>179</v>
      </c>
      <c r="AF57" s="4">
        <v>0.4</v>
      </c>
      <c r="AG57" s="4">
        <v>0</v>
      </c>
      <c r="AH57" s="3">
        <v>2094.98</v>
      </c>
      <c r="AI57" s="3">
        <v>837.99</v>
      </c>
      <c r="AJ57" s="3">
        <v>676132.23</v>
      </c>
      <c r="AK57" s="3">
        <v>0</v>
      </c>
      <c r="AL57" t="s">
        <v>52</v>
      </c>
      <c r="AM57" s="2"/>
      <c r="AN57" s="3">
        <v>0</v>
      </c>
      <c r="AO57" s="2"/>
      <c r="AP57" s="3">
        <v>0</v>
      </c>
      <c r="AQ57" t="s">
        <v>53</v>
      </c>
      <c r="AR57" t="s">
        <v>122</v>
      </c>
      <c r="AS57" t="s">
        <v>123</v>
      </c>
      <c r="AT57" t="s">
        <v>124</v>
      </c>
      <c r="AU57" t="s">
        <v>26</v>
      </c>
      <c r="AV57" t="s">
        <v>12</v>
      </c>
      <c r="AW57" t="s">
        <v>28</v>
      </c>
      <c r="AX57" t="s">
        <v>29</v>
      </c>
      <c r="AY57" t="s">
        <v>2</v>
      </c>
      <c r="AZ57" s="3">
        <v>0</v>
      </c>
      <c r="BA57" t="s">
        <v>2</v>
      </c>
      <c r="BB57" t="s">
        <v>31</v>
      </c>
      <c r="BC57" t="s">
        <v>2</v>
      </c>
      <c r="BD57" t="s">
        <v>125</v>
      </c>
      <c r="BE57">
        <f t="shared" si="0"/>
        <v>837.99</v>
      </c>
    </row>
    <row r="58" spans="1:57" x14ac:dyDescent="0.2">
      <c r="A58" t="s">
        <v>0</v>
      </c>
      <c r="B58" t="s">
        <v>1</v>
      </c>
      <c r="C58" t="s">
        <v>2</v>
      </c>
      <c r="D58" t="s">
        <v>2</v>
      </c>
      <c r="E58" t="s">
        <v>113</v>
      </c>
      <c r="F58" t="s">
        <v>4</v>
      </c>
      <c r="G58" t="s">
        <v>200</v>
      </c>
      <c r="H58" t="s">
        <v>6</v>
      </c>
      <c r="I58" t="s">
        <v>7</v>
      </c>
      <c r="J58" t="s">
        <v>91</v>
      </c>
      <c r="K58" t="s">
        <v>8</v>
      </c>
      <c r="L58" t="s">
        <v>201</v>
      </c>
      <c r="M58" t="s">
        <v>6</v>
      </c>
      <c r="N58" t="s">
        <v>2</v>
      </c>
      <c r="O58" t="s">
        <v>2</v>
      </c>
      <c r="P58" t="s">
        <v>93</v>
      </c>
      <c r="Q58" t="s">
        <v>2</v>
      </c>
      <c r="R58" t="s">
        <v>202</v>
      </c>
      <c r="S58" s="2">
        <v>45251</v>
      </c>
      <c r="T58" s="2">
        <v>45280</v>
      </c>
      <c r="U58" s="2">
        <v>45284</v>
      </c>
      <c r="V58" s="3">
        <v>0</v>
      </c>
      <c r="W58" s="3">
        <v>0</v>
      </c>
      <c r="X58" t="s">
        <v>2</v>
      </c>
      <c r="Y58" s="2"/>
      <c r="Z58" t="s">
        <v>47</v>
      </c>
      <c r="AA58" t="s">
        <v>183</v>
      </c>
      <c r="AB58" t="s">
        <v>2</v>
      </c>
      <c r="AC58" t="s">
        <v>49</v>
      </c>
      <c r="AD58" t="s">
        <v>171</v>
      </c>
      <c r="AE58" t="s">
        <v>172</v>
      </c>
      <c r="AF58" s="4">
        <v>0.4</v>
      </c>
      <c r="AG58" s="4">
        <v>0</v>
      </c>
      <c r="AH58" s="3">
        <v>4072360.28</v>
      </c>
      <c r="AI58" s="3">
        <v>1628944.11</v>
      </c>
      <c r="AJ58" s="3">
        <v>1628944.11</v>
      </c>
      <c r="AK58" s="3">
        <v>0</v>
      </c>
      <c r="AL58" t="s">
        <v>52</v>
      </c>
      <c r="AM58" s="2"/>
      <c r="AN58" s="3">
        <v>0</v>
      </c>
      <c r="AO58" s="2"/>
      <c r="AP58" s="3">
        <v>0</v>
      </c>
      <c r="AQ58" t="s">
        <v>53</v>
      </c>
      <c r="AR58" t="s">
        <v>122</v>
      </c>
      <c r="AS58" t="s">
        <v>123</v>
      </c>
      <c r="AT58" t="s">
        <v>124</v>
      </c>
      <c r="AU58" t="s">
        <v>26</v>
      </c>
      <c r="AV58" t="s">
        <v>12</v>
      </c>
      <c r="AW58" t="s">
        <v>66</v>
      </c>
      <c r="AX58" t="s">
        <v>29</v>
      </c>
      <c r="AY58" t="s">
        <v>2</v>
      </c>
      <c r="AZ58" s="3">
        <v>0</v>
      </c>
      <c r="BA58" t="s">
        <v>2</v>
      </c>
      <c r="BB58" t="s">
        <v>31</v>
      </c>
      <c r="BC58" t="s">
        <v>2</v>
      </c>
      <c r="BD58" t="s">
        <v>173</v>
      </c>
      <c r="BE58">
        <f t="shared" si="0"/>
        <v>2018.8933630786391</v>
      </c>
    </row>
    <row r="59" spans="1:57" x14ac:dyDescent="0.2">
      <c r="A59" t="s">
        <v>0</v>
      </c>
      <c r="B59" t="s">
        <v>1</v>
      </c>
      <c r="C59" t="s">
        <v>2</v>
      </c>
      <c r="D59" t="s">
        <v>2</v>
      </c>
      <c r="E59" t="s">
        <v>33</v>
      </c>
      <c r="F59" t="s">
        <v>4</v>
      </c>
      <c r="G59" t="s">
        <v>203</v>
      </c>
      <c r="H59" t="s">
        <v>6</v>
      </c>
      <c r="I59" t="s">
        <v>7</v>
      </c>
      <c r="J59" t="s">
        <v>91</v>
      </c>
      <c r="K59" t="s">
        <v>8</v>
      </c>
      <c r="L59" t="s">
        <v>204</v>
      </c>
      <c r="M59" t="s">
        <v>6</v>
      </c>
      <c r="N59" t="s">
        <v>2</v>
      </c>
      <c r="O59" t="s">
        <v>2</v>
      </c>
      <c r="P59" t="s">
        <v>93</v>
      </c>
      <c r="Q59" t="s">
        <v>2</v>
      </c>
      <c r="R59" t="s">
        <v>205</v>
      </c>
      <c r="S59" s="2">
        <v>45251</v>
      </c>
      <c r="T59" s="2">
        <v>45280</v>
      </c>
      <c r="U59" s="2">
        <v>45284</v>
      </c>
      <c r="V59" s="3">
        <v>0</v>
      </c>
      <c r="W59" s="3">
        <v>0</v>
      </c>
      <c r="X59" t="s">
        <v>2</v>
      </c>
      <c r="Y59" s="2"/>
      <c r="Z59" t="s">
        <v>16</v>
      </c>
      <c r="AA59" t="s">
        <v>206</v>
      </c>
      <c r="AB59" t="s">
        <v>2</v>
      </c>
      <c r="AC59" t="s">
        <v>18</v>
      </c>
      <c r="AD59" t="s">
        <v>120</v>
      </c>
      <c r="AE59" t="s">
        <v>121</v>
      </c>
      <c r="AF59" s="4">
        <v>2455</v>
      </c>
      <c r="AG59" s="4">
        <v>0</v>
      </c>
      <c r="AH59" s="3">
        <v>3.02</v>
      </c>
      <c r="AI59" s="3">
        <v>7414.1</v>
      </c>
      <c r="AJ59" s="3">
        <v>5982066.5899999999</v>
      </c>
      <c r="AK59" s="3">
        <v>0</v>
      </c>
      <c r="AL59" t="s">
        <v>21</v>
      </c>
      <c r="AM59" s="2"/>
      <c r="AN59" s="3">
        <v>0</v>
      </c>
      <c r="AO59" s="2"/>
      <c r="AP59" s="3">
        <v>0</v>
      </c>
      <c r="AQ59" t="s">
        <v>22</v>
      </c>
      <c r="AR59" t="s">
        <v>207</v>
      </c>
      <c r="AS59" t="s">
        <v>208</v>
      </c>
      <c r="AT59" t="s">
        <v>209</v>
      </c>
      <c r="AU59" t="s">
        <v>26</v>
      </c>
      <c r="AV59" t="s">
        <v>12</v>
      </c>
      <c r="AW59" t="s">
        <v>28</v>
      </c>
      <c r="AX59" t="s">
        <v>29</v>
      </c>
      <c r="AY59" t="s">
        <v>2</v>
      </c>
      <c r="AZ59" s="3">
        <v>0</v>
      </c>
      <c r="BA59" t="s">
        <v>2</v>
      </c>
      <c r="BB59" t="s">
        <v>31</v>
      </c>
      <c r="BC59" t="s">
        <v>2</v>
      </c>
      <c r="BD59" t="s">
        <v>210</v>
      </c>
      <c r="BE59">
        <f t="shared" si="0"/>
        <v>7414.1</v>
      </c>
    </row>
    <row r="60" spans="1:57" x14ac:dyDescent="0.2">
      <c r="A60" t="s">
        <v>0</v>
      </c>
      <c r="B60" t="s">
        <v>1</v>
      </c>
      <c r="C60" t="s">
        <v>2</v>
      </c>
      <c r="D60" t="s">
        <v>2</v>
      </c>
      <c r="E60" t="s">
        <v>33</v>
      </c>
      <c r="F60" t="s">
        <v>4</v>
      </c>
      <c r="G60" t="s">
        <v>203</v>
      </c>
      <c r="H60" t="s">
        <v>27</v>
      </c>
      <c r="I60" t="s">
        <v>7</v>
      </c>
      <c r="J60" t="s">
        <v>91</v>
      </c>
      <c r="K60" t="s">
        <v>8</v>
      </c>
      <c r="L60" t="s">
        <v>204</v>
      </c>
      <c r="M60" t="s">
        <v>27</v>
      </c>
      <c r="N60" t="s">
        <v>2</v>
      </c>
      <c r="O60" t="s">
        <v>2</v>
      </c>
      <c r="P60" t="s">
        <v>93</v>
      </c>
      <c r="Q60" t="s">
        <v>2</v>
      </c>
      <c r="R60" t="s">
        <v>205</v>
      </c>
      <c r="S60" s="2">
        <v>45251</v>
      </c>
      <c r="T60" s="2">
        <v>45280</v>
      </c>
      <c r="U60" s="2">
        <v>45284</v>
      </c>
      <c r="V60" s="3">
        <v>0</v>
      </c>
      <c r="W60" s="3">
        <v>0</v>
      </c>
      <c r="X60" t="s">
        <v>2</v>
      </c>
      <c r="Y60" s="2"/>
      <c r="Z60" t="s">
        <v>16</v>
      </c>
      <c r="AA60" t="s">
        <v>206</v>
      </c>
      <c r="AB60" t="s">
        <v>2</v>
      </c>
      <c r="AC60" t="s">
        <v>18</v>
      </c>
      <c r="AD60" t="s">
        <v>211</v>
      </c>
      <c r="AE60" t="s">
        <v>212</v>
      </c>
      <c r="AF60" s="4">
        <v>1310</v>
      </c>
      <c r="AG60" s="4">
        <v>0</v>
      </c>
      <c r="AH60" s="3">
        <v>4.04</v>
      </c>
      <c r="AI60" s="3">
        <v>5292.4</v>
      </c>
      <c r="AJ60" s="3">
        <v>4270172.9400000004</v>
      </c>
      <c r="AK60" s="3">
        <v>0</v>
      </c>
      <c r="AL60" t="s">
        <v>21</v>
      </c>
      <c r="AM60" s="2"/>
      <c r="AN60" s="3">
        <v>0</v>
      </c>
      <c r="AO60" s="2"/>
      <c r="AP60" s="3">
        <v>0</v>
      </c>
      <c r="AQ60" t="s">
        <v>22</v>
      </c>
      <c r="AR60" t="s">
        <v>207</v>
      </c>
      <c r="AS60" t="s">
        <v>208</v>
      </c>
      <c r="AT60" t="s">
        <v>209</v>
      </c>
      <c r="AU60" t="s">
        <v>26</v>
      </c>
      <c r="AV60" t="s">
        <v>12</v>
      </c>
      <c r="AW60" t="s">
        <v>28</v>
      </c>
      <c r="AX60" t="s">
        <v>29</v>
      </c>
      <c r="AY60" t="s">
        <v>2</v>
      </c>
      <c r="AZ60" s="3">
        <v>0</v>
      </c>
      <c r="BA60" t="s">
        <v>2</v>
      </c>
      <c r="BB60" t="s">
        <v>31</v>
      </c>
      <c r="BC60" t="s">
        <v>2</v>
      </c>
      <c r="BD60" t="s">
        <v>210</v>
      </c>
      <c r="BE60">
        <f t="shared" si="0"/>
        <v>5292.4</v>
      </c>
    </row>
    <row r="61" spans="1:57" x14ac:dyDescent="0.2">
      <c r="A61" t="s">
        <v>0</v>
      </c>
      <c r="B61" t="s">
        <v>1</v>
      </c>
      <c r="C61" t="s">
        <v>2</v>
      </c>
      <c r="D61" t="s">
        <v>2</v>
      </c>
      <c r="E61" t="s">
        <v>33</v>
      </c>
      <c r="F61" t="s">
        <v>4</v>
      </c>
      <c r="G61" t="s">
        <v>203</v>
      </c>
      <c r="H61" t="s">
        <v>38</v>
      </c>
      <c r="I61" t="s">
        <v>7</v>
      </c>
      <c r="J61" t="s">
        <v>91</v>
      </c>
      <c r="K61" t="s">
        <v>8</v>
      </c>
      <c r="L61" t="s">
        <v>204</v>
      </c>
      <c r="M61" t="s">
        <v>38</v>
      </c>
      <c r="N61" t="s">
        <v>2</v>
      </c>
      <c r="O61" t="s">
        <v>2</v>
      </c>
      <c r="P61" t="s">
        <v>93</v>
      </c>
      <c r="Q61" t="s">
        <v>2</v>
      </c>
      <c r="R61" t="s">
        <v>205</v>
      </c>
      <c r="S61" s="2">
        <v>45251</v>
      </c>
      <c r="T61" s="2">
        <v>45280</v>
      </c>
      <c r="U61" s="2">
        <v>45284</v>
      </c>
      <c r="V61" s="3">
        <v>0</v>
      </c>
      <c r="W61" s="3">
        <v>0</v>
      </c>
      <c r="X61" t="s">
        <v>2</v>
      </c>
      <c r="Y61" s="2"/>
      <c r="Z61" t="s">
        <v>16</v>
      </c>
      <c r="AA61" t="s">
        <v>206</v>
      </c>
      <c r="AB61" t="s">
        <v>2</v>
      </c>
      <c r="AC61" t="s">
        <v>18</v>
      </c>
      <c r="AD61" t="s">
        <v>126</v>
      </c>
      <c r="AE61" t="s">
        <v>127</v>
      </c>
      <c r="AF61" s="4">
        <v>120</v>
      </c>
      <c r="AG61" s="4">
        <v>0</v>
      </c>
      <c r="AH61" s="3">
        <v>3.06</v>
      </c>
      <c r="AI61" s="3">
        <v>367.2</v>
      </c>
      <c r="AJ61" s="3">
        <v>296275.32</v>
      </c>
      <c r="AK61" s="3">
        <v>0</v>
      </c>
      <c r="AL61" t="s">
        <v>21</v>
      </c>
      <c r="AM61" s="2"/>
      <c r="AN61" s="3">
        <v>0</v>
      </c>
      <c r="AO61" s="2"/>
      <c r="AP61" s="3">
        <v>0</v>
      </c>
      <c r="AQ61" t="s">
        <v>22</v>
      </c>
      <c r="AR61" t="s">
        <v>207</v>
      </c>
      <c r="AS61" t="s">
        <v>208</v>
      </c>
      <c r="AT61" t="s">
        <v>209</v>
      </c>
      <c r="AU61" t="s">
        <v>26</v>
      </c>
      <c r="AV61" t="s">
        <v>12</v>
      </c>
      <c r="AW61" t="s">
        <v>28</v>
      </c>
      <c r="AX61" t="s">
        <v>29</v>
      </c>
      <c r="AY61" t="s">
        <v>2</v>
      </c>
      <c r="AZ61" s="3">
        <v>0</v>
      </c>
      <c r="BA61" t="s">
        <v>2</v>
      </c>
      <c r="BB61" t="s">
        <v>31</v>
      </c>
      <c r="BC61" t="s">
        <v>2</v>
      </c>
      <c r="BD61" t="s">
        <v>210</v>
      </c>
      <c r="BE61">
        <f t="shared" si="0"/>
        <v>367.2</v>
      </c>
    </row>
    <row r="62" spans="1:57" x14ac:dyDescent="0.2">
      <c r="A62" t="s">
        <v>0</v>
      </c>
      <c r="B62" t="s">
        <v>1</v>
      </c>
      <c r="C62" t="s">
        <v>2</v>
      </c>
      <c r="D62" t="s">
        <v>2</v>
      </c>
      <c r="E62" t="s">
        <v>33</v>
      </c>
      <c r="F62" t="s">
        <v>4</v>
      </c>
      <c r="G62" t="s">
        <v>203</v>
      </c>
      <c r="H62" t="s">
        <v>76</v>
      </c>
      <c r="I62" t="s">
        <v>7</v>
      </c>
      <c r="J62" t="s">
        <v>91</v>
      </c>
      <c r="K62" t="s">
        <v>8</v>
      </c>
      <c r="L62" t="s">
        <v>204</v>
      </c>
      <c r="M62" t="s">
        <v>76</v>
      </c>
      <c r="N62" t="s">
        <v>2</v>
      </c>
      <c r="O62" t="s">
        <v>2</v>
      </c>
      <c r="P62" t="s">
        <v>93</v>
      </c>
      <c r="Q62" t="s">
        <v>2</v>
      </c>
      <c r="R62" t="s">
        <v>205</v>
      </c>
      <c r="S62" s="2">
        <v>45251</v>
      </c>
      <c r="T62" s="2">
        <v>45280</v>
      </c>
      <c r="U62" s="2">
        <v>45284</v>
      </c>
      <c r="V62" s="3">
        <v>0</v>
      </c>
      <c r="W62" s="3">
        <v>0</v>
      </c>
      <c r="X62" t="s">
        <v>2</v>
      </c>
      <c r="Y62" s="2"/>
      <c r="Z62" t="s">
        <v>16</v>
      </c>
      <c r="AA62" t="s">
        <v>206</v>
      </c>
      <c r="AB62" t="s">
        <v>2</v>
      </c>
      <c r="AC62" t="s">
        <v>18</v>
      </c>
      <c r="AD62" t="s">
        <v>213</v>
      </c>
      <c r="AE62" t="s">
        <v>214</v>
      </c>
      <c r="AF62" s="4">
        <v>1780</v>
      </c>
      <c r="AG62" s="4">
        <v>0</v>
      </c>
      <c r="AH62" s="3">
        <v>2.73</v>
      </c>
      <c r="AI62" s="3">
        <v>4859.3999999999996</v>
      </c>
      <c r="AJ62" s="3">
        <v>3920806.89</v>
      </c>
      <c r="AK62" s="3">
        <v>0</v>
      </c>
      <c r="AL62" t="s">
        <v>21</v>
      </c>
      <c r="AM62" s="2"/>
      <c r="AN62" s="3">
        <v>0</v>
      </c>
      <c r="AO62" s="2"/>
      <c r="AP62" s="3">
        <v>0</v>
      </c>
      <c r="AQ62" t="s">
        <v>22</v>
      </c>
      <c r="AR62" t="s">
        <v>207</v>
      </c>
      <c r="AS62" t="s">
        <v>208</v>
      </c>
      <c r="AT62" t="s">
        <v>209</v>
      </c>
      <c r="AU62" t="s">
        <v>26</v>
      </c>
      <c r="AV62" t="s">
        <v>12</v>
      </c>
      <c r="AW62" t="s">
        <v>28</v>
      </c>
      <c r="AX62" t="s">
        <v>29</v>
      </c>
      <c r="AY62" t="s">
        <v>2</v>
      </c>
      <c r="AZ62" s="3">
        <v>0</v>
      </c>
      <c r="BA62" t="s">
        <v>2</v>
      </c>
      <c r="BB62" t="s">
        <v>31</v>
      </c>
      <c r="BC62" t="s">
        <v>2</v>
      </c>
      <c r="BD62" t="s">
        <v>210</v>
      </c>
      <c r="BE62">
        <f t="shared" si="0"/>
        <v>4859.3999999999996</v>
      </c>
    </row>
    <row r="63" spans="1:57" x14ac:dyDescent="0.2">
      <c r="A63" t="s">
        <v>0</v>
      </c>
      <c r="B63" t="s">
        <v>1</v>
      </c>
      <c r="C63" t="s">
        <v>2</v>
      </c>
      <c r="D63" t="s">
        <v>2</v>
      </c>
      <c r="E63" t="s">
        <v>33</v>
      </c>
      <c r="F63" t="s">
        <v>4</v>
      </c>
      <c r="G63" t="s">
        <v>203</v>
      </c>
      <c r="H63" t="s">
        <v>79</v>
      </c>
      <c r="I63" t="s">
        <v>7</v>
      </c>
      <c r="J63" t="s">
        <v>91</v>
      </c>
      <c r="K63" t="s">
        <v>8</v>
      </c>
      <c r="L63" t="s">
        <v>204</v>
      </c>
      <c r="M63" t="s">
        <v>79</v>
      </c>
      <c r="N63" t="s">
        <v>2</v>
      </c>
      <c r="O63" t="s">
        <v>2</v>
      </c>
      <c r="P63" t="s">
        <v>93</v>
      </c>
      <c r="Q63" t="s">
        <v>2</v>
      </c>
      <c r="R63" t="s">
        <v>205</v>
      </c>
      <c r="S63" s="2">
        <v>45251</v>
      </c>
      <c r="T63" s="2">
        <v>45280</v>
      </c>
      <c r="U63" s="2">
        <v>45284</v>
      </c>
      <c r="V63" s="3">
        <v>0</v>
      </c>
      <c r="W63" s="3">
        <v>0</v>
      </c>
      <c r="X63" t="s">
        <v>2</v>
      </c>
      <c r="Y63" s="2"/>
      <c r="Z63" t="s">
        <v>16</v>
      </c>
      <c r="AA63" t="s">
        <v>206</v>
      </c>
      <c r="AB63" t="s">
        <v>2</v>
      </c>
      <c r="AC63" t="s">
        <v>18</v>
      </c>
      <c r="AD63" t="s">
        <v>184</v>
      </c>
      <c r="AE63" t="s">
        <v>185</v>
      </c>
      <c r="AF63" s="4">
        <v>260</v>
      </c>
      <c r="AG63" s="4">
        <v>0</v>
      </c>
      <c r="AH63" s="3">
        <v>3.59</v>
      </c>
      <c r="AI63" s="3">
        <v>933.4</v>
      </c>
      <c r="AJ63" s="3">
        <v>753113.79</v>
      </c>
      <c r="AK63" s="3">
        <v>0</v>
      </c>
      <c r="AL63" t="s">
        <v>21</v>
      </c>
      <c r="AM63" s="2"/>
      <c r="AN63" s="3">
        <v>0</v>
      </c>
      <c r="AO63" s="2"/>
      <c r="AP63" s="3">
        <v>0</v>
      </c>
      <c r="AQ63" t="s">
        <v>22</v>
      </c>
      <c r="AR63" t="s">
        <v>207</v>
      </c>
      <c r="AS63" t="s">
        <v>208</v>
      </c>
      <c r="AT63" t="s">
        <v>209</v>
      </c>
      <c r="AU63" t="s">
        <v>26</v>
      </c>
      <c r="AV63" t="s">
        <v>12</v>
      </c>
      <c r="AW63" t="s">
        <v>28</v>
      </c>
      <c r="AX63" t="s">
        <v>29</v>
      </c>
      <c r="AY63" t="s">
        <v>2</v>
      </c>
      <c r="AZ63" s="3">
        <v>0</v>
      </c>
      <c r="BA63" t="s">
        <v>2</v>
      </c>
      <c r="BB63" t="s">
        <v>31</v>
      </c>
      <c r="BC63" t="s">
        <v>2</v>
      </c>
      <c r="BD63" t="s">
        <v>210</v>
      </c>
      <c r="BE63">
        <f t="shared" si="0"/>
        <v>933.4</v>
      </c>
    </row>
    <row r="64" spans="1:57" x14ac:dyDescent="0.2">
      <c r="A64" t="s">
        <v>0</v>
      </c>
      <c r="B64" t="s">
        <v>1</v>
      </c>
      <c r="C64" t="s">
        <v>2</v>
      </c>
      <c r="D64" t="s">
        <v>2</v>
      </c>
      <c r="E64" t="s">
        <v>130</v>
      </c>
      <c r="F64" t="s">
        <v>4</v>
      </c>
      <c r="G64" t="s">
        <v>203</v>
      </c>
      <c r="H64" t="s">
        <v>80</v>
      </c>
      <c r="I64" t="s">
        <v>7</v>
      </c>
      <c r="J64" t="s">
        <v>91</v>
      </c>
      <c r="K64" t="s">
        <v>8</v>
      </c>
      <c r="L64" t="s">
        <v>204</v>
      </c>
      <c r="M64" t="s">
        <v>80</v>
      </c>
      <c r="N64" t="s">
        <v>2</v>
      </c>
      <c r="O64" t="s">
        <v>2</v>
      </c>
      <c r="P64" t="s">
        <v>93</v>
      </c>
      <c r="Q64" t="s">
        <v>2</v>
      </c>
      <c r="R64" t="s">
        <v>205</v>
      </c>
      <c r="S64" s="2">
        <v>45251</v>
      </c>
      <c r="T64" s="2">
        <v>45280</v>
      </c>
      <c r="U64" s="2">
        <v>45284</v>
      </c>
      <c r="V64" s="3">
        <v>0</v>
      </c>
      <c r="W64" s="3">
        <v>0</v>
      </c>
      <c r="X64" t="s">
        <v>2</v>
      </c>
      <c r="Y64" s="2"/>
      <c r="Z64" t="s">
        <v>16</v>
      </c>
      <c r="AA64" t="s">
        <v>206</v>
      </c>
      <c r="AB64" t="s">
        <v>2</v>
      </c>
      <c r="AC64" t="s">
        <v>18</v>
      </c>
      <c r="AD64" t="s">
        <v>131</v>
      </c>
      <c r="AE64" t="s">
        <v>132</v>
      </c>
      <c r="AF64" s="4">
        <v>880</v>
      </c>
      <c r="AG64" s="4">
        <v>0</v>
      </c>
      <c r="AH64" s="3">
        <v>3.51</v>
      </c>
      <c r="AI64" s="3">
        <v>3088.8</v>
      </c>
      <c r="AJ64" s="3">
        <v>2492198.2799999998</v>
      </c>
      <c r="AK64" s="3">
        <v>0</v>
      </c>
      <c r="AL64" t="s">
        <v>21</v>
      </c>
      <c r="AM64" s="2"/>
      <c r="AN64" s="3">
        <v>0</v>
      </c>
      <c r="AO64" s="2"/>
      <c r="AP64" s="3">
        <v>0</v>
      </c>
      <c r="AQ64" t="s">
        <v>22</v>
      </c>
      <c r="AR64" t="s">
        <v>207</v>
      </c>
      <c r="AS64" t="s">
        <v>208</v>
      </c>
      <c r="AT64" t="s">
        <v>209</v>
      </c>
      <c r="AU64" t="s">
        <v>26</v>
      </c>
      <c r="AV64" t="s">
        <v>12</v>
      </c>
      <c r="AW64" t="s">
        <v>28</v>
      </c>
      <c r="AX64" t="s">
        <v>29</v>
      </c>
      <c r="AY64" t="s">
        <v>2</v>
      </c>
      <c r="AZ64" s="3">
        <v>0</v>
      </c>
      <c r="BA64" t="s">
        <v>2</v>
      </c>
      <c r="BB64" t="s">
        <v>31</v>
      </c>
      <c r="BC64" t="s">
        <v>2</v>
      </c>
      <c r="BD64" t="s">
        <v>210</v>
      </c>
      <c r="BE64">
        <f t="shared" si="0"/>
        <v>3088.8</v>
      </c>
    </row>
    <row r="65" spans="1:57" x14ac:dyDescent="0.2">
      <c r="A65" t="s">
        <v>0</v>
      </c>
      <c r="B65" t="s">
        <v>1</v>
      </c>
      <c r="C65" t="s">
        <v>2</v>
      </c>
      <c r="D65" t="s">
        <v>2</v>
      </c>
      <c r="E65" t="s">
        <v>215</v>
      </c>
      <c r="F65" t="s">
        <v>4</v>
      </c>
      <c r="G65" t="s">
        <v>203</v>
      </c>
      <c r="H65" t="s">
        <v>137</v>
      </c>
      <c r="I65" t="s">
        <v>7</v>
      </c>
      <c r="J65" t="s">
        <v>91</v>
      </c>
      <c r="K65" t="s">
        <v>8</v>
      </c>
      <c r="L65" t="s">
        <v>204</v>
      </c>
      <c r="M65" t="s">
        <v>137</v>
      </c>
      <c r="N65" t="s">
        <v>2</v>
      </c>
      <c r="O65" t="s">
        <v>2</v>
      </c>
      <c r="P65" t="s">
        <v>93</v>
      </c>
      <c r="Q65" t="s">
        <v>2</v>
      </c>
      <c r="R65" t="s">
        <v>205</v>
      </c>
      <c r="S65" s="2">
        <v>45251</v>
      </c>
      <c r="T65" s="2">
        <v>45280</v>
      </c>
      <c r="U65" s="2">
        <v>45284</v>
      </c>
      <c r="V65" s="3">
        <v>0</v>
      </c>
      <c r="W65" s="3">
        <v>0</v>
      </c>
      <c r="X65" t="s">
        <v>2</v>
      </c>
      <c r="Y65" s="2"/>
      <c r="Z65" t="s">
        <v>16</v>
      </c>
      <c r="AA65" t="s">
        <v>206</v>
      </c>
      <c r="AB65" t="s">
        <v>2</v>
      </c>
      <c r="AC65" t="s">
        <v>18</v>
      </c>
      <c r="AD65" t="s">
        <v>216</v>
      </c>
      <c r="AE65" t="s">
        <v>217</v>
      </c>
      <c r="AF65" s="4">
        <v>1250</v>
      </c>
      <c r="AG65" s="4">
        <v>0</v>
      </c>
      <c r="AH65" s="3">
        <v>5.58</v>
      </c>
      <c r="AI65" s="3">
        <v>6975</v>
      </c>
      <c r="AJ65" s="3">
        <v>5627778.75</v>
      </c>
      <c r="AK65" s="3">
        <v>0</v>
      </c>
      <c r="AL65" t="s">
        <v>21</v>
      </c>
      <c r="AM65" s="2"/>
      <c r="AN65" s="3">
        <v>0</v>
      </c>
      <c r="AO65" s="2"/>
      <c r="AP65" s="3">
        <v>0</v>
      </c>
      <c r="AQ65" t="s">
        <v>22</v>
      </c>
      <c r="AR65" t="s">
        <v>207</v>
      </c>
      <c r="AS65" t="s">
        <v>208</v>
      </c>
      <c r="AT65" t="s">
        <v>209</v>
      </c>
      <c r="AU65" t="s">
        <v>26</v>
      </c>
      <c r="AV65" t="s">
        <v>12</v>
      </c>
      <c r="AW65" t="s">
        <v>28</v>
      </c>
      <c r="AX65" t="s">
        <v>29</v>
      </c>
      <c r="AY65" t="s">
        <v>2</v>
      </c>
      <c r="AZ65" s="3">
        <v>0</v>
      </c>
      <c r="BA65" t="s">
        <v>2</v>
      </c>
      <c r="BB65" t="s">
        <v>31</v>
      </c>
      <c r="BC65" t="s">
        <v>2</v>
      </c>
      <c r="BD65" t="s">
        <v>210</v>
      </c>
      <c r="BE65">
        <f t="shared" si="0"/>
        <v>6975</v>
      </c>
    </row>
    <row r="66" spans="1:57" x14ac:dyDescent="0.2">
      <c r="A66" t="s">
        <v>0</v>
      </c>
      <c r="B66" t="s">
        <v>1</v>
      </c>
      <c r="C66" t="s">
        <v>2</v>
      </c>
      <c r="D66" t="s">
        <v>2</v>
      </c>
      <c r="E66" t="s">
        <v>133</v>
      </c>
      <c r="F66" t="s">
        <v>4</v>
      </c>
      <c r="G66" t="s">
        <v>203</v>
      </c>
      <c r="H66" t="s">
        <v>139</v>
      </c>
      <c r="I66" t="s">
        <v>7</v>
      </c>
      <c r="J66" t="s">
        <v>91</v>
      </c>
      <c r="K66" t="s">
        <v>8</v>
      </c>
      <c r="L66" t="s">
        <v>204</v>
      </c>
      <c r="M66" t="s">
        <v>139</v>
      </c>
      <c r="N66" t="s">
        <v>2</v>
      </c>
      <c r="O66" t="s">
        <v>2</v>
      </c>
      <c r="P66" t="s">
        <v>93</v>
      </c>
      <c r="Q66" t="s">
        <v>2</v>
      </c>
      <c r="R66" t="s">
        <v>205</v>
      </c>
      <c r="S66" s="2">
        <v>45251</v>
      </c>
      <c r="T66" s="2">
        <v>45280</v>
      </c>
      <c r="U66" s="2">
        <v>45284</v>
      </c>
      <c r="V66" s="3">
        <v>0</v>
      </c>
      <c r="W66" s="3">
        <v>0</v>
      </c>
      <c r="X66" t="s">
        <v>2</v>
      </c>
      <c r="Y66" s="2"/>
      <c r="Z66" t="s">
        <v>16</v>
      </c>
      <c r="AA66" t="s">
        <v>206</v>
      </c>
      <c r="AB66" t="s">
        <v>2</v>
      </c>
      <c r="AC66" t="s">
        <v>18</v>
      </c>
      <c r="AD66" t="s">
        <v>134</v>
      </c>
      <c r="AE66" t="s">
        <v>135</v>
      </c>
      <c r="AF66" s="4">
        <v>520</v>
      </c>
      <c r="AG66" s="4">
        <v>0</v>
      </c>
      <c r="AH66" s="3">
        <v>2.34</v>
      </c>
      <c r="AI66" s="3">
        <v>1216.8</v>
      </c>
      <c r="AJ66" s="3">
        <v>981775.08</v>
      </c>
      <c r="AK66" s="3">
        <v>0</v>
      </c>
      <c r="AL66" t="s">
        <v>21</v>
      </c>
      <c r="AM66" s="2"/>
      <c r="AN66" s="3">
        <v>0</v>
      </c>
      <c r="AO66" s="2"/>
      <c r="AP66" s="3">
        <v>0</v>
      </c>
      <c r="AQ66" t="s">
        <v>22</v>
      </c>
      <c r="AR66" t="s">
        <v>207</v>
      </c>
      <c r="AS66" t="s">
        <v>208</v>
      </c>
      <c r="AT66" t="s">
        <v>209</v>
      </c>
      <c r="AU66" t="s">
        <v>26</v>
      </c>
      <c r="AV66" t="s">
        <v>12</v>
      </c>
      <c r="AW66" t="s">
        <v>28</v>
      </c>
      <c r="AX66" t="s">
        <v>29</v>
      </c>
      <c r="AY66" t="s">
        <v>2</v>
      </c>
      <c r="AZ66" s="3">
        <v>0</v>
      </c>
      <c r="BA66" t="s">
        <v>2</v>
      </c>
      <c r="BB66" t="s">
        <v>31</v>
      </c>
      <c r="BC66" t="s">
        <v>2</v>
      </c>
      <c r="BD66" t="s">
        <v>210</v>
      </c>
      <c r="BE66">
        <f t="shared" si="0"/>
        <v>1216.8</v>
      </c>
    </row>
    <row r="67" spans="1:57" x14ac:dyDescent="0.2">
      <c r="A67" t="s">
        <v>0</v>
      </c>
      <c r="B67" t="s">
        <v>1</v>
      </c>
      <c r="C67" t="s">
        <v>2</v>
      </c>
      <c r="D67" t="s">
        <v>2</v>
      </c>
      <c r="E67" t="s">
        <v>3</v>
      </c>
      <c r="F67" t="s">
        <v>4</v>
      </c>
      <c r="G67" t="s">
        <v>203</v>
      </c>
      <c r="H67" t="s">
        <v>142</v>
      </c>
      <c r="I67" t="s">
        <v>7</v>
      </c>
      <c r="J67" t="s">
        <v>91</v>
      </c>
      <c r="K67" t="s">
        <v>8</v>
      </c>
      <c r="L67" t="s">
        <v>204</v>
      </c>
      <c r="M67" t="s">
        <v>142</v>
      </c>
      <c r="N67" t="s">
        <v>2</v>
      </c>
      <c r="O67" t="s">
        <v>2</v>
      </c>
      <c r="P67" t="s">
        <v>93</v>
      </c>
      <c r="Q67" t="s">
        <v>2</v>
      </c>
      <c r="R67" t="s">
        <v>205</v>
      </c>
      <c r="S67" s="2">
        <v>45251</v>
      </c>
      <c r="T67" s="2">
        <v>45280</v>
      </c>
      <c r="U67" s="2">
        <v>45284</v>
      </c>
      <c r="V67" s="3">
        <v>0</v>
      </c>
      <c r="W67" s="3">
        <v>0</v>
      </c>
      <c r="X67" t="s">
        <v>2</v>
      </c>
      <c r="Y67" s="2"/>
      <c r="Z67" t="s">
        <v>16</v>
      </c>
      <c r="AA67" t="s">
        <v>206</v>
      </c>
      <c r="AB67" t="s">
        <v>2</v>
      </c>
      <c r="AC67" t="s">
        <v>18</v>
      </c>
      <c r="AD67" t="s">
        <v>218</v>
      </c>
      <c r="AE67" t="s">
        <v>20</v>
      </c>
      <c r="AF67" s="4">
        <v>2340</v>
      </c>
      <c r="AG67" s="4">
        <v>0</v>
      </c>
      <c r="AH67" s="3">
        <v>7.59</v>
      </c>
      <c r="AI67" s="3">
        <v>17760.599999999999</v>
      </c>
      <c r="AJ67" s="3">
        <v>14330140.109999999</v>
      </c>
      <c r="AK67" s="3">
        <v>0</v>
      </c>
      <c r="AL67" t="s">
        <v>21</v>
      </c>
      <c r="AM67" s="2"/>
      <c r="AN67" s="3">
        <v>0</v>
      </c>
      <c r="AO67" s="2"/>
      <c r="AP67" s="3">
        <v>0</v>
      </c>
      <c r="AQ67" t="s">
        <v>22</v>
      </c>
      <c r="AR67" t="s">
        <v>207</v>
      </c>
      <c r="AS67" t="s">
        <v>208</v>
      </c>
      <c r="AT67" t="s">
        <v>209</v>
      </c>
      <c r="AU67" t="s">
        <v>26</v>
      </c>
      <c r="AV67" t="s">
        <v>12</v>
      </c>
      <c r="AW67" t="s">
        <v>28</v>
      </c>
      <c r="AX67" t="s">
        <v>29</v>
      </c>
      <c r="AY67" t="s">
        <v>2</v>
      </c>
      <c r="AZ67" s="3">
        <v>0</v>
      </c>
      <c r="BA67" t="s">
        <v>2</v>
      </c>
      <c r="BB67" t="s">
        <v>31</v>
      </c>
      <c r="BC67" t="s">
        <v>2</v>
      </c>
      <c r="BD67" t="s">
        <v>210</v>
      </c>
      <c r="BE67">
        <f t="shared" ref="BE67:BE130" si="1">IF(AW67="USD",AI67,AI67/$BF$1)</f>
        <v>17760.599999999999</v>
      </c>
    </row>
    <row r="68" spans="1:57" x14ac:dyDescent="0.2">
      <c r="A68" t="s">
        <v>0</v>
      </c>
      <c r="B68" t="s">
        <v>1</v>
      </c>
      <c r="C68" t="s">
        <v>2</v>
      </c>
      <c r="D68" t="s">
        <v>2</v>
      </c>
      <c r="E68" t="s">
        <v>37</v>
      </c>
      <c r="F68" t="s">
        <v>4</v>
      </c>
      <c r="G68" t="s">
        <v>203</v>
      </c>
      <c r="H68" t="s">
        <v>145</v>
      </c>
      <c r="I68" t="s">
        <v>7</v>
      </c>
      <c r="J68" t="s">
        <v>91</v>
      </c>
      <c r="K68" t="s">
        <v>8</v>
      </c>
      <c r="L68" t="s">
        <v>204</v>
      </c>
      <c r="M68" t="s">
        <v>145</v>
      </c>
      <c r="N68" t="s">
        <v>2</v>
      </c>
      <c r="O68" t="s">
        <v>2</v>
      </c>
      <c r="P68" t="s">
        <v>93</v>
      </c>
      <c r="Q68" t="s">
        <v>2</v>
      </c>
      <c r="R68" t="s">
        <v>205</v>
      </c>
      <c r="S68" s="2">
        <v>45251</v>
      </c>
      <c r="T68" s="2">
        <v>45280</v>
      </c>
      <c r="U68" s="2">
        <v>45284</v>
      </c>
      <c r="V68" s="3">
        <v>0</v>
      </c>
      <c r="W68" s="3">
        <v>0</v>
      </c>
      <c r="X68" t="s">
        <v>2</v>
      </c>
      <c r="Y68" s="2"/>
      <c r="Z68" t="s">
        <v>16</v>
      </c>
      <c r="AA68" t="s">
        <v>206</v>
      </c>
      <c r="AB68" t="s">
        <v>2</v>
      </c>
      <c r="AC68" t="s">
        <v>18</v>
      </c>
      <c r="AD68" t="s">
        <v>219</v>
      </c>
      <c r="AE68" t="s">
        <v>40</v>
      </c>
      <c r="AF68" s="4">
        <v>60</v>
      </c>
      <c r="AG68" s="4">
        <v>0</v>
      </c>
      <c r="AH68" s="3">
        <v>4.95</v>
      </c>
      <c r="AI68" s="3">
        <v>297</v>
      </c>
      <c r="AJ68" s="3">
        <v>239634.45</v>
      </c>
      <c r="AK68" s="3">
        <v>0</v>
      </c>
      <c r="AL68" t="s">
        <v>21</v>
      </c>
      <c r="AM68" s="2"/>
      <c r="AN68" s="3">
        <v>0</v>
      </c>
      <c r="AO68" s="2"/>
      <c r="AP68" s="3">
        <v>0</v>
      </c>
      <c r="AQ68" t="s">
        <v>22</v>
      </c>
      <c r="AR68" t="s">
        <v>207</v>
      </c>
      <c r="AS68" t="s">
        <v>208</v>
      </c>
      <c r="AT68" t="s">
        <v>209</v>
      </c>
      <c r="AU68" t="s">
        <v>26</v>
      </c>
      <c r="AV68" t="s">
        <v>12</v>
      </c>
      <c r="AW68" t="s">
        <v>28</v>
      </c>
      <c r="AX68" t="s">
        <v>29</v>
      </c>
      <c r="AY68" t="s">
        <v>2</v>
      </c>
      <c r="AZ68" s="3">
        <v>0</v>
      </c>
      <c r="BA68" t="s">
        <v>2</v>
      </c>
      <c r="BB68" t="s">
        <v>31</v>
      </c>
      <c r="BC68" t="s">
        <v>2</v>
      </c>
      <c r="BD68" t="s">
        <v>210</v>
      </c>
      <c r="BE68">
        <f t="shared" si="1"/>
        <v>297</v>
      </c>
    </row>
    <row r="69" spans="1:57" x14ac:dyDescent="0.2">
      <c r="A69" t="s">
        <v>0</v>
      </c>
      <c r="B69" t="s">
        <v>1</v>
      </c>
      <c r="C69" t="s">
        <v>2</v>
      </c>
      <c r="D69" t="s">
        <v>2</v>
      </c>
      <c r="E69" t="s">
        <v>3</v>
      </c>
      <c r="F69" t="s">
        <v>4</v>
      </c>
      <c r="G69" t="s">
        <v>203</v>
      </c>
      <c r="H69" t="s">
        <v>148</v>
      </c>
      <c r="I69" t="s">
        <v>7</v>
      </c>
      <c r="J69" t="s">
        <v>91</v>
      </c>
      <c r="K69" t="s">
        <v>8</v>
      </c>
      <c r="L69" t="s">
        <v>204</v>
      </c>
      <c r="M69" t="s">
        <v>148</v>
      </c>
      <c r="N69" t="s">
        <v>2</v>
      </c>
      <c r="O69" t="s">
        <v>2</v>
      </c>
      <c r="P69" t="s">
        <v>93</v>
      </c>
      <c r="Q69" t="s">
        <v>2</v>
      </c>
      <c r="R69" t="s">
        <v>205</v>
      </c>
      <c r="S69" s="2">
        <v>45251</v>
      </c>
      <c r="T69" s="2">
        <v>45280</v>
      </c>
      <c r="U69" s="2">
        <v>45284</v>
      </c>
      <c r="V69" s="3">
        <v>0</v>
      </c>
      <c r="W69" s="3">
        <v>0</v>
      </c>
      <c r="X69" t="s">
        <v>2</v>
      </c>
      <c r="Y69" s="2"/>
      <c r="Z69" t="s">
        <v>16</v>
      </c>
      <c r="AA69" t="s">
        <v>206</v>
      </c>
      <c r="AB69" t="s">
        <v>2</v>
      </c>
      <c r="AC69" t="s">
        <v>18</v>
      </c>
      <c r="AD69" t="s">
        <v>220</v>
      </c>
      <c r="AE69" t="s">
        <v>187</v>
      </c>
      <c r="AF69" s="4">
        <v>720</v>
      </c>
      <c r="AG69" s="4">
        <v>0</v>
      </c>
      <c r="AH69" s="3">
        <v>7.02</v>
      </c>
      <c r="AI69" s="3">
        <v>5054.3999999999996</v>
      </c>
      <c r="AJ69" s="3">
        <v>4078142.64</v>
      </c>
      <c r="AK69" s="3">
        <v>0</v>
      </c>
      <c r="AL69" t="s">
        <v>21</v>
      </c>
      <c r="AM69" s="2"/>
      <c r="AN69" s="3">
        <v>0</v>
      </c>
      <c r="AO69" s="2"/>
      <c r="AP69" s="3">
        <v>0</v>
      </c>
      <c r="AQ69" t="s">
        <v>22</v>
      </c>
      <c r="AR69" t="s">
        <v>207</v>
      </c>
      <c r="AS69" t="s">
        <v>208</v>
      </c>
      <c r="AT69" t="s">
        <v>209</v>
      </c>
      <c r="AU69" t="s">
        <v>26</v>
      </c>
      <c r="AV69" t="s">
        <v>12</v>
      </c>
      <c r="AW69" t="s">
        <v>28</v>
      </c>
      <c r="AX69" t="s">
        <v>29</v>
      </c>
      <c r="AY69" t="s">
        <v>2</v>
      </c>
      <c r="AZ69" s="3">
        <v>0</v>
      </c>
      <c r="BA69" t="s">
        <v>2</v>
      </c>
      <c r="BB69" t="s">
        <v>31</v>
      </c>
      <c r="BC69" t="s">
        <v>2</v>
      </c>
      <c r="BD69" t="s">
        <v>210</v>
      </c>
      <c r="BE69">
        <f t="shared" si="1"/>
        <v>5054.3999999999996</v>
      </c>
    </row>
    <row r="70" spans="1:57" x14ac:dyDescent="0.2">
      <c r="A70" t="s">
        <v>0</v>
      </c>
      <c r="B70" t="s">
        <v>1</v>
      </c>
      <c r="C70" t="s">
        <v>2</v>
      </c>
      <c r="D70" t="s">
        <v>2</v>
      </c>
      <c r="E70" t="s">
        <v>3</v>
      </c>
      <c r="F70" t="s">
        <v>4</v>
      </c>
      <c r="G70" t="s">
        <v>203</v>
      </c>
      <c r="H70" t="s">
        <v>151</v>
      </c>
      <c r="I70" t="s">
        <v>7</v>
      </c>
      <c r="J70" t="s">
        <v>91</v>
      </c>
      <c r="K70" t="s">
        <v>8</v>
      </c>
      <c r="L70" t="s">
        <v>204</v>
      </c>
      <c r="M70" t="s">
        <v>151</v>
      </c>
      <c r="N70" t="s">
        <v>2</v>
      </c>
      <c r="O70" t="s">
        <v>2</v>
      </c>
      <c r="P70" t="s">
        <v>93</v>
      </c>
      <c r="Q70" t="s">
        <v>2</v>
      </c>
      <c r="R70" t="s">
        <v>205</v>
      </c>
      <c r="S70" s="2">
        <v>45251</v>
      </c>
      <c r="T70" s="2">
        <v>45280</v>
      </c>
      <c r="U70" s="2">
        <v>45284</v>
      </c>
      <c r="V70" s="3">
        <v>0</v>
      </c>
      <c r="W70" s="3">
        <v>0</v>
      </c>
      <c r="X70" t="s">
        <v>2</v>
      </c>
      <c r="Y70" s="2"/>
      <c r="Z70" t="s">
        <v>16</v>
      </c>
      <c r="AA70" t="s">
        <v>206</v>
      </c>
      <c r="AB70" t="s">
        <v>2</v>
      </c>
      <c r="AC70" t="s">
        <v>18</v>
      </c>
      <c r="AD70" t="s">
        <v>221</v>
      </c>
      <c r="AE70" t="s">
        <v>20</v>
      </c>
      <c r="AF70" s="4">
        <v>600</v>
      </c>
      <c r="AG70" s="4">
        <v>0</v>
      </c>
      <c r="AH70" s="3">
        <v>6.21</v>
      </c>
      <c r="AI70" s="3">
        <v>3726</v>
      </c>
      <c r="AJ70" s="3">
        <v>3006323.1</v>
      </c>
      <c r="AK70" s="3">
        <v>0</v>
      </c>
      <c r="AL70" t="s">
        <v>21</v>
      </c>
      <c r="AM70" s="2"/>
      <c r="AN70" s="3">
        <v>0</v>
      </c>
      <c r="AO70" s="2"/>
      <c r="AP70" s="3">
        <v>0</v>
      </c>
      <c r="AQ70" t="s">
        <v>22</v>
      </c>
      <c r="AR70" t="s">
        <v>207</v>
      </c>
      <c r="AS70" t="s">
        <v>208</v>
      </c>
      <c r="AT70" t="s">
        <v>209</v>
      </c>
      <c r="AU70" t="s">
        <v>26</v>
      </c>
      <c r="AV70" t="s">
        <v>12</v>
      </c>
      <c r="AW70" t="s">
        <v>28</v>
      </c>
      <c r="AX70" t="s">
        <v>29</v>
      </c>
      <c r="AY70" t="s">
        <v>2</v>
      </c>
      <c r="AZ70" s="3">
        <v>0</v>
      </c>
      <c r="BA70" t="s">
        <v>2</v>
      </c>
      <c r="BB70" t="s">
        <v>31</v>
      </c>
      <c r="BC70" t="s">
        <v>2</v>
      </c>
      <c r="BD70" t="s">
        <v>210</v>
      </c>
      <c r="BE70">
        <f t="shared" si="1"/>
        <v>3726</v>
      </c>
    </row>
    <row r="71" spans="1:57" x14ac:dyDescent="0.2">
      <c r="A71" t="s">
        <v>0</v>
      </c>
      <c r="B71" t="s">
        <v>1</v>
      </c>
      <c r="C71" t="s">
        <v>2</v>
      </c>
      <c r="D71" t="s">
        <v>2</v>
      </c>
      <c r="E71" t="s">
        <v>195</v>
      </c>
      <c r="F71" t="s">
        <v>4</v>
      </c>
      <c r="G71" t="s">
        <v>203</v>
      </c>
      <c r="H71" t="s">
        <v>153</v>
      </c>
      <c r="I71" t="s">
        <v>7</v>
      </c>
      <c r="J71" t="s">
        <v>91</v>
      </c>
      <c r="K71" t="s">
        <v>8</v>
      </c>
      <c r="L71" t="s">
        <v>204</v>
      </c>
      <c r="M71" t="s">
        <v>153</v>
      </c>
      <c r="N71" t="s">
        <v>2</v>
      </c>
      <c r="O71" t="s">
        <v>2</v>
      </c>
      <c r="P71" t="s">
        <v>93</v>
      </c>
      <c r="Q71" t="s">
        <v>2</v>
      </c>
      <c r="R71" t="s">
        <v>205</v>
      </c>
      <c r="S71" s="2">
        <v>45251</v>
      </c>
      <c r="T71" s="2">
        <v>45280</v>
      </c>
      <c r="U71" s="2">
        <v>45284</v>
      </c>
      <c r="V71" s="3">
        <v>0</v>
      </c>
      <c r="W71" s="3">
        <v>0</v>
      </c>
      <c r="X71" t="s">
        <v>2</v>
      </c>
      <c r="Y71" s="2"/>
      <c r="Z71" t="s">
        <v>16</v>
      </c>
      <c r="AA71" t="s">
        <v>206</v>
      </c>
      <c r="AB71" t="s">
        <v>2</v>
      </c>
      <c r="AC71" t="s">
        <v>18</v>
      </c>
      <c r="AD71" t="s">
        <v>222</v>
      </c>
      <c r="AE71" t="s">
        <v>189</v>
      </c>
      <c r="AF71" s="4">
        <v>360</v>
      </c>
      <c r="AG71" s="4">
        <v>0</v>
      </c>
      <c r="AH71" s="3">
        <v>7.95</v>
      </c>
      <c r="AI71" s="3">
        <v>2862</v>
      </c>
      <c r="AJ71" s="3">
        <v>2309204.7000000002</v>
      </c>
      <c r="AK71" s="3">
        <v>0</v>
      </c>
      <c r="AL71" t="s">
        <v>21</v>
      </c>
      <c r="AM71" s="2"/>
      <c r="AN71" s="3">
        <v>0</v>
      </c>
      <c r="AO71" s="2"/>
      <c r="AP71" s="3">
        <v>0</v>
      </c>
      <c r="AQ71" t="s">
        <v>22</v>
      </c>
      <c r="AR71" t="s">
        <v>207</v>
      </c>
      <c r="AS71" t="s">
        <v>208</v>
      </c>
      <c r="AT71" t="s">
        <v>209</v>
      </c>
      <c r="AU71" t="s">
        <v>26</v>
      </c>
      <c r="AV71" t="s">
        <v>12</v>
      </c>
      <c r="AW71" t="s">
        <v>28</v>
      </c>
      <c r="AX71" t="s">
        <v>29</v>
      </c>
      <c r="AY71" t="s">
        <v>2</v>
      </c>
      <c r="AZ71" s="3">
        <v>0</v>
      </c>
      <c r="BA71" t="s">
        <v>2</v>
      </c>
      <c r="BB71" t="s">
        <v>31</v>
      </c>
      <c r="BC71" t="s">
        <v>2</v>
      </c>
      <c r="BD71" t="s">
        <v>210</v>
      </c>
      <c r="BE71">
        <f t="shared" si="1"/>
        <v>2862</v>
      </c>
    </row>
    <row r="72" spans="1:57" x14ac:dyDescent="0.2">
      <c r="A72" t="s">
        <v>0</v>
      </c>
      <c r="B72" t="s">
        <v>1</v>
      </c>
      <c r="C72" t="s">
        <v>2</v>
      </c>
      <c r="D72" t="s">
        <v>2</v>
      </c>
      <c r="E72" t="s">
        <v>113</v>
      </c>
      <c r="F72" t="s">
        <v>4</v>
      </c>
      <c r="G72" t="s">
        <v>203</v>
      </c>
      <c r="H72" t="s">
        <v>155</v>
      </c>
      <c r="I72" t="s">
        <v>7</v>
      </c>
      <c r="J72" t="s">
        <v>91</v>
      </c>
      <c r="K72" t="s">
        <v>8</v>
      </c>
      <c r="L72" t="s">
        <v>204</v>
      </c>
      <c r="M72" t="s">
        <v>155</v>
      </c>
      <c r="N72" t="s">
        <v>2</v>
      </c>
      <c r="O72" t="s">
        <v>2</v>
      </c>
      <c r="P72" t="s">
        <v>93</v>
      </c>
      <c r="Q72" t="s">
        <v>2</v>
      </c>
      <c r="R72" t="s">
        <v>205</v>
      </c>
      <c r="S72" s="2">
        <v>45251</v>
      </c>
      <c r="T72" s="2">
        <v>45280</v>
      </c>
      <c r="U72" s="2">
        <v>45284</v>
      </c>
      <c r="V72" s="3">
        <v>0</v>
      </c>
      <c r="W72" s="3">
        <v>0</v>
      </c>
      <c r="X72" t="s">
        <v>2</v>
      </c>
      <c r="Y72" s="2"/>
      <c r="Z72" t="s">
        <v>47</v>
      </c>
      <c r="AA72" t="s">
        <v>206</v>
      </c>
      <c r="AB72" t="s">
        <v>2</v>
      </c>
      <c r="AC72" t="s">
        <v>49</v>
      </c>
      <c r="AD72" t="s">
        <v>162</v>
      </c>
      <c r="AE72" t="s">
        <v>163</v>
      </c>
      <c r="AF72" s="4">
        <v>150</v>
      </c>
      <c r="AG72" s="4">
        <v>0</v>
      </c>
      <c r="AH72" s="3">
        <v>5.59</v>
      </c>
      <c r="AI72" s="3">
        <v>838.5</v>
      </c>
      <c r="AJ72" s="3">
        <v>676543.73</v>
      </c>
      <c r="AK72" s="3">
        <v>0</v>
      </c>
      <c r="AL72" t="s">
        <v>52</v>
      </c>
      <c r="AM72" s="2"/>
      <c r="AN72" s="3">
        <v>0</v>
      </c>
      <c r="AO72" s="2"/>
      <c r="AP72" s="3">
        <v>0</v>
      </c>
      <c r="AQ72" t="s">
        <v>53</v>
      </c>
      <c r="AR72" t="s">
        <v>207</v>
      </c>
      <c r="AS72" t="s">
        <v>208</v>
      </c>
      <c r="AT72" t="s">
        <v>209</v>
      </c>
      <c r="AU72" t="s">
        <v>26</v>
      </c>
      <c r="AV72" t="s">
        <v>12</v>
      </c>
      <c r="AW72" t="s">
        <v>28</v>
      </c>
      <c r="AX72" t="s">
        <v>29</v>
      </c>
      <c r="AY72" t="s">
        <v>2</v>
      </c>
      <c r="AZ72" s="3">
        <v>0</v>
      </c>
      <c r="BA72" t="s">
        <v>2</v>
      </c>
      <c r="BB72" t="s">
        <v>31</v>
      </c>
      <c r="BC72" t="s">
        <v>2</v>
      </c>
      <c r="BD72" t="s">
        <v>210</v>
      </c>
      <c r="BE72">
        <f t="shared" si="1"/>
        <v>838.5</v>
      </c>
    </row>
    <row r="73" spans="1:57" x14ac:dyDescent="0.2">
      <c r="A73" t="s">
        <v>0</v>
      </c>
      <c r="B73" t="s">
        <v>1</v>
      </c>
      <c r="C73" t="s">
        <v>2</v>
      </c>
      <c r="D73" t="s">
        <v>2</v>
      </c>
      <c r="E73" t="s">
        <v>33</v>
      </c>
      <c r="F73" t="s">
        <v>4</v>
      </c>
      <c r="G73" t="s">
        <v>203</v>
      </c>
      <c r="H73" t="s">
        <v>158</v>
      </c>
      <c r="I73" t="s">
        <v>7</v>
      </c>
      <c r="J73" t="s">
        <v>91</v>
      </c>
      <c r="K73" t="s">
        <v>8</v>
      </c>
      <c r="L73" t="s">
        <v>204</v>
      </c>
      <c r="M73" t="s">
        <v>158</v>
      </c>
      <c r="N73" t="s">
        <v>2</v>
      </c>
      <c r="O73" t="s">
        <v>2</v>
      </c>
      <c r="P73" t="s">
        <v>93</v>
      </c>
      <c r="Q73" t="s">
        <v>2</v>
      </c>
      <c r="R73" t="s">
        <v>205</v>
      </c>
      <c r="S73" s="2">
        <v>45251</v>
      </c>
      <c r="T73" s="2">
        <v>45280</v>
      </c>
      <c r="U73" s="2">
        <v>45284</v>
      </c>
      <c r="V73" s="3">
        <v>0</v>
      </c>
      <c r="W73" s="3">
        <v>0</v>
      </c>
      <c r="X73" t="s">
        <v>2</v>
      </c>
      <c r="Y73" s="2"/>
      <c r="Z73" t="s">
        <v>16</v>
      </c>
      <c r="AA73" t="s">
        <v>206</v>
      </c>
      <c r="AB73" t="s">
        <v>2</v>
      </c>
      <c r="AC73" t="s">
        <v>18</v>
      </c>
      <c r="AD73" t="s">
        <v>223</v>
      </c>
      <c r="AE73" t="s">
        <v>224</v>
      </c>
      <c r="AF73" s="4">
        <v>7825</v>
      </c>
      <c r="AG73" s="4">
        <v>0</v>
      </c>
      <c r="AH73" s="3">
        <v>2.95</v>
      </c>
      <c r="AI73" s="3">
        <v>23083.75</v>
      </c>
      <c r="AJ73" s="3">
        <v>18625123.690000001</v>
      </c>
      <c r="AK73" s="3">
        <v>0</v>
      </c>
      <c r="AL73" t="s">
        <v>21</v>
      </c>
      <c r="AM73" s="2"/>
      <c r="AN73" s="3">
        <v>0</v>
      </c>
      <c r="AO73" s="2"/>
      <c r="AP73" s="3">
        <v>0</v>
      </c>
      <c r="AQ73" t="s">
        <v>22</v>
      </c>
      <c r="AR73" t="s">
        <v>207</v>
      </c>
      <c r="AS73" t="s">
        <v>208</v>
      </c>
      <c r="AT73" t="s">
        <v>209</v>
      </c>
      <c r="AU73" t="s">
        <v>26</v>
      </c>
      <c r="AV73" t="s">
        <v>12</v>
      </c>
      <c r="AW73" t="s">
        <v>28</v>
      </c>
      <c r="AX73" t="s">
        <v>29</v>
      </c>
      <c r="AY73" t="s">
        <v>2</v>
      </c>
      <c r="AZ73" s="3">
        <v>0</v>
      </c>
      <c r="BA73" t="s">
        <v>2</v>
      </c>
      <c r="BB73" t="s">
        <v>31</v>
      </c>
      <c r="BC73" t="s">
        <v>2</v>
      </c>
      <c r="BD73" t="s">
        <v>210</v>
      </c>
      <c r="BE73">
        <f t="shared" si="1"/>
        <v>23083.75</v>
      </c>
    </row>
    <row r="74" spans="1:57" x14ac:dyDescent="0.2">
      <c r="A74" t="s">
        <v>0</v>
      </c>
      <c r="B74" t="s">
        <v>1</v>
      </c>
      <c r="C74" t="s">
        <v>2</v>
      </c>
      <c r="D74" t="s">
        <v>2</v>
      </c>
      <c r="E74" t="s">
        <v>41</v>
      </c>
      <c r="F74" t="s">
        <v>4</v>
      </c>
      <c r="G74" t="s">
        <v>225</v>
      </c>
      <c r="H74" t="s">
        <v>6</v>
      </c>
      <c r="I74" t="s">
        <v>7</v>
      </c>
      <c r="J74" t="s">
        <v>91</v>
      </c>
      <c r="K74" t="s">
        <v>8</v>
      </c>
      <c r="L74" t="s">
        <v>226</v>
      </c>
      <c r="M74" t="s">
        <v>6</v>
      </c>
      <c r="N74" t="s">
        <v>2</v>
      </c>
      <c r="O74" t="s">
        <v>2</v>
      </c>
      <c r="P74" t="s">
        <v>93</v>
      </c>
      <c r="Q74" t="s">
        <v>2</v>
      </c>
      <c r="R74" t="s">
        <v>227</v>
      </c>
      <c r="S74" s="2">
        <v>45251</v>
      </c>
      <c r="T74" s="2">
        <v>45280</v>
      </c>
      <c r="U74" s="2">
        <v>45284</v>
      </c>
      <c r="V74" s="3">
        <v>0</v>
      </c>
      <c r="W74" s="3">
        <v>0</v>
      </c>
      <c r="X74" t="s">
        <v>2</v>
      </c>
      <c r="Y74" s="2"/>
      <c r="Z74" t="s">
        <v>47</v>
      </c>
      <c r="AA74" t="s">
        <v>228</v>
      </c>
      <c r="AB74" t="s">
        <v>2</v>
      </c>
      <c r="AC74" t="s">
        <v>49</v>
      </c>
      <c r="AD74" t="s">
        <v>64</v>
      </c>
      <c r="AE74" t="s">
        <v>65</v>
      </c>
      <c r="AF74" s="4">
        <v>1</v>
      </c>
      <c r="AG74" s="4">
        <v>0</v>
      </c>
      <c r="AH74" s="3">
        <v>3114698.66</v>
      </c>
      <c r="AI74" s="3">
        <v>3114698.66</v>
      </c>
      <c r="AJ74" s="3">
        <v>3114698.66</v>
      </c>
      <c r="AK74" s="3">
        <v>0</v>
      </c>
      <c r="AL74" t="s">
        <v>52</v>
      </c>
      <c r="AM74" s="2"/>
      <c r="AN74" s="3">
        <v>0</v>
      </c>
      <c r="AO74" s="2"/>
      <c r="AP74" s="3">
        <v>0</v>
      </c>
      <c r="AQ74" t="s">
        <v>53</v>
      </c>
      <c r="AR74" t="s">
        <v>207</v>
      </c>
      <c r="AS74" t="s">
        <v>208</v>
      </c>
      <c r="AT74" t="s">
        <v>209</v>
      </c>
      <c r="AU74" t="s">
        <v>26</v>
      </c>
      <c r="AV74" t="s">
        <v>12</v>
      </c>
      <c r="AW74" t="s">
        <v>66</v>
      </c>
      <c r="AX74" t="s">
        <v>29</v>
      </c>
      <c r="AY74" t="s">
        <v>2</v>
      </c>
      <c r="AZ74" s="3">
        <v>0</v>
      </c>
      <c r="BA74" t="s">
        <v>2</v>
      </c>
      <c r="BB74" t="s">
        <v>31</v>
      </c>
      <c r="BC74" t="s">
        <v>2</v>
      </c>
      <c r="BD74" t="s">
        <v>229</v>
      </c>
      <c r="BE74">
        <f t="shared" si="1"/>
        <v>3860.3193406457212</v>
      </c>
    </row>
    <row r="75" spans="1:57" x14ac:dyDescent="0.2">
      <c r="A75" t="s">
        <v>0</v>
      </c>
      <c r="B75" t="s">
        <v>1</v>
      </c>
      <c r="C75" t="s">
        <v>2</v>
      </c>
      <c r="D75" t="s">
        <v>2</v>
      </c>
      <c r="E75" t="s">
        <v>113</v>
      </c>
      <c r="F75" t="s">
        <v>4</v>
      </c>
      <c r="G75" t="s">
        <v>230</v>
      </c>
      <c r="H75" t="s">
        <v>6</v>
      </c>
      <c r="I75" t="s">
        <v>7</v>
      </c>
      <c r="J75" t="s">
        <v>91</v>
      </c>
      <c r="K75" t="s">
        <v>8</v>
      </c>
      <c r="L75" t="s">
        <v>231</v>
      </c>
      <c r="M75" t="s">
        <v>6</v>
      </c>
      <c r="N75" t="s">
        <v>2</v>
      </c>
      <c r="O75" t="s">
        <v>2</v>
      </c>
      <c r="P75" t="s">
        <v>93</v>
      </c>
      <c r="Q75" t="s">
        <v>2</v>
      </c>
      <c r="R75" t="s">
        <v>232</v>
      </c>
      <c r="S75" s="2">
        <v>45251</v>
      </c>
      <c r="T75" s="2">
        <v>45280</v>
      </c>
      <c r="U75" s="2">
        <v>45284</v>
      </c>
      <c r="V75" s="3">
        <v>0</v>
      </c>
      <c r="W75" s="3">
        <v>0</v>
      </c>
      <c r="X75" t="s">
        <v>2</v>
      </c>
      <c r="Y75" s="2"/>
      <c r="Z75" t="s">
        <v>47</v>
      </c>
      <c r="AA75" t="s">
        <v>233</v>
      </c>
      <c r="AB75" t="s">
        <v>2</v>
      </c>
      <c r="AC75" t="s">
        <v>49</v>
      </c>
      <c r="AD75" t="s">
        <v>178</v>
      </c>
      <c r="AE75" t="s">
        <v>179</v>
      </c>
      <c r="AF75" s="4">
        <v>1</v>
      </c>
      <c r="AG75" s="4">
        <v>0</v>
      </c>
      <c r="AH75" s="3">
        <v>1942</v>
      </c>
      <c r="AI75" s="3">
        <v>1942</v>
      </c>
      <c r="AJ75" s="3">
        <v>1566902.7</v>
      </c>
      <c r="AK75" s="3">
        <v>0</v>
      </c>
      <c r="AL75" t="s">
        <v>52</v>
      </c>
      <c r="AM75" s="2"/>
      <c r="AN75" s="3">
        <v>0</v>
      </c>
      <c r="AO75" s="2"/>
      <c r="AP75" s="3">
        <v>0</v>
      </c>
      <c r="AQ75" t="s">
        <v>53</v>
      </c>
      <c r="AR75" t="s">
        <v>207</v>
      </c>
      <c r="AS75" t="s">
        <v>208</v>
      </c>
      <c r="AT75" t="s">
        <v>209</v>
      </c>
      <c r="AU75" t="s">
        <v>26</v>
      </c>
      <c r="AV75" t="s">
        <v>12</v>
      </c>
      <c r="AW75" t="s">
        <v>28</v>
      </c>
      <c r="AX75" t="s">
        <v>29</v>
      </c>
      <c r="AY75" t="s">
        <v>2</v>
      </c>
      <c r="AZ75" s="3">
        <v>0</v>
      </c>
      <c r="BA75" t="s">
        <v>2</v>
      </c>
      <c r="BB75" t="s">
        <v>31</v>
      </c>
      <c r="BC75" t="s">
        <v>2</v>
      </c>
      <c r="BD75" t="s">
        <v>210</v>
      </c>
      <c r="BE75">
        <f t="shared" si="1"/>
        <v>1942</v>
      </c>
    </row>
    <row r="76" spans="1:57" x14ac:dyDescent="0.2">
      <c r="A76" t="s">
        <v>0</v>
      </c>
      <c r="B76" t="s">
        <v>1</v>
      </c>
      <c r="C76" t="s">
        <v>2</v>
      </c>
      <c r="D76" t="s">
        <v>2</v>
      </c>
      <c r="E76" t="s">
        <v>37</v>
      </c>
      <c r="F76" t="s">
        <v>4</v>
      </c>
      <c r="G76" t="s">
        <v>414</v>
      </c>
      <c r="H76" t="s">
        <v>6</v>
      </c>
      <c r="I76" t="s">
        <v>7</v>
      </c>
      <c r="J76" t="s">
        <v>91</v>
      </c>
      <c r="K76" t="s">
        <v>8</v>
      </c>
      <c r="L76" t="s">
        <v>415</v>
      </c>
      <c r="M76" t="s">
        <v>6</v>
      </c>
      <c r="N76" t="s">
        <v>2</v>
      </c>
      <c r="O76" t="s">
        <v>2</v>
      </c>
      <c r="P76" t="s">
        <v>93</v>
      </c>
      <c r="Q76" t="s">
        <v>2</v>
      </c>
      <c r="R76" t="s">
        <v>416</v>
      </c>
      <c r="S76" s="2">
        <v>45250</v>
      </c>
      <c r="T76" s="2">
        <v>45280</v>
      </c>
      <c r="U76" s="2">
        <v>45287</v>
      </c>
      <c r="V76" s="3">
        <v>0</v>
      </c>
      <c r="W76" s="3">
        <v>0</v>
      </c>
      <c r="X76" t="s">
        <v>2</v>
      </c>
      <c r="Y76" s="2"/>
      <c r="Z76" t="s">
        <v>16</v>
      </c>
      <c r="AA76" t="s">
        <v>417</v>
      </c>
      <c r="AB76" t="s">
        <v>2</v>
      </c>
      <c r="AC76" t="s">
        <v>18</v>
      </c>
      <c r="AD76" t="s">
        <v>39</v>
      </c>
      <c r="AE76" t="s">
        <v>40</v>
      </c>
      <c r="AF76" s="4">
        <v>2035</v>
      </c>
      <c r="AG76" s="4">
        <v>0</v>
      </c>
      <c r="AH76" s="3">
        <v>1.41</v>
      </c>
      <c r="AI76" s="3">
        <v>2869.35</v>
      </c>
      <c r="AJ76" s="3">
        <v>2315135.0499999998</v>
      </c>
      <c r="AK76" s="3">
        <v>0</v>
      </c>
      <c r="AL76" t="s">
        <v>21</v>
      </c>
      <c r="AM76" s="2"/>
      <c r="AN76" s="3">
        <v>0</v>
      </c>
      <c r="AO76" s="2"/>
      <c r="AP76" s="3">
        <v>0</v>
      </c>
      <c r="AQ76" t="s">
        <v>22</v>
      </c>
      <c r="AR76" t="s">
        <v>238</v>
      </c>
      <c r="AS76" t="s">
        <v>239</v>
      </c>
      <c r="AT76" t="s">
        <v>240</v>
      </c>
      <c r="AU76" t="s">
        <v>26</v>
      </c>
      <c r="AV76" t="s">
        <v>27</v>
      </c>
      <c r="AW76" t="s">
        <v>28</v>
      </c>
      <c r="AX76" t="s">
        <v>29</v>
      </c>
      <c r="AY76" t="s">
        <v>2</v>
      </c>
      <c r="AZ76" s="3">
        <v>0</v>
      </c>
      <c r="BA76" t="s">
        <v>2</v>
      </c>
      <c r="BB76" t="s">
        <v>241</v>
      </c>
      <c r="BC76" t="s">
        <v>2</v>
      </c>
      <c r="BD76" t="s">
        <v>313</v>
      </c>
      <c r="BE76">
        <f t="shared" si="1"/>
        <v>2869.35</v>
      </c>
    </row>
    <row r="77" spans="1:57" x14ac:dyDescent="0.2">
      <c r="A77" t="s">
        <v>0</v>
      </c>
      <c r="B77" t="s">
        <v>1</v>
      </c>
      <c r="C77" t="s">
        <v>2</v>
      </c>
      <c r="D77" t="s">
        <v>2</v>
      </c>
      <c r="E77" t="s">
        <v>33</v>
      </c>
      <c r="F77" t="s">
        <v>4</v>
      </c>
      <c r="G77" t="s">
        <v>414</v>
      </c>
      <c r="H77" t="s">
        <v>27</v>
      </c>
      <c r="I77" t="s">
        <v>7</v>
      </c>
      <c r="J77" t="s">
        <v>91</v>
      </c>
      <c r="K77" t="s">
        <v>8</v>
      </c>
      <c r="L77" t="s">
        <v>415</v>
      </c>
      <c r="M77" t="s">
        <v>27</v>
      </c>
      <c r="N77" t="s">
        <v>2</v>
      </c>
      <c r="O77" t="s">
        <v>2</v>
      </c>
      <c r="P77" t="s">
        <v>93</v>
      </c>
      <c r="Q77" t="s">
        <v>2</v>
      </c>
      <c r="R77" t="s">
        <v>416</v>
      </c>
      <c r="S77" s="2">
        <v>45250</v>
      </c>
      <c r="T77" s="2">
        <v>45280</v>
      </c>
      <c r="U77" s="2">
        <v>45287</v>
      </c>
      <c r="V77" s="3">
        <v>0</v>
      </c>
      <c r="W77" s="3">
        <v>0</v>
      </c>
      <c r="X77" t="s">
        <v>2</v>
      </c>
      <c r="Y77" s="2"/>
      <c r="Z77" t="s">
        <v>16</v>
      </c>
      <c r="AA77" t="s">
        <v>417</v>
      </c>
      <c r="AB77" t="s">
        <v>2</v>
      </c>
      <c r="AC77" t="s">
        <v>18</v>
      </c>
      <c r="AD77" t="s">
        <v>184</v>
      </c>
      <c r="AE77" t="s">
        <v>185</v>
      </c>
      <c r="AF77" s="4">
        <v>149</v>
      </c>
      <c r="AG77" s="4">
        <v>0</v>
      </c>
      <c r="AH77" s="3">
        <v>4.0599999999999996</v>
      </c>
      <c r="AI77" s="3">
        <v>604.94000000000005</v>
      </c>
      <c r="AJ77" s="3">
        <v>488095.84</v>
      </c>
      <c r="AK77" s="3">
        <v>0</v>
      </c>
      <c r="AL77" t="s">
        <v>21</v>
      </c>
      <c r="AM77" s="2"/>
      <c r="AN77" s="3">
        <v>0</v>
      </c>
      <c r="AO77" s="2"/>
      <c r="AP77" s="3">
        <v>0</v>
      </c>
      <c r="AQ77" t="s">
        <v>22</v>
      </c>
      <c r="AR77" t="s">
        <v>238</v>
      </c>
      <c r="AS77" t="s">
        <v>239</v>
      </c>
      <c r="AT77" t="s">
        <v>240</v>
      </c>
      <c r="AU77" t="s">
        <v>26</v>
      </c>
      <c r="AV77" t="s">
        <v>27</v>
      </c>
      <c r="AW77" t="s">
        <v>28</v>
      </c>
      <c r="AX77" t="s">
        <v>29</v>
      </c>
      <c r="AY77" t="s">
        <v>2</v>
      </c>
      <c r="AZ77" s="3">
        <v>0</v>
      </c>
      <c r="BA77" t="s">
        <v>2</v>
      </c>
      <c r="BB77" t="s">
        <v>241</v>
      </c>
      <c r="BC77" t="s">
        <v>2</v>
      </c>
      <c r="BD77" t="s">
        <v>313</v>
      </c>
      <c r="BE77">
        <f t="shared" si="1"/>
        <v>604.94000000000005</v>
      </c>
    </row>
    <row r="78" spans="1:57" x14ac:dyDescent="0.2">
      <c r="A78" t="s">
        <v>0</v>
      </c>
      <c r="B78" t="s">
        <v>1</v>
      </c>
      <c r="C78" t="s">
        <v>2</v>
      </c>
      <c r="D78" t="s">
        <v>2</v>
      </c>
      <c r="E78" t="s">
        <v>322</v>
      </c>
      <c r="F78" t="s">
        <v>4</v>
      </c>
      <c r="G78" t="s">
        <v>414</v>
      </c>
      <c r="H78" t="s">
        <v>38</v>
      </c>
      <c r="I78" t="s">
        <v>7</v>
      </c>
      <c r="J78" t="s">
        <v>91</v>
      </c>
      <c r="K78" t="s">
        <v>8</v>
      </c>
      <c r="L78" t="s">
        <v>415</v>
      </c>
      <c r="M78" t="s">
        <v>38</v>
      </c>
      <c r="N78" t="s">
        <v>2</v>
      </c>
      <c r="O78" t="s">
        <v>2</v>
      </c>
      <c r="P78" t="s">
        <v>93</v>
      </c>
      <c r="Q78" t="s">
        <v>2</v>
      </c>
      <c r="R78" t="s">
        <v>416</v>
      </c>
      <c r="S78" s="2">
        <v>45250</v>
      </c>
      <c r="T78" s="2">
        <v>45280</v>
      </c>
      <c r="U78" s="2">
        <v>45287</v>
      </c>
      <c r="V78" s="3">
        <v>0</v>
      </c>
      <c r="W78" s="3">
        <v>0</v>
      </c>
      <c r="X78" t="s">
        <v>2</v>
      </c>
      <c r="Y78" s="2"/>
      <c r="Z78" t="s">
        <v>16</v>
      </c>
      <c r="AA78" t="s">
        <v>417</v>
      </c>
      <c r="AB78" t="s">
        <v>2</v>
      </c>
      <c r="AC78" t="s">
        <v>18</v>
      </c>
      <c r="AD78" t="s">
        <v>323</v>
      </c>
      <c r="AE78" t="s">
        <v>324</v>
      </c>
      <c r="AF78" s="4">
        <v>5493</v>
      </c>
      <c r="AG78" s="4">
        <v>0</v>
      </c>
      <c r="AH78" s="3">
        <v>4.1100000000000003</v>
      </c>
      <c r="AI78" s="3">
        <v>22576.23</v>
      </c>
      <c r="AJ78" s="3">
        <v>18215631.18</v>
      </c>
      <c r="AK78" s="3">
        <v>0</v>
      </c>
      <c r="AL78" t="s">
        <v>21</v>
      </c>
      <c r="AM78" s="2"/>
      <c r="AN78" s="3">
        <v>0</v>
      </c>
      <c r="AO78" s="2"/>
      <c r="AP78" s="3">
        <v>0</v>
      </c>
      <c r="AQ78" t="s">
        <v>22</v>
      </c>
      <c r="AR78" t="s">
        <v>238</v>
      </c>
      <c r="AS78" t="s">
        <v>239</v>
      </c>
      <c r="AT78" t="s">
        <v>240</v>
      </c>
      <c r="AU78" t="s">
        <v>26</v>
      </c>
      <c r="AV78" t="s">
        <v>27</v>
      </c>
      <c r="AW78" t="s">
        <v>28</v>
      </c>
      <c r="AX78" t="s">
        <v>29</v>
      </c>
      <c r="AY78" t="s">
        <v>2</v>
      </c>
      <c r="AZ78" s="3">
        <v>0</v>
      </c>
      <c r="BA78" t="s">
        <v>2</v>
      </c>
      <c r="BB78" t="s">
        <v>241</v>
      </c>
      <c r="BC78" t="s">
        <v>2</v>
      </c>
      <c r="BD78" t="s">
        <v>313</v>
      </c>
      <c r="BE78">
        <f t="shared" si="1"/>
        <v>22576.23</v>
      </c>
    </row>
    <row r="79" spans="1:57" x14ac:dyDescent="0.2">
      <c r="A79" t="s">
        <v>0</v>
      </c>
      <c r="B79" t="s">
        <v>1</v>
      </c>
      <c r="C79" t="s">
        <v>2</v>
      </c>
      <c r="D79" t="s">
        <v>2</v>
      </c>
      <c r="E79" t="s">
        <v>41</v>
      </c>
      <c r="F79" t="s">
        <v>4</v>
      </c>
      <c r="G79" t="s">
        <v>234</v>
      </c>
      <c r="H79" t="s">
        <v>6</v>
      </c>
      <c r="I79" t="s">
        <v>7</v>
      </c>
      <c r="J79" t="s">
        <v>91</v>
      </c>
      <c r="K79" t="s">
        <v>8</v>
      </c>
      <c r="L79" t="s">
        <v>235</v>
      </c>
      <c r="M79" t="s">
        <v>6</v>
      </c>
      <c r="N79" t="s">
        <v>2</v>
      </c>
      <c r="O79" t="s">
        <v>2</v>
      </c>
      <c r="P79" t="s">
        <v>93</v>
      </c>
      <c r="Q79" t="s">
        <v>2</v>
      </c>
      <c r="R79" t="s">
        <v>236</v>
      </c>
      <c r="S79" s="2">
        <v>45250</v>
      </c>
      <c r="T79" s="2">
        <v>45280</v>
      </c>
      <c r="U79" s="2">
        <v>45285</v>
      </c>
      <c r="V79" s="3">
        <v>0</v>
      </c>
      <c r="W79" s="3">
        <v>0</v>
      </c>
      <c r="X79" t="s">
        <v>2</v>
      </c>
      <c r="Y79" s="2"/>
      <c r="Z79" t="s">
        <v>47</v>
      </c>
      <c r="AA79" t="s">
        <v>237</v>
      </c>
      <c r="AB79" t="s">
        <v>2</v>
      </c>
      <c r="AC79" t="s">
        <v>49</v>
      </c>
      <c r="AD79" t="s">
        <v>64</v>
      </c>
      <c r="AE79" t="s">
        <v>65</v>
      </c>
      <c r="AF79" s="4">
        <v>1</v>
      </c>
      <c r="AG79" s="4">
        <v>0</v>
      </c>
      <c r="AH79" s="3">
        <v>538831.15</v>
      </c>
      <c r="AI79" s="3">
        <v>538831.15</v>
      </c>
      <c r="AJ79" s="3">
        <v>538831.15</v>
      </c>
      <c r="AK79" s="3">
        <v>0</v>
      </c>
      <c r="AL79" t="s">
        <v>52</v>
      </c>
      <c r="AM79" s="2"/>
      <c r="AN79" s="3">
        <v>0</v>
      </c>
      <c r="AO79" s="2"/>
      <c r="AP79" s="3">
        <v>0</v>
      </c>
      <c r="AQ79" t="s">
        <v>53</v>
      </c>
      <c r="AR79" t="s">
        <v>238</v>
      </c>
      <c r="AS79" t="s">
        <v>239</v>
      </c>
      <c r="AT79" t="s">
        <v>240</v>
      </c>
      <c r="AU79" t="s">
        <v>26</v>
      </c>
      <c r="AV79" t="s">
        <v>27</v>
      </c>
      <c r="AW79" t="s">
        <v>66</v>
      </c>
      <c r="AX79" t="s">
        <v>29</v>
      </c>
      <c r="AY79" t="s">
        <v>2</v>
      </c>
      <c r="AZ79" s="3">
        <v>0</v>
      </c>
      <c r="BA79" t="s">
        <v>2</v>
      </c>
      <c r="BB79" t="s">
        <v>241</v>
      </c>
      <c r="BC79" t="s">
        <v>2</v>
      </c>
      <c r="BD79" t="s">
        <v>242</v>
      </c>
      <c r="BE79">
        <f t="shared" si="1"/>
        <v>667.82072256305389</v>
      </c>
    </row>
    <row r="80" spans="1:57" x14ac:dyDescent="0.2">
      <c r="A80" t="s">
        <v>0</v>
      </c>
      <c r="B80" t="s">
        <v>1</v>
      </c>
      <c r="C80" t="s">
        <v>2</v>
      </c>
      <c r="D80" t="s">
        <v>2</v>
      </c>
      <c r="E80" t="s">
        <v>3</v>
      </c>
      <c r="F80" t="s">
        <v>102</v>
      </c>
      <c r="G80" t="s">
        <v>243</v>
      </c>
      <c r="H80" t="s">
        <v>6</v>
      </c>
      <c r="I80" t="s">
        <v>7</v>
      </c>
      <c r="J80" t="s">
        <v>91</v>
      </c>
      <c r="K80" t="s">
        <v>8</v>
      </c>
      <c r="L80" t="s">
        <v>244</v>
      </c>
      <c r="M80" t="s">
        <v>6</v>
      </c>
      <c r="N80" t="s">
        <v>2</v>
      </c>
      <c r="O80" t="s">
        <v>2</v>
      </c>
      <c r="P80" t="s">
        <v>93</v>
      </c>
      <c r="Q80" t="s">
        <v>2</v>
      </c>
      <c r="R80" t="s">
        <v>245</v>
      </c>
      <c r="S80" s="2">
        <v>45251</v>
      </c>
      <c r="T80" s="2">
        <v>45280</v>
      </c>
      <c r="U80" s="2">
        <v>45285</v>
      </c>
      <c r="V80" s="3">
        <v>0</v>
      </c>
      <c r="W80" s="3">
        <v>0</v>
      </c>
      <c r="X80" t="s">
        <v>2</v>
      </c>
      <c r="Y80" s="2"/>
      <c r="Z80" t="s">
        <v>16</v>
      </c>
      <c r="AA80" t="s">
        <v>246</v>
      </c>
      <c r="AB80" t="s">
        <v>2</v>
      </c>
      <c r="AC80" t="s">
        <v>18</v>
      </c>
      <c r="AD80" t="s">
        <v>247</v>
      </c>
      <c r="AE80" t="s">
        <v>20</v>
      </c>
      <c r="AF80" s="4">
        <v>1000</v>
      </c>
      <c r="AG80" s="4">
        <v>0</v>
      </c>
      <c r="AH80" s="3">
        <v>3.92</v>
      </c>
      <c r="AI80" s="3">
        <v>3920</v>
      </c>
      <c r="AJ80" s="3">
        <v>3162852</v>
      </c>
      <c r="AK80" s="3">
        <v>0</v>
      </c>
      <c r="AL80" t="s">
        <v>21</v>
      </c>
      <c r="AM80" s="2"/>
      <c r="AN80" s="3">
        <v>0</v>
      </c>
      <c r="AO80" s="2"/>
      <c r="AP80" s="3">
        <v>0</v>
      </c>
      <c r="AQ80" t="s">
        <v>248</v>
      </c>
      <c r="AR80" t="s">
        <v>249</v>
      </c>
      <c r="AS80" t="s">
        <v>250</v>
      </c>
      <c r="AT80" t="s">
        <v>251</v>
      </c>
      <c r="AU80" t="s">
        <v>26</v>
      </c>
      <c r="AV80" t="s">
        <v>27</v>
      </c>
      <c r="AW80" t="s">
        <v>28</v>
      </c>
      <c r="AX80" t="s">
        <v>29</v>
      </c>
      <c r="AY80" t="s">
        <v>2</v>
      </c>
      <c r="AZ80" s="3">
        <v>0</v>
      </c>
      <c r="BA80" t="s">
        <v>2</v>
      </c>
      <c r="BB80" t="s">
        <v>241</v>
      </c>
      <c r="BC80" t="s">
        <v>2</v>
      </c>
      <c r="BD80" t="s">
        <v>2</v>
      </c>
      <c r="BE80">
        <f t="shared" si="1"/>
        <v>3920</v>
      </c>
    </row>
    <row r="81" spans="1:57" x14ac:dyDescent="0.2">
      <c r="A81" t="s">
        <v>0</v>
      </c>
      <c r="B81" t="s">
        <v>1</v>
      </c>
      <c r="C81" t="s">
        <v>2</v>
      </c>
      <c r="D81" t="s">
        <v>2</v>
      </c>
      <c r="E81" t="s">
        <v>3</v>
      </c>
      <c r="F81" t="s">
        <v>4</v>
      </c>
      <c r="G81" t="s">
        <v>252</v>
      </c>
      <c r="H81" t="s">
        <v>6</v>
      </c>
      <c r="I81" t="s">
        <v>7</v>
      </c>
      <c r="J81" t="s">
        <v>91</v>
      </c>
      <c r="K81" t="s">
        <v>8</v>
      </c>
      <c r="L81" t="s">
        <v>253</v>
      </c>
      <c r="M81" t="s">
        <v>6</v>
      </c>
      <c r="N81" t="s">
        <v>2</v>
      </c>
      <c r="O81" t="s">
        <v>2</v>
      </c>
      <c r="P81" t="s">
        <v>93</v>
      </c>
      <c r="Q81" t="s">
        <v>2</v>
      </c>
      <c r="R81" t="s">
        <v>254</v>
      </c>
      <c r="S81" s="2">
        <v>45251</v>
      </c>
      <c r="T81" s="2">
        <v>45280</v>
      </c>
      <c r="U81" s="2">
        <v>45285</v>
      </c>
      <c r="V81" s="3">
        <v>0</v>
      </c>
      <c r="W81" s="3">
        <v>0</v>
      </c>
      <c r="X81" t="s">
        <v>2</v>
      </c>
      <c r="Y81" s="2"/>
      <c r="Z81" t="s">
        <v>16</v>
      </c>
      <c r="AA81" t="s">
        <v>255</v>
      </c>
      <c r="AB81" t="s">
        <v>2</v>
      </c>
      <c r="AC81" t="s">
        <v>18</v>
      </c>
      <c r="AD81" t="s">
        <v>19</v>
      </c>
      <c r="AE81" t="s">
        <v>20</v>
      </c>
      <c r="AF81" s="4">
        <v>1300</v>
      </c>
      <c r="AG81" s="4">
        <v>0</v>
      </c>
      <c r="AH81" s="3">
        <v>6.44</v>
      </c>
      <c r="AI81" s="3">
        <v>8372</v>
      </c>
      <c r="AJ81" s="3">
        <v>6754948.2000000002</v>
      </c>
      <c r="AK81" s="3">
        <v>0</v>
      </c>
      <c r="AL81" t="s">
        <v>21</v>
      </c>
      <c r="AM81" s="2"/>
      <c r="AN81" s="3">
        <v>0</v>
      </c>
      <c r="AO81" s="2"/>
      <c r="AP81" s="3">
        <v>0</v>
      </c>
      <c r="AQ81" t="s">
        <v>22</v>
      </c>
      <c r="AR81" t="s">
        <v>23</v>
      </c>
      <c r="AS81" t="s">
        <v>24</v>
      </c>
      <c r="AT81" t="s">
        <v>25</v>
      </c>
      <c r="AU81" t="s">
        <v>26</v>
      </c>
      <c r="AV81" t="s">
        <v>27</v>
      </c>
      <c r="AW81" t="s">
        <v>28</v>
      </c>
      <c r="AX81" t="s">
        <v>29</v>
      </c>
      <c r="AY81" t="s">
        <v>2</v>
      </c>
      <c r="AZ81" s="3">
        <v>0</v>
      </c>
      <c r="BA81" t="s">
        <v>2</v>
      </c>
      <c r="BB81" t="s">
        <v>31</v>
      </c>
      <c r="BC81" t="s">
        <v>2</v>
      </c>
      <c r="BD81" t="s">
        <v>32</v>
      </c>
      <c r="BE81">
        <f t="shared" si="1"/>
        <v>8372</v>
      </c>
    </row>
    <row r="82" spans="1:57" x14ac:dyDescent="0.2">
      <c r="A82" t="s">
        <v>0</v>
      </c>
      <c r="B82" t="s">
        <v>1</v>
      </c>
      <c r="C82" t="s">
        <v>2</v>
      </c>
      <c r="D82" t="s">
        <v>2</v>
      </c>
      <c r="E82" t="s">
        <v>33</v>
      </c>
      <c r="F82" t="s">
        <v>4</v>
      </c>
      <c r="G82" t="s">
        <v>252</v>
      </c>
      <c r="H82" t="s">
        <v>27</v>
      </c>
      <c r="I82" t="s">
        <v>7</v>
      </c>
      <c r="J82" t="s">
        <v>91</v>
      </c>
      <c r="K82" t="s">
        <v>8</v>
      </c>
      <c r="L82" t="s">
        <v>253</v>
      </c>
      <c r="M82" t="s">
        <v>27</v>
      </c>
      <c r="N82" t="s">
        <v>2</v>
      </c>
      <c r="O82" t="s">
        <v>2</v>
      </c>
      <c r="P82" t="s">
        <v>93</v>
      </c>
      <c r="Q82" t="s">
        <v>2</v>
      </c>
      <c r="R82" t="s">
        <v>254</v>
      </c>
      <c r="S82" s="2">
        <v>45251</v>
      </c>
      <c r="T82" s="2">
        <v>45280</v>
      </c>
      <c r="U82" s="2">
        <v>45285</v>
      </c>
      <c r="V82" s="3">
        <v>0</v>
      </c>
      <c r="W82" s="3">
        <v>0</v>
      </c>
      <c r="X82" t="s">
        <v>2</v>
      </c>
      <c r="Y82" s="2"/>
      <c r="Z82" t="s">
        <v>16</v>
      </c>
      <c r="AA82" t="s">
        <v>255</v>
      </c>
      <c r="AB82" t="s">
        <v>2</v>
      </c>
      <c r="AC82" t="s">
        <v>18</v>
      </c>
      <c r="AD82" t="s">
        <v>35</v>
      </c>
      <c r="AE82" t="s">
        <v>36</v>
      </c>
      <c r="AF82" s="4">
        <v>340</v>
      </c>
      <c r="AG82" s="4">
        <v>0</v>
      </c>
      <c r="AH82" s="3">
        <v>3.89</v>
      </c>
      <c r="AI82" s="3">
        <v>1322.6</v>
      </c>
      <c r="AJ82" s="3">
        <v>1067139.81</v>
      </c>
      <c r="AK82" s="3">
        <v>0</v>
      </c>
      <c r="AL82" t="s">
        <v>21</v>
      </c>
      <c r="AM82" s="2"/>
      <c r="AN82" s="3">
        <v>0</v>
      </c>
      <c r="AO82" s="2"/>
      <c r="AP82" s="3">
        <v>0</v>
      </c>
      <c r="AQ82" t="s">
        <v>22</v>
      </c>
      <c r="AR82" t="s">
        <v>23</v>
      </c>
      <c r="AS82" t="s">
        <v>24</v>
      </c>
      <c r="AT82" t="s">
        <v>25</v>
      </c>
      <c r="AU82" t="s">
        <v>26</v>
      </c>
      <c r="AV82" t="s">
        <v>27</v>
      </c>
      <c r="AW82" t="s">
        <v>28</v>
      </c>
      <c r="AX82" t="s">
        <v>29</v>
      </c>
      <c r="AY82" t="s">
        <v>2</v>
      </c>
      <c r="AZ82" s="3">
        <v>0</v>
      </c>
      <c r="BA82" t="s">
        <v>2</v>
      </c>
      <c r="BB82" t="s">
        <v>31</v>
      </c>
      <c r="BC82" t="s">
        <v>2</v>
      </c>
      <c r="BD82" t="s">
        <v>32</v>
      </c>
      <c r="BE82">
        <f t="shared" si="1"/>
        <v>1322.6</v>
      </c>
    </row>
    <row r="83" spans="1:57" x14ac:dyDescent="0.2">
      <c r="A83" t="s">
        <v>0</v>
      </c>
      <c r="B83" t="s">
        <v>1</v>
      </c>
      <c r="C83" t="s">
        <v>2</v>
      </c>
      <c r="D83" t="s">
        <v>2</v>
      </c>
      <c r="E83" t="s">
        <v>41</v>
      </c>
      <c r="F83" t="s">
        <v>4</v>
      </c>
      <c r="G83" t="s">
        <v>252</v>
      </c>
      <c r="H83" t="s">
        <v>38</v>
      </c>
      <c r="I83" t="s">
        <v>7</v>
      </c>
      <c r="J83" t="s">
        <v>91</v>
      </c>
      <c r="K83" t="s">
        <v>8</v>
      </c>
      <c r="L83" t="s">
        <v>253</v>
      </c>
      <c r="M83" t="s">
        <v>38</v>
      </c>
      <c r="N83" t="s">
        <v>2</v>
      </c>
      <c r="O83" t="s">
        <v>2</v>
      </c>
      <c r="P83" t="s">
        <v>93</v>
      </c>
      <c r="Q83" t="s">
        <v>2</v>
      </c>
      <c r="R83" t="s">
        <v>254</v>
      </c>
      <c r="S83" s="2">
        <v>45251</v>
      </c>
      <c r="T83" s="2">
        <v>45280</v>
      </c>
      <c r="U83" s="2">
        <v>45285</v>
      </c>
      <c r="V83" s="3">
        <v>0</v>
      </c>
      <c r="W83" s="3">
        <v>0</v>
      </c>
      <c r="X83" t="s">
        <v>2</v>
      </c>
      <c r="Y83" s="2"/>
      <c r="Z83" t="s">
        <v>47</v>
      </c>
      <c r="AA83" t="s">
        <v>255</v>
      </c>
      <c r="AB83" t="s">
        <v>2</v>
      </c>
      <c r="AC83" t="s">
        <v>49</v>
      </c>
      <c r="AD83" t="s">
        <v>50</v>
      </c>
      <c r="AE83" t="s">
        <v>51</v>
      </c>
      <c r="AF83" s="4">
        <v>1</v>
      </c>
      <c r="AG83" s="4">
        <v>0</v>
      </c>
      <c r="AH83" s="3">
        <v>179</v>
      </c>
      <c r="AI83" s="3">
        <v>179</v>
      </c>
      <c r="AJ83" s="3">
        <v>144426.15</v>
      </c>
      <c r="AK83" s="3">
        <v>0</v>
      </c>
      <c r="AL83" t="s">
        <v>52</v>
      </c>
      <c r="AM83" s="2"/>
      <c r="AN83" s="3">
        <v>0</v>
      </c>
      <c r="AO83" s="2"/>
      <c r="AP83" s="3">
        <v>0</v>
      </c>
      <c r="AQ83" t="s">
        <v>53</v>
      </c>
      <c r="AR83" t="s">
        <v>23</v>
      </c>
      <c r="AS83" t="s">
        <v>24</v>
      </c>
      <c r="AT83" t="s">
        <v>25</v>
      </c>
      <c r="AU83" t="s">
        <v>26</v>
      </c>
      <c r="AV83" t="s">
        <v>27</v>
      </c>
      <c r="AW83" t="s">
        <v>28</v>
      </c>
      <c r="AX83" t="s">
        <v>29</v>
      </c>
      <c r="AY83" t="s">
        <v>2</v>
      </c>
      <c r="AZ83" s="3">
        <v>0</v>
      </c>
      <c r="BA83" t="s">
        <v>2</v>
      </c>
      <c r="BB83" t="s">
        <v>31</v>
      </c>
      <c r="BC83" t="s">
        <v>2</v>
      </c>
      <c r="BD83" t="s">
        <v>32</v>
      </c>
      <c r="BE83">
        <f t="shared" si="1"/>
        <v>179</v>
      </c>
    </row>
    <row r="84" spans="1:57" x14ac:dyDescent="0.2">
      <c r="A84" t="s">
        <v>0</v>
      </c>
      <c r="B84" t="s">
        <v>1</v>
      </c>
      <c r="C84" t="s">
        <v>2</v>
      </c>
      <c r="D84" t="s">
        <v>2</v>
      </c>
      <c r="E84" t="s">
        <v>41</v>
      </c>
      <c r="F84" t="s">
        <v>4</v>
      </c>
      <c r="G84" t="s">
        <v>252</v>
      </c>
      <c r="H84" t="s">
        <v>76</v>
      </c>
      <c r="I84" t="s">
        <v>7</v>
      </c>
      <c r="J84" t="s">
        <v>91</v>
      </c>
      <c r="K84" t="s">
        <v>8</v>
      </c>
      <c r="L84" t="s">
        <v>253</v>
      </c>
      <c r="M84" t="s">
        <v>76</v>
      </c>
      <c r="N84" t="s">
        <v>2</v>
      </c>
      <c r="O84" t="s">
        <v>2</v>
      </c>
      <c r="P84" t="s">
        <v>93</v>
      </c>
      <c r="Q84" t="s">
        <v>2</v>
      </c>
      <c r="R84" t="s">
        <v>254</v>
      </c>
      <c r="S84" s="2">
        <v>45251</v>
      </c>
      <c r="T84" s="2">
        <v>45280</v>
      </c>
      <c r="U84" s="2">
        <v>45285</v>
      </c>
      <c r="V84" s="3">
        <v>0</v>
      </c>
      <c r="W84" s="3">
        <v>0</v>
      </c>
      <c r="X84" t="s">
        <v>2</v>
      </c>
      <c r="Y84" s="2"/>
      <c r="Z84" t="s">
        <v>47</v>
      </c>
      <c r="AA84" t="s">
        <v>255</v>
      </c>
      <c r="AB84" t="s">
        <v>2</v>
      </c>
      <c r="AC84" t="s">
        <v>49</v>
      </c>
      <c r="AD84" t="s">
        <v>50</v>
      </c>
      <c r="AE84" t="s">
        <v>51</v>
      </c>
      <c r="AF84" s="4">
        <v>4</v>
      </c>
      <c r="AG84" s="4">
        <v>0</v>
      </c>
      <c r="AH84" s="3">
        <v>235</v>
      </c>
      <c r="AI84" s="3">
        <v>940</v>
      </c>
      <c r="AJ84" s="3">
        <v>758439</v>
      </c>
      <c r="AK84" s="3">
        <v>0</v>
      </c>
      <c r="AL84" t="s">
        <v>52</v>
      </c>
      <c r="AM84" s="2"/>
      <c r="AN84" s="3">
        <v>0</v>
      </c>
      <c r="AO84" s="2"/>
      <c r="AP84" s="3">
        <v>0</v>
      </c>
      <c r="AQ84" t="s">
        <v>53</v>
      </c>
      <c r="AR84" t="s">
        <v>23</v>
      </c>
      <c r="AS84" t="s">
        <v>24</v>
      </c>
      <c r="AT84" t="s">
        <v>25</v>
      </c>
      <c r="AU84" t="s">
        <v>26</v>
      </c>
      <c r="AV84" t="s">
        <v>27</v>
      </c>
      <c r="AW84" t="s">
        <v>28</v>
      </c>
      <c r="AX84" t="s">
        <v>29</v>
      </c>
      <c r="AY84" t="s">
        <v>2</v>
      </c>
      <c r="AZ84" s="3">
        <v>0</v>
      </c>
      <c r="BA84" t="s">
        <v>2</v>
      </c>
      <c r="BB84" t="s">
        <v>31</v>
      </c>
      <c r="BC84" t="s">
        <v>2</v>
      </c>
      <c r="BD84" t="s">
        <v>32</v>
      </c>
      <c r="BE84">
        <f t="shared" si="1"/>
        <v>940</v>
      </c>
    </row>
    <row r="85" spans="1:57" x14ac:dyDescent="0.2">
      <c r="A85" t="s">
        <v>0</v>
      </c>
      <c r="B85" t="s">
        <v>1</v>
      </c>
      <c r="C85" t="s">
        <v>2</v>
      </c>
      <c r="D85" t="s">
        <v>2</v>
      </c>
      <c r="E85" t="s">
        <v>41</v>
      </c>
      <c r="F85" t="s">
        <v>4</v>
      </c>
      <c r="G85" t="s">
        <v>252</v>
      </c>
      <c r="H85" t="s">
        <v>79</v>
      </c>
      <c r="I85" t="s">
        <v>7</v>
      </c>
      <c r="J85" t="s">
        <v>91</v>
      </c>
      <c r="K85" t="s">
        <v>8</v>
      </c>
      <c r="L85" t="s">
        <v>253</v>
      </c>
      <c r="M85" t="s">
        <v>79</v>
      </c>
      <c r="N85" t="s">
        <v>2</v>
      </c>
      <c r="O85" t="s">
        <v>2</v>
      </c>
      <c r="P85" t="s">
        <v>93</v>
      </c>
      <c r="Q85" t="s">
        <v>2</v>
      </c>
      <c r="R85" t="s">
        <v>254</v>
      </c>
      <c r="S85" s="2">
        <v>45251</v>
      </c>
      <c r="T85" s="2">
        <v>45280</v>
      </c>
      <c r="U85" s="2">
        <v>45285</v>
      </c>
      <c r="V85" s="3">
        <v>0</v>
      </c>
      <c r="W85" s="3">
        <v>0</v>
      </c>
      <c r="X85" t="s">
        <v>2</v>
      </c>
      <c r="Y85" s="2"/>
      <c r="Z85" t="s">
        <v>47</v>
      </c>
      <c r="AA85" t="s">
        <v>255</v>
      </c>
      <c r="AB85" t="s">
        <v>2</v>
      </c>
      <c r="AC85" t="s">
        <v>49</v>
      </c>
      <c r="AD85" t="s">
        <v>256</v>
      </c>
      <c r="AE85" t="s">
        <v>257</v>
      </c>
      <c r="AF85" s="4">
        <v>3</v>
      </c>
      <c r="AG85" s="4">
        <v>0</v>
      </c>
      <c r="AH85" s="3">
        <v>163</v>
      </c>
      <c r="AI85" s="3">
        <v>489</v>
      </c>
      <c r="AJ85" s="3">
        <v>394549.65</v>
      </c>
      <c r="AK85" s="3">
        <v>0</v>
      </c>
      <c r="AL85" t="s">
        <v>52</v>
      </c>
      <c r="AM85" s="2"/>
      <c r="AN85" s="3">
        <v>0</v>
      </c>
      <c r="AO85" s="2"/>
      <c r="AP85" s="3">
        <v>0</v>
      </c>
      <c r="AQ85" t="s">
        <v>53</v>
      </c>
      <c r="AR85" t="s">
        <v>23</v>
      </c>
      <c r="AS85" t="s">
        <v>24</v>
      </c>
      <c r="AT85" t="s">
        <v>25</v>
      </c>
      <c r="AU85" t="s">
        <v>26</v>
      </c>
      <c r="AV85" t="s">
        <v>27</v>
      </c>
      <c r="AW85" t="s">
        <v>28</v>
      </c>
      <c r="AX85" t="s">
        <v>29</v>
      </c>
      <c r="AY85" t="s">
        <v>2</v>
      </c>
      <c r="AZ85" s="3">
        <v>0</v>
      </c>
      <c r="BA85" t="s">
        <v>2</v>
      </c>
      <c r="BB85" t="s">
        <v>31</v>
      </c>
      <c r="BC85" t="s">
        <v>2</v>
      </c>
      <c r="BD85" t="s">
        <v>32</v>
      </c>
      <c r="BE85">
        <f t="shared" si="1"/>
        <v>489</v>
      </c>
    </row>
    <row r="86" spans="1:57" x14ac:dyDescent="0.2">
      <c r="A86" t="s">
        <v>0</v>
      </c>
      <c r="B86" t="s">
        <v>1</v>
      </c>
      <c r="C86" t="s">
        <v>2</v>
      </c>
      <c r="D86" t="s">
        <v>2</v>
      </c>
      <c r="E86" t="s">
        <v>41</v>
      </c>
      <c r="F86" t="s">
        <v>4</v>
      </c>
      <c r="G86" t="s">
        <v>258</v>
      </c>
      <c r="H86" t="s">
        <v>6</v>
      </c>
      <c r="I86" t="s">
        <v>7</v>
      </c>
      <c r="J86" t="s">
        <v>91</v>
      </c>
      <c r="K86" t="s">
        <v>8</v>
      </c>
      <c r="L86" t="s">
        <v>259</v>
      </c>
      <c r="M86" t="s">
        <v>6</v>
      </c>
      <c r="N86" t="s">
        <v>2</v>
      </c>
      <c r="O86" t="s">
        <v>2</v>
      </c>
      <c r="P86" t="s">
        <v>93</v>
      </c>
      <c r="Q86" t="s">
        <v>2</v>
      </c>
      <c r="R86" t="s">
        <v>260</v>
      </c>
      <c r="S86" s="2">
        <v>45251</v>
      </c>
      <c r="T86" s="2">
        <v>45280</v>
      </c>
      <c r="U86" s="2">
        <v>45285</v>
      </c>
      <c r="V86" s="3">
        <v>0</v>
      </c>
      <c r="W86" s="3">
        <v>0</v>
      </c>
      <c r="X86" t="s">
        <v>2</v>
      </c>
      <c r="Y86" s="2"/>
      <c r="Z86" t="s">
        <v>47</v>
      </c>
      <c r="AA86" t="s">
        <v>261</v>
      </c>
      <c r="AB86" t="s">
        <v>2</v>
      </c>
      <c r="AC86" t="s">
        <v>49</v>
      </c>
      <c r="AD86" t="s">
        <v>64</v>
      </c>
      <c r="AE86" t="s">
        <v>65</v>
      </c>
      <c r="AF86" s="4">
        <v>2</v>
      </c>
      <c r="AG86" s="4">
        <v>0</v>
      </c>
      <c r="AH86" s="3">
        <v>725837</v>
      </c>
      <c r="AI86" s="3">
        <v>1451674</v>
      </c>
      <c r="AJ86" s="3">
        <v>1451674</v>
      </c>
      <c r="AK86" s="3">
        <v>0</v>
      </c>
      <c r="AL86" t="s">
        <v>52</v>
      </c>
      <c r="AM86" s="2"/>
      <c r="AN86" s="3">
        <v>0</v>
      </c>
      <c r="AO86" s="2"/>
      <c r="AP86" s="3">
        <v>0</v>
      </c>
      <c r="AQ86" t="s">
        <v>53</v>
      </c>
      <c r="AR86" t="s">
        <v>23</v>
      </c>
      <c r="AS86" t="s">
        <v>24</v>
      </c>
      <c r="AT86" t="s">
        <v>25</v>
      </c>
      <c r="AU86" t="s">
        <v>26</v>
      </c>
      <c r="AV86" t="s">
        <v>27</v>
      </c>
      <c r="AW86" t="s">
        <v>66</v>
      </c>
      <c r="AX86" t="s">
        <v>29</v>
      </c>
      <c r="AY86" t="s">
        <v>2</v>
      </c>
      <c r="AZ86" s="3">
        <v>0</v>
      </c>
      <c r="BA86" t="s">
        <v>2</v>
      </c>
      <c r="BB86" t="s">
        <v>31</v>
      </c>
      <c r="BC86" t="s">
        <v>2</v>
      </c>
      <c r="BD86" t="s">
        <v>69</v>
      </c>
      <c r="BE86">
        <f t="shared" si="1"/>
        <v>1799.1869616409492</v>
      </c>
    </row>
    <row r="87" spans="1:57" x14ac:dyDescent="0.2">
      <c r="A87" t="s">
        <v>0</v>
      </c>
      <c r="B87" t="s">
        <v>1</v>
      </c>
      <c r="C87" t="s">
        <v>2</v>
      </c>
      <c r="D87" t="s">
        <v>2</v>
      </c>
      <c r="E87" t="s">
        <v>41</v>
      </c>
      <c r="F87" t="s">
        <v>4</v>
      </c>
      <c r="G87" t="s">
        <v>258</v>
      </c>
      <c r="H87" t="s">
        <v>27</v>
      </c>
      <c r="I87" t="s">
        <v>7</v>
      </c>
      <c r="J87" t="s">
        <v>91</v>
      </c>
      <c r="K87" t="s">
        <v>8</v>
      </c>
      <c r="L87" t="s">
        <v>259</v>
      </c>
      <c r="M87" t="s">
        <v>27</v>
      </c>
      <c r="N87" t="s">
        <v>2</v>
      </c>
      <c r="O87" t="s">
        <v>2</v>
      </c>
      <c r="P87" t="s">
        <v>93</v>
      </c>
      <c r="Q87" t="s">
        <v>2</v>
      </c>
      <c r="R87" t="s">
        <v>260</v>
      </c>
      <c r="S87" s="2">
        <v>45251</v>
      </c>
      <c r="T87" s="2">
        <v>45280</v>
      </c>
      <c r="U87" s="2">
        <v>45285</v>
      </c>
      <c r="V87" s="3">
        <v>0</v>
      </c>
      <c r="W87" s="3">
        <v>0</v>
      </c>
      <c r="X87" t="s">
        <v>2</v>
      </c>
      <c r="Y87" s="2"/>
      <c r="Z87" t="s">
        <v>47</v>
      </c>
      <c r="AA87" t="s">
        <v>261</v>
      </c>
      <c r="AB87" t="s">
        <v>2</v>
      </c>
      <c r="AC87" t="s">
        <v>49</v>
      </c>
      <c r="AD87" t="s">
        <v>64</v>
      </c>
      <c r="AE87" t="s">
        <v>65</v>
      </c>
      <c r="AF87" s="4">
        <v>0.15</v>
      </c>
      <c r="AG87" s="4">
        <v>0</v>
      </c>
      <c r="AH87" s="3">
        <v>6533365</v>
      </c>
      <c r="AI87" s="3">
        <v>980004.75</v>
      </c>
      <c r="AJ87" s="3">
        <v>980004.75</v>
      </c>
      <c r="AK87" s="3">
        <v>0</v>
      </c>
      <c r="AL87" t="s">
        <v>52</v>
      </c>
      <c r="AM87" s="2"/>
      <c r="AN87" s="3">
        <v>0</v>
      </c>
      <c r="AO87" s="2"/>
      <c r="AP87" s="3">
        <v>0</v>
      </c>
      <c r="AQ87" t="s">
        <v>53</v>
      </c>
      <c r="AR87" t="s">
        <v>23</v>
      </c>
      <c r="AS87" t="s">
        <v>24</v>
      </c>
      <c r="AT87" t="s">
        <v>25</v>
      </c>
      <c r="AU87" t="s">
        <v>26</v>
      </c>
      <c r="AV87" t="s">
        <v>27</v>
      </c>
      <c r="AW87" t="s">
        <v>66</v>
      </c>
      <c r="AX87" t="s">
        <v>29</v>
      </c>
      <c r="AY87" t="s">
        <v>2</v>
      </c>
      <c r="AZ87" s="3">
        <v>0</v>
      </c>
      <c r="BA87" t="s">
        <v>2</v>
      </c>
      <c r="BB87" t="s">
        <v>31</v>
      </c>
      <c r="BC87" t="s">
        <v>2</v>
      </c>
      <c r="BD87" t="s">
        <v>69</v>
      </c>
      <c r="BE87">
        <f t="shared" si="1"/>
        <v>1214.6058746978993</v>
      </c>
    </row>
    <row r="88" spans="1:57" x14ac:dyDescent="0.2">
      <c r="A88" t="s">
        <v>0</v>
      </c>
      <c r="B88" t="s">
        <v>1</v>
      </c>
      <c r="C88" t="s">
        <v>2</v>
      </c>
      <c r="D88" t="s">
        <v>2</v>
      </c>
      <c r="E88" t="s">
        <v>37</v>
      </c>
      <c r="F88" t="s">
        <v>4</v>
      </c>
      <c r="G88" t="s">
        <v>262</v>
      </c>
      <c r="H88" t="s">
        <v>6</v>
      </c>
      <c r="I88" t="s">
        <v>7</v>
      </c>
      <c r="J88" t="s">
        <v>91</v>
      </c>
      <c r="K88" t="s">
        <v>8</v>
      </c>
      <c r="L88" t="s">
        <v>263</v>
      </c>
      <c r="M88" t="s">
        <v>6</v>
      </c>
      <c r="N88" t="s">
        <v>2</v>
      </c>
      <c r="O88" t="s">
        <v>2</v>
      </c>
      <c r="P88" t="s">
        <v>93</v>
      </c>
      <c r="Q88" t="s">
        <v>2</v>
      </c>
      <c r="R88" t="s">
        <v>264</v>
      </c>
      <c r="S88" s="2">
        <v>45251</v>
      </c>
      <c r="T88" s="2">
        <v>45280</v>
      </c>
      <c r="U88" s="2">
        <v>45285</v>
      </c>
      <c r="V88" s="3">
        <v>0</v>
      </c>
      <c r="W88" s="3">
        <v>0</v>
      </c>
      <c r="X88" t="s">
        <v>2</v>
      </c>
      <c r="Y88" s="2"/>
      <c r="Z88" t="s">
        <v>16</v>
      </c>
      <c r="AA88" t="s">
        <v>265</v>
      </c>
      <c r="AB88" t="s">
        <v>2</v>
      </c>
      <c r="AC88" t="s">
        <v>18</v>
      </c>
      <c r="AD88" t="s">
        <v>39</v>
      </c>
      <c r="AE88" t="s">
        <v>40</v>
      </c>
      <c r="AF88" s="4">
        <v>3000</v>
      </c>
      <c r="AG88" s="4">
        <v>0</v>
      </c>
      <c r="AH88" s="3">
        <v>1.72</v>
      </c>
      <c r="AI88" s="3">
        <v>5160</v>
      </c>
      <c r="AJ88" s="3">
        <v>4163346</v>
      </c>
      <c r="AK88" s="3">
        <v>0</v>
      </c>
      <c r="AL88" t="s">
        <v>21</v>
      </c>
      <c r="AM88" s="2"/>
      <c r="AN88" s="3">
        <v>0</v>
      </c>
      <c r="AO88" s="2"/>
      <c r="AP88" s="3">
        <v>0</v>
      </c>
      <c r="AQ88" t="s">
        <v>22</v>
      </c>
      <c r="AR88" t="s">
        <v>54</v>
      </c>
      <c r="AS88" t="s">
        <v>55</v>
      </c>
      <c r="AT88" t="s">
        <v>56</v>
      </c>
      <c r="AU88" t="s">
        <v>26</v>
      </c>
      <c r="AV88" t="s">
        <v>12</v>
      </c>
      <c r="AW88" t="s">
        <v>28</v>
      </c>
      <c r="AX88" t="s">
        <v>29</v>
      </c>
      <c r="AY88" t="s">
        <v>2</v>
      </c>
      <c r="AZ88" s="3">
        <v>0</v>
      </c>
      <c r="BA88" t="s">
        <v>2</v>
      </c>
      <c r="BB88" t="s">
        <v>31</v>
      </c>
      <c r="BC88" t="s">
        <v>2</v>
      </c>
      <c r="BD88" t="s">
        <v>32</v>
      </c>
      <c r="BE88">
        <f t="shared" si="1"/>
        <v>5160</v>
      </c>
    </row>
    <row r="89" spans="1:57" x14ac:dyDescent="0.2">
      <c r="A89" t="s">
        <v>0</v>
      </c>
      <c r="B89" t="s">
        <v>1</v>
      </c>
      <c r="C89" t="s">
        <v>2</v>
      </c>
      <c r="D89" t="s">
        <v>2</v>
      </c>
      <c r="E89" t="s">
        <v>41</v>
      </c>
      <c r="F89" t="s">
        <v>4</v>
      </c>
      <c r="G89" t="s">
        <v>266</v>
      </c>
      <c r="H89" t="s">
        <v>6</v>
      </c>
      <c r="I89" t="s">
        <v>7</v>
      </c>
      <c r="J89" t="s">
        <v>91</v>
      </c>
      <c r="K89" t="s">
        <v>8</v>
      </c>
      <c r="L89" t="s">
        <v>267</v>
      </c>
      <c r="M89" t="s">
        <v>6</v>
      </c>
      <c r="N89" t="s">
        <v>2</v>
      </c>
      <c r="O89" t="s">
        <v>2</v>
      </c>
      <c r="P89" t="s">
        <v>93</v>
      </c>
      <c r="Q89" t="s">
        <v>2</v>
      </c>
      <c r="R89" t="s">
        <v>268</v>
      </c>
      <c r="S89" s="2">
        <v>45251</v>
      </c>
      <c r="T89" s="2">
        <v>45280</v>
      </c>
      <c r="U89" s="2">
        <v>45285</v>
      </c>
      <c r="V89" s="3">
        <v>0</v>
      </c>
      <c r="W89" s="3">
        <v>0</v>
      </c>
      <c r="X89" t="s">
        <v>2</v>
      </c>
      <c r="Y89" s="2"/>
      <c r="Z89" t="s">
        <v>47</v>
      </c>
      <c r="AA89" t="s">
        <v>269</v>
      </c>
      <c r="AB89" t="s">
        <v>2</v>
      </c>
      <c r="AC89" t="s">
        <v>49</v>
      </c>
      <c r="AD89" t="s">
        <v>64</v>
      </c>
      <c r="AE89" t="s">
        <v>65</v>
      </c>
      <c r="AF89" s="4">
        <v>3</v>
      </c>
      <c r="AG89" s="4">
        <v>0</v>
      </c>
      <c r="AH89" s="3">
        <v>725837</v>
      </c>
      <c r="AI89" s="3">
        <v>2177511</v>
      </c>
      <c r="AJ89" s="3">
        <v>2177511</v>
      </c>
      <c r="AK89" s="3">
        <v>0</v>
      </c>
      <c r="AL89" t="s">
        <v>52</v>
      </c>
      <c r="AM89" s="2"/>
      <c r="AN89" s="3">
        <v>0</v>
      </c>
      <c r="AO89" s="2"/>
      <c r="AP89" s="3">
        <v>0</v>
      </c>
      <c r="AQ89" t="s">
        <v>53</v>
      </c>
      <c r="AR89" t="s">
        <v>54</v>
      </c>
      <c r="AS89" t="s">
        <v>55</v>
      </c>
      <c r="AT89" t="s">
        <v>56</v>
      </c>
      <c r="AU89" t="s">
        <v>26</v>
      </c>
      <c r="AV89" t="s">
        <v>12</v>
      </c>
      <c r="AW89" t="s">
        <v>66</v>
      </c>
      <c r="AX89" t="s">
        <v>29</v>
      </c>
      <c r="AY89" t="s">
        <v>2</v>
      </c>
      <c r="AZ89" s="3">
        <v>0</v>
      </c>
      <c r="BA89" t="s">
        <v>2</v>
      </c>
      <c r="BB89" t="s">
        <v>31</v>
      </c>
      <c r="BC89" t="s">
        <v>2</v>
      </c>
      <c r="BD89" t="s">
        <v>69</v>
      </c>
      <c r="BE89">
        <f t="shared" si="1"/>
        <v>2698.7804424614242</v>
      </c>
    </row>
    <row r="90" spans="1:57" x14ac:dyDescent="0.2">
      <c r="A90" t="s">
        <v>0</v>
      </c>
      <c r="B90" t="s">
        <v>1</v>
      </c>
      <c r="C90" t="s">
        <v>2</v>
      </c>
      <c r="D90" t="s">
        <v>2</v>
      </c>
      <c r="E90" t="s">
        <v>41</v>
      </c>
      <c r="F90" t="s">
        <v>4</v>
      </c>
      <c r="G90" t="s">
        <v>270</v>
      </c>
      <c r="H90" t="s">
        <v>6</v>
      </c>
      <c r="I90" t="s">
        <v>7</v>
      </c>
      <c r="J90" t="s">
        <v>91</v>
      </c>
      <c r="K90" t="s">
        <v>8</v>
      </c>
      <c r="L90" t="s">
        <v>271</v>
      </c>
      <c r="M90" t="s">
        <v>6</v>
      </c>
      <c r="N90" t="s">
        <v>2</v>
      </c>
      <c r="O90" t="s">
        <v>2</v>
      </c>
      <c r="P90" t="s">
        <v>93</v>
      </c>
      <c r="Q90" t="s">
        <v>2</v>
      </c>
      <c r="R90" t="s">
        <v>272</v>
      </c>
      <c r="S90" s="2">
        <v>45251</v>
      </c>
      <c r="T90" s="2">
        <v>45280</v>
      </c>
      <c r="U90" s="2">
        <v>45285</v>
      </c>
      <c r="V90" s="3">
        <v>0</v>
      </c>
      <c r="W90" s="3">
        <v>0</v>
      </c>
      <c r="X90" t="s">
        <v>2</v>
      </c>
      <c r="Y90" s="2"/>
      <c r="Z90" t="s">
        <v>47</v>
      </c>
      <c r="AA90" t="s">
        <v>273</v>
      </c>
      <c r="AB90" t="s">
        <v>2</v>
      </c>
      <c r="AC90" t="s">
        <v>49</v>
      </c>
      <c r="AD90" t="s">
        <v>64</v>
      </c>
      <c r="AE90" t="s">
        <v>65</v>
      </c>
      <c r="AF90" s="4">
        <v>3</v>
      </c>
      <c r="AG90" s="4">
        <v>0</v>
      </c>
      <c r="AH90" s="3">
        <v>725837</v>
      </c>
      <c r="AI90" s="3">
        <v>2177511</v>
      </c>
      <c r="AJ90" s="3">
        <v>2177511</v>
      </c>
      <c r="AK90" s="3">
        <v>0</v>
      </c>
      <c r="AL90" t="s">
        <v>52</v>
      </c>
      <c r="AM90" s="2"/>
      <c r="AN90" s="3">
        <v>0</v>
      </c>
      <c r="AO90" s="2"/>
      <c r="AP90" s="3">
        <v>0</v>
      </c>
      <c r="AQ90" t="s">
        <v>53</v>
      </c>
      <c r="AR90" t="s">
        <v>96</v>
      </c>
      <c r="AS90" t="s">
        <v>97</v>
      </c>
      <c r="AT90" t="s">
        <v>98</v>
      </c>
      <c r="AU90" t="s">
        <v>26</v>
      </c>
      <c r="AV90" t="s">
        <v>27</v>
      </c>
      <c r="AW90" t="s">
        <v>66</v>
      </c>
      <c r="AX90" t="s">
        <v>29</v>
      </c>
      <c r="AY90" t="s">
        <v>2</v>
      </c>
      <c r="AZ90" s="3">
        <v>0</v>
      </c>
      <c r="BA90" t="s">
        <v>2</v>
      </c>
      <c r="BB90" t="s">
        <v>31</v>
      </c>
      <c r="BC90" t="s">
        <v>2</v>
      </c>
      <c r="BD90" t="s">
        <v>69</v>
      </c>
      <c r="BE90">
        <f t="shared" si="1"/>
        <v>2698.7804424614242</v>
      </c>
    </row>
    <row r="91" spans="1:57" x14ac:dyDescent="0.2">
      <c r="A91" t="s">
        <v>0</v>
      </c>
      <c r="B91" t="s">
        <v>1</v>
      </c>
      <c r="C91" t="s">
        <v>2</v>
      </c>
      <c r="D91" t="s">
        <v>2</v>
      </c>
      <c r="E91" t="s">
        <v>41</v>
      </c>
      <c r="F91" t="s">
        <v>4</v>
      </c>
      <c r="G91" t="s">
        <v>270</v>
      </c>
      <c r="H91" t="s">
        <v>27</v>
      </c>
      <c r="I91" t="s">
        <v>7</v>
      </c>
      <c r="J91" t="s">
        <v>91</v>
      </c>
      <c r="K91" t="s">
        <v>8</v>
      </c>
      <c r="L91" t="s">
        <v>271</v>
      </c>
      <c r="M91" t="s">
        <v>27</v>
      </c>
      <c r="N91" t="s">
        <v>2</v>
      </c>
      <c r="O91" t="s">
        <v>2</v>
      </c>
      <c r="P91" t="s">
        <v>93</v>
      </c>
      <c r="Q91" t="s">
        <v>2</v>
      </c>
      <c r="R91" t="s">
        <v>272</v>
      </c>
      <c r="S91" s="2">
        <v>45251</v>
      </c>
      <c r="T91" s="2">
        <v>45280</v>
      </c>
      <c r="U91" s="2">
        <v>45285</v>
      </c>
      <c r="V91" s="3">
        <v>0</v>
      </c>
      <c r="W91" s="3">
        <v>0</v>
      </c>
      <c r="X91" t="s">
        <v>2</v>
      </c>
      <c r="Y91" s="2"/>
      <c r="Z91" t="s">
        <v>47</v>
      </c>
      <c r="AA91" t="s">
        <v>273</v>
      </c>
      <c r="AB91" t="s">
        <v>2</v>
      </c>
      <c r="AC91" t="s">
        <v>49</v>
      </c>
      <c r="AD91" t="s">
        <v>64</v>
      </c>
      <c r="AE91" t="s">
        <v>65</v>
      </c>
      <c r="AF91" s="4">
        <v>0.2</v>
      </c>
      <c r="AG91" s="4">
        <v>0</v>
      </c>
      <c r="AH91" s="3">
        <v>6533365</v>
      </c>
      <c r="AI91" s="3">
        <v>1306673</v>
      </c>
      <c r="AJ91" s="3">
        <v>1306673</v>
      </c>
      <c r="AK91" s="3">
        <v>0</v>
      </c>
      <c r="AL91" t="s">
        <v>52</v>
      </c>
      <c r="AM91" s="2"/>
      <c r="AN91" s="3">
        <v>0</v>
      </c>
      <c r="AO91" s="2"/>
      <c r="AP91" s="3">
        <v>0</v>
      </c>
      <c r="AQ91" t="s">
        <v>53</v>
      </c>
      <c r="AR91" t="s">
        <v>96</v>
      </c>
      <c r="AS91" t="s">
        <v>97</v>
      </c>
      <c r="AT91" t="s">
        <v>98</v>
      </c>
      <c r="AU91" t="s">
        <v>26</v>
      </c>
      <c r="AV91" t="s">
        <v>27</v>
      </c>
      <c r="AW91" t="s">
        <v>66</v>
      </c>
      <c r="AX91" t="s">
        <v>29</v>
      </c>
      <c r="AY91" t="s">
        <v>2</v>
      </c>
      <c r="AZ91" s="3">
        <v>0</v>
      </c>
      <c r="BA91" t="s">
        <v>2</v>
      </c>
      <c r="BB91" t="s">
        <v>31</v>
      </c>
      <c r="BC91" t="s">
        <v>2</v>
      </c>
      <c r="BD91" t="s">
        <v>69</v>
      </c>
      <c r="BE91">
        <f t="shared" si="1"/>
        <v>1619.4744995971989</v>
      </c>
    </row>
    <row r="92" spans="1:57" x14ac:dyDescent="0.2">
      <c r="A92" t="s">
        <v>0</v>
      </c>
      <c r="B92" t="s">
        <v>1</v>
      </c>
      <c r="C92" t="s">
        <v>2</v>
      </c>
      <c r="D92" t="s">
        <v>2</v>
      </c>
      <c r="E92" t="s">
        <v>41</v>
      </c>
      <c r="F92" t="s">
        <v>4</v>
      </c>
      <c r="G92" t="s">
        <v>274</v>
      </c>
      <c r="H92" t="s">
        <v>6</v>
      </c>
      <c r="I92" t="s">
        <v>7</v>
      </c>
      <c r="J92" t="s">
        <v>91</v>
      </c>
      <c r="K92" t="s">
        <v>8</v>
      </c>
      <c r="L92" t="s">
        <v>275</v>
      </c>
      <c r="M92" t="s">
        <v>6</v>
      </c>
      <c r="N92" t="s">
        <v>2</v>
      </c>
      <c r="O92" t="s">
        <v>2</v>
      </c>
      <c r="P92" t="s">
        <v>93</v>
      </c>
      <c r="Q92" t="s">
        <v>2</v>
      </c>
      <c r="R92" t="s">
        <v>276</v>
      </c>
      <c r="S92" s="2">
        <v>45251</v>
      </c>
      <c r="T92" s="2">
        <v>45280</v>
      </c>
      <c r="U92" s="2">
        <v>45285</v>
      </c>
      <c r="V92" s="3">
        <v>0</v>
      </c>
      <c r="W92" s="3">
        <v>0</v>
      </c>
      <c r="X92" t="s">
        <v>2</v>
      </c>
      <c r="Y92" s="2"/>
      <c r="Z92" t="s">
        <v>47</v>
      </c>
      <c r="AA92" t="s">
        <v>277</v>
      </c>
      <c r="AB92" t="s">
        <v>2</v>
      </c>
      <c r="AC92" t="s">
        <v>49</v>
      </c>
      <c r="AD92" t="s">
        <v>50</v>
      </c>
      <c r="AE92" t="s">
        <v>51</v>
      </c>
      <c r="AF92" s="4">
        <v>4</v>
      </c>
      <c r="AG92" s="4">
        <v>0</v>
      </c>
      <c r="AH92" s="3">
        <v>179</v>
      </c>
      <c r="AI92" s="3">
        <v>716</v>
      </c>
      <c r="AJ92" s="3">
        <v>577704.6</v>
      </c>
      <c r="AK92" s="3">
        <v>0</v>
      </c>
      <c r="AL92" t="s">
        <v>52</v>
      </c>
      <c r="AM92" s="2"/>
      <c r="AN92" s="3">
        <v>0</v>
      </c>
      <c r="AO92" s="2"/>
      <c r="AP92" s="3">
        <v>0</v>
      </c>
      <c r="AQ92" t="s">
        <v>53</v>
      </c>
      <c r="AR92" t="s">
        <v>96</v>
      </c>
      <c r="AS92" t="s">
        <v>97</v>
      </c>
      <c r="AT92" t="s">
        <v>98</v>
      </c>
      <c r="AU92" t="s">
        <v>26</v>
      </c>
      <c r="AV92" t="s">
        <v>27</v>
      </c>
      <c r="AW92" t="s">
        <v>28</v>
      </c>
      <c r="AX92" t="s">
        <v>29</v>
      </c>
      <c r="AY92" t="s">
        <v>2</v>
      </c>
      <c r="AZ92" s="3">
        <v>0</v>
      </c>
      <c r="BA92" t="s">
        <v>2</v>
      </c>
      <c r="BB92" t="s">
        <v>31</v>
      </c>
      <c r="BC92" t="s">
        <v>2</v>
      </c>
      <c r="BD92" t="s">
        <v>32</v>
      </c>
      <c r="BE92">
        <f t="shared" si="1"/>
        <v>716</v>
      </c>
    </row>
    <row r="93" spans="1:57" x14ac:dyDescent="0.2">
      <c r="A93" t="s">
        <v>0</v>
      </c>
      <c r="B93" t="s">
        <v>1</v>
      </c>
      <c r="C93" t="s">
        <v>2</v>
      </c>
      <c r="D93" t="s">
        <v>2</v>
      </c>
      <c r="E93" t="s">
        <v>41</v>
      </c>
      <c r="F93" t="s">
        <v>4</v>
      </c>
      <c r="G93" t="s">
        <v>274</v>
      </c>
      <c r="H93" t="s">
        <v>27</v>
      </c>
      <c r="I93" t="s">
        <v>7</v>
      </c>
      <c r="J93" t="s">
        <v>91</v>
      </c>
      <c r="K93" t="s">
        <v>8</v>
      </c>
      <c r="L93" t="s">
        <v>275</v>
      </c>
      <c r="M93" t="s">
        <v>27</v>
      </c>
      <c r="N93" t="s">
        <v>2</v>
      </c>
      <c r="O93" t="s">
        <v>2</v>
      </c>
      <c r="P93" t="s">
        <v>93</v>
      </c>
      <c r="Q93" t="s">
        <v>2</v>
      </c>
      <c r="R93" t="s">
        <v>276</v>
      </c>
      <c r="S93" s="2">
        <v>45251</v>
      </c>
      <c r="T93" s="2">
        <v>45280</v>
      </c>
      <c r="U93" s="2">
        <v>45285</v>
      </c>
      <c r="V93" s="3">
        <v>0</v>
      </c>
      <c r="W93" s="3">
        <v>0</v>
      </c>
      <c r="X93" t="s">
        <v>2</v>
      </c>
      <c r="Y93" s="2"/>
      <c r="Z93" t="s">
        <v>47</v>
      </c>
      <c r="AA93" t="s">
        <v>277</v>
      </c>
      <c r="AB93" t="s">
        <v>2</v>
      </c>
      <c r="AC93" t="s">
        <v>49</v>
      </c>
      <c r="AD93" t="s">
        <v>50</v>
      </c>
      <c r="AE93" t="s">
        <v>51</v>
      </c>
      <c r="AF93" s="4">
        <v>1</v>
      </c>
      <c r="AG93" s="4">
        <v>0</v>
      </c>
      <c r="AH93" s="3">
        <v>235</v>
      </c>
      <c r="AI93" s="3">
        <v>235</v>
      </c>
      <c r="AJ93" s="3">
        <v>189609.75</v>
      </c>
      <c r="AK93" s="3">
        <v>0</v>
      </c>
      <c r="AL93" t="s">
        <v>52</v>
      </c>
      <c r="AM93" s="2"/>
      <c r="AN93" s="3">
        <v>0</v>
      </c>
      <c r="AO93" s="2"/>
      <c r="AP93" s="3">
        <v>0</v>
      </c>
      <c r="AQ93" t="s">
        <v>53</v>
      </c>
      <c r="AR93" t="s">
        <v>96</v>
      </c>
      <c r="AS93" t="s">
        <v>97</v>
      </c>
      <c r="AT93" t="s">
        <v>98</v>
      </c>
      <c r="AU93" t="s">
        <v>26</v>
      </c>
      <c r="AV93" t="s">
        <v>27</v>
      </c>
      <c r="AW93" t="s">
        <v>28</v>
      </c>
      <c r="AX93" t="s">
        <v>29</v>
      </c>
      <c r="AY93" t="s">
        <v>2</v>
      </c>
      <c r="AZ93" s="3">
        <v>0</v>
      </c>
      <c r="BA93" t="s">
        <v>2</v>
      </c>
      <c r="BB93" t="s">
        <v>31</v>
      </c>
      <c r="BC93" t="s">
        <v>2</v>
      </c>
      <c r="BD93" t="s">
        <v>32</v>
      </c>
      <c r="BE93">
        <f t="shared" si="1"/>
        <v>235</v>
      </c>
    </row>
    <row r="94" spans="1:57" x14ac:dyDescent="0.2">
      <c r="A94" t="s">
        <v>0</v>
      </c>
      <c r="B94" t="s">
        <v>1</v>
      </c>
      <c r="C94" t="s">
        <v>2</v>
      </c>
      <c r="D94" t="s">
        <v>2</v>
      </c>
      <c r="E94" t="s">
        <v>3</v>
      </c>
      <c r="F94" t="s">
        <v>278</v>
      </c>
      <c r="G94" t="s">
        <v>279</v>
      </c>
      <c r="H94" t="s">
        <v>6</v>
      </c>
      <c r="I94" t="s">
        <v>7</v>
      </c>
      <c r="J94" t="s">
        <v>91</v>
      </c>
      <c r="K94" t="s">
        <v>8</v>
      </c>
      <c r="L94" t="s">
        <v>280</v>
      </c>
      <c r="M94" t="s">
        <v>6</v>
      </c>
      <c r="N94" t="s">
        <v>2</v>
      </c>
      <c r="O94" t="s">
        <v>2</v>
      </c>
      <c r="P94" t="s">
        <v>93</v>
      </c>
      <c r="Q94" t="s">
        <v>2</v>
      </c>
      <c r="R94" t="s">
        <v>281</v>
      </c>
      <c r="S94" s="2">
        <v>45251</v>
      </c>
      <c r="T94" s="2">
        <v>45280</v>
      </c>
      <c r="U94" s="2">
        <v>45285</v>
      </c>
      <c r="V94" s="3">
        <v>0</v>
      </c>
      <c r="W94" s="3">
        <v>0</v>
      </c>
      <c r="X94" t="s">
        <v>2</v>
      </c>
      <c r="Y94" s="2"/>
      <c r="Z94" t="s">
        <v>16</v>
      </c>
      <c r="AA94" t="s">
        <v>282</v>
      </c>
      <c r="AB94" t="s">
        <v>2</v>
      </c>
      <c r="AC94" t="s">
        <v>283</v>
      </c>
      <c r="AD94" t="s">
        <v>19</v>
      </c>
      <c r="AE94" t="s">
        <v>20</v>
      </c>
      <c r="AF94" s="4">
        <v>4100</v>
      </c>
      <c r="AG94" s="4">
        <v>0</v>
      </c>
      <c r="AH94" s="3">
        <v>6.44</v>
      </c>
      <c r="AI94" s="3">
        <v>26404</v>
      </c>
      <c r="AJ94" s="3">
        <v>21304067.399999999</v>
      </c>
      <c r="AK94" s="3">
        <v>0</v>
      </c>
      <c r="AL94" t="s">
        <v>21</v>
      </c>
      <c r="AM94" s="2"/>
      <c r="AN94" s="3">
        <v>0</v>
      </c>
      <c r="AO94" s="2"/>
      <c r="AP94" s="3">
        <v>0</v>
      </c>
      <c r="AQ94" t="s">
        <v>22</v>
      </c>
      <c r="AR94" t="s">
        <v>96</v>
      </c>
      <c r="AS94" t="s">
        <v>97</v>
      </c>
      <c r="AT94" t="s">
        <v>98</v>
      </c>
      <c r="AU94" t="s">
        <v>26</v>
      </c>
      <c r="AV94" t="s">
        <v>27</v>
      </c>
      <c r="AW94" t="s">
        <v>28</v>
      </c>
      <c r="AX94" t="s">
        <v>29</v>
      </c>
      <c r="AY94" t="s">
        <v>2</v>
      </c>
      <c r="AZ94" s="3">
        <v>0</v>
      </c>
      <c r="BA94" t="s">
        <v>2</v>
      </c>
      <c r="BB94" t="s">
        <v>31</v>
      </c>
      <c r="BC94" t="s">
        <v>2</v>
      </c>
      <c r="BD94" t="s">
        <v>32</v>
      </c>
      <c r="BE94">
        <f t="shared" si="1"/>
        <v>26404</v>
      </c>
    </row>
    <row r="95" spans="1:57" x14ac:dyDescent="0.2">
      <c r="A95" t="s">
        <v>0</v>
      </c>
      <c r="B95" t="s">
        <v>1</v>
      </c>
      <c r="C95" t="s">
        <v>2</v>
      </c>
      <c r="D95" t="s">
        <v>2</v>
      </c>
      <c r="E95" t="s">
        <v>284</v>
      </c>
      <c r="F95" t="s">
        <v>278</v>
      </c>
      <c r="G95" t="s">
        <v>279</v>
      </c>
      <c r="H95" t="s">
        <v>27</v>
      </c>
      <c r="I95" t="s">
        <v>7</v>
      </c>
      <c r="J95" t="s">
        <v>91</v>
      </c>
      <c r="K95" t="s">
        <v>8</v>
      </c>
      <c r="L95" t="s">
        <v>280</v>
      </c>
      <c r="M95" t="s">
        <v>27</v>
      </c>
      <c r="N95" t="s">
        <v>2</v>
      </c>
      <c r="O95" t="s">
        <v>2</v>
      </c>
      <c r="P95" t="s">
        <v>93</v>
      </c>
      <c r="Q95" t="s">
        <v>2</v>
      </c>
      <c r="R95" t="s">
        <v>281</v>
      </c>
      <c r="S95" s="2">
        <v>45251</v>
      </c>
      <c r="T95" s="2">
        <v>45280</v>
      </c>
      <c r="U95" s="2">
        <v>45285</v>
      </c>
      <c r="V95" s="3">
        <v>0</v>
      </c>
      <c r="W95" s="3">
        <v>0</v>
      </c>
      <c r="X95" t="s">
        <v>2</v>
      </c>
      <c r="Y95" s="2"/>
      <c r="Z95" t="s">
        <v>16</v>
      </c>
      <c r="AA95" t="s">
        <v>282</v>
      </c>
      <c r="AB95" t="s">
        <v>2</v>
      </c>
      <c r="AC95" t="s">
        <v>283</v>
      </c>
      <c r="AD95" t="s">
        <v>285</v>
      </c>
      <c r="AE95" t="s">
        <v>286</v>
      </c>
      <c r="AF95" s="4">
        <v>1350</v>
      </c>
      <c r="AG95" s="4">
        <v>0</v>
      </c>
      <c r="AH95" s="3">
        <v>3.53</v>
      </c>
      <c r="AI95" s="3">
        <v>4765.5</v>
      </c>
      <c r="AJ95" s="3">
        <v>3845043.68</v>
      </c>
      <c r="AK95" s="3">
        <v>0</v>
      </c>
      <c r="AL95" t="s">
        <v>21</v>
      </c>
      <c r="AM95" s="2"/>
      <c r="AN95" s="3">
        <v>0</v>
      </c>
      <c r="AO95" s="2"/>
      <c r="AP95" s="3">
        <v>0</v>
      </c>
      <c r="AQ95" t="s">
        <v>22</v>
      </c>
      <c r="AR95" t="s">
        <v>96</v>
      </c>
      <c r="AS95" t="s">
        <v>97</v>
      </c>
      <c r="AT95" t="s">
        <v>98</v>
      </c>
      <c r="AU95" t="s">
        <v>26</v>
      </c>
      <c r="AV95" t="s">
        <v>27</v>
      </c>
      <c r="AW95" t="s">
        <v>28</v>
      </c>
      <c r="AX95" t="s">
        <v>29</v>
      </c>
      <c r="AY95" t="s">
        <v>2</v>
      </c>
      <c r="AZ95" s="3">
        <v>0</v>
      </c>
      <c r="BA95" t="s">
        <v>2</v>
      </c>
      <c r="BB95" t="s">
        <v>31</v>
      </c>
      <c r="BC95" t="s">
        <v>2</v>
      </c>
      <c r="BD95" t="s">
        <v>32</v>
      </c>
      <c r="BE95">
        <f t="shared" si="1"/>
        <v>4765.5</v>
      </c>
    </row>
    <row r="96" spans="1:57" x14ac:dyDescent="0.2">
      <c r="A96" t="s">
        <v>0</v>
      </c>
      <c r="B96" t="s">
        <v>1</v>
      </c>
      <c r="C96" t="s">
        <v>2</v>
      </c>
      <c r="D96" t="s">
        <v>2</v>
      </c>
      <c r="E96" t="s">
        <v>37</v>
      </c>
      <c r="F96" t="s">
        <v>278</v>
      </c>
      <c r="G96" t="s">
        <v>279</v>
      </c>
      <c r="H96" t="s">
        <v>38</v>
      </c>
      <c r="I96" t="s">
        <v>7</v>
      </c>
      <c r="J96" t="s">
        <v>91</v>
      </c>
      <c r="K96" t="s">
        <v>8</v>
      </c>
      <c r="L96" t="s">
        <v>280</v>
      </c>
      <c r="M96" t="s">
        <v>38</v>
      </c>
      <c r="N96" t="s">
        <v>2</v>
      </c>
      <c r="O96" t="s">
        <v>2</v>
      </c>
      <c r="P96" t="s">
        <v>93</v>
      </c>
      <c r="Q96" t="s">
        <v>2</v>
      </c>
      <c r="R96" t="s">
        <v>281</v>
      </c>
      <c r="S96" s="2">
        <v>45251</v>
      </c>
      <c r="T96" s="2">
        <v>45280</v>
      </c>
      <c r="U96" s="2">
        <v>45285</v>
      </c>
      <c r="V96" s="3">
        <v>0</v>
      </c>
      <c r="W96" s="3">
        <v>0</v>
      </c>
      <c r="X96" t="s">
        <v>2</v>
      </c>
      <c r="Y96" s="2"/>
      <c r="Z96" t="s">
        <v>16</v>
      </c>
      <c r="AA96" t="s">
        <v>282</v>
      </c>
      <c r="AB96" t="s">
        <v>2</v>
      </c>
      <c r="AC96" t="s">
        <v>283</v>
      </c>
      <c r="AD96" t="s">
        <v>39</v>
      </c>
      <c r="AE96" t="s">
        <v>40</v>
      </c>
      <c r="AF96" s="4">
        <v>1500</v>
      </c>
      <c r="AG96" s="4">
        <v>0</v>
      </c>
      <c r="AH96" s="3">
        <v>1.72</v>
      </c>
      <c r="AI96" s="3">
        <v>2580</v>
      </c>
      <c r="AJ96" s="3">
        <v>2081673</v>
      </c>
      <c r="AK96" s="3">
        <v>0</v>
      </c>
      <c r="AL96" t="s">
        <v>21</v>
      </c>
      <c r="AM96" s="2"/>
      <c r="AN96" s="3">
        <v>0</v>
      </c>
      <c r="AO96" s="2"/>
      <c r="AP96" s="3">
        <v>0</v>
      </c>
      <c r="AQ96" t="s">
        <v>22</v>
      </c>
      <c r="AR96" t="s">
        <v>96</v>
      </c>
      <c r="AS96" t="s">
        <v>97</v>
      </c>
      <c r="AT96" t="s">
        <v>98</v>
      </c>
      <c r="AU96" t="s">
        <v>26</v>
      </c>
      <c r="AV96" t="s">
        <v>27</v>
      </c>
      <c r="AW96" t="s">
        <v>28</v>
      </c>
      <c r="AX96" t="s">
        <v>29</v>
      </c>
      <c r="AY96" t="s">
        <v>2</v>
      </c>
      <c r="AZ96" s="3">
        <v>0</v>
      </c>
      <c r="BA96" t="s">
        <v>2</v>
      </c>
      <c r="BB96" t="s">
        <v>31</v>
      </c>
      <c r="BC96" t="s">
        <v>2</v>
      </c>
      <c r="BD96" t="s">
        <v>32</v>
      </c>
      <c r="BE96">
        <f t="shared" si="1"/>
        <v>2580</v>
      </c>
    </row>
    <row r="97" spans="1:57" x14ac:dyDescent="0.2">
      <c r="A97" t="s">
        <v>0</v>
      </c>
      <c r="B97" t="s">
        <v>1</v>
      </c>
      <c r="C97" t="s">
        <v>2</v>
      </c>
      <c r="D97" t="s">
        <v>2</v>
      </c>
      <c r="E97" t="s">
        <v>33</v>
      </c>
      <c r="F97" t="s">
        <v>278</v>
      </c>
      <c r="G97" t="s">
        <v>279</v>
      </c>
      <c r="H97" t="s">
        <v>76</v>
      </c>
      <c r="I97" t="s">
        <v>7</v>
      </c>
      <c r="J97" t="s">
        <v>91</v>
      </c>
      <c r="K97" t="s">
        <v>8</v>
      </c>
      <c r="L97" t="s">
        <v>280</v>
      </c>
      <c r="M97" t="s">
        <v>76</v>
      </c>
      <c r="N97" t="s">
        <v>2</v>
      </c>
      <c r="O97" t="s">
        <v>2</v>
      </c>
      <c r="P97" t="s">
        <v>93</v>
      </c>
      <c r="Q97" t="s">
        <v>2</v>
      </c>
      <c r="R97" t="s">
        <v>281</v>
      </c>
      <c r="S97" s="2">
        <v>45251</v>
      </c>
      <c r="T97" s="2">
        <v>45280</v>
      </c>
      <c r="U97" s="2">
        <v>45285</v>
      </c>
      <c r="V97" s="3">
        <v>0</v>
      </c>
      <c r="W97" s="3">
        <v>0</v>
      </c>
      <c r="X97" t="s">
        <v>2</v>
      </c>
      <c r="Y97" s="2"/>
      <c r="Z97" t="s">
        <v>16</v>
      </c>
      <c r="AA97" t="s">
        <v>282</v>
      </c>
      <c r="AB97" t="s">
        <v>2</v>
      </c>
      <c r="AC97" t="s">
        <v>283</v>
      </c>
      <c r="AD97" t="s">
        <v>35</v>
      </c>
      <c r="AE97" t="s">
        <v>36</v>
      </c>
      <c r="AF97" s="4">
        <v>640</v>
      </c>
      <c r="AG97" s="4">
        <v>0</v>
      </c>
      <c r="AH97" s="3">
        <v>3.89</v>
      </c>
      <c r="AI97" s="3">
        <v>2489.6</v>
      </c>
      <c r="AJ97" s="3">
        <v>2008733.76</v>
      </c>
      <c r="AK97" s="3">
        <v>0</v>
      </c>
      <c r="AL97" t="s">
        <v>21</v>
      </c>
      <c r="AM97" s="2"/>
      <c r="AN97" s="3">
        <v>0</v>
      </c>
      <c r="AO97" s="2"/>
      <c r="AP97" s="3">
        <v>0</v>
      </c>
      <c r="AQ97" t="s">
        <v>22</v>
      </c>
      <c r="AR97" t="s">
        <v>96</v>
      </c>
      <c r="AS97" t="s">
        <v>97</v>
      </c>
      <c r="AT97" t="s">
        <v>98</v>
      </c>
      <c r="AU97" t="s">
        <v>26</v>
      </c>
      <c r="AV97" t="s">
        <v>27</v>
      </c>
      <c r="AW97" t="s">
        <v>28</v>
      </c>
      <c r="AX97" t="s">
        <v>29</v>
      </c>
      <c r="AY97" t="s">
        <v>2</v>
      </c>
      <c r="AZ97" s="3">
        <v>0</v>
      </c>
      <c r="BA97" t="s">
        <v>2</v>
      </c>
      <c r="BB97" t="s">
        <v>31</v>
      </c>
      <c r="BC97" t="s">
        <v>2</v>
      </c>
      <c r="BD97" t="s">
        <v>32</v>
      </c>
      <c r="BE97">
        <f t="shared" si="1"/>
        <v>2489.6</v>
      </c>
    </row>
    <row r="98" spans="1:57" x14ac:dyDescent="0.2">
      <c r="A98" t="s">
        <v>0</v>
      </c>
      <c r="B98" t="s">
        <v>1</v>
      </c>
      <c r="C98" t="s">
        <v>2</v>
      </c>
      <c r="D98" t="s">
        <v>2</v>
      </c>
      <c r="E98" t="s">
        <v>33</v>
      </c>
      <c r="F98" t="s">
        <v>278</v>
      </c>
      <c r="G98" t="s">
        <v>279</v>
      </c>
      <c r="H98" t="s">
        <v>79</v>
      </c>
      <c r="I98" t="s">
        <v>7</v>
      </c>
      <c r="J98" t="s">
        <v>91</v>
      </c>
      <c r="K98" t="s">
        <v>8</v>
      </c>
      <c r="L98" t="s">
        <v>280</v>
      </c>
      <c r="M98" t="s">
        <v>79</v>
      </c>
      <c r="N98" t="s">
        <v>2</v>
      </c>
      <c r="O98" t="s">
        <v>2</v>
      </c>
      <c r="P98" t="s">
        <v>93</v>
      </c>
      <c r="Q98" t="s">
        <v>2</v>
      </c>
      <c r="R98" t="s">
        <v>281</v>
      </c>
      <c r="S98" s="2">
        <v>45251</v>
      </c>
      <c r="T98" s="2">
        <v>45280</v>
      </c>
      <c r="U98" s="2">
        <v>45285</v>
      </c>
      <c r="V98" s="3">
        <v>0</v>
      </c>
      <c r="W98" s="3">
        <v>0</v>
      </c>
      <c r="X98" t="s">
        <v>2</v>
      </c>
      <c r="Y98" s="2"/>
      <c r="Z98" t="s">
        <v>16</v>
      </c>
      <c r="AA98" t="s">
        <v>282</v>
      </c>
      <c r="AB98" t="s">
        <v>2</v>
      </c>
      <c r="AC98" t="s">
        <v>283</v>
      </c>
      <c r="AD98" t="s">
        <v>77</v>
      </c>
      <c r="AE98" t="s">
        <v>78</v>
      </c>
      <c r="AF98" s="4">
        <v>420</v>
      </c>
      <c r="AG98" s="4">
        <v>0</v>
      </c>
      <c r="AH98" s="3">
        <v>7.21</v>
      </c>
      <c r="AI98" s="3">
        <v>3028.2</v>
      </c>
      <c r="AJ98" s="3">
        <v>2443303.17</v>
      </c>
      <c r="AK98" s="3">
        <v>0</v>
      </c>
      <c r="AL98" t="s">
        <v>21</v>
      </c>
      <c r="AM98" s="2"/>
      <c r="AN98" s="3">
        <v>0</v>
      </c>
      <c r="AO98" s="2"/>
      <c r="AP98" s="3">
        <v>0</v>
      </c>
      <c r="AQ98" t="s">
        <v>22</v>
      </c>
      <c r="AR98" t="s">
        <v>96</v>
      </c>
      <c r="AS98" t="s">
        <v>97</v>
      </c>
      <c r="AT98" t="s">
        <v>98</v>
      </c>
      <c r="AU98" t="s">
        <v>26</v>
      </c>
      <c r="AV98" t="s">
        <v>27</v>
      </c>
      <c r="AW98" t="s">
        <v>28</v>
      </c>
      <c r="AX98" t="s">
        <v>29</v>
      </c>
      <c r="AY98" t="s">
        <v>2</v>
      </c>
      <c r="AZ98" s="3">
        <v>0</v>
      </c>
      <c r="BA98" t="s">
        <v>2</v>
      </c>
      <c r="BB98" t="s">
        <v>31</v>
      </c>
      <c r="BC98" t="s">
        <v>2</v>
      </c>
      <c r="BD98" t="s">
        <v>32</v>
      </c>
      <c r="BE98">
        <f t="shared" si="1"/>
        <v>3028.2</v>
      </c>
    </row>
    <row r="99" spans="1:57" x14ac:dyDescent="0.2">
      <c r="A99" t="s">
        <v>0</v>
      </c>
      <c r="B99" t="s">
        <v>1</v>
      </c>
      <c r="C99" t="s">
        <v>2</v>
      </c>
      <c r="D99" t="s">
        <v>2</v>
      </c>
      <c r="E99" t="s">
        <v>33</v>
      </c>
      <c r="F99" t="s">
        <v>278</v>
      </c>
      <c r="G99" t="s">
        <v>279</v>
      </c>
      <c r="H99" t="s">
        <v>80</v>
      </c>
      <c r="I99" t="s">
        <v>7</v>
      </c>
      <c r="J99" t="s">
        <v>91</v>
      </c>
      <c r="K99" t="s">
        <v>8</v>
      </c>
      <c r="L99" t="s">
        <v>280</v>
      </c>
      <c r="M99" t="s">
        <v>80</v>
      </c>
      <c r="N99" t="s">
        <v>2</v>
      </c>
      <c r="O99" t="s">
        <v>2</v>
      </c>
      <c r="P99" t="s">
        <v>93</v>
      </c>
      <c r="Q99" t="s">
        <v>2</v>
      </c>
      <c r="R99" t="s">
        <v>281</v>
      </c>
      <c r="S99" s="2">
        <v>45251</v>
      </c>
      <c r="T99" s="2">
        <v>45280</v>
      </c>
      <c r="U99" s="2">
        <v>45285</v>
      </c>
      <c r="V99" s="3">
        <v>0</v>
      </c>
      <c r="W99" s="3">
        <v>0</v>
      </c>
      <c r="X99" t="s">
        <v>2</v>
      </c>
      <c r="Y99" s="2"/>
      <c r="Z99" t="s">
        <v>16</v>
      </c>
      <c r="AA99" t="s">
        <v>282</v>
      </c>
      <c r="AB99" t="s">
        <v>2</v>
      </c>
      <c r="AC99" t="s">
        <v>283</v>
      </c>
      <c r="AD99" t="s">
        <v>287</v>
      </c>
      <c r="AE99" t="s">
        <v>288</v>
      </c>
      <c r="AF99" s="4">
        <v>1420</v>
      </c>
      <c r="AG99" s="4">
        <v>0</v>
      </c>
      <c r="AH99" s="3">
        <v>7.15</v>
      </c>
      <c r="AI99" s="3">
        <v>10153</v>
      </c>
      <c r="AJ99" s="3">
        <v>8191948.0499999998</v>
      </c>
      <c r="AK99" s="3">
        <v>0</v>
      </c>
      <c r="AL99" t="s">
        <v>21</v>
      </c>
      <c r="AM99" s="2"/>
      <c r="AN99" s="3">
        <v>0</v>
      </c>
      <c r="AO99" s="2"/>
      <c r="AP99" s="3">
        <v>0</v>
      </c>
      <c r="AQ99" t="s">
        <v>22</v>
      </c>
      <c r="AR99" t="s">
        <v>96</v>
      </c>
      <c r="AS99" t="s">
        <v>97</v>
      </c>
      <c r="AT99" t="s">
        <v>98</v>
      </c>
      <c r="AU99" t="s">
        <v>26</v>
      </c>
      <c r="AV99" t="s">
        <v>27</v>
      </c>
      <c r="AW99" t="s">
        <v>28</v>
      </c>
      <c r="AX99" t="s">
        <v>29</v>
      </c>
      <c r="AY99" t="s">
        <v>2</v>
      </c>
      <c r="AZ99" s="3">
        <v>0</v>
      </c>
      <c r="BA99" t="s">
        <v>2</v>
      </c>
      <c r="BB99" t="s">
        <v>31</v>
      </c>
      <c r="BC99" t="s">
        <v>2</v>
      </c>
      <c r="BD99" t="s">
        <v>32</v>
      </c>
      <c r="BE99">
        <f t="shared" si="1"/>
        <v>10153</v>
      </c>
    </row>
    <row r="100" spans="1:57" x14ac:dyDescent="0.2">
      <c r="A100" t="s">
        <v>0</v>
      </c>
      <c r="B100" t="s">
        <v>1</v>
      </c>
      <c r="C100" t="s">
        <v>2</v>
      </c>
      <c r="D100" t="s">
        <v>2</v>
      </c>
      <c r="E100" t="s">
        <v>33</v>
      </c>
      <c r="F100" t="s">
        <v>289</v>
      </c>
      <c r="G100" t="s">
        <v>290</v>
      </c>
      <c r="H100" t="s">
        <v>6</v>
      </c>
      <c r="I100" t="s">
        <v>7</v>
      </c>
      <c r="J100" t="s">
        <v>2</v>
      </c>
      <c r="K100" t="s">
        <v>8</v>
      </c>
      <c r="L100" t="s">
        <v>291</v>
      </c>
      <c r="M100" t="s">
        <v>6</v>
      </c>
      <c r="N100" t="s">
        <v>2</v>
      </c>
      <c r="O100" t="s">
        <v>2</v>
      </c>
      <c r="P100" t="s">
        <v>93</v>
      </c>
      <c r="Q100" t="s">
        <v>2</v>
      </c>
      <c r="R100" t="s">
        <v>292</v>
      </c>
      <c r="S100" s="2">
        <v>45251</v>
      </c>
      <c r="T100" s="2">
        <v>45280</v>
      </c>
      <c r="U100" s="2">
        <v>45285</v>
      </c>
      <c r="V100" s="3">
        <v>0</v>
      </c>
      <c r="W100" s="3">
        <v>0</v>
      </c>
      <c r="X100" t="s">
        <v>2</v>
      </c>
      <c r="Y100" s="2"/>
      <c r="Z100" t="s">
        <v>16</v>
      </c>
      <c r="AA100" t="s">
        <v>282</v>
      </c>
      <c r="AB100" t="s">
        <v>2</v>
      </c>
      <c r="AC100" t="s">
        <v>293</v>
      </c>
      <c r="AD100" t="s">
        <v>35</v>
      </c>
      <c r="AE100" t="s">
        <v>36</v>
      </c>
      <c r="AF100" s="4">
        <v>140</v>
      </c>
      <c r="AG100" s="4">
        <v>0</v>
      </c>
      <c r="AH100" s="3">
        <v>0</v>
      </c>
      <c r="AI100" s="3">
        <v>0</v>
      </c>
      <c r="AJ100" s="3">
        <v>0</v>
      </c>
      <c r="AK100" s="3">
        <v>0</v>
      </c>
      <c r="AL100" t="s">
        <v>21</v>
      </c>
      <c r="AM100" s="2"/>
      <c r="AN100" s="3">
        <v>0</v>
      </c>
      <c r="AO100" s="2"/>
      <c r="AP100" s="3">
        <v>0</v>
      </c>
      <c r="AQ100" t="s">
        <v>22</v>
      </c>
      <c r="AR100" t="s">
        <v>96</v>
      </c>
      <c r="AS100" t="s">
        <v>97</v>
      </c>
      <c r="AT100" t="s">
        <v>98</v>
      </c>
      <c r="AU100" t="s">
        <v>26</v>
      </c>
      <c r="AV100" t="s">
        <v>27</v>
      </c>
      <c r="AW100" t="s">
        <v>28</v>
      </c>
      <c r="AX100" t="s">
        <v>29</v>
      </c>
      <c r="AY100" t="s">
        <v>2</v>
      </c>
      <c r="AZ100" s="3">
        <v>0</v>
      </c>
      <c r="BA100" t="s">
        <v>2</v>
      </c>
      <c r="BB100" t="s">
        <v>31</v>
      </c>
      <c r="BC100" t="s">
        <v>2</v>
      </c>
      <c r="BD100" t="s">
        <v>32</v>
      </c>
      <c r="BE100">
        <f t="shared" si="1"/>
        <v>0</v>
      </c>
    </row>
    <row r="101" spans="1:57" x14ac:dyDescent="0.2">
      <c r="A101" t="s">
        <v>0</v>
      </c>
      <c r="B101" t="s">
        <v>1</v>
      </c>
      <c r="C101" t="s">
        <v>2</v>
      </c>
      <c r="D101" t="s">
        <v>2</v>
      </c>
      <c r="E101" t="s">
        <v>33</v>
      </c>
      <c r="F101" t="s">
        <v>4</v>
      </c>
      <c r="G101" t="s">
        <v>294</v>
      </c>
      <c r="H101" t="s">
        <v>6</v>
      </c>
      <c r="I101" t="s">
        <v>7</v>
      </c>
      <c r="J101" t="s">
        <v>91</v>
      </c>
      <c r="K101" t="s">
        <v>8</v>
      </c>
      <c r="L101" t="s">
        <v>295</v>
      </c>
      <c r="M101" t="s">
        <v>6</v>
      </c>
      <c r="N101" t="s">
        <v>2</v>
      </c>
      <c r="O101" t="s">
        <v>2</v>
      </c>
      <c r="P101" t="s">
        <v>93</v>
      </c>
      <c r="Q101" t="s">
        <v>2</v>
      </c>
      <c r="R101" t="s">
        <v>296</v>
      </c>
      <c r="S101" s="2">
        <v>45251</v>
      </c>
      <c r="T101" s="2">
        <v>45280</v>
      </c>
      <c r="U101" s="2">
        <v>45287</v>
      </c>
      <c r="V101" s="3">
        <v>0</v>
      </c>
      <c r="W101" s="3">
        <v>0</v>
      </c>
      <c r="X101" t="s">
        <v>2</v>
      </c>
      <c r="Y101" s="2"/>
      <c r="Z101" t="s">
        <v>16</v>
      </c>
      <c r="AA101" t="s">
        <v>297</v>
      </c>
      <c r="AB101" t="s">
        <v>2</v>
      </c>
      <c r="AC101" t="s">
        <v>18</v>
      </c>
      <c r="AD101" t="s">
        <v>211</v>
      </c>
      <c r="AE101" t="s">
        <v>212</v>
      </c>
      <c r="AF101" s="4">
        <v>670</v>
      </c>
      <c r="AG101" s="4">
        <v>0</v>
      </c>
      <c r="AH101" s="3">
        <v>4.04</v>
      </c>
      <c r="AI101" s="3">
        <v>2706.8</v>
      </c>
      <c r="AJ101" s="3">
        <v>2183981.58</v>
      </c>
      <c r="AK101" s="3">
        <v>0</v>
      </c>
      <c r="AL101" t="s">
        <v>21</v>
      </c>
      <c r="AM101" s="2"/>
      <c r="AN101" s="3">
        <v>0</v>
      </c>
      <c r="AO101" s="2"/>
      <c r="AP101" s="3">
        <v>0</v>
      </c>
      <c r="AQ101" t="s">
        <v>22</v>
      </c>
      <c r="AR101" t="s">
        <v>122</v>
      </c>
      <c r="AS101" t="s">
        <v>123</v>
      </c>
      <c r="AT101" t="s">
        <v>124</v>
      </c>
      <c r="AU101" t="s">
        <v>26</v>
      </c>
      <c r="AV101" t="s">
        <v>27</v>
      </c>
      <c r="AW101" t="s">
        <v>28</v>
      </c>
      <c r="AX101" t="s">
        <v>29</v>
      </c>
      <c r="AY101" t="s">
        <v>2</v>
      </c>
      <c r="AZ101" s="3">
        <v>0</v>
      </c>
      <c r="BA101" t="s">
        <v>2</v>
      </c>
      <c r="BB101" t="s">
        <v>31</v>
      </c>
      <c r="BC101" t="s">
        <v>2</v>
      </c>
      <c r="BD101" t="s">
        <v>210</v>
      </c>
      <c r="BE101">
        <f t="shared" si="1"/>
        <v>2706.8</v>
      </c>
    </row>
    <row r="102" spans="1:57" x14ac:dyDescent="0.2">
      <c r="A102" t="s">
        <v>0</v>
      </c>
      <c r="B102" t="s">
        <v>1</v>
      </c>
      <c r="C102" t="s">
        <v>2</v>
      </c>
      <c r="D102" t="s">
        <v>2</v>
      </c>
      <c r="E102" t="s">
        <v>33</v>
      </c>
      <c r="F102" t="s">
        <v>4</v>
      </c>
      <c r="G102" t="s">
        <v>294</v>
      </c>
      <c r="H102" t="s">
        <v>27</v>
      </c>
      <c r="I102" t="s">
        <v>7</v>
      </c>
      <c r="J102" t="s">
        <v>91</v>
      </c>
      <c r="K102" t="s">
        <v>8</v>
      </c>
      <c r="L102" t="s">
        <v>295</v>
      </c>
      <c r="M102" t="s">
        <v>27</v>
      </c>
      <c r="N102" t="s">
        <v>2</v>
      </c>
      <c r="O102" t="s">
        <v>2</v>
      </c>
      <c r="P102" t="s">
        <v>93</v>
      </c>
      <c r="Q102" t="s">
        <v>2</v>
      </c>
      <c r="R102" t="s">
        <v>296</v>
      </c>
      <c r="S102" s="2">
        <v>45251</v>
      </c>
      <c r="T102" s="2">
        <v>45280</v>
      </c>
      <c r="U102" s="2">
        <v>45287</v>
      </c>
      <c r="V102" s="3">
        <v>0</v>
      </c>
      <c r="W102" s="3">
        <v>0</v>
      </c>
      <c r="X102" t="s">
        <v>2</v>
      </c>
      <c r="Y102" s="2"/>
      <c r="Z102" t="s">
        <v>16</v>
      </c>
      <c r="AA102" t="s">
        <v>297</v>
      </c>
      <c r="AB102" t="s">
        <v>2</v>
      </c>
      <c r="AC102" t="s">
        <v>18</v>
      </c>
      <c r="AD102" t="s">
        <v>126</v>
      </c>
      <c r="AE102" t="s">
        <v>127</v>
      </c>
      <c r="AF102" s="4">
        <v>405</v>
      </c>
      <c r="AG102" s="4">
        <v>0</v>
      </c>
      <c r="AH102" s="3">
        <v>3.06</v>
      </c>
      <c r="AI102" s="3">
        <v>1239.3</v>
      </c>
      <c r="AJ102" s="3">
        <v>999929.21</v>
      </c>
      <c r="AK102" s="3">
        <v>0</v>
      </c>
      <c r="AL102" t="s">
        <v>21</v>
      </c>
      <c r="AM102" s="2"/>
      <c r="AN102" s="3">
        <v>0</v>
      </c>
      <c r="AO102" s="2"/>
      <c r="AP102" s="3">
        <v>0</v>
      </c>
      <c r="AQ102" t="s">
        <v>22</v>
      </c>
      <c r="AR102" t="s">
        <v>122</v>
      </c>
      <c r="AS102" t="s">
        <v>123</v>
      </c>
      <c r="AT102" t="s">
        <v>124</v>
      </c>
      <c r="AU102" t="s">
        <v>26</v>
      </c>
      <c r="AV102" t="s">
        <v>27</v>
      </c>
      <c r="AW102" t="s">
        <v>28</v>
      </c>
      <c r="AX102" t="s">
        <v>29</v>
      </c>
      <c r="AY102" t="s">
        <v>2</v>
      </c>
      <c r="AZ102" s="3">
        <v>0</v>
      </c>
      <c r="BA102" t="s">
        <v>2</v>
      </c>
      <c r="BB102" t="s">
        <v>31</v>
      </c>
      <c r="BC102" t="s">
        <v>2</v>
      </c>
      <c r="BD102" t="s">
        <v>210</v>
      </c>
      <c r="BE102">
        <f t="shared" si="1"/>
        <v>1239.3</v>
      </c>
    </row>
    <row r="103" spans="1:57" x14ac:dyDescent="0.2">
      <c r="A103" t="s">
        <v>0</v>
      </c>
      <c r="B103" t="s">
        <v>1</v>
      </c>
      <c r="C103" t="s">
        <v>2</v>
      </c>
      <c r="D103" t="s">
        <v>2</v>
      </c>
      <c r="E103" t="s">
        <v>157</v>
      </c>
      <c r="F103" t="s">
        <v>4</v>
      </c>
      <c r="G103" t="s">
        <v>294</v>
      </c>
      <c r="H103" t="s">
        <v>38</v>
      </c>
      <c r="I103" t="s">
        <v>7</v>
      </c>
      <c r="J103" t="s">
        <v>91</v>
      </c>
      <c r="K103" t="s">
        <v>8</v>
      </c>
      <c r="L103" t="s">
        <v>295</v>
      </c>
      <c r="M103" t="s">
        <v>38</v>
      </c>
      <c r="N103" t="s">
        <v>2</v>
      </c>
      <c r="O103" t="s">
        <v>2</v>
      </c>
      <c r="P103" t="s">
        <v>93</v>
      </c>
      <c r="Q103" t="s">
        <v>2</v>
      </c>
      <c r="R103" t="s">
        <v>296</v>
      </c>
      <c r="S103" s="2">
        <v>45251</v>
      </c>
      <c r="T103" s="2">
        <v>45280</v>
      </c>
      <c r="U103" s="2">
        <v>45287</v>
      </c>
      <c r="V103" s="3">
        <v>0</v>
      </c>
      <c r="W103" s="3">
        <v>0</v>
      </c>
      <c r="X103" t="s">
        <v>2</v>
      </c>
      <c r="Y103" s="2"/>
      <c r="Z103" t="s">
        <v>16</v>
      </c>
      <c r="AA103" t="s">
        <v>297</v>
      </c>
      <c r="AB103" t="s">
        <v>2</v>
      </c>
      <c r="AC103" t="s">
        <v>18</v>
      </c>
      <c r="AD103" t="s">
        <v>188</v>
      </c>
      <c r="AE103" t="s">
        <v>189</v>
      </c>
      <c r="AF103" s="4">
        <v>660</v>
      </c>
      <c r="AG103" s="4">
        <v>0</v>
      </c>
      <c r="AH103" s="3">
        <v>2.79</v>
      </c>
      <c r="AI103" s="3">
        <v>1841.4</v>
      </c>
      <c r="AJ103" s="3">
        <v>1485733.59</v>
      </c>
      <c r="AK103" s="3">
        <v>0</v>
      </c>
      <c r="AL103" t="s">
        <v>21</v>
      </c>
      <c r="AM103" s="2"/>
      <c r="AN103" s="3">
        <v>0</v>
      </c>
      <c r="AO103" s="2"/>
      <c r="AP103" s="3">
        <v>0</v>
      </c>
      <c r="AQ103" t="s">
        <v>22</v>
      </c>
      <c r="AR103" t="s">
        <v>122</v>
      </c>
      <c r="AS103" t="s">
        <v>123</v>
      </c>
      <c r="AT103" t="s">
        <v>124</v>
      </c>
      <c r="AU103" t="s">
        <v>26</v>
      </c>
      <c r="AV103" t="s">
        <v>27</v>
      </c>
      <c r="AW103" t="s">
        <v>28</v>
      </c>
      <c r="AX103" t="s">
        <v>29</v>
      </c>
      <c r="AY103" t="s">
        <v>2</v>
      </c>
      <c r="AZ103" s="3">
        <v>0</v>
      </c>
      <c r="BA103" t="s">
        <v>2</v>
      </c>
      <c r="BB103" t="s">
        <v>31</v>
      </c>
      <c r="BC103" t="s">
        <v>2</v>
      </c>
      <c r="BD103" t="s">
        <v>210</v>
      </c>
      <c r="BE103">
        <f t="shared" si="1"/>
        <v>1841.4</v>
      </c>
    </row>
    <row r="104" spans="1:57" x14ac:dyDescent="0.2">
      <c r="A104" t="s">
        <v>0</v>
      </c>
      <c r="B104" t="s">
        <v>1</v>
      </c>
      <c r="C104" t="s">
        <v>2</v>
      </c>
      <c r="D104" t="s">
        <v>2</v>
      </c>
      <c r="E104" t="s">
        <v>33</v>
      </c>
      <c r="F104" t="s">
        <v>4</v>
      </c>
      <c r="G104" t="s">
        <v>294</v>
      </c>
      <c r="H104" t="s">
        <v>76</v>
      </c>
      <c r="I104" t="s">
        <v>7</v>
      </c>
      <c r="J104" t="s">
        <v>91</v>
      </c>
      <c r="K104" t="s">
        <v>8</v>
      </c>
      <c r="L104" t="s">
        <v>295</v>
      </c>
      <c r="M104" t="s">
        <v>76</v>
      </c>
      <c r="N104" t="s">
        <v>2</v>
      </c>
      <c r="O104" t="s">
        <v>2</v>
      </c>
      <c r="P104" t="s">
        <v>93</v>
      </c>
      <c r="Q104" t="s">
        <v>2</v>
      </c>
      <c r="R104" t="s">
        <v>296</v>
      </c>
      <c r="S104" s="2">
        <v>45251</v>
      </c>
      <c r="T104" s="2">
        <v>45280</v>
      </c>
      <c r="U104" s="2">
        <v>45287</v>
      </c>
      <c r="V104" s="3">
        <v>0</v>
      </c>
      <c r="W104" s="3">
        <v>0</v>
      </c>
      <c r="X104" t="s">
        <v>2</v>
      </c>
      <c r="Y104" s="2"/>
      <c r="Z104" t="s">
        <v>16</v>
      </c>
      <c r="AA104" t="s">
        <v>297</v>
      </c>
      <c r="AB104" t="s">
        <v>2</v>
      </c>
      <c r="AC104" t="s">
        <v>18</v>
      </c>
      <c r="AD104" t="s">
        <v>35</v>
      </c>
      <c r="AE104" t="s">
        <v>36</v>
      </c>
      <c r="AF104" s="4">
        <v>1190</v>
      </c>
      <c r="AG104" s="4">
        <v>0</v>
      </c>
      <c r="AH104" s="3">
        <v>4.0199999999999996</v>
      </c>
      <c r="AI104" s="3">
        <v>4783.8</v>
      </c>
      <c r="AJ104" s="3">
        <v>3859809.03</v>
      </c>
      <c r="AK104" s="3">
        <v>0</v>
      </c>
      <c r="AL104" t="s">
        <v>21</v>
      </c>
      <c r="AM104" s="2"/>
      <c r="AN104" s="3">
        <v>0</v>
      </c>
      <c r="AO104" s="2"/>
      <c r="AP104" s="3">
        <v>0</v>
      </c>
      <c r="AQ104" t="s">
        <v>22</v>
      </c>
      <c r="AR104" t="s">
        <v>122</v>
      </c>
      <c r="AS104" t="s">
        <v>123</v>
      </c>
      <c r="AT104" t="s">
        <v>124</v>
      </c>
      <c r="AU104" t="s">
        <v>26</v>
      </c>
      <c r="AV104" t="s">
        <v>27</v>
      </c>
      <c r="AW104" t="s">
        <v>28</v>
      </c>
      <c r="AX104" t="s">
        <v>29</v>
      </c>
      <c r="AY104" t="s">
        <v>2</v>
      </c>
      <c r="AZ104" s="3">
        <v>0</v>
      </c>
      <c r="BA104" t="s">
        <v>2</v>
      </c>
      <c r="BB104" t="s">
        <v>31</v>
      </c>
      <c r="BC104" t="s">
        <v>2</v>
      </c>
      <c r="BD104" t="s">
        <v>210</v>
      </c>
      <c r="BE104">
        <f t="shared" si="1"/>
        <v>4783.8</v>
      </c>
    </row>
    <row r="105" spans="1:57" x14ac:dyDescent="0.2">
      <c r="A105" t="s">
        <v>0</v>
      </c>
      <c r="B105" t="s">
        <v>1</v>
      </c>
      <c r="C105" t="s">
        <v>2</v>
      </c>
      <c r="D105" t="s">
        <v>2</v>
      </c>
      <c r="E105" t="s">
        <v>3</v>
      </c>
      <c r="F105" t="s">
        <v>4</v>
      </c>
      <c r="G105" t="s">
        <v>294</v>
      </c>
      <c r="H105" t="s">
        <v>79</v>
      </c>
      <c r="I105" t="s">
        <v>7</v>
      </c>
      <c r="J105" t="s">
        <v>91</v>
      </c>
      <c r="K105" t="s">
        <v>8</v>
      </c>
      <c r="L105" t="s">
        <v>295</v>
      </c>
      <c r="M105" t="s">
        <v>79</v>
      </c>
      <c r="N105" t="s">
        <v>2</v>
      </c>
      <c r="O105" t="s">
        <v>2</v>
      </c>
      <c r="P105" t="s">
        <v>93</v>
      </c>
      <c r="Q105" t="s">
        <v>2</v>
      </c>
      <c r="R105" t="s">
        <v>296</v>
      </c>
      <c r="S105" s="2">
        <v>45251</v>
      </c>
      <c r="T105" s="2">
        <v>45280</v>
      </c>
      <c r="U105" s="2">
        <v>45287</v>
      </c>
      <c r="V105" s="3">
        <v>0</v>
      </c>
      <c r="W105" s="3">
        <v>0</v>
      </c>
      <c r="X105" t="s">
        <v>2</v>
      </c>
      <c r="Y105" s="2"/>
      <c r="Z105" t="s">
        <v>16</v>
      </c>
      <c r="AA105" t="s">
        <v>297</v>
      </c>
      <c r="AB105" t="s">
        <v>2</v>
      </c>
      <c r="AC105" t="s">
        <v>18</v>
      </c>
      <c r="AD105" t="s">
        <v>298</v>
      </c>
      <c r="AE105" t="s">
        <v>299</v>
      </c>
      <c r="AF105" s="4">
        <v>1985</v>
      </c>
      <c r="AG105" s="4">
        <v>0</v>
      </c>
      <c r="AH105" s="3">
        <v>6.41</v>
      </c>
      <c r="AI105" s="3">
        <v>12723.85</v>
      </c>
      <c r="AJ105" s="3">
        <v>10266238.369999999</v>
      </c>
      <c r="AK105" s="3">
        <v>0</v>
      </c>
      <c r="AL105" t="s">
        <v>21</v>
      </c>
      <c r="AM105" s="2"/>
      <c r="AN105" s="3">
        <v>0</v>
      </c>
      <c r="AO105" s="2"/>
      <c r="AP105" s="3">
        <v>0</v>
      </c>
      <c r="AQ105" t="s">
        <v>22</v>
      </c>
      <c r="AR105" t="s">
        <v>122</v>
      </c>
      <c r="AS105" t="s">
        <v>123</v>
      </c>
      <c r="AT105" t="s">
        <v>124</v>
      </c>
      <c r="AU105" t="s">
        <v>26</v>
      </c>
      <c r="AV105" t="s">
        <v>27</v>
      </c>
      <c r="AW105" t="s">
        <v>28</v>
      </c>
      <c r="AX105" t="s">
        <v>29</v>
      </c>
      <c r="AY105" t="s">
        <v>2</v>
      </c>
      <c r="AZ105" s="3">
        <v>0</v>
      </c>
      <c r="BA105" t="s">
        <v>2</v>
      </c>
      <c r="BB105" t="s">
        <v>31</v>
      </c>
      <c r="BC105" t="s">
        <v>2</v>
      </c>
      <c r="BD105" t="s">
        <v>210</v>
      </c>
      <c r="BE105">
        <f t="shared" si="1"/>
        <v>12723.85</v>
      </c>
    </row>
    <row r="106" spans="1:57" x14ac:dyDescent="0.2">
      <c r="A106" t="s">
        <v>0</v>
      </c>
      <c r="B106" t="s">
        <v>1</v>
      </c>
      <c r="C106" t="s">
        <v>2</v>
      </c>
      <c r="D106" t="s">
        <v>2</v>
      </c>
      <c r="E106" t="s">
        <v>41</v>
      </c>
      <c r="F106" t="s">
        <v>4</v>
      </c>
      <c r="G106" t="s">
        <v>300</v>
      </c>
      <c r="H106" t="s">
        <v>6</v>
      </c>
      <c r="I106" t="s">
        <v>7</v>
      </c>
      <c r="J106" t="s">
        <v>91</v>
      </c>
      <c r="K106" t="s">
        <v>8</v>
      </c>
      <c r="L106" t="s">
        <v>301</v>
      </c>
      <c r="M106" t="s">
        <v>6</v>
      </c>
      <c r="N106" t="s">
        <v>2</v>
      </c>
      <c r="O106" t="s">
        <v>2</v>
      </c>
      <c r="P106" t="s">
        <v>93</v>
      </c>
      <c r="Q106" t="s">
        <v>2</v>
      </c>
      <c r="R106" t="s">
        <v>302</v>
      </c>
      <c r="S106" s="2">
        <v>45251</v>
      </c>
      <c r="T106" s="2">
        <v>45280</v>
      </c>
      <c r="U106" s="2">
        <v>45287</v>
      </c>
      <c r="V106" s="3">
        <v>0</v>
      </c>
      <c r="W106" s="3">
        <v>0</v>
      </c>
      <c r="X106" t="s">
        <v>2</v>
      </c>
      <c r="Y106" s="2"/>
      <c r="Z106" t="s">
        <v>47</v>
      </c>
      <c r="AA106" t="s">
        <v>303</v>
      </c>
      <c r="AB106" t="s">
        <v>2</v>
      </c>
      <c r="AC106" t="s">
        <v>49</v>
      </c>
      <c r="AD106" t="s">
        <v>64</v>
      </c>
      <c r="AE106" t="s">
        <v>65</v>
      </c>
      <c r="AF106" s="4">
        <v>1</v>
      </c>
      <c r="AG106" s="4">
        <v>0</v>
      </c>
      <c r="AH106" s="3">
        <v>2080068.65</v>
      </c>
      <c r="AI106" s="3">
        <v>2080068.65</v>
      </c>
      <c r="AJ106" s="3">
        <v>2080068.65</v>
      </c>
      <c r="AK106" s="3">
        <v>0</v>
      </c>
      <c r="AL106" t="s">
        <v>52</v>
      </c>
      <c r="AM106" s="2"/>
      <c r="AN106" s="3">
        <v>0</v>
      </c>
      <c r="AO106" s="2"/>
      <c r="AP106" s="3">
        <v>0</v>
      </c>
      <c r="AQ106" t="s">
        <v>53</v>
      </c>
      <c r="AR106" t="s">
        <v>122</v>
      </c>
      <c r="AS106" t="s">
        <v>123</v>
      </c>
      <c r="AT106" t="s">
        <v>124</v>
      </c>
      <c r="AU106" t="s">
        <v>26</v>
      </c>
      <c r="AV106" t="s">
        <v>27</v>
      </c>
      <c r="AW106" t="s">
        <v>66</v>
      </c>
      <c r="AX106" t="s">
        <v>29</v>
      </c>
      <c r="AY106" t="s">
        <v>2</v>
      </c>
      <c r="AZ106" s="3">
        <v>0</v>
      </c>
      <c r="BA106" t="s">
        <v>2</v>
      </c>
      <c r="BB106" t="s">
        <v>31</v>
      </c>
      <c r="BC106" t="s">
        <v>2</v>
      </c>
      <c r="BD106" t="s">
        <v>229</v>
      </c>
      <c r="BE106">
        <f t="shared" si="1"/>
        <v>2578.0115882753917</v>
      </c>
    </row>
    <row r="107" spans="1:57" x14ac:dyDescent="0.2">
      <c r="A107" t="s">
        <v>0</v>
      </c>
      <c r="B107" t="s">
        <v>1</v>
      </c>
      <c r="C107" t="s">
        <v>2</v>
      </c>
      <c r="D107" t="s">
        <v>2</v>
      </c>
      <c r="E107" t="s">
        <v>113</v>
      </c>
      <c r="F107" t="s">
        <v>4</v>
      </c>
      <c r="G107" t="s">
        <v>304</v>
      </c>
      <c r="H107" t="s">
        <v>6</v>
      </c>
      <c r="I107" t="s">
        <v>7</v>
      </c>
      <c r="J107" t="s">
        <v>91</v>
      </c>
      <c r="K107" t="s">
        <v>8</v>
      </c>
      <c r="L107" t="s">
        <v>305</v>
      </c>
      <c r="M107" t="s">
        <v>6</v>
      </c>
      <c r="N107" t="s">
        <v>2</v>
      </c>
      <c r="O107" t="s">
        <v>2</v>
      </c>
      <c r="P107" t="s">
        <v>93</v>
      </c>
      <c r="Q107" t="s">
        <v>2</v>
      </c>
      <c r="R107" t="s">
        <v>306</v>
      </c>
      <c r="S107" s="2">
        <v>45251</v>
      </c>
      <c r="T107" s="2">
        <v>45280</v>
      </c>
      <c r="U107" s="2">
        <v>45287</v>
      </c>
      <c r="V107" s="3">
        <v>0</v>
      </c>
      <c r="W107" s="3">
        <v>0</v>
      </c>
      <c r="X107" t="s">
        <v>2</v>
      </c>
      <c r="Y107" s="2"/>
      <c r="Z107" t="s">
        <v>47</v>
      </c>
      <c r="AA107" t="s">
        <v>307</v>
      </c>
      <c r="AB107" t="s">
        <v>2</v>
      </c>
      <c r="AC107" t="s">
        <v>49</v>
      </c>
      <c r="AD107" t="s">
        <v>178</v>
      </c>
      <c r="AE107" t="s">
        <v>179</v>
      </c>
      <c r="AF107" s="4">
        <v>10</v>
      </c>
      <c r="AG107" s="4">
        <v>0</v>
      </c>
      <c r="AH107" s="3">
        <v>75</v>
      </c>
      <c r="AI107" s="3">
        <v>750</v>
      </c>
      <c r="AJ107" s="3">
        <v>605137.5</v>
      </c>
      <c r="AK107" s="3">
        <v>0</v>
      </c>
      <c r="AL107" t="s">
        <v>52</v>
      </c>
      <c r="AM107" s="2"/>
      <c r="AN107" s="3">
        <v>0</v>
      </c>
      <c r="AO107" s="2"/>
      <c r="AP107" s="3">
        <v>0</v>
      </c>
      <c r="AQ107" t="s">
        <v>53</v>
      </c>
      <c r="AR107" t="s">
        <v>122</v>
      </c>
      <c r="AS107" t="s">
        <v>123</v>
      </c>
      <c r="AT107" t="s">
        <v>124</v>
      </c>
      <c r="AU107" t="s">
        <v>26</v>
      </c>
      <c r="AV107" t="s">
        <v>27</v>
      </c>
      <c r="AW107" t="s">
        <v>28</v>
      </c>
      <c r="AX107" t="s">
        <v>29</v>
      </c>
      <c r="AY107" t="s">
        <v>2</v>
      </c>
      <c r="AZ107" s="3">
        <v>0</v>
      </c>
      <c r="BA107" t="s">
        <v>2</v>
      </c>
      <c r="BB107" t="s">
        <v>31</v>
      </c>
      <c r="BC107" t="s">
        <v>2</v>
      </c>
      <c r="BD107" t="s">
        <v>210</v>
      </c>
      <c r="BE107">
        <f t="shared" si="1"/>
        <v>750</v>
      </c>
    </row>
    <row r="108" spans="1:57" x14ac:dyDescent="0.2">
      <c r="A108" t="s">
        <v>0</v>
      </c>
      <c r="B108" t="s">
        <v>1</v>
      </c>
      <c r="C108" t="s">
        <v>2</v>
      </c>
      <c r="D108" t="s">
        <v>2</v>
      </c>
      <c r="E108" t="s">
        <v>33</v>
      </c>
      <c r="F108" t="s">
        <v>4</v>
      </c>
      <c r="G108" t="s">
        <v>308</v>
      </c>
      <c r="H108" t="s">
        <v>6</v>
      </c>
      <c r="I108" t="s">
        <v>7</v>
      </c>
      <c r="J108" t="s">
        <v>91</v>
      </c>
      <c r="K108" t="s">
        <v>8</v>
      </c>
      <c r="L108" t="s">
        <v>309</v>
      </c>
      <c r="M108" t="s">
        <v>6</v>
      </c>
      <c r="N108" t="s">
        <v>2</v>
      </c>
      <c r="O108" t="s">
        <v>2</v>
      </c>
      <c r="P108" t="s">
        <v>93</v>
      </c>
      <c r="Q108" t="s">
        <v>2</v>
      </c>
      <c r="R108" t="s">
        <v>310</v>
      </c>
      <c r="S108" s="2">
        <v>45251</v>
      </c>
      <c r="T108" s="2">
        <v>45280</v>
      </c>
      <c r="U108" s="2">
        <v>45287</v>
      </c>
      <c r="V108" s="3">
        <v>0</v>
      </c>
      <c r="W108" s="3">
        <v>0</v>
      </c>
      <c r="X108" t="s">
        <v>2</v>
      </c>
      <c r="Y108" s="2"/>
      <c r="Z108" t="s">
        <v>16</v>
      </c>
      <c r="AA108" t="s">
        <v>311</v>
      </c>
      <c r="AB108" t="s">
        <v>2</v>
      </c>
      <c r="AC108" t="s">
        <v>18</v>
      </c>
      <c r="AD108" t="s">
        <v>128</v>
      </c>
      <c r="AE108" t="s">
        <v>129</v>
      </c>
      <c r="AF108" s="4">
        <v>285</v>
      </c>
      <c r="AG108" s="4">
        <v>0</v>
      </c>
      <c r="AH108" s="3">
        <v>4.7</v>
      </c>
      <c r="AI108" s="3">
        <v>1339.5</v>
      </c>
      <c r="AJ108" s="3">
        <v>1080775.58</v>
      </c>
      <c r="AK108" s="3">
        <v>0</v>
      </c>
      <c r="AL108" t="s">
        <v>21</v>
      </c>
      <c r="AM108" s="2"/>
      <c r="AN108" s="3">
        <v>0</v>
      </c>
      <c r="AO108" s="2"/>
      <c r="AP108" s="3">
        <v>0</v>
      </c>
      <c r="AQ108" t="s">
        <v>22</v>
      </c>
      <c r="AR108" t="s">
        <v>238</v>
      </c>
      <c r="AS108" t="s">
        <v>239</v>
      </c>
      <c r="AT108" t="s">
        <v>240</v>
      </c>
      <c r="AU108" t="s">
        <v>26</v>
      </c>
      <c r="AV108" t="s">
        <v>12</v>
      </c>
      <c r="AW108" t="s">
        <v>28</v>
      </c>
      <c r="AX108" t="s">
        <v>29</v>
      </c>
      <c r="AY108" t="s">
        <v>2</v>
      </c>
      <c r="AZ108" s="3">
        <v>0</v>
      </c>
      <c r="BA108" t="s">
        <v>2</v>
      </c>
      <c r="BB108" t="s">
        <v>312</v>
      </c>
      <c r="BC108" t="s">
        <v>2</v>
      </c>
      <c r="BD108" t="s">
        <v>313</v>
      </c>
      <c r="BE108">
        <f t="shared" si="1"/>
        <v>1339.5</v>
      </c>
    </row>
    <row r="109" spans="1:57" x14ac:dyDescent="0.2">
      <c r="A109" t="s">
        <v>0</v>
      </c>
      <c r="B109" t="s">
        <v>1</v>
      </c>
      <c r="C109" t="s">
        <v>2</v>
      </c>
      <c r="D109" t="s">
        <v>2</v>
      </c>
      <c r="E109" t="s">
        <v>37</v>
      </c>
      <c r="F109" t="s">
        <v>4</v>
      </c>
      <c r="G109" t="s">
        <v>308</v>
      </c>
      <c r="H109" t="s">
        <v>27</v>
      </c>
      <c r="I109" t="s">
        <v>7</v>
      </c>
      <c r="J109" t="s">
        <v>91</v>
      </c>
      <c r="K109" t="s">
        <v>8</v>
      </c>
      <c r="L109" t="s">
        <v>309</v>
      </c>
      <c r="M109" t="s">
        <v>27</v>
      </c>
      <c r="N109" t="s">
        <v>2</v>
      </c>
      <c r="O109" t="s">
        <v>2</v>
      </c>
      <c r="P109" t="s">
        <v>93</v>
      </c>
      <c r="Q109" t="s">
        <v>2</v>
      </c>
      <c r="R109" t="s">
        <v>310</v>
      </c>
      <c r="S109" s="2">
        <v>45251</v>
      </c>
      <c r="T109" s="2">
        <v>45280</v>
      </c>
      <c r="U109" s="2">
        <v>45287</v>
      </c>
      <c r="V109" s="3">
        <v>0</v>
      </c>
      <c r="W109" s="3">
        <v>0</v>
      </c>
      <c r="X109" t="s">
        <v>2</v>
      </c>
      <c r="Y109" s="2"/>
      <c r="Z109" t="s">
        <v>16</v>
      </c>
      <c r="AA109" t="s">
        <v>311</v>
      </c>
      <c r="AB109" t="s">
        <v>2</v>
      </c>
      <c r="AC109" t="s">
        <v>18</v>
      </c>
      <c r="AD109" t="s">
        <v>39</v>
      </c>
      <c r="AE109" t="s">
        <v>40</v>
      </c>
      <c r="AF109" s="4">
        <v>4447</v>
      </c>
      <c r="AG109" s="4">
        <v>0</v>
      </c>
      <c r="AH109" s="3">
        <v>1.41</v>
      </c>
      <c r="AI109" s="3">
        <v>6270.27</v>
      </c>
      <c r="AJ109" s="3">
        <v>5059167.3499999996</v>
      </c>
      <c r="AK109" s="3">
        <v>0</v>
      </c>
      <c r="AL109" t="s">
        <v>21</v>
      </c>
      <c r="AM109" s="2"/>
      <c r="AN109" s="3">
        <v>0</v>
      </c>
      <c r="AO109" s="2"/>
      <c r="AP109" s="3">
        <v>0</v>
      </c>
      <c r="AQ109" t="s">
        <v>22</v>
      </c>
      <c r="AR109" t="s">
        <v>238</v>
      </c>
      <c r="AS109" t="s">
        <v>239</v>
      </c>
      <c r="AT109" t="s">
        <v>240</v>
      </c>
      <c r="AU109" t="s">
        <v>26</v>
      </c>
      <c r="AV109" t="s">
        <v>12</v>
      </c>
      <c r="AW109" t="s">
        <v>28</v>
      </c>
      <c r="AX109" t="s">
        <v>29</v>
      </c>
      <c r="AY109" t="s">
        <v>2</v>
      </c>
      <c r="AZ109" s="3">
        <v>0</v>
      </c>
      <c r="BA109" t="s">
        <v>2</v>
      </c>
      <c r="BB109" t="s">
        <v>312</v>
      </c>
      <c r="BC109" t="s">
        <v>2</v>
      </c>
      <c r="BD109" t="s">
        <v>313</v>
      </c>
      <c r="BE109">
        <f t="shared" si="1"/>
        <v>6270.27</v>
      </c>
    </row>
    <row r="110" spans="1:57" x14ac:dyDescent="0.2">
      <c r="A110" t="s">
        <v>0</v>
      </c>
      <c r="B110" t="s">
        <v>1</v>
      </c>
      <c r="C110" t="s">
        <v>2</v>
      </c>
      <c r="D110" t="s">
        <v>2</v>
      </c>
      <c r="E110" t="s">
        <v>215</v>
      </c>
      <c r="F110" t="s">
        <v>4</v>
      </c>
      <c r="G110" t="s">
        <v>308</v>
      </c>
      <c r="H110" t="s">
        <v>38</v>
      </c>
      <c r="I110" t="s">
        <v>7</v>
      </c>
      <c r="J110" t="s">
        <v>91</v>
      </c>
      <c r="K110" t="s">
        <v>8</v>
      </c>
      <c r="L110" t="s">
        <v>309</v>
      </c>
      <c r="M110" t="s">
        <v>38</v>
      </c>
      <c r="N110" t="s">
        <v>2</v>
      </c>
      <c r="O110" t="s">
        <v>2</v>
      </c>
      <c r="P110" t="s">
        <v>93</v>
      </c>
      <c r="Q110" t="s">
        <v>2</v>
      </c>
      <c r="R110" t="s">
        <v>310</v>
      </c>
      <c r="S110" s="2">
        <v>45251</v>
      </c>
      <c r="T110" s="2">
        <v>45280</v>
      </c>
      <c r="U110" s="2">
        <v>45287</v>
      </c>
      <c r="V110" s="3">
        <v>0</v>
      </c>
      <c r="W110" s="3">
        <v>0</v>
      </c>
      <c r="X110" t="s">
        <v>2</v>
      </c>
      <c r="Y110" s="2"/>
      <c r="Z110" t="s">
        <v>16</v>
      </c>
      <c r="AA110" t="s">
        <v>311</v>
      </c>
      <c r="AB110" t="s">
        <v>2</v>
      </c>
      <c r="AC110" t="s">
        <v>18</v>
      </c>
      <c r="AD110" t="s">
        <v>314</v>
      </c>
      <c r="AE110" t="s">
        <v>315</v>
      </c>
      <c r="AF110" s="4">
        <v>599</v>
      </c>
      <c r="AG110" s="4">
        <v>0</v>
      </c>
      <c r="AH110" s="3">
        <v>4.66</v>
      </c>
      <c r="AI110" s="3">
        <v>2791.34</v>
      </c>
      <c r="AJ110" s="3">
        <v>2252192.6800000002</v>
      </c>
      <c r="AK110" s="3">
        <v>0</v>
      </c>
      <c r="AL110" t="s">
        <v>21</v>
      </c>
      <c r="AM110" s="2"/>
      <c r="AN110" s="3">
        <v>0</v>
      </c>
      <c r="AO110" s="2"/>
      <c r="AP110" s="3">
        <v>0</v>
      </c>
      <c r="AQ110" t="s">
        <v>22</v>
      </c>
      <c r="AR110" t="s">
        <v>238</v>
      </c>
      <c r="AS110" t="s">
        <v>239</v>
      </c>
      <c r="AT110" t="s">
        <v>240</v>
      </c>
      <c r="AU110" t="s">
        <v>26</v>
      </c>
      <c r="AV110" t="s">
        <v>12</v>
      </c>
      <c r="AW110" t="s">
        <v>28</v>
      </c>
      <c r="AX110" t="s">
        <v>29</v>
      </c>
      <c r="AY110" t="s">
        <v>2</v>
      </c>
      <c r="AZ110" s="3">
        <v>0</v>
      </c>
      <c r="BA110" t="s">
        <v>2</v>
      </c>
      <c r="BB110" t="s">
        <v>312</v>
      </c>
      <c r="BC110" t="s">
        <v>2</v>
      </c>
      <c r="BD110" t="s">
        <v>313</v>
      </c>
      <c r="BE110">
        <f t="shared" si="1"/>
        <v>2791.34</v>
      </c>
    </row>
    <row r="111" spans="1:57" x14ac:dyDescent="0.2">
      <c r="A111" t="s">
        <v>0</v>
      </c>
      <c r="B111" t="s">
        <v>1</v>
      </c>
      <c r="C111" t="s">
        <v>2</v>
      </c>
      <c r="D111" t="s">
        <v>2</v>
      </c>
      <c r="E111" t="s">
        <v>133</v>
      </c>
      <c r="F111" t="s">
        <v>4</v>
      </c>
      <c r="G111" t="s">
        <v>308</v>
      </c>
      <c r="H111" t="s">
        <v>76</v>
      </c>
      <c r="I111" t="s">
        <v>7</v>
      </c>
      <c r="J111" t="s">
        <v>91</v>
      </c>
      <c r="K111" t="s">
        <v>8</v>
      </c>
      <c r="L111" t="s">
        <v>309</v>
      </c>
      <c r="M111" t="s">
        <v>76</v>
      </c>
      <c r="N111" t="s">
        <v>2</v>
      </c>
      <c r="O111" t="s">
        <v>2</v>
      </c>
      <c r="P111" t="s">
        <v>93</v>
      </c>
      <c r="Q111" t="s">
        <v>2</v>
      </c>
      <c r="R111" t="s">
        <v>310</v>
      </c>
      <c r="S111" s="2">
        <v>45251</v>
      </c>
      <c r="T111" s="2">
        <v>45280</v>
      </c>
      <c r="U111" s="2">
        <v>45287</v>
      </c>
      <c r="V111" s="3">
        <v>0</v>
      </c>
      <c r="W111" s="3">
        <v>0</v>
      </c>
      <c r="X111" t="s">
        <v>2</v>
      </c>
      <c r="Y111" s="2"/>
      <c r="Z111" t="s">
        <v>16</v>
      </c>
      <c r="AA111" t="s">
        <v>311</v>
      </c>
      <c r="AB111" t="s">
        <v>2</v>
      </c>
      <c r="AC111" t="s">
        <v>18</v>
      </c>
      <c r="AD111" t="s">
        <v>136</v>
      </c>
      <c r="AE111" t="s">
        <v>135</v>
      </c>
      <c r="AF111" s="4">
        <v>6671</v>
      </c>
      <c r="AG111" s="4">
        <v>0</v>
      </c>
      <c r="AH111" s="3">
        <v>4.5</v>
      </c>
      <c r="AI111" s="3">
        <v>30019.5</v>
      </c>
      <c r="AJ111" s="3">
        <v>24221233.579999998</v>
      </c>
      <c r="AK111" s="3">
        <v>0</v>
      </c>
      <c r="AL111" t="s">
        <v>21</v>
      </c>
      <c r="AM111" s="2"/>
      <c r="AN111" s="3">
        <v>0</v>
      </c>
      <c r="AO111" s="2"/>
      <c r="AP111" s="3">
        <v>0</v>
      </c>
      <c r="AQ111" t="s">
        <v>22</v>
      </c>
      <c r="AR111" t="s">
        <v>238</v>
      </c>
      <c r="AS111" t="s">
        <v>239</v>
      </c>
      <c r="AT111" t="s">
        <v>240</v>
      </c>
      <c r="AU111" t="s">
        <v>26</v>
      </c>
      <c r="AV111" t="s">
        <v>12</v>
      </c>
      <c r="AW111" t="s">
        <v>28</v>
      </c>
      <c r="AX111" t="s">
        <v>29</v>
      </c>
      <c r="AY111" t="s">
        <v>2</v>
      </c>
      <c r="AZ111" s="3">
        <v>0</v>
      </c>
      <c r="BA111" t="s">
        <v>2</v>
      </c>
      <c r="BB111" t="s">
        <v>312</v>
      </c>
      <c r="BC111" t="s">
        <v>2</v>
      </c>
      <c r="BD111" t="s">
        <v>313</v>
      </c>
      <c r="BE111">
        <f t="shared" si="1"/>
        <v>30019.5</v>
      </c>
    </row>
    <row r="112" spans="1:57" x14ac:dyDescent="0.2">
      <c r="A112" t="s">
        <v>0</v>
      </c>
      <c r="B112" t="s">
        <v>1</v>
      </c>
      <c r="C112" t="s">
        <v>2</v>
      </c>
      <c r="D112" t="s">
        <v>2</v>
      </c>
      <c r="E112" t="s">
        <v>33</v>
      </c>
      <c r="F112" t="s">
        <v>4</v>
      </c>
      <c r="G112" t="s">
        <v>308</v>
      </c>
      <c r="H112" t="s">
        <v>79</v>
      </c>
      <c r="I112" t="s">
        <v>7</v>
      </c>
      <c r="J112" t="s">
        <v>91</v>
      </c>
      <c r="K112" t="s">
        <v>8</v>
      </c>
      <c r="L112" t="s">
        <v>309</v>
      </c>
      <c r="M112" t="s">
        <v>79</v>
      </c>
      <c r="N112" t="s">
        <v>2</v>
      </c>
      <c r="O112" t="s">
        <v>2</v>
      </c>
      <c r="P112" t="s">
        <v>93</v>
      </c>
      <c r="Q112" t="s">
        <v>2</v>
      </c>
      <c r="R112" t="s">
        <v>310</v>
      </c>
      <c r="S112" s="2">
        <v>45251</v>
      </c>
      <c r="T112" s="2">
        <v>45280</v>
      </c>
      <c r="U112" s="2">
        <v>45287</v>
      </c>
      <c r="V112" s="3">
        <v>0</v>
      </c>
      <c r="W112" s="3">
        <v>0</v>
      </c>
      <c r="X112" t="s">
        <v>2</v>
      </c>
      <c r="Y112" s="2"/>
      <c r="Z112" t="s">
        <v>16</v>
      </c>
      <c r="AA112" t="s">
        <v>311</v>
      </c>
      <c r="AB112" t="s">
        <v>2</v>
      </c>
      <c r="AC112" t="s">
        <v>18</v>
      </c>
      <c r="AD112" t="s">
        <v>316</v>
      </c>
      <c r="AE112" t="s">
        <v>317</v>
      </c>
      <c r="AF112" s="4">
        <v>2838</v>
      </c>
      <c r="AG112" s="4">
        <v>0</v>
      </c>
      <c r="AH112" s="3">
        <v>4.5999999999999996</v>
      </c>
      <c r="AI112" s="3">
        <v>13054.8</v>
      </c>
      <c r="AJ112" s="3">
        <v>10533265.380000001</v>
      </c>
      <c r="AK112" s="3">
        <v>0</v>
      </c>
      <c r="AL112" t="s">
        <v>21</v>
      </c>
      <c r="AM112" s="2"/>
      <c r="AN112" s="3">
        <v>0</v>
      </c>
      <c r="AO112" s="2"/>
      <c r="AP112" s="3">
        <v>0</v>
      </c>
      <c r="AQ112" t="s">
        <v>22</v>
      </c>
      <c r="AR112" t="s">
        <v>238</v>
      </c>
      <c r="AS112" t="s">
        <v>239</v>
      </c>
      <c r="AT112" t="s">
        <v>240</v>
      </c>
      <c r="AU112" t="s">
        <v>26</v>
      </c>
      <c r="AV112" t="s">
        <v>12</v>
      </c>
      <c r="AW112" t="s">
        <v>28</v>
      </c>
      <c r="AX112" t="s">
        <v>29</v>
      </c>
      <c r="AY112" t="s">
        <v>2</v>
      </c>
      <c r="AZ112" s="3">
        <v>0</v>
      </c>
      <c r="BA112" t="s">
        <v>2</v>
      </c>
      <c r="BB112" t="s">
        <v>312</v>
      </c>
      <c r="BC112" t="s">
        <v>2</v>
      </c>
      <c r="BD112" t="s">
        <v>313</v>
      </c>
      <c r="BE112">
        <f t="shared" si="1"/>
        <v>13054.8</v>
      </c>
    </row>
    <row r="113" spans="1:57" x14ac:dyDescent="0.2">
      <c r="A113" t="s">
        <v>0</v>
      </c>
      <c r="B113" t="s">
        <v>1</v>
      </c>
      <c r="C113" t="s">
        <v>2</v>
      </c>
      <c r="D113" t="s">
        <v>2</v>
      </c>
      <c r="E113" t="s">
        <v>33</v>
      </c>
      <c r="F113" t="s">
        <v>4</v>
      </c>
      <c r="G113" t="s">
        <v>308</v>
      </c>
      <c r="H113" t="s">
        <v>80</v>
      </c>
      <c r="I113" t="s">
        <v>7</v>
      </c>
      <c r="J113" t="s">
        <v>91</v>
      </c>
      <c r="K113" t="s">
        <v>8</v>
      </c>
      <c r="L113" t="s">
        <v>309</v>
      </c>
      <c r="M113" t="s">
        <v>80</v>
      </c>
      <c r="N113" t="s">
        <v>2</v>
      </c>
      <c r="O113" t="s">
        <v>2</v>
      </c>
      <c r="P113" t="s">
        <v>93</v>
      </c>
      <c r="Q113" t="s">
        <v>2</v>
      </c>
      <c r="R113" t="s">
        <v>310</v>
      </c>
      <c r="S113" s="2">
        <v>45251</v>
      </c>
      <c r="T113" s="2">
        <v>45280</v>
      </c>
      <c r="U113" s="2">
        <v>45287</v>
      </c>
      <c r="V113" s="3">
        <v>0</v>
      </c>
      <c r="W113" s="3">
        <v>0</v>
      </c>
      <c r="X113" t="s">
        <v>2</v>
      </c>
      <c r="Y113" s="2"/>
      <c r="Z113" t="s">
        <v>16</v>
      </c>
      <c r="AA113" t="s">
        <v>311</v>
      </c>
      <c r="AB113" t="s">
        <v>2</v>
      </c>
      <c r="AC113" t="s">
        <v>18</v>
      </c>
      <c r="AD113" t="s">
        <v>318</v>
      </c>
      <c r="AE113" t="s">
        <v>319</v>
      </c>
      <c r="AF113" s="4">
        <v>1966</v>
      </c>
      <c r="AG113" s="4">
        <v>0</v>
      </c>
      <c r="AH113" s="3">
        <v>4.42</v>
      </c>
      <c r="AI113" s="3">
        <v>8689.7199999999993</v>
      </c>
      <c r="AJ113" s="3">
        <v>7011300.5800000001</v>
      </c>
      <c r="AK113" s="3">
        <v>0</v>
      </c>
      <c r="AL113" t="s">
        <v>21</v>
      </c>
      <c r="AM113" s="2"/>
      <c r="AN113" s="3">
        <v>0</v>
      </c>
      <c r="AO113" s="2"/>
      <c r="AP113" s="3">
        <v>0</v>
      </c>
      <c r="AQ113" t="s">
        <v>22</v>
      </c>
      <c r="AR113" t="s">
        <v>238</v>
      </c>
      <c r="AS113" t="s">
        <v>239</v>
      </c>
      <c r="AT113" t="s">
        <v>240</v>
      </c>
      <c r="AU113" t="s">
        <v>26</v>
      </c>
      <c r="AV113" t="s">
        <v>12</v>
      </c>
      <c r="AW113" t="s">
        <v>28</v>
      </c>
      <c r="AX113" t="s">
        <v>29</v>
      </c>
      <c r="AY113" t="s">
        <v>2</v>
      </c>
      <c r="AZ113" s="3">
        <v>0</v>
      </c>
      <c r="BA113" t="s">
        <v>2</v>
      </c>
      <c r="BB113" t="s">
        <v>312</v>
      </c>
      <c r="BC113" t="s">
        <v>2</v>
      </c>
      <c r="BD113" t="s">
        <v>313</v>
      </c>
      <c r="BE113">
        <f t="shared" si="1"/>
        <v>8689.7199999999993</v>
      </c>
    </row>
    <row r="114" spans="1:57" x14ac:dyDescent="0.2">
      <c r="A114" t="s">
        <v>0</v>
      </c>
      <c r="B114" t="s">
        <v>1</v>
      </c>
      <c r="C114" t="s">
        <v>2</v>
      </c>
      <c r="D114" t="s">
        <v>2</v>
      </c>
      <c r="E114" t="s">
        <v>33</v>
      </c>
      <c r="F114" t="s">
        <v>4</v>
      </c>
      <c r="G114" t="s">
        <v>308</v>
      </c>
      <c r="H114" t="s">
        <v>137</v>
      </c>
      <c r="I114" t="s">
        <v>7</v>
      </c>
      <c r="J114" t="s">
        <v>91</v>
      </c>
      <c r="K114" t="s">
        <v>8</v>
      </c>
      <c r="L114" t="s">
        <v>309</v>
      </c>
      <c r="M114" t="s">
        <v>137</v>
      </c>
      <c r="N114" t="s">
        <v>2</v>
      </c>
      <c r="O114" t="s">
        <v>2</v>
      </c>
      <c r="P114" t="s">
        <v>93</v>
      </c>
      <c r="Q114" t="s">
        <v>2</v>
      </c>
      <c r="R114" t="s">
        <v>310</v>
      </c>
      <c r="S114" s="2">
        <v>45251</v>
      </c>
      <c r="T114" s="2">
        <v>45280</v>
      </c>
      <c r="U114" s="2">
        <v>45287</v>
      </c>
      <c r="V114" s="3">
        <v>0</v>
      </c>
      <c r="W114" s="3">
        <v>0</v>
      </c>
      <c r="X114" t="s">
        <v>2</v>
      </c>
      <c r="Y114" s="2"/>
      <c r="Z114" t="s">
        <v>16</v>
      </c>
      <c r="AA114" t="s">
        <v>311</v>
      </c>
      <c r="AB114" t="s">
        <v>2</v>
      </c>
      <c r="AC114" t="s">
        <v>18</v>
      </c>
      <c r="AD114" t="s">
        <v>211</v>
      </c>
      <c r="AE114" t="s">
        <v>212</v>
      </c>
      <c r="AF114" s="4">
        <v>13436</v>
      </c>
      <c r="AG114" s="4">
        <v>0</v>
      </c>
      <c r="AH114" s="3">
        <v>4.75</v>
      </c>
      <c r="AI114" s="3">
        <v>63821</v>
      </c>
      <c r="AJ114" s="3">
        <v>51493973.850000001</v>
      </c>
      <c r="AK114" s="3">
        <v>0</v>
      </c>
      <c r="AL114" t="s">
        <v>21</v>
      </c>
      <c r="AM114" s="2"/>
      <c r="AN114" s="3">
        <v>0</v>
      </c>
      <c r="AO114" s="2"/>
      <c r="AP114" s="3">
        <v>0</v>
      </c>
      <c r="AQ114" t="s">
        <v>22</v>
      </c>
      <c r="AR114" t="s">
        <v>238</v>
      </c>
      <c r="AS114" t="s">
        <v>239</v>
      </c>
      <c r="AT114" t="s">
        <v>240</v>
      </c>
      <c r="AU114" t="s">
        <v>26</v>
      </c>
      <c r="AV114" t="s">
        <v>12</v>
      </c>
      <c r="AW114" t="s">
        <v>28</v>
      </c>
      <c r="AX114" t="s">
        <v>29</v>
      </c>
      <c r="AY114" t="s">
        <v>2</v>
      </c>
      <c r="AZ114" s="3">
        <v>0</v>
      </c>
      <c r="BA114" t="s">
        <v>2</v>
      </c>
      <c r="BB114" t="s">
        <v>312</v>
      </c>
      <c r="BC114" t="s">
        <v>2</v>
      </c>
      <c r="BD114" t="s">
        <v>313</v>
      </c>
      <c r="BE114">
        <f t="shared" si="1"/>
        <v>63821</v>
      </c>
    </row>
    <row r="115" spans="1:57" x14ac:dyDescent="0.2">
      <c r="A115" t="s">
        <v>0</v>
      </c>
      <c r="B115" t="s">
        <v>1</v>
      </c>
      <c r="C115" t="s">
        <v>2</v>
      </c>
      <c r="D115" t="s">
        <v>2</v>
      </c>
      <c r="E115" t="s">
        <v>33</v>
      </c>
      <c r="F115" t="s">
        <v>4</v>
      </c>
      <c r="G115" t="s">
        <v>308</v>
      </c>
      <c r="H115" t="s">
        <v>139</v>
      </c>
      <c r="I115" t="s">
        <v>7</v>
      </c>
      <c r="J115" t="s">
        <v>91</v>
      </c>
      <c r="K115" t="s">
        <v>8</v>
      </c>
      <c r="L115" t="s">
        <v>309</v>
      </c>
      <c r="M115" t="s">
        <v>139</v>
      </c>
      <c r="N115" t="s">
        <v>2</v>
      </c>
      <c r="O115" t="s">
        <v>2</v>
      </c>
      <c r="P115" t="s">
        <v>93</v>
      </c>
      <c r="Q115" t="s">
        <v>2</v>
      </c>
      <c r="R115" t="s">
        <v>310</v>
      </c>
      <c r="S115" s="2">
        <v>45251</v>
      </c>
      <c r="T115" s="2">
        <v>45280</v>
      </c>
      <c r="U115" s="2">
        <v>45287</v>
      </c>
      <c r="V115" s="3">
        <v>0</v>
      </c>
      <c r="W115" s="3">
        <v>0</v>
      </c>
      <c r="X115" t="s">
        <v>2</v>
      </c>
      <c r="Y115" s="2"/>
      <c r="Z115" t="s">
        <v>16</v>
      </c>
      <c r="AA115" t="s">
        <v>311</v>
      </c>
      <c r="AB115" t="s">
        <v>2</v>
      </c>
      <c r="AC115" t="s">
        <v>18</v>
      </c>
      <c r="AD115" t="s">
        <v>320</v>
      </c>
      <c r="AE115" t="s">
        <v>321</v>
      </c>
      <c r="AF115" s="4">
        <v>1731</v>
      </c>
      <c r="AG115" s="4">
        <v>0</v>
      </c>
      <c r="AH115" s="3">
        <v>7.2</v>
      </c>
      <c r="AI115" s="3">
        <v>12463.2</v>
      </c>
      <c r="AJ115" s="3">
        <v>10055932.92</v>
      </c>
      <c r="AK115" s="3">
        <v>0</v>
      </c>
      <c r="AL115" t="s">
        <v>21</v>
      </c>
      <c r="AM115" s="2"/>
      <c r="AN115" s="3">
        <v>0</v>
      </c>
      <c r="AO115" s="2"/>
      <c r="AP115" s="3">
        <v>0</v>
      </c>
      <c r="AQ115" t="s">
        <v>22</v>
      </c>
      <c r="AR115" t="s">
        <v>238</v>
      </c>
      <c r="AS115" t="s">
        <v>239</v>
      </c>
      <c r="AT115" t="s">
        <v>240</v>
      </c>
      <c r="AU115" t="s">
        <v>26</v>
      </c>
      <c r="AV115" t="s">
        <v>12</v>
      </c>
      <c r="AW115" t="s">
        <v>28</v>
      </c>
      <c r="AX115" t="s">
        <v>29</v>
      </c>
      <c r="AY115" t="s">
        <v>2</v>
      </c>
      <c r="AZ115" s="3">
        <v>0</v>
      </c>
      <c r="BA115" t="s">
        <v>2</v>
      </c>
      <c r="BB115" t="s">
        <v>312</v>
      </c>
      <c r="BC115" t="s">
        <v>2</v>
      </c>
      <c r="BD115" t="s">
        <v>313</v>
      </c>
      <c r="BE115">
        <f t="shared" si="1"/>
        <v>12463.2</v>
      </c>
    </row>
    <row r="116" spans="1:57" x14ac:dyDescent="0.2">
      <c r="A116" t="s">
        <v>0</v>
      </c>
      <c r="B116" t="s">
        <v>1</v>
      </c>
      <c r="C116" t="s">
        <v>2</v>
      </c>
      <c r="D116" t="s">
        <v>2</v>
      </c>
      <c r="E116" t="s">
        <v>322</v>
      </c>
      <c r="F116" t="s">
        <v>4</v>
      </c>
      <c r="G116" t="s">
        <v>308</v>
      </c>
      <c r="H116" t="s">
        <v>142</v>
      </c>
      <c r="I116" t="s">
        <v>7</v>
      </c>
      <c r="J116" t="s">
        <v>91</v>
      </c>
      <c r="K116" t="s">
        <v>8</v>
      </c>
      <c r="L116" t="s">
        <v>309</v>
      </c>
      <c r="M116" t="s">
        <v>142</v>
      </c>
      <c r="N116" t="s">
        <v>2</v>
      </c>
      <c r="O116" t="s">
        <v>2</v>
      </c>
      <c r="P116" t="s">
        <v>93</v>
      </c>
      <c r="Q116" t="s">
        <v>2</v>
      </c>
      <c r="R116" t="s">
        <v>310</v>
      </c>
      <c r="S116" s="2">
        <v>45251</v>
      </c>
      <c r="T116" s="2">
        <v>45280</v>
      </c>
      <c r="U116" s="2">
        <v>45287</v>
      </c>
      <c r="V116" s="3">
        <v>0</v>
      </c>
      <c r="W116" s="3">
        <v>0</v>
      </c>
      <c r="X116" t="s">
        <v>2</v>
      </c>
      <c r="Y116" s="2"/>
      <c r="Z116" t="s">
        <v>16</v>
      </c>
      <c r="AA116" t="s">
        <v>311</v>
      </c>
      <c r="AB116" t="s">
        <v>2</v>
      </c>
      <c r="AC116" t="s">
        <v>18</v>
      </c>
      <c r="AD116" t="s">
        <v>323</v>
      </c>
      <c r="AE116" t="s">
        <v>324</v>
      </c>
      <c r="AF116" s="4">
        <v>1426</v>
      </c>
      <c r="AG116" s="4">
        <v>0</v>
      </c>
      <c r="AH116" s="3">
        <v>4.1100000000000003</v>
      </c>
      <c r="AI116" s="3">
        <v>5860.86</v>
      </c>
      <c r="AJ116" s="3">
        <v>4728834.8899999997</v>
      </c>
      <c r="AK116" s="3">
        <v>0</v>
      </c>
      <c r="AL116" t="s">
        <v>21</v>
      </c>
      <c r="AM116" s="2"/>
      <c r="AN116" s="3">
        <v>0</v>
      </c>
      <c r="AO116" s="2"/>
      <c r="AP116" s="3">
        <v>0</v>
      </c>
      <c r="AQ116" t="s">
        <v>22</v>
      </c>
      <c r="AR116" t="s">
        <v>238</v>
      </c>
      <c r="AS116" t="s">
        <v>239</v>
      </c>
      <c r="AT116" t="s">
        <v>240</v>
      </c>
      <c r="AU116" t="s">
        <v>26</v>
      </c>
      <c r="AV116" t="s">
        <v>12</v>
      </c>
      <c r="AW116" t="s">
        <v>28</v>
      </c>
      <c r="AX116" t="s">
        <v>29</v>
      </c>
      <c r="AY116" t="s">
        <v>2</v>
      </c>
      <c r="AZ116" s="3">
        <v>0</v>
      </c>
      <c r="BA116" t="s">
        <v>2</v>
      </c>
      <c r="BB116" t="s">
        <v>312</v>
      </c>
      <c r="BC116" t="s">
        <v>2</v>
      </c>
      <c r="BD116" t="s">
        <v>313</v>
      </c>
      <c r="BE116">
        <f t="shared" si="1"/>
        <v>5860.86</v>
      </c>
    </row>
    <row r="117" spans="1:57" x14ac:dyDescent="0.2">
      <c r="A117" t="s">
        <v>0</v>
      </c>
      <c r="B117" t="s">
        <v>1</v>
      </c>
      <c r="C117" t="s">
        <v>2</v>
      </c>
      <c r="D117" t="s">
        <v>2</v>
      </c>
      <c r="E117" t="s">
        <v>33</v>
      </c>
      <c r="F117" t="s">
        <v>4</v>
      </c>
      <c r="G117" t="s">
        <v>308</v>
      </c>
      <c r="H117" t="s">
        <v>145</v>
      </c>
      <c r="I117" t="s">
        <v>7</v>
      </c>
      <c r="J117" t="s">
        <v>91</v>
      </c>
      <c r="K117" t="s">
        <v>8</v>
      </c>
      <c r="L117" t="s">
        <v>309</v>
      </c>
      <c r="M117" t="s">
        <v>145</v>
      </c>
      <c r="N117" t="s">
        <v>2</v>
      </c>
      <c r="O117" t="s">
        <v>2</v>
      </c>
      <c r="P117" t="s">
        <v>93</v>
      </c>
      <c r="Q117" t="s">
        <v>2</v>
      </c>
      <c r="R117" t="s">
        <v>310</v>
      </c>
      <c r="S117" s="2">
        <v>45251</v>
      </c>
      <c r="T117" s="2">
        <v>45280</v>
      </c>
      <c r="U117" s="2">
        <v>45287</v>
      </c>
      <c r="V117" s="3">
        <v>0</v>
      </c>
      <c r="W117" s="3">
        <v>0</v>
      </c>
      <c r="X117" t="s">
        <v>2</v>
      </c>
      <c r="Y117" s="2"/>
      <c r="Z117" t="s">
        <v>16</v>
      </c>
      <c r="AA117" t="s">
        <v>311</v>
      </c>
      <c r="AB117" t="s">
        <v>2</v>
      </c>
      <c r="AC117" t="s">
        <v>18</v>
      </c>
      <c r="AD117" t="s">
        <v>325</v>
      </c>
      <c r="AE117" t="s">
        <v>326</v>
      </c>
      <c r="AF117" s="4">
        <v>2106</v>
      </c>
      <c r="AG117" s="4">
        <v>0</v>
      </c>
      <c r="AH117" s="3">
        <v>7.2</v>
      </c>
      <c r="AI117" s="3">
        <v>15163.2</v>
      </c>
      <c r="AJ117" s="3">
        <v>12234427.92</v>
      </c>
      <c r="AK117" s="3">
        <v>0</v>
      </c>
      <c r="AL117" t="s">
        <v>21</v>
      </c>
      <c r="AM117" s="2"/>
      <c r="AN117" s="3">
        <v>0</v>
      </c>
      <c r="AO117" s="2"/>
      <c r="AP117" s="3">
        <v>0</v>
      </c>
      <c r="AQ117" t="s">
        <v>22</v>
      </c>
      <c r="AR117" t="s">
        <v>238</v>
      </c>
      <c r="AS117" t="s">
        <v>239</v>
      </c>
      <c r="AT117" t="s">
        <v>240</v>
      </c>
      <c r="AU117" t="s">
        <v>26</v>
      </c>
      <c r="AV117" t="s">
        <v>12</v>
      </c>
      <c r="AW117" t="s">
        <v>28</v>
      </c>
      <c r="AX117" t="s">
        <v>29</v>
      </c>
      <c r="AY117" t="s">
        <v>2</v>
      </c>
      <c r="AZ117" s="3">
        <v>0</v>
      </c>
      <c r="BA117" t="s">
        <v>2</v>
      </c>
      <c r="BB117" t="s">
        <v>312</v>
      </c>
      <c r="BC117" t="s">
        <v>2</v>
      </c>
      <c r="BD117" t="s">
        <v>313</v>
      </c>
      <c r="BE117">
        <f t="shared" si="1"/>
        <v>15163.2</v>
      </c>
    </row>
    <row r="118" spans="1:57" x14ac:dyDescent="0.2">
      <c r="A118" t="s">
        <v>0</v>
      </c>
      <c r="B118" t="s">
        <v>1</v>
      </c>
      <c r="C118" t="s">
        <v>2</v>
      </c>
      <c r="D118" t="s">
        <v>2</v>
      </c>
      <c r="E118" t="s">
        <v>33</v>
      </c>
      <c r="F118" t="s">
        <v>4</v>
      </c>
      <c r="G118" t="s">
        <v>308</v>
      </c>
      <c r="H118" t="s">
        <v>148</v>
      </c>
      <c r="I118" t="s">
        <v>7</v>
      </c>
      <c r="J118" t="s">
        <v>91</v>
      </c>
      <c r="K118" t="s">
        <v>8</v>
      </c>
      <c r="L118" t="s">
        <v>309</v>
      </c>
      <c r="M118" t="s">
        <v>148</v>
      </c>
      <c r="N118" t="s">
        <v>2</v>
      </c>
      <c r="O118" t="s">
        <v>2</v>
      </c>
      <c r="P118" t="s">
        <v>93</v>
      </c>
      <c r="Q118" t="s">
        <v>2</v>
      </c>
      <c r="R118" t="s">
        <v>310</v>
      </c>
      <c r="S118" s="2">
        <v>45251</v>
      </c>
      <c r="T118" s="2">
        <v>45280</v>
      </c>
      <c r="U118" s="2">
        <v>45287</v>
      </c>
      <c r="V118" s="3">
        <v>0</v>
      </c>
      <c r="W118" s="3">
        <v>0</v>
      </c>
      <c r="X118" t="s">
        <v>2</v>
      </c>
      <c r="Y118" s="2"/>
      <c r="Z118" t="s">
        <v>16</v>
      </c>
      <c r="AA118" t="s">
        <v>311</v>
      </c>
      <c r="AB118" t="s">
        <v>2</v>
      </c>
      <c r="AC118" t="s">
        <v>18</v>
      </c>
      <c r="AD118" t="s">
        <v>35</v>
      </c>
      <c r="AE118" t="s">
        <v>36</v>
      </c>
      <c r="AF118" s="4">
        <v>312</v>
      </c>
      <c r="AG118" s="4">
        <v>0</v>
      </c>
      <c r="AH118" s="3">
        <v>4.0199999999999996</v>
      </c>
      <c r="AI118" s="3">
        <v>1254.24</v>
      </c>
      <c r="AJ118" s="3">
        <v>1011983.54</v>
      </c>
      <c r="AK118" s="3">
        <v>0</v>
      </c>
      <c r="AL118" t="s">
        <v>21</v>
      </c>
      <c r="AM118" s="2"/>
      <c r="AN118" s="3">
        <v>0</v>
      </c>
      <c r="AO118" s="2"/>
      <c r="AP118" s="3">
        <v>0</v>
      </c>
      <c r="AQ118" t="s">
        <v>22</v>
      </c>
      <c r="AR118" t="s">
        <v>238</v>
      </c>
      <c r="AS118" t="s">
        <v>239</v>
      </c>
      <c r="AT118" t="s">
        <v>240</v>
      </c>
      <c r="AU118" t="s">
        <v>26</v>
      </c>
      <c r="AV118" t="s">
        <v>12</v>
      </c>
      <c r="AW118" t="s">
        <v>28</v>
      </c>
      <c r="AX118" t="s">
        <v>29</v>
      </c>
      <c r="AY118" t="s">
        <v>2</v>
      </c>
      <c r="AZ118" s="3">
        <v>0</v>
      </c>
      <c r="BA118" t="s">
        <v>2</v>
      </c>
      <c r="BB118" t="s">
        <v>312</v>
      </c>
      <c r="BC118" t="s">
        <v>2</v>
      </c>
      <c r="BD118" t="s">
        <v>313</v>
      </c>
      <c r="BE118">
        <f t="shared" si="1"/>
        <v>1254.24</v>
      </c>
    </row>
    <row r="119" spans="1:57" x14ac:dyDescent="0.2">
      <c r="A119" t="s">
        <v>0</v>
      </c>
      <c r="B119" t="s">
        <v>1</v>
      </c>
      <c r="C119" t="s">
        <v>2</v>
      </c>
      <c r="D119" t="s">
        <v>2</v>
      </c>
      <c r="E119" t="s">
        <v>157</v>
      </c>
      <c r="F119" t="s">
        <v>4</v>
      </c>
      <c r="G119" t="s">
        <v>308</v>
      </c>
      <c r="H119" t="s">
        <v>151</v>
      </c>
      <c r="I119" t="s">
        <v>7</v>
      </c>
      <c r="J119" t="s">
        <v>91</v>
      </c>
      <c r="K119" t="s">
        <v>8</v>
      </c>
      <c r="L119" t="s">
        <v>309</v>
      </c>
      <c r="M119" t="s">
        <v>151</v>
      </c>
      <c r="N119" t="s">
        <v>2</v>
      </c>
      <c r="O119" t="s">
        <v>2</v>
      </c>
      <c r="P119" t="s">
        <v>93</v>
      </c>
      <c r="Q119" t="s">
        <v>2</v>
      </c>
      <c r="R119" t="s">
        <v>310</v>
      </c>
      <c r="S119" s="2">
        <v>45251</v>
      </c>
      <c r="T119" s="2">
        <v>45280</v>
      </c>
      <c r="U119" s="2">
        <v>45287</v>
      </c>
      <c r="V119" s="3">
        <v>0</v>
      </c>
      <c r="W119" s="3">
        <v>0</v>
      </c>
      <c r="X119" t="s">
        <v>2</v>
      </c>
      <c r="Y119" s="2"/>
      <c r="Z119" t="s">
        <v>16</v>
      </c>
      <c r="AA119" t="s">
        <v>311</v>
      </c>
      <c r="AB119" t="s">
        <v>2</v>
      </c>
      <c r="AC119" t="s">
        <v>18</v>
      </c>
      <c r="AD119" t="s">
        <v>327</v>
      </c>
      <c r="AE119" t="s">
        <v>328</v>
      </c>
      <c r="AF119" s="4">
        <v>0.82</v>
      </c>
      <c r="AG119" s="4">
        <v>0</v>
      </c>
      <c r="AH119" s="3">
        <v>1416</v>
      </c>
      <c r="AI119" s="3">
        <v>1161.1199999999999</v>
      </c>
      <c r="AJ119" s="3">
        <v>936849.67</v>
      </c>
      <c r="AK119" s="3">
        <v>0</v>
      </c>
      <c r="AL119" t="s">
        <v>193</v>
      </c>
      <c r="AM119" s="2"/>
      <c r="AN119" s="3">
        <v>0</v>
      </c>
      <c r="AO119" s="2"/>
      <c r="AP119" s="3">
        <v>0</v>
      </c>
      <c r="AQ119" t="s">
        <v>22</v>
      </c>
      <c r="AR119" t="s">
        <v>238</v>
      </c>
      <c r="AS119" t="s">
        <v>239</v>
      </c>
      <c r="AT119" t="s">
        <v>240</v>
      </c>
      <c r="AU119" t="s">
        <v>26</v>
      </c>
      <c r="AV119" t="s">
        <v>12</v>
      </c>
      <c r="AW119" t="s">
        <v>28</v>
      </c>
      <c r="AX119" t="s">
        <v>29</v>
      </c>
      <c r="AY119" t="s">
        <v>2</v>
      </c>
      <c r="AZ119" s="3">
        <v>0</v>
      </c>
      <c r="BA119" t="s">
        <v>2</v>
      </c>
      <c r="BB119" t="s">
        <v>312</v>
      </c>
      <c r="BC119" t="s">
        <v>2</v>
      </c>
      <c r="BD119" t="s">
        <v>313</v>
      </c>
      <c r="BE119">
        <f t="shared" si="1"/>
        <v>1161.1199999999999</v>
      </c>
    </row>
    <row r="120" spans="1:57" x14ac:dyDescent="0.2">
      <c r="A120" t="s">
        <v>0</v>
      </c>
      <c r="B120" t="s">
        <v>1</v>
      </c>
      <c r="C120" t="s">
        <v>2</v>
      </c>
      <c r="D120" t="s">
        <v>2</v>
      </c>
      <c r="E120" t="s">
        <v>33</v>
      </c>
      <c r="F120" t="s">
        <v>4</v>
      </c>
      <c r="G120" t="s">
        <v>308</v>
      </c>
      <c r="H120" t="s">
        <v>153</v>
      </c>
      <c r="I120" t="s">
        <v>7</v>
      </c>
      <c r="J120" t="s">
        <v>91</v>
      </c>
      <c r="K120" t="s">
        <v>8</v>
      </c>
      <c r="L120" t="s">
        <v>309</v>
      </c>
      <c r="M120" t="s">
        <v>153</v>
      </c>
      <c r="N120" t="s">
        <v>2</v>
      </c>
      <c r="O120" t="s">
        <v>2</v>
      </c>
      <c r="P120" t="s">
        <v>93</v>
      </c>
      <c r="Q120" t="s">
        <v>2</v>
      </c>
      <c r="R120" t="s">
        <v>310</v>
      </c>
      <c r="S120" s="2">
        <v>45251</v>
      </c>
      <c r="T120" s="2">
        <v>45280</v>
      </c>
      <c r="U120" s="2">
        <v>45287</v>
      </c>
      <c r="V120" s="3">
        <v>0</v>
      </c>
      <c r="W120" s="3">
        <v>0</v>
      </c>
      <c r="X120" t="s">
        <v>2</v>
      </c>
      <c r="Y120" s="2"/>
      <c r="Z120" t="s">
        <v>16</v>
      </c>
      <c r="AA120" t="s">
        <v>311</v>
      </c>
      <c r="AB120" t="s">
        <v>2</v>
      </c>
      <c r="AC120" t="s">
        <v>18</v>
      </c>
      <c r="AD120" t="s">
        <v>329</v>
      </c>
      <c r="AE120" t="s">
        <v>330</v>
      </c>
      <c r="AF120" s="4">
        <v>669</v>
      </c>
      <c r="AG120" s="4">
        <v>0</v>
      </c>
      <c r="AH120" s="3">
        <v>5.9</v>
      </c>
      <c r="AI120" s="3">
        <v>3947.1</v>
      </c>
      <c r="AJ120" s="3">
        <v>3184717.64</v>
      </c>
      <c r="AK120" s="3">
        <v>0</v>
      </c>
      <c r="AL120" t="s">
        <v>21</v>
      </c>
      <c r="AM120" s="2"/>
      <c r="AN120" s="3">
        <v>0</v>
      </c>
      <c r="AO120" s="2"/>
      <c r="AP120" s="3">
        <v>0</v>
      </c>
      <c r="AQ120" t="s">
        <v>22</v>
      </c>
      <c r="AR120" t="s">
        <v>238</v>
      </c>
      <c r="AS120" t="s">
        <v>239</v>
      </c>
      <c r="AT120" t="s">
        <v>240</v>
      </c>
      <c r="AU120" t="s">
        <v>26</v>
      </c>
      <c r="AV120" t="s">
        <v>12</v>
      </c>
      <c r="AW120" t="s">
        <v>28</v>
      </c>
      <c r="AX120" t="s">
        <v>29</v>
      </c>
      <c r="AY120" t="s">
        <v>2</v>
      </c>
      <c r="AZ120" s="3">
        <v>0</v>
      </c>
      <c r="BA120" t="s">
        <v>2</v>
      </c>
      <c r="BB120" t="s">
        <v>312</v>
      </c>
      <c r="BC120" t="s">
        <v>2</v>
      </c>
      <c r="BD120" t="s">
        <v>313</v>
      </c>
      <c r="BE120">
        <f t="shared" si="1"/>
        <v>3947.1</v>
      </c>
    </row>
    <row r="121" spans="1:57" x14ac:dyDescent="0.2">
      <c r="A121" t="s">
        <v>0</v>
      </c>
      <c r="B121" t="s">
        <v>1</v>
      </c>
      <c r="C121" t="s">
        <v>2</v>
      </c>
      <c r="D121" t="s">
        <v>2</v>
      </c>
      <c r="E121" t="s">
        <v>41</v>
      </c>
      <c r="F121" t="s">
        <v>4</v>
      </c>
      <c r="G121" t="s">
        <v>331</v>
      </c>
      <c r="H121" t="s">
        <v>6</v>
      </c>
      <c r="I121" t="s">
        <v>7</v>
      </c>
      <c r="J121" t="s">
        <v>91</v>
      </c>
      <c r="K121" t="s">
        <v>8</v>
      </c>
      <c r="L121" t="s">
        <v>332</v>
      </c>
      <c r="M121" t="s">
        <v>6</v>
      </c>
      <c r="N121" t="s">
        <v>2</v>
      </c>
      <c r="O121" t="s">
        <v>2</v>
      </c>
      <c r="P121" t="s">
        <v>93</v>
      </c>
      <c r="Q121" t="s">
        <v>2</v>
      </c>
      <c r="R121" t="s">
        <v>333</v>
      </c>
      <c r="S121" s="2">
        <v>45251</v>
      </c>
      <c r="T121" s="2">
        <v>45280</v>
      </c>
      <c r="U121" s="2">
        <v>45287</v>
      </c>
      <c r="V121" s="3">
        <v>0</v>
      </c>
      <c r="W121" s="3">
        <v>0</v>
      </c>
      <c r="X121" t="s">
        <v>2</v>
      </c>
      <c r="Y121" s="2"/>
      <c r="Z121" t="s">
        <v>47</v>
      </c>
      <c r="AA121" t="s">
        <v>334</v>
      </c>
      <c r="AB121" t="s">
        <v>2</v>
      </c>
      <c r="AC121" t="s">
        <v>49</v>
      </c>
      <c r="AD121" t="s">
        <v>64</v>
      </c>
      <c r="AE121" t="s">
        <v>65</v>
      </c>
      <c r="AF121" s="4">
        <v>1</v>
      </c>
      <c r="AG121" s="4">
        <v>0</v>
      </c>
      <c r="AH121" s="3">
        <v>22207489.18</v>
      </c>
      <c r="AI121" s="3">
        <v>22207489.18</v>
      </c>
      <c r="AJ121" s="3">
        <v>22207489.18</v>
      </c>
      <c r="AK121" s="3">
        <v>0</v>
      </c>
      <c r="AL121" t="s">
        <v>52</v>
      </c>
      <c r="AM121" s="2"/>
      <c r="AN121" s="3">
        <v>0</v>
      </c>
      <c r="AO121" s="2"/>
      <c r="AP121" s="3">
        <v>0</v>
      </c>
      <c r="AQ121" t="s">
        <v>53</v>
      </c>
      <c r="AR121" t="s">
        <v>238</v>
      </c>
      <c r="AS121" t="s">
        <v>239</v>
      </c>
      <c r="AT121" t="s">
        <v>240</v>
      </c>
      <c r="AU121" t="s">
        <v>26</v>
      </c>
      <c r="AV121" t="s">
        <v>12</v>
      </c>
      <c r="AW121" t="s">
        <v>66</v>
      </c>
      <c r="AX121" t="s">
        <v>29</v>
      </c>
      <c r="AY121" t="s">
        <v>2</v>
      </c>
      <c r="AZ121" s="3">
        <v>0</v>
      </c>
      <c r="BA121" t="s">
        <v>2</v>
      </c>
      <c r="BB121" t="s">
        <v>312</v>
      </c>
      <c r="BC121" t="s">
        <v>2</v>
      </c>
      <c r="BD121" t="s">
        <v>242</v>
      </c>
      <c r="BE121">
        <f t="shared" si="1"/>
        <v>27523.689880399081</v>
      </c>
    </row>
    <row r="122" spans="1:57" x14ac:dyDescent="0.2">
      <c r="A122" t="s">
        <v>0</v>
      </c>
      <c r="B122" t="s">
        <v>1</v>
      </c>
      <c r="C122" t="s">
        <v>2</v>
      </c>
      <c r="D122" t="s">
        <v>2</v>
      </c>
      <c r="E122" t="s">
        <v>130</v>
      </c>
      <c r="F122" t="s">
        <v>335</v>
      </c>
      <c r="G122" t="s">
        <v>336</v>
      </c>
      <c r="H122" t="s">
        <v>6</v>
      </c>
      <c r="I122" t="s">
        <v>337</v>
      </c>
      <c r="J122" t="s">
        <v>2</v>
      </c>
      <c r="K122" t="s">
        <v>338</v>
      </c>
      <c r="L122" t="s">
        <v>339</v>
      </c>
      <c r="M122" t="s">
        <v>6</v>
      </c>
      <c r="N122" t="s">
        <v>2</v>
      </c>
      <c r="O122" t="s">
        <v>2</v>
      </c>
      <c r="P122" t="s">
        <v>93</v>
      </c>
      <c r="Q122" t="s">
        <v>2</v>
      </c>
      <c r="R122" t="s">
        <v>2</v>
      </c>
      <c r="S122" s="2"/>
      <c r="T122" s="2"/>
      <c r="U122" s="2">
        <v>45281</v>
      </c>
      <c r="V122" s="3">
        <v>0</v>
      </c>
      <c r="W122" s="3">
        <v>0</v>
      </c>
      <c r="X122" t="s">
        <v>2</v>
      </c>
      <c r="Y122" s="2"/>
      <c r="Z122" t="s">
        <v>16</v>
      </c>
      <c r="AA122" t="s">
        <v>2</v>
      </c>
      <c r="AB122" t="s">
        <v>2</v>
      </c>
      <c r="AC122" t="s">
        <v>340</v>
      </c>
      <c r="AD122" t="s">
        <v>131</v>
      </c>
      <c r="AE122" t="s">
        <v>132</v>
      </c>
      <c r="AF122" s="4">
        <v>170</v>
      </c>
      <c r="AG122" s="4">
        <v>0</v>
      </c>
      <c r="AH122" s="3">
        <v>0</v>
      </c>
      <c r="AI122" s="3">
        <v>0</v>
      </c>
      <c r="AJ122" s="3">
        <v>0</v>
      </c>
      <c r="AK122" s="3">
        <v>0</v>
      </c>
      <c r="AL122" t="s">
        <v>21</v>
      </c>
      <c r="AM122" s="2"/>
      <c r="AN122" s="3">
        <v>0</v>
      </c>
      <c r="AO122" s="2"/>
      <c r="AP122" s="3">
        <v>0</v>
      </c>
      <c r="AQ122" t="s">
        <v>22</v>
      </c>
      <c r="AR122" t="s">
        <v>207</v>
      </c>
      <c r="AS122" t="s">
        <v>208</v>
      </c>
      <c r="AT122" t="s">
        <v>209</v>
      </c>
      <c r="AU122" t="s">
        <v>26</v>
      </c>
      <c r="AV122" t="s">
        <v>12</v>
      </c>
      <c r="AW122" t="s">
        <v>28</v>
      </c>
      <c r="AX122" t="s">
        <v>29</v>
      </c>
      <c r="AY122" t="s">
        <v>2</v>
      </c>
      <c r="AZ122" s="3">
        <v>0</v>
      </c>
      <c r="BA122" t="s">
        <v>2</v>
      </c>
      <c r="BB122" t="s">
        <v>31</v>
      </c>
      <c r="BC122" t="s">
        <v>2</v>
      </c>
      <c r="BD122" t="s">
        <v>2</v>
      </c>
      <c r="BE122">
        <f t="shared" si="1"/>
        <v>0</v>
      </c>
    </row>
    <row r="123" spans="1:57" x14ac:dyDescent="0.2">
      <c r="A123" t="s">
        <v>0</v>
      </c>
      <c r="B123" t="s">
        <v>1</v>
      </c>
      <c r="C123" t="s">
        <v>2</v>
      </c>
      <c r="D123" t="s">
        <v>2</v>
      </c>
      <c r="E123" t="s">
        <v>3</v>
      </c>
      <c r="F123" t="s">
        <v>335</v>
      </c>
      <c r="G123" t="s">
        <v>336</v>
      </c>
      <c r="H123" t="s">
        <v>27</v>
      </c>
      <c r="I123" t="s">
        <v>337</v>
      </c>
      <c r="J123" t="s">
        <v>2</v>
      </c>
      <c r="K123" t="s">
        <v>338</v>
      </c>
      <c r="L123" t="s">
        <v>339</v>
      </c>
      <c r="M123" t="s">
        <v>27</v>
      </c>
      <c r="N123" t="s">
        <v>2</v>
      </c>
      <c r="O123" t="s">
        <v>2</v>
      </c>
      <c r="P123" t="s">
        <v>93</v>
      </c>
      <c r="Q123" t="s">
        <v>2</v>
      </c>
      <c r="R123" t="s">
        <v>2</v>
      </c>
      <c r="S123" s="2"/>
      <c r="T123" s="2"/>
      <c r="U123" s="2">
        <v>45281</v>
      </c>
      <c r="V123" s="3">
        <v>0</v>
      </c>
      <c r="W123" s="3">
        <v>0</v>
      </c>
      <c r="X123" t="s">
        <v>2</v>
      </c>
      <c r="Y123" s="2"/>
      <c r="Z123" t="s">
        <v>16</v>
      </c>
      <c r="AA123" t="s">
        <v>2</v>
      </c>
      <c r="AB123" t="s">
        <v>2</v>
      </c>
      <c r="AC123" t="s">
        <v>340</v>
      </c>
      <c r="AD123" t="s">
        <v>218</v>
      </c>
      <c r="AE123" t="s">
        <v>20</v>
      </c>
      <c r="AF123" s="4">
        <v>1590</v>
      </c>
      <c r="AG123" s="4">
        <v>0</v>
      </c>
      <c r="AH123" s="3">
        <v>0</v>
      </c>
      <c r="AI123" s="3">
        <v>0</v>
      </c>
      <c r="AJ123" s="3">
        <v>0</v>
      </c>
      <c r="AK123" s="3">
        <v>0</v>
      </c>
      <c r="AL123" t="s">
        <v>21</v>
      </c>
      <c r="AM123" s="2"/>
      <c r="AN123" s="3">
        <v>0</v>
      </c>
      <c r="AO123" s="2"/>
      <c r="AP123" s="3">
        <v>0</v>
      </c>
      <c r="AQ123" t="s">
        <v>22</v>
      </c>
      <c r="AR123" t="s">
        <v>207</v>
      </c>
      <c r="AS123" t="s">
        <v>208</v>
      </c>
      <c r="AT123" t="s">
        <v>209</v>
      </c>
      <c r="AU123" t="s">
        <v>26</v>
      </c>
      <c r="AV123" t="s">
        <v>12</v>
      </c>
      <c r="AW123" t="s">
        <v>28</v>
      </c>
      <c r="AX123" t="s">
        <v>29</v>
      </c>
      <c r="AY123" t="s">
        <v>2</v>
      </c>
      <c r="AZ123" s="3">
        <v>0</v>
      </c>
      <c r="BA123" t="s">
        <v>2</v>
      </c>
      <c r="BB123" t="s">
        <v>31</v>
      </c>
      <c r="BC123" t="s">
        <v>2</v>
      </c>
      <c r="BD123" t="s">
        <v>2</v>
      </c>
      <c r="BE123">
        <f t="shared" si="1"/>
        <v>0</v>
      </c>
    </row>
    <row r="124" spans="1:57" x14ac:dyDescent="0.2">
      <c r="A124" t="s">
        <v>0</v>
      </c>
      <c r="B124" t="s">
        <v>1</v>
      </c>
      <c r="C124" t="s">
        <v>2</v>
      </c>
      <c r="D124" t="s">
        <v>2</v>
      </c>
      <c r="E124" t="s">
        <v>3</v>
      </c>
      <c r="F124" t="s">
        <v>335</v>
      </c>
      <c r="G124" t="s">
        <v>336</v>
      </c>
      <c r="H124" t="s">
        <v>38</v>
      </c>
      <c r="I124" t="s">
        <v>337</v>
      </c>
      <c r="J124" t="s">
        <v>2</v>
      </c>
      <c r="K124" t="s">
        <v>338</v>
      </c>
      <c r="L124" t="s">
        <v>339</v>
      </c>
      <c r="M124" t="s">
        <v>38</v>
      </c>
      <c r="N124" t="s">
        <v>2</v>
      </c>
      <c r="O124" t="s">
        <v>2</v>
      </c>
      <c r="P124" t="s">
        <v>93</v>
      </c>
      <c r="Q124" t="s">
        <v>2</v>
      </c>
      <c r="R124" t="s">
        <v>2</v>
      </c>
      <c r="S124" s="2"/>
      <c r="T124" s="2"/>
      <c r="U124" s="2">
        <v>45281</v>
      </c>
      <c r="V124" s="3">
        <v>0</v>
      </c>
      <c r="W124" s="3">
        <v>0</v>
      </c>
      <c r="X124" t="s">
        <v>2</v>
      </c>
      <c r="Y124" s="2"/>
      <c r="Z124" t="s">
        <v>16</v>
      </c>
      <c r="AA124" t="s">
        <v>2</v>
      </c>
      <c r="AB124" t="s">
        <v>2</v>
      </c>
      <c r="AC124" t="s">
        <v>340</v>
      </c>
      <c r="AD124" t="s">
        <v>220</v>
      </c>
      <c r="AE124" t="s">
        <v>187</v>
      </c>
      <c r="AF124" s="4">
        <v>1450</v>
      </c>
      <c r="AG124" s="4">
        <v>0</v>
      </c>
      <c r="AH124" s="3">
        <v>0</v>
      </c>
      <c r="AI124" s="3">
        <v>0</v>
      </c>
      <c r="AJ124" s="3">
        <v>0</v>
      </c>
      <c r="AK124" s="3">
        <v>0</v>
      </c>
      <c r="AL124" t="s">
        <v>21</v>
      </c>
      <c r="AM124" s="2"/>
      <c r="AN124" s="3">
        <v>0</v>
      </c>
      <c r="AO124" s="2"/>
      <c r="AP124" s="3">
        <v>0</v>
      </c>
      <c r="AQ124" t="s">
        <v>22</v>
      </c>
      <c r="AR124" t="s">
        <v>207</v>
      </c>
      <c r="AS124" t="s">
        <v>208</v>
      </c>
      <c r="AT124" t="s">
        <v>209</v>
      </c>
      <c r="AU124" t="s">
        <v>26</v>
      </c>
      <c r="AV124" t="s">
        <v>12</v>
      </c>
      <c r="AW124" t="s">
        <v>28</v>
      </c>
      <c r="AX124" t="s">
        <v>29</v>
      </c>
      <c r="AY124" t="s">
        <v>2</v>
      </c>
      <c r="AZ124" s="3">
        <v>0</v>
      </c>
      <c r="BA124" t="s">
        <v>2</v>
      </c>
      <c r="BB124" t="s">
        <v>31</v>
      </c>
      <c r="BC124" t="s">
        <v>2</v>
      </c>
      <c r="BD124" t="s">
        <v>2</v>
      </c>
      <c r="BE124">
        <f t="shared" si="1"/>
        <v>0</v>
      </c>
    </row>
    <row r="125" spans="1:57" x14ac:dyDescent="0.2">
      <c r="A125" t="s">
        <v>0</v>
      </c>
      <c r="B125" t="s">
        <v>1</v>
      </c>
      <c r="C125" t="s">
        <v>2</v>
      </c>
      <c r="D125" t="s">
        <v>2</v>
      </c>
      <c r="E125" t="s">
        <v>3</v>
      </c>
      <c r="F125" t="s">
        <v>335</v>
      </c>
      <c r="G125" t="s">
        <v>336</v>
      </c>
      <c r="H125" t="s">
        <v>76</v>
      </c>
      <c r="I125" t="s">
        <v>337</v>
      </c>
      <c r="J125" t="s">
        <v>2</v>
      </c>
      <c r="K125" t="s">
        <v>338</v>
      </c>
      <c r="L125" t="s">
        <v>339</v>
      </c>
      <c r="M125" t="s">
        <v>76</v>
      </c>
      <c r="N125" t="s">
        <v>2</v>
      </c>
      <c r="O125" t="s">
        <v>2</v>
      </c>
      <c r="P125" t="s">
        <v>93</v>
      </c>
      <c r="Q125" t="s">
        <v>2</v>
      </c>
      <c r="R125" t="s">
        <v>2</v>
      </c>
      <c r="S125" s="2"/>
      <c r="T125" s="2"/>
      <c r="U125" s="2">
        <v>45281</v>
      </c>
      <c r="V125" s="3">
        <v>0</v>
      </c>
      <c r="W125" s="3">
        <v>0</v>
      </c>
      <c r="X125" t="s">
        <v>2</v>
      </c>
      <c r="Y125" s="2"/>
      <c r="Z125" t="s">
        <v>16</v>
      </c>
      <c r="AA125" t="s">
        <v>2</v>
      </c>
      <c r="AB125" t="s">
        <v>2</v>
      </c>
      <c r="AC125" t="s">
        <v>340</v>
      </c>
      <c r="AD125" t="s">
        <v>221</v>
      </c>
      <c r="AE125" t="s">
        <v>20</v>
      </c>
      <c r="AF125" s="4">
        <v>850</v>
      </c>
      <c r="AG125" s="4">
        <v>0</v>
      </c>
      <c r="AH125" s="3">
        <v>0</v>
      </c>
      <c r="AI125" s="3">
        <v>0</v>
      </c>
      <c r="AJ125" s="3">
        <v>0</v>
      </c>
      <c r="AK125" s="3">
        <v>0</v>
      </c>
      <c r="AL125" t="s">
        <v>21</v>
      </c>
      <c r="AM125" s="2"/>
      <c r="AN125" s="3">
        <v>0</v>
      </c>
      <c r="AO125" s="2"/>
      <c r="AP125" s="3">
        <v>0</v>
      </c>
      <c r="AQ125" t="s">
        <v>22</v>
      </c>
      <c r="AR125" t="s">
        <v>207</v>
      </c>
      <c r="AS125" t="s">
        <v>208</v>
      </c>
      <c r="AT125" t="s">
        <v>209</v>
      </c>
      <c r="AU125" t="s">
        <v>26</v>
      </c>
      <c r="AV125" t="s">
        <v>12</v>
      </c>
      <c r="AW125" t="s">
        <v>28</v>
      </c>
      <c r="AX125" t="s">
        <v>29</v>
      </c>
      <c r="AY125" t="s">
        <v>2</v>
      </c>
      <c r="AZ125" s="3">
        <v>0</v>
      </c>
      <c r="BA125" t="s">
        <v>2</v>
      </c>
      <c r="BB125" t="s">
        <v>31</v>
      </c>
      <c r="BC125" t="s">
        <v>2</v>
      </c>
      <c r="BD125" t="s">
        <v>2</v>
      </c>
      <c r="BE125">
        <f t="shared" si="1"/>
        <v>0</v>
      </c>
    </row>
    <row r="126" spans="1:57" x14ac:dyDescent="0.2">
      <c r="A126" t="s">
        <v>0</v>
      </c>
      <c r="B126" t="s">
        <v>1</v>
      </c>
      <c r="C126" t="s">
        <v>2</v>
      </c>
      <c r="D126" t="s">
        <v>2</v>
      </c>
      <c r="E126" t="s">
        <v>195</v>
      </c>
      <c r="F126" t="s">
        <v>335</v>
      </c>
      <c r="G126" t="s">
        <v>336</v>
      </c>
      <c r="H126" t="s">
        <v>79</v>
      </c>
      <c r="I126" t="s">
        <v>337</v>
      </c>
      <c r="J126" t="s">
        <v>2</v>
      </c>
      <c r="K126" t="s">
        <v>338</v>
      </c>
      <c r="L126" t="s">
        <v>339</v>
      </c>
      <c r="M126" t="s">
        <v>79</v>
      </c>
      <c r="N126" t="s">
        <v>2</v>
      </c>
      <c r="O126" t="s">
        <v>2</v>
      </c>
      <c r="P126" t="s">
        <v>93</v>
      </c>
      <c r="Q126" t="s">
        <v>2</v>
      </c>
      <c r="R126" t="s">
        <v>2</v>
      </c>
      <c r="S126" s="2"/>
      <c r="T126" s="2"/>
      <c r="U126" s="2">
        <v>45281</v>
      </c>
      <c r="V126" s="3">
        <v>0</v>
      </c>
      <c r="W126" s="3">
        <v>0</v>
      </c>
      <c r="X126" t="s">
        <v>2</v>
      </c>
      <c r="Y126" s="2"/>
      <c r="Z126" t="s">
        <v>16</v>
      </c>
      <c r="AA126" t="s">
        <v>2</v>
      </c>
      <c r="AB126" t="s">
        <v>2</v>
      </c>
      <c r="AC126" t="s">
        <v>340</v>
      </c>
      <c r="AD126" t="s">
        <v>222</v>
      </c>
      <c r="AE126" t="s">
        <v>189</v>
      </c>
      <c r="AF126" s="4">
        <v>140</v>
      </c>
      <c r="AG126" s="4">
        <v>0</v>
      </c>
      <c r="AH126" s="3">
        <v>0</v>
      </c>
      <c r="AI126" s="3">
        <v>0</v>
      </c>
      <c r="AJ126" s="3">
        <v>0</v>
      </c>
      <c r="AK126" s="3">
        <v>0</v>
      </c>
      <c r="AL126" t="s">
        <v>21</v>
      </c>
      <c r="AM126" s="2"/>
      <c r="AN126" s="3">
        <v>0</v>
      </c>
      <c r="AO126" s="2"/>
      <c r="AP126" s="3">
        <v>0</v>
      </c>
      <c r="AQ126" t="s">
        <v>22</v>
      </c>
      <c r="AR126" t="s">
        <v>207</v>
      </c>
      <c r="AS126" t="s">
        <v>208</v>
      </c>
      <c r="AT126" t="s">
        <v>209</v>
      </c>
      <c r="AU126" t="s">
        <v>26</v>
      </c>
      <c r="AV126" t="s">
        <v>12</v>
      </c>
      <c r="AW126" t="s">
        <v>28</v>
      </c>
      <c r="AX126" t="s">
        <v>29</v>
      </c>
      <c r="AY126" t="s">
        <v>2</v>
      </c>
      <c r="AZ126" s="3">
        <v>0</v>
      </c>
      <c r="BA126" t="s">
        <v>2</v>
      </c>
      <c r="BB126" t="s">
        <v>31</v>
      </c>
      <c r="BC126" t="s">
        <v>2</v>
      </c>
      <c r="BD126" t="s">
        <v>2</v>
      </c>
      <c r="BE126">
        <f t="shared" si="1"/>
        <v>0</v>
      </c>
    </row>
    <row r="127" spans="1:57" x14ac:dyDescent="0.2">
      <c r="A127" t="s">
        <v>0</v>
      </c>
      <c r="B127" t="s">
        <v>1</v>
      </c>
      <c r="C127" t="s">
        <v>2</v>
      </c>
      <c r="D127" t="s">
        <v>2</v>
      </c>
      <c r="E127" t="s">
        <v>33</v>
      </c>
      <c r="F127" t="s">
        <v>335</v>
      </c>
      <c r="G127" t="s">
        <v>336</v>
      </c>
      <c r="H127" t="s">
        <v>80</v>
      </c>
      <c r="I127" t="s">
        <v>337</v>
      </c>
      <c r="J127" t="s">
        <v>2</v>
      </c>
      <c r="K127" t="s">
        <v>338</v>
      </c>
      <c r="L127" t="s">
        <v>339</v>
      </c>
      <c r="M127" t="s">
        <v>80</v>
      </c>
      <c r="N127" t="s">
        <v>2</v>
      </c>
      <c r="O127" t="s">
        <v>2</v>
      </c>
      <c r="P127" t="s">
        <v>93</v>
      </c>
      <c r="Q127" t="s">
        <v>2</v>
      </c>
      <c r="R127" t="s">
        <v>2</v>
      </c>
      <c r="S127" s="2"/>
      <c r="T127" s="2"/>
      <c r="U127" s="2">
        <v>45281</v>
      </c>
      <c r="V127" s="3">
        <v>0</v>
      </c>
      <c r="W127" s="3">
        <v>0</v>
      </c>
      <c r="X127" t="s">
        <v>2</v>
      </c>
      <c r="Y127" s="2"/>
      <c r="Z127" t="s">
        <v>16</v>
      </c>
      <c r="AA127" t="s">
        <v>2</v>
      </c>
      <c r="AB127" t="s">
        <v>2</v>
      </c>
      <c r="AC127" t="s">
        <v>340</v>
      </c>
      <c r="AD127" t="s">
        <v>223</v>
      </c>
      <c r="AE127" t="s">
        <v>224</v>
      </c>
      <c r="AF127" s="4">
        <v>4025</v>
      </c>
      <c r="AG127" s="4">
        <v>0</v>
      </c>
      <c r="AH127" s="3">
        <v>0</v>
      </c>
      <c r="AI127" s="3">
        <v>0</v>
      </c>
      <c r="AJ127" s="3">
        <v>0</v>
      </c>
      <c r="AK127" s="3">
        <v>0</v>
      </c>
      <c r="AL127" t="s">
        <v>21</v>
      </c>
      <c r="AM127" s="2"/>
      <c r="AN127" s="3">
        <v>0</v>
      </c>
      <c r="AO127" s="2"/>
      <c r="AP127" s="3">
        <v>0</v>
      </c>
      <c r="AQ127" t="s">
        <v>22</v>
      </c>
      <c r="AR127" t="s">
        <v>207</v>
      </c>
      <c r="AS127" t="s">
        <v>208</v>
      </c>
      <c r="AT127" t="s">
        <v>209</v>
      </c>
      <c r="AU127" t="s">
        <v>26</v>
      </c>
      <c r="AV127" t="s">
        <v>12</v>
      </c>
      <c r="AW127" t="s">
        <v>28</v>
      </c>
      <c r="AX127" t="s">
        <v>29</v>
      </c>
      <c r="AY127" t="s">
        <v>2</v>
      </c>
      <c r="AZ127" s="3">
        <v>0</v>
      </c>
      <c r="BA127" t="s">
        <v>2</v>
      </c>
      <c r="BB127" t="s">
        <v>31</v>
      </c>
      <c r="BC127" t="s">
        <v>2</v>
      </c>
      <c r="BD127" t="s">
        <v>2</v>
      </c>
      <c r="BE127">
        <f t="shared" si="1"/>
        <v>0</v>
      </c>
    </row>
    <row r="128" spans="1:57" x14ac:dyDescent="0.2">
      <c r="A128" t="s">
        <v>0</v>
      </c>
      <c r="B128" t="s">
        <v>1</v>
      </c>
      <c r="C128" t="s">
        <v>2</v>
      </c>
      <c r="D128" t="s">
        <v>2</v>
      </c>
      <c r="E128" t="s">
        <v>215</v>
      </c>
      <c r="F128" t="s">
        <v>335</v>
      </c>
      <c r="G128" t="s">
        <v>336</v>
      </c>
      <c r="H128" t="s">
        <v>137</v>
      </c>
      <c r="I128" t="s">
        <v>337</v>
      </c>
      <c r="J128" t="s">
        <v>2</v>
      </c>
      <c r="K128" t="s">
        <v>338</v>
      </c>
      <c r="L128" t="s">
        <v>339</v>
      </c>
      <c r="M128" t="s">
        <v>137</v>
      </c>
      <c r="N128" t="s">
        <v>2</v>
      </c>
      <c r="O128" t="s">
        <v>2</v>
      </c>
      <c r="P128" t="s">
        <v>93</v>
      </c>
      <c r="Q128" t="s">
        <v>2</v>
      </c>
      <c r="R128" t="s">
        <v>2</v>
      </c>
      <c r="S128" s="2"/>
      <c r="T128" s="2"/>
      <c r="U128" s="2">
        <v>45281</v>
      </c>
      <c r="V128" s="3">
        <v>0</v>
      </c>
      <c r="W128" s="3">
        <v>0</v>
      </c>
      <c r="X128" t="s">
        <v>2</v>
      </c>
      <c r="Y128" s="2"/>
      <c r="Z128" t="s">
        <v>16</v>
      </c>
      <c r="AA128" t="s">
        <v>2</v>
      </c>
      <c r="AB128" t="s">
        <v>2</v>
      </c>
      <c r="AC128" t="s">
        <v>340</v>
      </c>
      <c r="AD128" t="s">
        <v>216</v>
      </c>
      <c r="AE128" t="s">
        <v>217</v>
      </c>
      <c r="AF128" s="4">
        <v>880</v>
      </c>
      <c r="AG128" s="4">
        <v>0</v>
      </c>
      <c r="AH128" s="3">
        <v>0</v>
      </c>
      <c r="AI128" s="3">
        <v>0</v>
      </c>
      <c r="AJ128" s="3">
        <v>0</v>
      </c>
      <c r="AK128" s="3">
        <v>0</v>
      </c>
      <c r="AL128" t="s">
        <v>21</v>
      </c>
      <c r="AM128" s="2"/>
      <c r="AN128" s="3">
        <v>0</v>
      </c>
      <c r="AO128" s="2"/>
      <c r="AP128" s="3">
        <v>0</v>
      </c>
      <c r="AQ128" t="s">
        <v>22</v>
      </c>
      <c r="AR128" t="s">
        <v>207</v>
      </c>
      <c r="AS128" t="s">
        <v>208</v>
      </c>
      <c r="AT128" t="s">
        <v>209</v>
      </c>
      <c r="AU128" t="s">
        <v>26</v>
      </c>
      <c r="AV128" t="s">
        <v>12</v>
      </c>
      <c r="AW128" t="s">
        <v>28</v>
      </c>
      <c r="AX128" t="s">
        <v>29</v>
      </c>
      <c r="AY128" t="s">
        <v>2</v>
      </c>
      <c r="AZ128" s="3">
        <v>0</v>
      </c>
      <c r="BA128" t="s">
        <v>2</v>
      </c>
      <c r="BB128" t="s">
        <v>31</v>
      </c>
      <c r="BC128" t="s">
        <v>2</v>
      </c>
      <c r="BD128" t="s">
        <v>2</v>
      </c>
      <c r="BE128">
        <f t="shared" si="1"/>
        <v>0</v>
      </c>
    </row>
    <row r="129" spans="1:57" x14ac:dyDescent="0.2">
      <c r="A129" t="s">
        <v>0</v>
      </c>
      <c r="B129" t="s">
        <v>1</v>
      </c>
      <c r="C129" t="s">
        <v>2</v>
      </c>
      <c r="D129" t="s">
        <v>2</v>
      </c>
      <c r="E129" t="s">
        <v>3</v>
      </c>
      <c r="F129" t="s">
        <v>335</v>
      </c>
      <c r="G129" t="s">
        <v>341</v>
      </c>
      <c r="H129" t="s">
        <v>6</v>
      </c>
      <c r="I129" t="s">
        <v>337</v>
      </c>
      <c r="J129" t="s">
        <v>2</v>
      </c>
      <c r="K129" t="s">
        <v>338</v>
      </c>
      <c r="L129" t="s">
        <v>342</v>
      </c>
      <c r="M129" t="s">
        <v>6</v>
      </c>
      <c r="N129" t="s">
        <v>2</v>
      </c>
      <c r="O129" t="s">
        <v>2</v>
      </c>
      <c r="P129" t="s">
        <v>93</v>
      </c>
      <c r="Q129" t="s">
        <v>2</v>
      </c>
      <c r="R129" t="s">
        <v>2</v>
      </c>
      <c r="S129" s="2"/>
      <c r="T129" s="2"/>
      <c r="U129" s="2">
        <v>45281</v>
      </c>
      <c r="V129" s="3">
        <v>0</v>
      </c>
      <c r="W129" s="3">
        <v>0</v>
      </c>
      <c r="X129" t="s">
        <v>2</v>
      </c>
      <c r="Y129" s="2"/>
      <c r="Z129" t="s">
        <v>16</v>
      </c>
      <c r="AA129" t="s">
        <v>2</v>
      </c>
      <c r="AB129" t="s">
        <v>2</v>
      </c>
      <c r="AC129" t="s">
        <v>340</v>
      </c>
      <c r="AD129" t="s">
        <v>152</v>
      </c>
      <c r="AE129" t="s">
        <v>20</v>
      </c>
      <c r="AF129" s="4">
        <v>200</v>
      </c>
      <c r="AG129" s="4">
        <v>0</v>
      </c>
      <c r="AH129" s="3">
        <v>0</v>
      </c>
      <c r="AI129" s="3">
        <v>0</v>
      </c>
      <c r="AJ129" s="3">
        <v>0</v>
      </c>
      <c r="AK129" s="3">
        <v>0</v>
      </c>
      <c r="AL129" t="s">
        <v>21</v>
      </c>
      <c r="AM129" s="2"/>
      <c r="AN129" s="3">
        <v>0</v>
      </c>
      <c r="AO129" s="2"/>
      <c r="AP129" s="3">
        <v>0</v>
      </c>
      <c r="AQ129" t="s">
        <v>22</v>
      </c>
      <c r="AR129" t="s">
        <v>122</v>
      </c>
      <c r="AS129" t="s">
        <v>123</v>
      </c>
      <c r="AT129" t="s">
        <v>124</v>
      </c>
      <c r="AU129" t="s">
        <v>26</v>
      </c>
      <c r="AV129" t="s">
        <v>12</v>
      </c>
      <c r="AW129" t="s">
        <v>28</v>
      </c>
      <c r="AX129" t="s">
        <v>29</v>
      </c>
      <c r="AY129" t="s">
        <v>2</v>
      </c>
      <c r="AZ129" s="3">
        <v>0</v>
      </c>
      <c r="BA129" t="s">
        <v>2</v>
      </c>
      <c r="BB129" t="s">
        <v>31</v>
      </c>
      <c r="BC129" t="s">
        <v>2</v>
      </c>
      <c r="BD129" t="s">
        <v>2</v>
      </c>
      <c r="BE129">
        <f t="shared" si="1"/>
        <v>0</v>
      </c>
    </row>
    <row r="130" spans="1:57" x14ac:dyDescent="0.2">
      <c r="A130" t="s">
        <v>0</v>
      </c>
      <c r="B130" t="s">
        <v>1</v>
      </c>
      <c r="C130" t="s">
        <v>2</v>
      </c>
      <c r="D130" t="s">
        <v>2</v>
      </c>
      <c r="E130" t="s">
        <v>195</v>
      </c>
      <c r="F130" t="s">
        <v>335</v>
      </c>
      <c r="G130" t="s">
        <v>341</v>
      </c>
      <c r="H130" t="s">
        <v>27</v>
      </c>
      <c r="I130" t="s">
        <v>337</v>
      </c>
      <c r="J130" t="s">
        <v>2</v>
      </c>
      <c r="K130" t="s">
        <v>338</v>
      </c>
      <c r="L130" t="s">
        <v>342</v>
      </c>
      <c r="M130" t="s">
        <v>27</v>
      </c>
      <c r="N130" t="s">
        <v>2</v>
      </c>
      <c r="O130" t="s">
        <v>2</v>
      </c>
      <c r="P130" t="s">
        <v>93</v>
      </c>
      <c r="Q130" t="s">
        <v>2</v>
      </c>
      <c r="R130" t="s">
        <v>2</v>
      </c>
      <c r="S130" s="2"/>
      <c r="T130" s="2"/>
      <c r="U130" s="2">
        <v>45281</v>
      </c>
      <c r="V130" s="3">
        <v>0</v>
      </c>
      <c r="W130" s="3">
        <v>0</v>
      </c>
      <c r="X130" t="s">
        <v>2</v>
      </c>
      <c r="Y130" s="2"/>
      <c r="Z130" t="s">
        <v>16</v>
      </c>
      <c r="AA130" t="s">
        <v>2</v>
      </c>
      <c r="AB130" t="s">
        <v>2</v>
      </c>
      <c r="AC130" t="s">
        <v>340</v>
      </c>
      <c r="AD130" t="s">
        <v>196</v>
      </c>
      <c r="AE130" t="s">
        <v>189</v>
      </c>
      <c r="AF130" s="4">
        <v>0.6</v>
      </c>
      <c r="AG130" s="4">
        <v>0</v>
      </c>
      <c r="AH130" s="3">
        <v>0</v>
      </c>
      <c r="AI130" s="3">
        <v>0</v>
      </c>
      <c r="AJ130" s="3">
        <v>0</v>
      </c>
      <c r="AK130" s="3">
        <v>0</v>
      </c>
      <c r="AL130" t="s">
        <v>193</v>
      </c>
      <c r="AM130" s="2"/>
      <c r="AN130" s="3">
        <v>0</v>
      </c>
      <c r="AO130" s="2"/>
      <c r="AP130" s="3">
        <v>0</v>
      </c>
      <c r="AQ130" t="s">
        <v>22</v>
      </c>
      <c r="AR130" t="s">
        <v>122</v>
      </c>
      <c r="AS130" t="s">
        <v>123</v>
      </c>
      <c r="AT130" t="s">
        <v>124</v>
      </c>
      <c r="AU130" t="s">
        <v>26</v>
      </c>
      <c r="AV130" t="s">
        <v>12</v>
      </c>
      <c r="AW130" t="s">
        <v>28</v>
      </c>
      <c r="AX130" t="s">
        <v>29</v>
      </c>
      <c r="AY130" t="s">
        <v>2</v>
      </c>
      <c r="AZ130" s="3">
        <v>0</v>
      </c>
      <c r="BA130" t="s">
        <v>2</v>
      </c>
      <c r="BB130" t="s">
        <v>31</v>
      </c>
      <c r="BC130" t="s">
        <v>2</v>
      </c>
      <c r="BD130" t="s">
        <v>2</v>
      </c>
      <c r="BE130">
        <f t="shared" si="1"/>
        <v>0</v>
      </c>
    </row>
    <row r="131" spans="1:57" x14ac:dyDescent="0.2">
      <c r="A131" t="s">
        <v>0</v>
      </c>
      <c r="B131" t="s">
        <v>1</v>
      </c>
      <c r="C131" t="s">
        <v>2</v>
      </c>
      <c r="D131" t="s">
        <v>2</v>
      </c>
      <c r="E131" t="s">
        <v>33</v>
      </c>
      <c r="F131" t="s">
        <v>335</v>
      </c>
      <c r="G131" t="s">
        <v>341</v>
      </c>
      <c r="H131" t="s">
        <v>38</v>
      </c>
      <c r="I131" t="s">
        <v>337</v>
      </c>
      <c r="J131" t="s">
        <v>2</v>
      </c>
      <c r="K131" t="s">
        <v>338</v>
      </c>
      <c r="L131" t="s">
        <v>342</v>
      </c>
      <c r="M131" t="s">
        <v>38</v>
      </c>
      <c r="N131" t="s">
        <v>2</v>
      </c>
      <c r="O131" t="s">
        <v>2</v>
      </c>
      <c r="P131" t="s">
        <v>93</v>
      </c>
      <c r="Q131" t="s">
        <v>2</v>
      </c>
      <c r="R131" t="s">
        <v>2</v>
      </c>
      <c r="S131" s="2"/>
      <c r="T131" s="2"/>
      <c r="U131" s="2">
        <v>45281</v>
      </c>
      <c r="V131" s="3">
        <v>0</v>
      </c>
      <c r="W131" s="3">
        <v>0</v>
      </c>
      <c r="X131" t="s">
        <v>2</v>
      </c>
      <c r="Y131" s="2"/>
      <c r="Z131" t="s">
        <v>16</v>
      </c>
      <c r="AA131" t="s">
        <v>2</v>
      </c>
      <c r="AB131" t="s">
        <v>2</v>
      </c>
      <c r="AC131" t="s">
        <v>340</v>
      </c>
      <c r="AD131" t="s">
        <v>143</v>
      </c>
      <c r="AE131" t="s">
        <v>144</v>
      </c>
      <c r="AF131" s="4">
        <v>290</v>
      </c>
      <c r="AG131" s="4">
        <v>0</v>
      </c>
      <c r="AH131" s="3">
        <v>0</v>
      </c>
      <c r="AI131" s="3">
        <v>0</v>
      </c>
      <c r="AJ131" s="3">
        <v>0</v>
      </c>
      <c r="AK131" s="3">
        <v>0</v>
      </c>
      <c r="AL131" t="s">
        <v>21</v>
      </c>
      <c r="AM131" s="2"/>
      <c r="AN131" s="3">
        <v>0</v>
      </c>
      <c r="AO131" s="2"/>
      <c r="AP131" s="3">
        <v>0</v>
      </c>
      <c r="AQ131" t="s">
        <v>22</v>
      </c>
      <c r="AR131" t="s">
        <v>122</v>
      </c>
      <c r="AS131" t="s">
        <v>123</v>
      </c>
      <c r="AT131" t="s">
        <v>124</v>
      </c>
      <c r="AU131" t="s">
        <v>26</v>
      </c>
      <c r="AV131" t="s">
        <v>12</v>
      </c>
      <c r="AW131" t="s">
        <v>28</v>
      </c>
      <c r="AX131" t="s">
        <v>29</v>
      </c>
      <c r="AY131" t="s">
        <v>2</v>
      </c>
      <c r="AZ131" s="3">
        <v>0</v>
      </c>
      <c r="BA131" t="s">
        <v>2</v>
      </c>
      <c r="BB131" t="s">
        <v>31</v>
      </c>
      <c r="BC131" t="s">
        <v>2</v>
      </c>
      <c r="BD131" t="s">
        <v>2</v>
      </c>
      <c r="BE131">
        <f t="shared" ref="BE131:BE141" si="2">IF(AW131="USD",AI131,AI131/$BF$1)</f>
        <v>0</v>
      </c>
    </row>
    <row r="132" spans="1:57" x14ac:dyDescent="0.2">
      <c r="A132" t="s">
        <v>0</v>
      </c>
      <c r="B132" t="s">
        <v>1</v>
      </c>
      <c r="C132" t="s">
        <v>2</v>
      </c>
      <c r="D132" t="s">
        <v>2</v>
      </c>
      <c r="E132" t="s">
        <v>33</v>
      </c>
      <c r="F132" t="s">
        <v>335</v>
      </c>
      <c r="G132" t="s">
        <v>343</v>
      </c>
      <c r="H132" t="s">
        <v>6</v>
      </c>
      <c r="I132" t="s">
        <v>337</v>
      </c>
      <c r="J132" t="s">
        <v>2</v>
      </c>
      <c r="K132" t="s">
        <v>338</v>
      </c>
      <c r="L132" t="s">
        <v>344</v>
      </c>
      <c r="M132" t="s">
        <v>6</v>
      </c>
      <c r="N132" t="s">
        <v>2</v>
      </c>
      <c r="O132" t="s">
        <v>2</v>
      </c>
      <c r="P132" t="s">
        <v>93</v>
      </c>
      <c r="Q132" t="s">
        <v>2</v>
      </c>
      <c r="R132" t="s">
        <v>2</v>
      </c>
      <c r="S132" s="2"/>
      <c r="T132" s="2"/>
      <c r="U132" s="2">
        <v>45281</v>
      </c>
      <c r="V132" s="3">
        <v>0</v>
      </c>
      <c r="W132" s="3">
        <v>0</v>
      </c>
      <c r="X132" t="s">
        <v>2</v>
      </c>
      <c r="Y132" s="2"/>
      <c r="Z132" t="s">
        <v>16</v>
      </c>
      <c r="AA132" t="s">
        <v>2</v>
      </c>
      <c r="AB132" t="s">
        <v>2</v>
      </c>
      <c r="AC132" t="s">
        <v>340</v>
      </c>
      <c r="AD132" t="s">
        <v>211</v>
      </c>
      <c r="AE132" t="s">
        <v>212</v>
      </c>
      <c r="AF132" s="4">
        <v>3000</v>
      </c>
      <c r="AG132" s="4">
        <v>0</v>
      </c>
      <c r="AH132" s="3">
        <v>0</v>
      </c>
      <c r="AI132" s="3">
        <v>0</v>
      </c>
      <c r="AJ132" s="3">
        <v>0</v>
      </c>
      <c r="AK132" s="3">
        <v>0</v>
      </c>
      <c r="AL132" t="s">
        <v>21</v>
      </c>
      <c r="AM132" s="2"/>
      <c r="AN132" s="3">
        <v>0</v>
      </c>
      <c r="AO132" s="2"/>
      <c r="AP132" s="3">
        <v>0</v>
      </c>
      <c r="AQ132" t="s">
        <v>22</v>
      </c>
      <c r="AR132" t="s">
        <v>238</v>
      </c>
      <c r="AS132" t="s">
        <v>239</v>
      </c>
      <c r="AT132" t="s">
        <v>240</v>
      </c>
      <c r="AU132" t="s">
        <v>26</v>
      </c>
      <c r="AV132" t="s">
        <v>12</v>
      </c>
      <c r="AW132" t="s">
        <v>28</v>
      </c>
      <c r="AX132" t="s">
        <v>29</v>
      </c>
      <c r="AY132" t="s">
        <v>2</v>
      </c>
      <c r="AZ132" s="3">
        <v>0</v>
      </c>
      <c r="BA132" t="s">
        <v>2</v>
      </c>
      <c r="BB132" t="s">
        <v>312</v>
      </c>
      <c r="BC132" t="s">
        <v>2</v>
      </c>
      <c r="BD132" t="s">
        <v>2</v>
      </c>
      <c r="BE132">
        <f t="shared" si="2"/>
        <v>0</v>
      </c>
    </row>
    <row r="133" spans="1:57" x14ac:dyDescent="0.2">
      <c r="A133" t="s">
        <v>0</v>
      </c>
      <c r="B133" t="s">
        <v>1</v>
      </c>
      <c r="C133" t="s">
        <v>2</v>
      </c>
      <c r="D133" t="s">
        <v>2</v>
      </c>
      <c r="E133" t="s">
        <v>3</v>
      </c>
      <c r="F133" t="s">
        <v>335</v>
      </c>
      <c r="G133" t="s">
        <v>343</v>
      </c>
      <c r="H133" t="s">
        <v>27</v>
      </c>
      <c r="I133" t="s">
        <v>337</v>
      </c>
      <c r="J133" t="s">
        <v>2</v>
      </c>
      <c r="K133" t="s">
        <v>338</v>
      </c>
      <c r="L133" t="s">
        <v>344</v>
      </c>
      <c r="M133" t="s">
        <v>27</v>
      </c>
      <c r="N133" t="s">
        <v>2</v>
      </c>
      <c r="O133" t="s">
        <v>2</v>
      </c>
      <c r="P133" t="s">
        <v>93</v>
      </c>
      <c r="Q133" t="s">
        <v>2</v>
      </c>
      <c r="R133" t="s">
        <v>2</v>
      </c>
      <c r="S133" s="2"/>
      <c r="T133" s="2"/>
      <c r="U133" s="2">
        <v>45281</v>
      </c>
      <c r="V133" s="3">
        <v>0</v>
      </c>
      <c r="W133" s="3">
        <v>0</v>
      </c>
      <c r="X133" t="s">
        <v>2</v>
      </c>
      <c r="Y133" s="2"/>
      <c r="Z133" t="s">
        <v>16</v>
      </c>
      <c r="AA133" t="s">
        <v>2</v>
      </c>
      <c r="AB133" t="s">
        <v>2</v>
      </c>
      <c r="AC133" t="s">
        <v>340</v>
      </c>
      <c r="AD133" t="s">
        <v>186</v>
      </c>
      <c r="AE133" t="s">
        <v>187</v>
      </c>
      <c r="AF133" s="4">
        <v>420</v>
      </c>
      <c r="AG133" s="4">
        <v>0</v>
      </c>
      <c r="AH133" s="3">
        <v>0</v>
      </c>
      <c r="AI133" s="3">
        <v>0</v>
      </c>
      <c r="AJ133" s="3">
        <v>0</v>
      </c>
      <c r="AK133" s="3">
        <v>0</v>
      </c>
      <c r="AL133" t="s">
        <v>21</v>
      </c>
      <c r="AM133" s="2"/>
      <c r="AN133" s="3">
        <v>0</v>
      </c>
      <c r="AO133" s="2"/>
      <c r="AP133" s="3">
        <v>0</v>
      </c>
      <c r="AQ133" t="s">
        <v>22</v>
      </c>
      <c r="AR133" t="s">
        <v>238</v>
      </c>
      <c r="AS133" t="s">
        <v>239</v>
      </c>
      <c r="AT133" t="s">
        <v>240</v>
      </c>
      <c r="AU133" t="s">
        <v>26</v>
      </c>
      <c r="AV133" t="s">
        <v>12</v>
      </c>
      <c r="AW133" t="s">
        <v>28</v>
      </c>
      <c r="AX133" t="s">
        <v>29</v>
      </c>
      <c r="AY133" t="s">
        <v>2</v>
      </c>
      <c r="AZ133" s="3">
        <v>0</v>
      </c>
      <c r="BA133" t="s">
        <v>2</v>
      </c>
      <c r="BB133" t="s">
        <v>312</v>
      </c>
      <c r="BC133" t="s">
        <v>2</v>
      </c>
      <c r="BD133" t="s">
        <v>2</v>
      </c>
      <c r="BE133">
        <f t="shared" si="2"/>
        <v>0</v>
      </c>
    </row>
    <row r="134" spans="1:57" x14ac:dyDescent="0.2">
      <c r="A134" t="s">
        <v>0</v>
      </c>
      <c r="B134" t="s">
        <v>1</v>
      </c>
      <c r="C134" t="s">
        <v>2</v>
      </c>
      <c r="D134" t="s">
        <v>2</v>
      </c>
      <c r="E134" t="s">
        <v>345</v>
      </c>
      <c r="F134" t="s">
        <v>335</v>
      </c>
      <c r="G134" t="s">
        <v>343</v>
      </c>
      <c r="H134" t="s">
        <v>38</v>
      </c>
      <c r="I134" t="s">
        <v>337</v>
      </c>
      <c r="J134" t="s">
        <v>2</v>
      </c>
      <c r="K134" t="s">
        <v>338</v>
      </c>
      <c r="L134" t="s">
        <v>344</v>
      </c>
      <c r="M134" t="s">
        <v>38</v>
      </c>
      <c r="N134" t="s">
        <v>2</v>
      </c>
      <c r="O134" t="s">
        <v>2</v>
      </c>
      <c r="P134" t="s">
        <v>93</v>
      </c>
      <c r="Q134" t="s">
        <v>2</v>
      </c>
      <c r="R134" t="s">
        <v>2</v>
      </c>
      <c r="S134" s="2"/>
      <c r="T134" s="2"/>
      <c r="U134" s="2">
        <v>45281</v>
      </c>
      <c r="V134" s="3">
        <v>0</v>
      </c>
      <c r="W134" s="3">
        <v>0</v>
      </c>
      <c r="X134" t="s">
        <v>2</v>
      </c>
      <c r="Y134" s="2"/>
      <c r="Z134" t="s">
        <v>16</v>
      </c>
      <c r="AA134" t="s">
        <v>2</v>
      </c>
      <c r="AB134" t="s">
        <v>2</v>
      </c>
      <c r="AC134" t="s">
        <v>340</v>
      </c>
      <c r="AD134" t="s">
        <v>346</v>
      </c>
      <c r="AE134" t="s">
        <v>347</v>
      </c>
      <c r="AF134" s="4">
        <v>1650</v>
      </c>
      <c r="AG134" s="4">
        <v>0</v>
      </c>
      <c r="AH134" s="3">
        <v>0</v>
      </c>
      <c r="AI134" s="3">
        <v>0</v>
      </c>
      <c r="AJ134" s="3">
        <v>0</v>
      </c>
      <c r="AK134" s="3">
        <v>0</v>
      </c>
      <c r="AL134" t="s">
        <v>21</v>
      </c>
      <c r="AM134" s="2"/>
      <c r="AN134" s="3">
        <v>0</v>
      </c>
      <c r="AO134" s="2"/>
      <c r="AP134" s="3">
        <v>0</v>
      </c>
      <c r="AQ134" t="s">
        <v>22</v>
      </c>
      <c r="AR134" t="s">
        <v>238</v>
      </c>
      <c r="AS134" t="s">
        <v>239</v>
      </c>
      <c r="AT134" t="s">
        <v>240</v>
      </c>
      <c r="AU134" t="s">
        <v>26</v>
      </c>
      <c r="AV134" t="s">
        <v>12</v>
      </c>
      <c r="AW134" t="s">
        <v>28</v>
      </c>
      <c r="AX134" t="s">
        <v>29</v>
      </c>
      <c r="AY134" t="s">
        <v>2</v>
      </c>
      <c r="AZ134" s="3">
        <v>0</v>
      </c>
      <c r="BA134" t="s">
        <v>2</v>
      </c>
      <c r="BB134" t="s">
        <v>312</v>
      </c>
      <c r="BC134" t="s">
        <v>2</v>
      </c>
      <c r="BD134" t="s">
        <v>2</v>
      </c>
      <c r="BE134">
        <f t="shared" si="2"/>
        <v>0</v>
      </c>
    </row>
    <row r="135" spans="1:57" x14ac:dyDescent="0.2">
      <c r="A135" t="s">
        <v>0</v>
      </c>
      <c r="B135" t="s">
        <v>1</v>
      </c>
      <c r="C135" t="s">
        <v>2</v>
      </c>
      <c r="D135" t="s">
        <v>2</v>
      </c>
      <c r="E135" t="s">
        <v>33</v>
      </c>
      <c r="F135" t="s">
        <v>335</v>
      </c>
      <c r="G135" t="s">
        <v>343</v>
      </c>
      <c r="H135" t="s">
        <v>76</v>
      </c>
      <c r="I135" t="s">
        <v>337</v>
      </c>
      <c r="J135" t="s">
        <v>2</v>
      </c>
      <c r="K135" t="s">
        <v>338</v>
      </c>
      <c r="L135" t="s">
        <v>344</v>
      </c>
      <c r="M135" t="s">
        <v>76</v>
      </c>
      <c r="N135" t="s">
        <v>2</v>
      </c>
      <c r="O135" t="s">
        <v>2</v>
      </c>
      <c r="P135" t="s">
        <v>93</v>
      </c>
      <c r="Q135" t="s">
        <v>2</v>
      </c>
      <c r="R135" t="s">
        <v>2</v>
      </c>
      <c r="S135" s="2"/>
      <c r="T135" s="2"/>
      <c r="U135" s="2">
        <v>45281</v>
      </c>
      <c r="V135" s="3">
        <v>0</v>
      </c>
      <c r="W135" s="3">
        <v>0</v>
      </c>
      <c r="X135" t="s">
        <v>2</v>
      </c>
      <c r="Y135" s="2"/>
      <c r="Z135" t="s">
        <v>16</v>
      </c>
      <c r="AA135" t="s">
        <v>2</v>
      </c>
      <c r="AB135" t="s">
        <v>2</v>
      </c>
      <c r="AC135" t="s">
        <v>340</v>
      </c>
      <c r="AD135" t="s">
        <v>126</v>
      </c>
      <c r="AE135" t="s">
        <v>127</v>
      </c>
      <c r="AF135" s="4">
        <v>600</v>
      </c>
      <c r="AG135" s="4">
        <v>0</v>
      </c>
      <c r="AH135" s="3">
        <v>0</v>
      </c>
      <c r="AI135" s="3">
        <v>0</v>
      </c>
      <c r="AJ135" s="3">
        <v>0</v>
      </c>
      <c r="AK135" s="3">
        <v>0</v>
      </c>
      <c r="AL135" t="s">
        <v>21</v>
      </c>
      <c r="AM135" s="2"/>
      <c r="AN135" s="3">
        <v>0</v>
      </c>
      <c r="AO135" s="2"/>
      <c r="AP135" s="3">
        <v>0</v>
      </c>
      <c r="AQ135" t="s">
        <v>22</v>
      </c>
      <c r="AR135" t="s">
        <v>238</v>
      </c>
      <c r="AS135" t="s">
        <v>239</v>
      </c>
      <c r="AT135" t="s">
        <v>240</v>
      </c>
      <c r="AU135" t="s">
        <v>26</v>
      </c>
      <c r="AV135" t="s">
        <v>12</v>
      </c>
      <c r="AW135" t="s">
        <v>28</v>
      </c>
      <c r="AX135" t="s">
        <v>29</v>
      </c>
      <c r="AY135" t="s">
        <v>2</v>
      </c>
      <c r="AZ135" s="3">
        <v>0</v>
      </c>
      <c r="BA135" t="s">
        <v>2</v>
      </c>
      <c r="BB135" t="s">
        <v>312</v>
      </c>
      <c r="BC135" t="s">
        <v>2</v>
      </c>
      <c r="BD135" t="s">
        <v>2</v>
      </c>
      <c r="BE135">
        <f t="shared" si="2"/>
        <v>0</v>
      </c>
    </row>
    <row r="136" spans="1:57" x14ac:dyDescent="0.2">
      <c r="A136" t="s">
        <v>0</v>
      </c>
      <c r="B136" t="s">
        <v>1</v>
      </c>
      <c r="C136" t="s">
        <v>2</v>
      </c>
      <c r="D136" t="s">
        <v>2</v>
      </c>
      <c r="E136" t="s">
        <v>33</v>
      </c>
      <c r="F136" t="s">
        <v>335</v>
      </c>
      <c r="G136" t="s">
        <v>343</v>
      </c>
      <c r="H136" t="s">
        <v>79</v>
      </c>
      <c r="I136" t="s">
        <v>337</v>
      </c>
      <c r="J136" t="s">
        <v>2</v>
      </c>
      <c r="K136" t="s">
        <v>338</v>
      </c>
      <c r="L136" t="s">
        <v>344</v>
      </c>
      <c r="M136" t="s">
        <v>79</v>
      </c>
      <c r="N136" t="s">
        <v>2</v>
      </c>
      <c r="O136" t="s">
        <v>2</v>
      </c>
      <c r="P136" t="s">
        <v>93</v>
      </c>
      <c r="Q136" t="s">
        <v>2</v>
      </c>
      <c r="R136" t="s">
        <v>2</v>
      </c>
      <c r="S136" s="2"/>
      <c r="T136" s="2"/>
      <c r="U136" s="2">
        <v>45281</v>
      </c>
      <c r="V136" s="3">
        <v>0</v>
      </c>
      <c r="W136" s="3">
        <v>0</v>
      </c>
      <c r="X136" t="s">
        <v>2</v>
      </c>
      <c r="Y136" s="2"/>
      <c r="Z136" t="s">
        <v>16</v>
      </c>
      <c r="AA136" t="s">
        <v>2</v>
      </c>
      <c r="AB136" t="s">
        <v>2</v>
      </c>
      <c r="AC136" t="s">
        <v>340</v>
      </c>
      <c r="AD136" t="s">
        <v>184</v>
      </c>
      <c r="AE136" t="s">
        <v>185</v>
      </c>
      <c r="AF136" s="4">
        <v>100</v>
      </c>
      <c r="AG136" s="4">
        <v>0</v>
      </c>
      <c r="AH136" s="3">
        <v>0</v>
      </c>
      <c r="AI136" s="3">
        <v>0</v>
      </c>
      <c r="AJ136" s="3">
        <v>0</v>
      </c>
      <c r="AK136" s="3">
        <v>0</v>
      </c>
      <c r="AL136" t="s">
        <v>21</v>
      </c>
      <c r="AM136" s="2"/>
      <c r="AN136" s="3">
        <v>0</v>
      </c>
      <c r="AO136" s="2"/>
      <c r="AP136" s="3">
        <v>0</v>
      </c>
      <c r="AQ136" t="s">
        <v>22</v>
      </c>
      <c r="AR136" t="s">
        <v>238</v>
      </c>
      <c r="AS136" t="s">
        <v>239</v>
      </c>
      <c r="AT136" t="s">
        <v>240</v>
      </c>
      <c r="AU136" t="s">
        <v>26</v>
      </c>
      <c r="AV136" t="s">
        <v>12</v>
      </c>
      <c r="AW136" t="s">
        <v>28</v>
      </c>
      <c r="AX136" t="s">
        <v>29</v>
      </c>
      <c r="AY136" t="s">
        <v>2</v>
      </c>
      <c r="AZ136" s="3">
        <v>0</v>
      </c>
      <c r="BA136" t="s">
        <v>2</v>
      </c>
      <c r="BB136" t="s">
        <v>312</v>
      </c>
      <c r="BC136" t="s">
        <v>2</v>
      </c>
      <c r="BD136" t="s">
        <v>2</v>
      </c>
      <c r="BE136">
        <f t="shared" si="2"/>
        <v>0</v>
      </c>
    </row>
    <row r="137" spans="1:57" x14ac:dyDescent="0.2">
      <c r="A137" t="s">
        <v>0</v>
      </c>
      <c r="B137" t="s">
        <v>1</v>
      </c>
      <c r="C137" t="s">
        <v>2</v>
      </c>
      <c r="D137" t="s">
        <v>2</v>
      </c>
      <c r="E137" t="s">
        <v>33</v>
      </c>
      <c r="F137" t="s">
        <v>335</v>
      </c>
      <c r="G137" t="s">
        <v>343</v>
      </c>
      <c r="H137" t="s">
        <v>80</v>
      </c>
      <c r="I137" t="s">
        <v>337</v>
      </c>
      <c r="J137" t="s">
        <v>2</v>
      </c>
      <c r="K137" t="s">
        <v>338</v>
      </c>
      <c r="L137" t="s">
        <v>344</v>
      </c>
      <c r="M137" t="s">
        <v>80</v>
      </c>
      <c r="N137" t="s">
        <v>2</v>
      </c>
      <c r="O137" t="s">
        <v>2</v>
      </c>
      <c r="P137" t="s">
        <v>93</v>
      </c>
      <c r="Q137" t="s">
        <v>2</v>
      </c>
      <c r="R137" t="s">
        <v>2</v>
      </c>
      <c r="S137" s="2"/>
      <c r="T137" s="2"/>
      <c r="U137" s="2">
        <v>45281</v>
      </c>
      <c r="V137" s="3">
        <v>0</v>
      </c>
      <c r="W137" s="3">
        <v>0</v>
      </c>
      <c r="X137" t="s">
        <v>2</v>
      </c>
      <c r="Y137" s="2"/>
      <c r="Z137" t="s">
        <v>16</v>
      </c>
      <c r="AA137" t="s">
        <v>2</v>
      </c>
      <c r="AB137" t="s">
        <v>2</v>
      </c>
      <c r="AC137" t="s">
        <v>340</v>
      </c>
      <c r="AD137" t="s">
        <v>318</v>
      </c>
      <c r="AE137" t="s">
        <v>319</v>
      </c>
      <c r="AF137" s="4">
        <v>800</v>
      </c>
      <c r="AG137" s="4">
        <v>0</v>
      </c>
      <c r="AH137" s="3">
        <v>0</v>
      </c>
      <c r="AI137" s="3">
        <v>0</v>
      </c>
      <c r="AJ137" s="3">
        <v>0</v>
      </c>
      <c r="AK137" s="3">
        <v>0</v>
      </c>
      <c r="AL137" t="s">
        <v>21</v>
      </c>
      <c r="AM137" s="2"/>
      <c r="AN137" s="3">
        <v>0</v>
      </c>
      <c r="AO137" s="2"/>
      <c r="AP137" s="3">
        <v>0</v>
      </c>
      <c r="AQ137" t="s">
        <v>22</v>
      </c>
      <c r="AR137" t="s">
        <v>238</v>
      </c>
      <c r="AS137" t="s">
        <v>239</v>
      </c>
      <c r="AT137" t="s">
        <v>240</v>
      </c>
      <c r="AU137" t="s">
        <v>26</v>
      </c>
      <c r="AV137" t="s">
        <v>12</v>
      </c>
      <c r="AW137" t="s">
        <v>28</v>
      </c>
      <c r="AX137" t="s">
        <v>29</v>
      </c>
      <c r="AY137" t="s">
        <v>2</v>
      </c>
      <c r="AZ137" s="3">
        <v>0</v>
      </c>
      <c r="BA137" t="s">
        <v>2</v>
      </c>
      <c r="BB137" t="s">
        <v>312</v>
      </c>
      <c r="BC137" t="s">
        <v>2</v>
      </c>
      <c r="BD137" t="s">
        <v>2</v>
      </c>
      <c r="BE137">
        <f t="shared" si="2"/>
        <v>0</v>
      </c>
    </row>
    <row r="138" spans="1:57" x14ac:dyDescent="0.2">
      <c r="A138" t="s">
        <v>0</v>
      </c>
      <c r="B138" t="s">
        <v>1</v>
      </c>
      <c r="C138" t="s">
        <v>2</v>
      </c>
      <c r="D138" t="s">
        <v>2</v>
      </c>
      <c r="E138" t="s">
        <v>33</v>
      </c>
      <c r="F138" t="s">
        <v>335</v>
      </c>
      <c r="G138" t="s">
        <v>343</v>
      </c>
      <c r="H138" t="s">
        <v>137</v>
      </c>
      <c r="I138" t="s">
        <v>337</v>
      </c>
      <c r="J138" t="s">
        <v>2</v>
      </c>
      <c r="K138" t="s">
        <v>338</v>
      </c>
      <c r="L138" t="s">
        <v>344</v>
      </c>
      <c r="M138" t="s">
        <v>137</v>
      </c>
      <c r="N138" t="s">
        <v>2</v>
      </c>
      <c r="O138" t="s">
        <v>2</v>
      </c>
      <c r="P138" t="s">
        <v>93</v>
      </c>
      <c r="Q138" t="s">
        <v>2</v>
      </c>
      <c r="R138" t="s">
        <v>2</v>
      </c>
      <c r="S138" s="2"/>
      <c r="T138" s="2"/>
      <c r="U138" s="2">
        <v>45281</v>
      </c>
      <c r="V138" s="3">
        <v>0</v>
      </c>
      <c r="W138" s="3">
        <v>0</v>
      </c>
      <c r="X138" t="s">
        <v>2</v>
      </c>
      <c r="Y138" s="2"/>
      <c r="Z138" t="s">
        <v>16</v>
      </c>
      <c r="AA138" t="s">
        <v>2</v>
      </c>
      <c r="AB138" t="s">
        <v>2</v>
      </c>
      <c r="AC138" t="s">
        <v>340</v>
      </c>
      <c r="AD138" t="s">
        <v>348</v>
      </c>
      <c r="AE138" t="s">
        <v>349</v>
      </c>
      <c r="AF138" s="4">
        <v>2000</v>
      </c>
      <c r="AG138" s="4">
        <v>0</v>
      </c>
      <c r="AH138" s="3">
        <v>0</v>
      </c>
      <c r="AI138" s="3">
        <v>0</v>
      </c>
      <c r="AJ138" s="3">
        <v>0</v>
      </c>
      <c r="AK138" s="3">
        <v>0</v>
      </c>
      <c r="AL138" t="s">
        <v>21</v>
      </c>
      <c r="AM138" s="2"/>
      <c r="AN138" s="3">
        <v>0</v>
      </c>
      <c r="AO138" s="2"/>
      <c r="AP138" s="3">
        <v>0</v>
      </c>
      <c r="AQ138" t="s">
        <v>22</v>
      </c>
      <c r="AR138" t="s">
        <v>238</v>
      </c>
      <c r="AS138" t="s">
        <v>239</v>
      </c>
      <c r="AT138" t="s">
        <v>240</v>
      </c>
      <c r="AU138" t="s">
        <v>26</v>
      </c>
      <c r="AV138" t="s">
        <v>12</v>
      </c>
      <c r="AW138" t="s">
        <v>28</v>
      </c>
      <c r="AX138" t="s">
        <v>29</v>
      </c>
      <c r="AY138" t="s">
        <v>2</v>
      </c>
      <c r="AZ138" s="3">
        <v>0</v>
      </c>
      <c r="BA138" t="s">
        <v>2</v>
      </c>
      <c r="BB138" t="s">
        <v>312</v>
      </c>
      <c r="BC138" t="s">
        <v>2</v>
      </c>
      <c r="BD138" t="s">
        <v>2</v>
      </c>
      <c r="BE138">
        <f t="shared" si="2"/>
        <v>0</v>
      </c>
    </row>
    <row r="139" spans="1:57" x14ac:dyDescent="0.2">
      <c r="A139" t="s">
        <v>0</v>
      </c>
      <c r="B139" t="s">
        <v>1</v>
      </c>
      <c r="C139" t="s">
        <v>2</v>
      </c>
      <c r="D139" t="s">
        <v>2</v>
      </c>
      <c r="E139" t="s">
        <v>33</v>
      </c>
      <c r="F139" t="s">
        <v>335</v>
      </c>
      <c r="G139" t="s">
        <v>343</v>
      </c>
      <c r="H139" t="s">
        <v>139</v>
      </c>
      <c r="I139" t="s">
        <v>337</v>
      </c>
      <c r="J139" t="s">
        <v>2</v>
      </c>
      <c r="K139" t="s">
        <v>338</v>
      </c>
      <c r="L139" t="s">
        <v>344</v>
      </c>
      <c r="M139" t="s">
        <v>139</v>
      </c>
      <c r="N139" t="s">
        <v>2</v>
      </c>
      <c r="O139" t="s">
        <v>2</v>
      </c>
      <c r="P139" t="s">
        <v>93</v>
      </c>
      <c r="Q139" t="s">
        <v>2</v>
      </c>
      <c r="R139" t="s">
        <v>2</v>
      </c>
      <c r="S139" s="2"/>
      <c r="T139" s="2"/>
      <c r="U139" s="2">
        <v>45281</v>
      </c>
      <c r="V139" s="3">
        <v>0</v>
      </c>
      <c r="W139" s="3">
        <v>0</v>
      </c>
      <c r="X139" t="s">
        <v>2</v>
      </c>
      <c r="Y139" s="2"/>
      <c r="Z139" t="s">
        <v>16</v>
      </c>
      <c r="AA139" t="s">
        <v>2</v>
      </c>
      <c r="AB139" t="s">
        <v>2</v>
      </c>
      <c r="AC139" t="s">
        <v>340</v>
      </c>
      <c r="AD139" t="s">
        <v>350</v>
      </c>
      <c r="AE139" t="s">
        <v>351</v>
      </c>
      <c r="AF139" s="4">
        <v>100</v>
      </c>
      <c r="AG139" s="4">
        <v>0</v>
      </c>
      <c r="AH139" s="3">
        <v>0</v>
      </c>
      <c r="AI139" s="3">
        <v>0</v>
      </c>
      <c r="AJ139" s="3">
        <v>0</v>
      </c>
      <c r="AK139" s="3">
        <v>0</v>
      </c>
      <c r="AL139" t="s">
        <v>21</v>
      </c>
      <c r="AM139" s="2"/>
      <c r="AN139" s="3">
        <v>0</v>
      </c>
      <c r="AO139" s="2"/>
      <c r="AP139" s="3">
        <v>0</v>
      </c>
      <c r="AQ139" t="s">
        <v>22</v>
      </c>
      <c r="AR139" t="s">
        <v>238</v>
      </c>
      <c r="AS139" t="s">
        <v>239</v>
      </c>
      <c r="AT139" t="s">
        <v>240</v>
      </c>
      <c r="AU139" t="s">
        <v>26</v>
      </c>
      <c r="AV139" t="s">
        <v>12</v>
      </c>
      <c r="AW139" t="s">
        <v>28</v>
      </c>
      <c r="AX139" t="s">
        <v>29</v>
      </c>
      <c r="AY139" t="s">
        <v>2</v>
      </c>
      <c r="AZ139" s="3">
        <v>0</v>
      </c>
      <c r="BA139" t="s">
        <v>2</v>
      </c>
      <c r="BB139" t="s">
        <v>312</v>
      </c>
      <c r="BC139" t="s">
        <v>2</v>
      </c>
      <c r="BD139" t="s">
        <v>2</v>
      </c>
      <c r="BE139">
        <f t="shared" si="2"/>
        <v>0</v>
      </c>
    </row>
    <row r="140" spans="1:57" x14ac:dyDescent="0.2">
      <c r="A140" t="s">
        <v>0</v>
      </c>
      <c r="B140" t="s">
        <v>1</v>
      </c>
      <c r="C140" t="s">
        <v>2</v>
      </c>
      <c r="D140" t="s">
        <v>2</v>
      </c>
      <c r="E140" t="s">
        <v>33</v>
      </c>
      <c r="F140" t="s">
        <v>335</v>
      </c>
      <c r="G140" t="s">
        <v>343</v>
      </c>
      <c r="H140" t="s">
        <v>142</v>
      </c>
      <c r="I140" t="s">
        <v>337</v>
      </c>
      <c r="J140" t="s">
        <v>2</v>
      </c>
      <c r="K140" t="s">
        <v>338</v>
      </c>
      <c r="L140" t="s">
        <v>344</v>
      </c>
      <c r="M140" t="s">
        <v>142</v>
      </c>
      <c r="N140" t="s">
        <v>2</v>
      </c>
      <c r="O140" t="s">
        <v>2</v>
      </c>
      <c r="P140" t="s">
        <v>93</v>
      </c>
      <c r="Q140" t="s">
        <v>2</v>
      </c>
      <c r="R140" t="s">
        <v>2</v>
      </c>
      <c r="S140" s="2"/>
      <c r="T140" s="2"/>
      <c r="U140" s="2">
        <v>45281</v>
      </c>
      <c r="V140" s="3">
        <v>0</v>
      </c>
      <c r="W140" s="3">
        <v>0</v>
      </c>
      <c r="X140" t="s">
        <v>2</v>
      </c>
      <c r="Y140" s="2"/>
      <c r="Z140" t="s">
        <v>16</v>
      </c>
      <c r="AA140" t="s">
        <v>2</v>
      </c>
      <c r="AB140" t="s">
        <v>2</v>
      </c>
      <c r="AC140" t="s">
        <v>340</v>
      </c>
      <c r="AD140" t="s">
        <v>77</v>
      </c>
      <c r="AE140" t="s">
        <v>78</v>
      </c>
      <c r="AF140" s="4">
        <v>230</v>
      </c>
      <c r="AG140" s="4">
        <v>0</v>
      </c>
      <c r="AH140" s="3">
        <v>0</v>
      </c>
      <c r="AI140" s="3">
        <v>0</v>
      </c>
      <c r="AJ140" s="3">
        <v>0</v>
      </c>
      <c r="AK140" s="3">
        <v>0</v>
      </c>
      <c r="AL140" t="s">
        <v>21</v>
      </c>
      <c r="AM140" s="2"/>
      <c r="AN140" s="3">
        <v>0</v>
      </c>
      <c r="AO140" s="2"/>
      <c r="AP140" s="3">
        <v>0</v>
      </c>
      <c r="AQ140" t="s">
        <v>22</v>
      </c>
      <c r="AR140" t="s">
        <v>238</v>
      </c>
      <c r="AS140" t="s">
        <v>239</v>
      </c>
      <c r="AT140" t="s">
        <v>240</v>
      </c>
      <c r="AU140" t="s">
        <v>26</v>
      </c>
      <c r="AV140" t="s">
        <v>12</v>
      </c>
      <c r="AW140" t="s">
        <v>28</v>
      </c>
      <c r="AX140" t="s">
        <v>29</v>
      </c>
      <c r="AY140" t="s">
        <v>2</v>
      </c>
      <c r="AZ140" s="3">
        <v>0</v>
      </c>
      <c r="BA140" t="s">
        <v>2</v>
      </c>
      <c r="BB140" t="s">
        <v>312</v>
      </c>
      <c r="BC140" t="s">
        <v>2</v>
      </c>
      <c r="BD140" t="s">
        <v>2</v>
      </c>
      <c r="BE140">
        <f t="shared" si="2"/>
        <v>0</v>
      </c>
    </row>
    <row r="141" spans="1:57" x14ac:dyDescent="0.2">
      <c r="A141" t="s">
        <v>0</v>
      </c>
      <c r="B141" t="s">
        <v>1</v>
      </c>
      <c r="C141" t="s">
        <v>2</v>
      </c>
      <c r="D141" t="s">
        <v>2</v>
      </c>
      <c r="E141" t="s">
        <v>33</v>
      </c>
      <c r="F141" t="s">
        <v>335</v>
      </c>
      <c r="G141" t="s">
        <v>343</v>
      </c>
      <c r="H141" t="s">
        <v>145</v>
      </c>
      <c r="I141" t="s">
        <v>337</v>
      </c>
      <c r="J141" t="s">
        <v>2</v>
      </c>
      <c r="K141" t="s">
        <v>338</v>
      </c>
      <c r="L141" t="s">
        <v>344</v>
      </c>
      <c r="M141" t="s">
        <v>145</v>
      </c>
      <c r="N141" t="s">
        <v>2</v>
      </c>
      <c r="O141" t="s">
        <v>2</v>
      </c>
      <c r="P141" t="s">
        <v>93</v>
      </c>
      <c r="Q141" t="s">
        <v>2</v>
      </c>
      <c r="R141" t="s">
        <v>2</v>
      </c>
      <c r="S141" s="2"/>
      <c r="T141" s="2"/>
      <c r="U141" s="2">
        <v>45281</v>
      </c>
      <c r="V141" s="3">
        <v>0</v>
      </c>
      <c r="W141" s="3">
        <v>0</v>
      </c>
      <c r="X141" t="s">
        <v>2</v>
      </c>
      <c r="Y141" s="2"/>
      <c r="Z141" t="s">
        <v>16</v>
      </c>
      <c r="AA141" t="s">
        <v>2</v>
      </c>
      <c r="AB141" t="s">
        <v>2</v>
      </c>
      <c r="AC141" t="s">
        <v>340</v>
      </c>
      <c r="AD141" t="s">
        <v>320</v>
      </c>
      <c r="AE141" t="s">
        <v>321</v>
      </c>
      <c r="AF141" s="4">
        <v>200</v>
      </c>
      <c r="AG141" s="4">
        <v>0</v>
      </c>
      <c r="AH141" s="3">
        <v>0</v>
      </c>
      <c r="AI141" s="3">
        <v>0</v>
      </c>
      <c r="AJ141" s="3">
        <v>0</v>
      </c>
      <c r="AK141" s="3">
        <v>0</v>
      </c>
      <c r="AL141" t="s">
        <v>21</v>
      </c>
      <c r="AM141" s="2"/>
      <c r="AN141" s="3">
        <v>0</v>
      </c>
      <c r="AO141" s="2"/>
      <c r="AP141" s="3">
        <v>0</v>
      </c>
      <c r="AQ141" t="s">
        <v>22</v>
      </c>
      <c r="AR141" t="s">
        <v>238</v>
      </c>
      <c r="AS141" t="s">
        <v>239</v>
      </c>
      <c r="AT141" t="s">
        <v>240</v>
      </c>
      <c r="AU141" t="s">
        <v>26</v>
      </c>
      <c r="AV141" t="s">
        <v>12</v>
      </c>
      <c r="AW141" t="s">
        <v>28</v>
      </c>
      <c r="AX141" t="s">
        <v>29</v>
      </c>
      <c r="AY141" t="s">
        <v>2</v>
      </c>
      <c r="AZ141" s="3">
        <v>0</v>
      </c>
      <c r="BA141" t="s">
        <v>2</v>
      </c>
      <c r="BB141" t="s">
        <v>312</v>
      </c>
      <c r="BC141" t="s">
        <v>2</v>
      </c>
      <c r="BD141" t="s">
        <v>2</v>
      </c>
      <c r="BE141">
        <f t="shared" si="2"/>
        <v>0</v>
      </c>
    </row>
    <row r="142" spans="1:57" x14ac:dyDescent="0.2">
      <c r="A142" t="s">
        <v>0</v>
      </c>
      <c r="B142" t="s">
        <v>1</v>
      </c>
      <c r="C142" t="s">
        <v>2</v>
      </c>
      <c r="D142" t="s">
        <v>2</v>
      </c>
      <c r="E142" t="s">
        <v>33</v>
      </c>
      <c r="F142" t="s">
        <v>335</v>
      </c>
      <c r="G142" t="s">
        <v>343</v>
      </c>
      <c r="H142" t="s">
        <v>148</v>
      </c>
      <c r="I142" t="s">
        <v>337</v>
      </c>
      <c r="J142" t="s">
        <v>2</v>
      </c>
      <c r="K142" t="s">
        <v>338</v>
      </c>
      <c r="L142" t="s">
        <v>344</v>
      </c>
      <c r="M142" t="s">
        <v>148</v>
      </c>
      <c r="N142" t="s">
        <v>2</v>
      </c>
      <c r="O142" t="s">
        <v>2</v>
      </c>
      <c r="P142" t="s">
        <v>93</v>
      </c>
      <c r="Q142" t="s">
        <v>2</v>
      </c>
      <c r="R142" t="s">
        <v>2</v>
      </c>
      <c r="S142" s="2"/>
      <c r="T142" s="2"/>
      <c r="U142" s="2">
        <v>45281</v>
      </c>
      <c r="V142" s="3">
        <v>0</v>
      </c>
      <c r="W142" s="3">
        <v>0</v>
      </c>
      <c r="X142" t="s">
        <v>2</v>
      </c>
      <c r="Y142" s="2"/>
      <c r="Z142" t="s">
        <v>16</v>
      </c>
      <c r="AA142" t="s">
        <v>2</v>
      </c>
      <c r="AB142" t="s">
        <v>2</v>
      </c>
      <c r="AC142" t="s">
        <v>340</v>
      </c>
      <c r="AD142" t="s">
        <v>128</v>
      </c>
      <c r="AE142" t="s">
        <v>129</v>
      </c>
      <c r="AF142" s="4">
        <v>1890</v>
      </c>
      <c r="AG142" s="4">
        <v>0</v>
      </c>
      <c r="AH142" s="3">
        <v>0</v>
      </c>
      <c r="AI142" s="3">
        <v>0</v>
      </c>
      <c r="AJ142" s="3">
        <v>0</v>
      </c>
      <c r="AK142" s="3">
        <v>0</v>
      </c>
      <c r="AL142" t="s">
        <v>21</v>
      </c>
      <c r="AM142" s="2"/>
      <c r="AN142" s="3">
        <v>0</v>
      </c>
      <c r="AO142" s="2"/>
      <c r="AP142" s="3">
        <v>0</v>
      </c>
      <c r="AQ142" t="s">
        <v>22</v>
      </c>
      <c r="AR142" t="s">
        <v>238</v>
      </c>
      <c r="AS142" t="s">
        <v>239</v>
      </c>
      <c r="AT142" t="s">
        <v>240</v>
      </c>
      <c r="AU142" t="s">
        <v>26</v>
      </c>
      <c r="AV142" t="s">
        <v>12</v>
      </c>
      <c r="AW142" t="s">
        <v>28</v>
      </c>
      <c r="AX142" t="s">
        <v>29</v>
      </c>
      <c r="AY142" t="s">
        <v>2</v>
      </c>
      <c r="AZ142" s="3">
        <v>0</v>
      </c>
      <c r="BA142" t="s">
        <v>2</v>
      </c>
      <c r="BB142" t="s">
        <v>312</v>
      </c>
      <c r="BC142" t="s">
        <v>2</v>
      </c>
      <c r="BD142" t="s">
        <v>2</v>
      </c>
    </row>
    <row r="143" spans="1:57" x14ac:dyDescent="0.2">
      <c r="A143" t="s">
        <v>0</v>
      </c>
      <c r="B143" t="s">
        <v>1</v>
      </c>
      <c r="C143" t="s">
        <v>2</v>
      </c>
      <c r="D143" t="s">
        <v>2</v>
      </c>
      <c r="E143" t="s">
        <v>215</v>
      </c>
      <c r="F143" t="s">
        <v>335</v>
      </c>
      <c r="G143" t="s">
        <v>343</v>
      </c>
      <c r="H143" t="s">
        <v>151</v>
      </c>
      <c r="I143" t="s">
        <v>337</v>
      </c>
      <c r="J143" t="s">
        <v>2</v>
      </c>
      <c r="K143" t="s">
        <v>338</v>
      </c>
      <c r="L143" t="s">
        <v>344</v>
      </c>
      <c r="M143" t="s">
        <v>151</v>
      </c>
      <c r="N143" t="s">
        <v>2</v>
      </c>
      <c r="O143" t="s">
        <v>2</v>
      </c>
      <c r="P143" t="s">
        <v>93</v>
      </c>
      <c r="Q143" t="s">
        <v>2</v>
      </c>
      <c r="R143" t="s">
        <v>2</v>
      </c>
      <c r="S143" s="2"/>
      <c r="T143" s="2"/>
      <c r="U143" s="2">
        <v>45281</v>
      </c>
      <c r="V143" s="3">
        <v>0</v>
      </c>
      <c r="W143" s="3">
        <v>0</v>
      </c>
      <c r="X143" t="s">
        <v>2</v>
      </c>
      <c r="Y143" s="2"/>
      <c r="Z143" t="s">
        <v>16</v>
      </c>
      <c r="AA143" t="s">
        <v>2</v>
      </c>
      <c r="AB143" t="s">
        <v>2</v>
      </c>
      <c r="AC143" t="s">
        <v>340</v>
      </c>
      <c r="AD143" t="s">
        <v>314</v>
      </c>
      <c r="AE143" t="s">
        <v>315</v>
      </c>
      <c r="AF143" s="4">
        <v>100</v>
      </c>
      <c r="AG143" s="4">
        <v>0</v>
      </c>
      <c r="AH143" s="3">
        <v>0</v>
      </c>
      <c r="AI143" s="3">
        <v>0</v>
      </c>
      <c r="AJ143" s="3">
        <v>0</v>
      </c>
      <c r="AK143" s="3">
        <v>0</v>
      </c>
      <c r="AL143" t="s">
        <v>21</v>
      </c>
      <c r="AM143" s="2"/>
      <c r="AN143" s="3">
        <v>0</v>
      </c>
      <c r="AO143" s="2"/>
      <c r="AP143" s="3">
        <v>0</v>
      </c>
      <c r="AQ143" t="s">
        <v>22</v>
      </c>
      <c r="AR143" t="s">
        <v>238</v>
      </c>
      <c r="AS143" t="s">
        <v>239</v>
      </c>
      <c r="AT143" t="s">
        <v>240</v>
      </c>
      <c r="AU143" t="s">
        <v>26</v>
      </c>
      <c r="AV143" t="s">
        <v>12</v>
      </c>
      <c r="AW143" t="s">
        <v>28</v>
      </c>
      <c r="AX143" t="s">
        <v>29</v>
      </c>
      <c r="AY143" t="s">
        <v>2</v>
      </c>
      <c r="AZ143" s="3">
        <v>0</v>
      </c>
      <c r="BA143" t="s">
        <v>2</v>
      </c>
      <c r="BB143" t="s">
        <v>312</v>
      </c>
      <c r="BC143" t="s">
        <v>2</v>
      </c>
      <c r="BD143" t="s">
        <v>2</v>
      </c>
    </row>
    <row r="144" spans="1:57" x14ac:dyDescent="0.2">
      <c r="A144" t="s">
        <v>0</v>
      </c>
      <c r="B144" t="s">
        <v>1</v>
      </c>
      <c r="C144" t="s">
        <v>2</v>
      </c>
      <c r="D144" t="s">
        <v>2</v>
      </c>
      <c r="E144" t="s">
        <v>37</v>
      </c>
      <c r="F144" t="s">
        <v>335</v>
      </c>
      <c r="G144" t="s">
        <v>343</v>
      </c>
      <c r="H144" t="s">
        <v>153</v>
      </c>
      <c r="I144" t="s">
        <v>337</v>
      </c>
      <c r="J144" t="s">
        <v>2</v>
      </c>
      <c r="K144" t="s">
        <v>338</v>
      </c>
      <c r="L144" t="s">
        <v>344</v>
      </c>
      <c r="M144" t="s">
        <v>153</v>
      </c>
      <c r="N144" t="s">
        <v>2</v>
      </c>
      <c r="O144" t="s">
        <v>2</v>
      </c>
      <c r="P144" t="s">
        <v>93</v>
      </c>
      <c r="Q144" t="s">
        <v>2</v>
      </c>
      <c r="R144" t="s">
        <v>2</v>
      </c>
      <c r="S144" s="2"/>
      <c r="T144" s="2"/>
      <c r="U144" s="2">
        <v>45281</v>
      </c>
      <c r="V144" s="3">
        <v>0</v>
      </c>
      <c r="W144" s="3">
        <v>0</v>
      </c>
      <c r="X144" t="s">
        <v>2</v>
      </c>
      <c r="Y144" s="2"/>
      <c r="Z144" t="s">
        <v>16</v>
      </c>
      <c r="AA144" t="s">
        <v>2</v>
      </c>
      <c r="AB144" t="s">
        <v>2</v>
      </c>
      <c r="AC144" t="s">
        <v>340</v>
      </c>
      <c r="AD144" t="s">
        <v>156</v>
      </c>
      <c r="AE144" t="s">
        <v>40</v>
      </c>
      <c r="AF144" s="4">
        <v>1000</v>
      </c>
      <c r="AG144" s="4">
        <v>0</v>
      </c>
      <c r="AH144" s="3">
        <v>0</v>
      </c>
      <c r="AI144" s="3">
        <v>0</v>
      </c>
      <c r="AJ144" s="3">
        <v>0</v>
      </c>
      <c r="AK144" s="3">
        <v>0</v>
      </c>
      <c r="AL144" t="s">
        <v>21</v>
      </c>
      <c r="AM144" s="2"/>
      <c r="AN144" s="3">
        <v>0</v>
      </c>
      <c r="AO144" s="2"/>
      <c r="AP144" s="3">
        <v>0</v>
      </c>
      <c r="AQ144" t="s">
        <v>22</v>
      </c>
      <c r="AR144" t="s">
        <v>238</v>
      </c>
      <c r="AS144" t="s">
        <v>239</v>
      </c>
      <c r="AT144" t="s">
        <v>240</v>
      </c>
      <c r="AU144" t="s">
        <v>26</v>
      </c>
      <c r="AV144" t="s">
        <v>12</v>
      </c>
      <c r="AW144" t="s">
        <v>28</v>
      </c>
      <c r="AX144" t="s">
        <v>29</v>
      </c>
      <c r="AY144" t="s">
        <v>2</v>
      </c>
      <c r="AZ144" s="3">
        <v>0</v>
      </c>
      <c r="BA144" t="s">
        <v>2</v>
      </c>
      <c r="BB144" t="s">
        <v>312</v>
      </c>
      <c r="BC144" t="s">
        <v>2</v>
      </c>
      <c r="BD144" t="s">
        <v>2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6952-7244-4368-BB3D-5F4B072471FF}">
  <dimension ref="A1"/>
  <sheetViews>
    <sheetView workbookViewId="0">
      <selection activeCell="A4" sqref="A4"/>
    </sheetView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Hoja2</vt:lpstr>
      <vt:lpstr>Hoja5</vt:lpstr>
      <vt:lpstr>Hoja4</vt:lpstr>
      <vt:lpstr>Hoja3</vt:lpstr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Cordero, Evangelina Natalia</cp:lastModifiedBy>
  <cp:revision>1</cp:revision>
  <dcterms:modified xsi:type="dcterms:W3CDTF">2023-12-28T18:24:54Z</dcterms:modified>
  <cp:category/>
</cp:coreProperties>
</file>