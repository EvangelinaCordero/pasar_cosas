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pecom.sharepoint.com/sites/CotizacionessucursalOESTE/Documentos compartidos/General/04 - 2024/1-Cotizaciones y licitaciones/37. YPF. TQ_Pta_Int_ Ttos_Mendoza/"/>
    </mc:Choice>
  </mc:AlternateContent>
  <xr:revisionPtr revIDLastSave="1795" documentId="8_{F59B0300-5A62-4EBA-9EE4-6164F95F29EF}" xr6:coauthVersionLast="47" xr6:coauthVersionMax="47" xr10:uidLastSave="{D69EEDAF-8D7B-46AD-8E4E-2FCD92076B2F}"/>
  <bookViews>
    <workbookView xWindow="-120" yWindow="-120" windowWidth="24240" windowHeight="13140" firstSheet="1" activeTab="1" xr2:uid="{00000000-000D-0000-FFFF-FFFF00000000}"/>
  </bookViews>
  <sheets>
    <sheet name="LP" sheetId="11" state="hidden" r:id="rId1"/>
    <sheet name="Optimización_Estructura" sheetId="33" r:id="rId2"/>
    <sheet name="PUNTOS DE INYECCIÓN (2)" sheetId="31" r:id="rId3"/>
    <sheet name="EEERR Estructura" sheetId="32" r:id="rId4"/>
    <sheet name="EERR" sheetId="14" r:id="rId5"/>
    <sheet name="Hoja1" sheetId="28" r:id="rId6"/>
    <sheet name="Scio" sheetId="7" r:id="rId7"/>
    <sheet name="PUNTOS DE INYECCIÓN" sheetId="6" r:id="rId8"/>
    <sheet name="PQ fuera de lista" sheetId="27" r:id="rId9"/>
    <sheet name="Optimización de Estructura" sheetId="29" r:id="rId10"/>
    <sheet name="Optimización Batch" sheetId="26" r:id="rId11"/>
    <sheet name="Consumos importantes" sheetId="23" r:id="rId12"/>
    <sheet name="Ptos de Inyección 2" sheetId="21" state="hidden" r:id="rId13"/>
    <sheet name="CR" sheetId="20" state="hidden" r:id="rId14"/>
    <sheet name="Recopilación de PQs" sheetId="9" state="hidden" r:id="rId15"/>
    <sheet name="Hoja4" sheetId="17" state="hidden" r:id="rId16"/>
    <sheet name="EMB" sheetId="18" state="hidden" r:id="rId17"/>
    <sheet name="Hoja2" sheetId="15" state="hidden" r:id="rId18"/>
    <sheet name="Lista PQ Comp" sheetId="10" r:id="rId19"/>
    <sheet name="Lista PQ PECOM" sheetId="12" r:id="rId20"/>
    <sheet name="Personal" sheetId="24" r:id="rId21"/>
    <sheet name="Listas aux" sheetId="13" state="hidden" r:id="rId22"/>
    <sheet name="DBM-RT" sheetId="19" state="hidden" r:id="rId23"/>
    <sheet name="FA" sheetId="8" state="hidden" r:id="rId24"/>
    <sheet name="Hoja3" sheetId="22" state="hidden" r:id="rId25"/>
  </sheets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</externalReferences>
  <definedNames>
    <definedName name="\0" localSheetId="1">#REF!</definedName>
    <definedName name="\0">#REF!</definedName>
    <definedName name="\00" localSheetId="1">#REF!</definedName>
    <definedName name="\00">#REF!</definedName>
    <definedName name="\1" localSheetId="1">#REF!</definedName>
    <definedName name="\1">#REF!</definedName>
    <definedName name="\2">#REF!</definedName>
    <definedName name="\A">[1]Sheet6!#REF!</definedName>
    <definedName name="\A11">#REF!</definedName>
    <definedName name="\A15">#REF!</definedName>
    <definedName name="\A17">#REF!</definedName>
    <definedName name="\A27">#REF!</definedName>
    <definedName name="\A28">#REF!</definedName>
    <definedName name="\B">[1]Sheet6!#REF!</definedName>
    <definedName name="\C">[1]Sheet6!#REF!</definedName>
    <definedName name="\D">[1]Sheet6!#REF!</definedName>
    <definedName name="\E">[1]Sheet6!#REF!</definedName>
    <definedName name="\EDIT">#REF!</definedName>
    <definedName name="\EPSNSEL">#REF!</definedName>
    <definedName name="\f">#REF!</definedName>
    <definedName name="\g">#REF!</definedName>
    <definedName name="\j">#REF!</definedName>
    <definedName name="\K">[1]Sheet6!#REF!</definedName>
    <definedName name="\l">#REF!</definedName>
    <definedName name="\LJSEL">#REF!</definedName>
    <definedName name="\m">#REF!</definedName>
    <definedName name="\MESS">#REF!</definedName>
    <definedName name="\MESS0">#REF!</definedName>
    <definedName name="\MESS1">#REF!</definedName>
    <definedName name="\MESS2">#REF!</definedName>
    <definedName name="\P">[1]Sheet6!#REF!</definedName>
    <definedName name="\PALL">#REF!</definedName>
    <definedName name="\PRES">#REF!</definedName>
    <definedName name="\PRES1">#REF!</definedName>
    <definedName name="\r">#REF!</definedName>
    <definedName name="\s">[2]costo!#REF!</definedName>
    <definedName name="\t">#REF!</definedName>
    <definedName name="\v">#REF!</definedName>
    <definedName name="\w">[2]costo!#REF!</definedName>
    <definedName name="\Y">[1]Sheet6!#REF!</definedName>
    <definedName name="\Z">[1]Sheet6!#REF!</definedName>
    <definedName name="________________F">#REF!</definedName>
    <definedName name="________________PAG1">#REF!</definedName>
    <definedName name="________________PAG2">#REF!</definedName>
    <definedName name="________________PAG3">#REF!</definedName>
    <definedName name="_______________F">#REF!</definedName>
    <definedName name="_______________PAG1">#REF!</definedName>
    <definedName name="_______________PAG2">#REF!</definedName>
    <definedName name="_______________PAG3">#REF!</definedName>
    <definedName name="______________F">#REF!</definedName>
    <definedName name="______________PAG1">#REF!</definedName>
    <definedName name="______________PAG2">#REF!</definedName>
    <definedName name="______________PAG3">#REF!</definedName>
    <definedName name="_____________F">#REF!</definedName>
    <definedName name="_____________PAG1">#REF!</definedName>
    <definedName name="_____________PAG2">#REF!</definedName>
    <definedName name="_____________PAG3">#REF!</definedName>
    <definedName name="____________F">#REF!</definedName>
    <definedName name="____________PAG1">#REF!</definedName>
    <definedName name="____________PAG2">#REF!</definedName>
    <definedName name="____________PAG3">#REF!</definedName>
    <definedName name="___________F">#REF!</definedName>
    <definedName name="___________PAG1">#REF!</definedName>
    <definedName name="___________PAG2">#REF!</definedName>
    <definedName name="___________PAG3">#REF!</definedName>
    <definedName name="__________F">#REF!</definedName>
    <definedName name="__________PAG1">#REF!</definedName>
    <definedName name="__________PAG2">#REF!</definedName>
    <definedName name="__________PAG3">#REF!</definedName>
    <definedName name="_________F">#REF!</definedName>
    <definedName name="_________PAG1">#REF!</definedName>
    <definedName name="_________PAG2">#REF!</definedName>
    <definedName name="_________PAG3">#REF!</definedName>
    <definedName name="________F">#REF!</definedName>
    <definedName name="________PAG1">#REF!</definedName>
    <definedName name="________PAG2">#REF!</definedName>
    <definedName name="________PAG3">#REF!</definedName>
    <definedName name="_______F">#REF!</definedName>
    <definedName name="_______PAG1">#REF!</definedName>
    <definedName name="_______PAG2">#REF!</definedName>
    <definedName name="_______PAG3">#REF!</definedName>
    <definedName name="______F">#REF!</definedName>
    <definedName name="______PAG1">#REF!</definedName>
    <definedName name="______PAG2">#REF!</definedName>
    <definedName name="______PAG3">#REF!</definedName>
    <definedName name="______r">#REF!</definedName>
    <definedName name="_____F">#REF!</definedName>
    <definedName name="_____PAG1">#REF!</definedName>
    <definedName name="_____PAG2">#REF!</definedName>
    <definedName name="_____PAG3">#REF!</definedName>
    <definedName name="_____r">#REF!</definedName>
    <definedName name="____F">#REF!</definedName>
    <definedName name="____PAG1">#REF!</definedName>
    <definedName name="____PAG2">#REF!</definedName>
    <definedName name="____PAG3">#REF!</definedName>
    <definedName name="____r">#REF!</definedName>
    <definedName name="___DAT1">#REF!</definedName>
    <definedName name="___DAT10">#REF!</definedName>
    <definedName name="___DAT11">#REF!</definedName>
    <definedName name="___DAT12">#REF!</definedName>
    <definedName name="___DAT13">#REF!</definedName>
    <definedName name="___DAT14">#REF!</definedName>
    <definedName name="___DAT15">#REF!</definedName>
    <definedName name="___DAT16">#REF!</definedName>
    <definedName name="___DAT17">#REF!</definedName>
    <definedName name="___DAT18">#REF!</definedName>
    <definedName name="___DAT19">#REF!</definedName>
    <definedName name="___DAT2">#REF!</definedName>
    <definedName name="___DAT20">#REF!</definedName>
    <definedName name="___DAT21">#REF!</definedName>
    <definedName name="___DAT3">#REF!</definedName>
    <definedName name="___DAT4">#REF!</definedName>
    <definedName name="___DAT5">#REF!</definedName>
    <definedName name="___DAT6">#REF!</definedName>
    <definedName name="___DAT7">#REF!</definedName>
    <definedName name="___DAT8">#REF!</definedName>
    <definedName name="___DAT9">#REF!</definedName>
    <definedName name="___F">#REF!</definedName>
    <definedName name="___PAG1">#REF!</definedName>
    <definedName name="___PAG2">#REF!</definedName>
    <definedName name="___PAG3">#REF!</definedName>
    <definedName name="___r">#REF!</definedName>
    <definedName name="__123Graph_A" hidden="1">[1]Sheet2!$H$23:$H$228</definedName>
    <definedName name="__123Graph_B" hidden="1">[1]Sheet2!$R$23:$R$228</definedName>
    <definedName name="__123Graph_C" hidden="1">[1]Sheet2!$S$23:$S$228</definedName>
    <definedName name="__123Graph_D" hidden="1">[3]INFREP!$A$1:$A$1</definedName>
    <definedName name="__123Graph_X" hidden="1">[1]Sheet2!$C$23:$C$228</definedName>
    <definedName name="__AAA1">[1]Sheet6!#REF!</definedName>
    <definedName name="__ABA40">[1]Sheet4!#REF!</definedName>
    <definedName name="__DAT1">#REF!</definedName>
    <definedName name="__DAT10">#REF!</definedName>
    <definedName name="__DAT11">#REF!</definedName>
    <definedName name="__DAT12">#REF!</definedName>
    <definedName name="__DAT13">#REF!</definedName>
    <definedName name="__DAT14">#REF!</definedName>
    <definedName name="__DAT15">#REF!</definedName>
    <definedName name="__DAT16">#REF!</definedName>
    <definedName name="__DAT17">#REF!</definedName>
    <definedName name="__DAT18">#REF!</definedName>
    <definedName name="__DAT19">#REF!</definedName>
    <definedName name="__DAT2">#REF!</definedName>
    <definedName name="__DAT20">#REF!</definedName>
    <definedName name="__DAT21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F">#REF!</definedName>
    <definedName name="__PAG1">#REF!</definedName>
    <definedName name="__PAG2">#REF!</definedName>
    <definedName name="__PAG3">#REF!</definedName>
    <definedName name="__r">#REF!</definedName>
    <definedName name="__SEG2">[1]Sheet5!#REF!</definedName>
    <definedName name="__TER2">[1]Sheet5!#REF!</definedName>
    <definedName name="_1">#N/A</definedName>
    <definedName name="_11">[2]costo!#REF!</definedName>
    <definedName name="_12">[2]costo!#REF!</definedName>
    <definedName name="_13">[2]costo!#REF!</definedName>
    <definedName name="_14">[2]costo!#REF!</definedName>
    <definedName name="_15">[2]costo!#REF!</definedName>
    <definedName name="_16">[2]costo!#REF!</definedName>
    <definedName name="_17">[2]costo!#REF!</definedName>
    <definedName name="_2">[2]costo!#REF!</definedName>
    <definedName name="_2011_01_BASE_INTEGRADA">#REF!</definedName>
    <definedName name="_21">[2]costo!#REF!</definedName>
    <definedName name="_22">[2]costo!#REF!</definedName>
    <definedName name="_23">[2]costo!#REF!</definedName>
    <definedName name="_24">[2]costo!#REF!</definedName>
    <definedName name="_26">[2]costo!#REF!</definedName>
    <definedName name="_27">[2]costo!#REF!</definedName>
    <definedName name="_3">[2]costo!#REF!</definedName>
    <definedName name="_4">[2]costo!#REF!</definedName>
    <definedName name="_5">[2]costo!#REF!</definedName>
    <definedName name="_6">[2]costo!#REF!</definedName>
    <definedName name="_7">[2]costo!#REF!</definedName>
    <definedName name="_COM1">#REF!</definedName>
    <definedName name="_COM2">#REF!</definedName>
    <definedName name="_COM3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17">#REF!</definedName>
    <definedName name="_DAT18">#REF!</definedName>
    <definedName name="_DAT19">#REF!</definedName>
    <definedName name="_DAT2">#REF!</definedName>
    <definedName name="_DAT20">#REF!</definedName>
    <definedName name="_DAT21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F">#REF!</definedName>
    <definedName name="_FC">#REF!</definedName>
    <definedName name="_Fill" hidden="1">#REF!</definedName>
    <definedName name="_xlnm._FilterDatabase" localSheetId="13" hidden="1">CR!$C$2:$F$40</definedName>
    <definedName name="_xlnm._FilterDatabase" localSheetId="22" hidden="1">'DBM-RT'!$I$1:$J$34</definedName>
    <definedName name="_xlnm._FilterDatabase" localSheetId="18" hidden="1">'Lista PQ Comp'!$B$2:$F$76</definedName>
    <definedName name="_xlnm._FilterDatabase" localSheetId="19" hidden="1">'Lista PQ PECOM'!$B$2:$O$285</definedName>
    <definedName name="_xlnm._FilterDatabase" localSheetId="0" hidden="1">LP!$A$2:$I$34</definedName>
    <definedName name="_xlnm._FilterDatabase" localSheetId="12" hidden="1">'Ptos de Inyección 2'!$A$1:$S$1</definedName>
    <definedName name="_xlnm._FilterDatabase" localSheetId="14" hidden="1">'Recopilación de PQs'!$A$3:$F$193</definedName>
    <definedName name="_GOR2" localSheetId="9">#REF!</definedName>
    <definedName name="_GOR2" localSheetId="1">#REF!</definedName>
    <definedName name="_GOR2" localSheetId="2">#REF!</definedName>
    <definedName name="_GOR2">#REF!</definedName>
    <definedName name="_Key1" localSheetId="9" hidden="1">#REF!</definedName>
    <definedName name="_Key1" localSheetId="1" hidden="1">#REF!</definedName>
    <definedName name="_Key1" localSheetId="2" hidden="1">#REF!</definedName>
    <definedName name="_Key1" hidden="1">#REF!</definedName>
    <definedName name="_Key2" localSheetId="9" hidden="1">#REF!</definedName>
    <definedName name="_Key2" localSheetId="1" hidden="1">#REF!</definedName>
    <definedName name="_Key2" localSheetId="2" hidden="1">#REF!</definedName>
    <definedName name="_Key2" hidden="1">#REF!</definedName>
    <definedName name="_Lab1">[4]MiniDB!$D$69</definedName>
    <definedName name="_Lab2">[4]MiniDB!$D$70</definedName>
    <definedName name="_Lab3">[4]MiniDB!$D$71</definedName>
    <definedName name="_Lab4">[4]MiniDB!$D$72</definedName>
    <definedName name="_Lab5">[4]MiniDB!$D$73</definedName>
    <definedName name="_MACRO">#N/A</definedName>
    <definedName name="_MSG2">#REF!</definedName>
    <definedName name="_MTR1">#REF!</definedName>
    <definedName name="_Oil1">[4]MiniDB!$D$22</definedName>
    <definedName name="_Oil2">[4]MiniDB!$D$23</definedName>
    <definedName name="_Oil3">[4]MiniDB!$D$24</definedName>
    <definedName name="_Order1" hidden="1">255</definedName>
    <definedName name="_Order2" hidden="1">255</definedName>
    <definedName name="_P">#REF!</definedName>
    <definedName name="_PAG1">#REF!</definedName>
    <definedName name="_PAG2">#REF!</definedName>
    <definedName name="_PAG3">#REF!</definedName>
    <definedName name="_pc97">'[5]PC97 98'!$A$7</definedName>
    <definedName name="_PCO1" localSheetId="9">#REF!</definedName>
    <definedName name="_PCO1" localSheetId="1">#REF!</definedName>
    <definedName name="_PCO1" localSheetId="2">#REF!</definedName>
    <definedName name="_PCO1">#REF!</definedName>
    <definedName name="_PCO2" localSheetId="9">#REF!</definedName>
    <definedName name="_PCO2" localSheetId="1">#REF!</definedName>
    <definedName name="_PCO2" localSheetId="2">#REF!</definedName>
    <definedName name="_PCO2">#REF!</definedName>
    <definedName name="_PCO3" localSheetId="9">#REF!</definedName>
    <definedName name="_PCO3" localSheetId="1">#REF!</definedName>
    <definedName name="_PCO3" localSheetId="2">#REF!</definedName>
    <definedName name="_PCO3">#REF!</definedName>
    <definedName name="_PCO4">#REF!</definedName>
    <definedName name="_Pdb1">[4]MiniDB!$D$11</definedName>
    <definedName name="_Pdb2">[4]MiniDB!$D$8</definedName>
    <definedName name="_Pdb3">[4]MiniDB!$D$3</definedName>
    <definedName name="_PDG1" localSheetId="9">#REF!</definedName>
    <definedName name="_PDG1" localSheetId="1">#REF!</definedName>
    <definedName name="_PDG1" localSheetId="2">#REF!</definedName>
    <definedName name="_PDG1">#REF!</definedName>
    <definedName name="_PDG2" localSheetId="9">#REF!</definedName>
    <definedName name="_PDG2" localSheetId="1">#REF!</definedName>
    <definedName name="_PDG2" localSheetId="2">#REF!</definedName>
    <definedName name="_PDG2">#REF!</definedName>
    <definedName name="_PDG3" localSheetId="9">#REF!</definedName>
    <definedName name="_PDG3" localSheetId="1">#REF!</definedName>
    <definedName name="_PDG3" localSheetId="2">#REF!</definedName>
    <definedName name="_PDG3">#REF!</definedName>
    <definedName name="_PDG4">#REF!</definedName>
    <definedName name="_PDG5">#REF!</definedName>
    <definedName name="_PDG6">#REF!</definedName>
    <definedName name="_r">#REF!</definedName>
    <definedName name="_RC5">#REF!</definedName>
    <definedName name="_Regression_Int" hidden="1">1</definedName>
    <definedName name="_Rgo1">[4]MiniDB!$D$52</definedName>
    <definedName name="_Rgo2">[4]MiniDB!$D$53</definedName>
    <definedName name="_Rgo3">[4]MiniDB!$D$54</definedName>
    <definedName name="_Rgo4">[4]MiniDB!$D$55</definedName>
    <definedName name="_Sort" localSheetId="9" hidden="1">#REF!</definedName>
    <definedName name="_Sort" localSheetId="1" hidden="1">#REF!</definedName>
    <definedName name="_Sort" localSheetId="2" hidden="1">#REF!</definedName>
    <definedName name="_Sort" hidden="1">#REF!</definedName>
    <definedName name="_Tdb1">[4]MiniDB!$D$28</definedName>
    <definedName name="_Tdb2">[4]MiniDB!$D$29</definedName>
    <definedName name="_Tdb3">[4]MiniDB!$D$30</definedName>
    <definedName name="_TP" localSheetId="9">#REF!</definedName>
    <definedName name="_TP" localSheetId="1">#REF!</definedName>
    <definedName name="_TP" localSheetId="2">#REF!</definedName>
    <definedName name="_TP">#REF!</definedName>
    <definedName name="_TPF" localSheetId="9">#REF!</definedName>
    <definedName name="_TPF" localSheetId="1">#REF!</definedName>
    <definedName name="_TPF" localSheetId="2">#REF!</definedName>
    <definedName name="_TPF">#REF!</definedName>
    <definedName name="_WO2006" localSheetId="9">[6]InfRep.11_2003!#REF!</definedName>
    <definedName name="_WO2006" localSheetId="1">[6]InfRep.11_2003!#REF!</definedName>
    <definedName name="_WO2006" localSheetId="2">[6]InfRep.11_2003!#REF!</definedName>
    <definedName name="_WO2006">[6]InfRep.11_2003!#REF!</definedName>
    <definedName name="_WTI1" localSheetId="9">#REF!</definedName>
    <definedName name="_WTI1" localSheetId="1">#REF!</definedName>
    <definedName name="_WTI1" localSheetId="2">#REF!</definedName>
    <definedName name="_WTI1">#REF!</definedName>
    <definedName name="_WTI2" localSheetId="9">#REF!</definedName>
    <definedName name="_WTI2" localSheetId="1">#REF!</definedName>
    <definedName name="_WTI2" localSheetId="2">#REF!</definedName>
    <definedName name="_WTI2">#REF!</definedName>
    <definedName name="_WTI3" localSheetId="9">#REF!</definedName>
    <definedName name="_WTI3" localSheetId="1">#REF!</definedName>
    <definedName name="_WTI3" localSheetId="2">#REF!</definedName>
    <definedName name="_WTI3">#REF!</definedName>
    <definedName name="_WTI4">#REF!</definedName>
    <definedName name="_x002">'[7]500'!$A$1:$N$60</definedName>
    <definedName name="_X01">'[7]500'!$A$1:$N$60</definedName>
    <definedName name="_xlcn.WorksheetConnection_Tabla11" hidden="1">Tabla1[]</definedName>
    <definedName name="A" localSheetId="9">#REF!</definedName>
    <definedName name="A" localSheetId="1">#REF!</definedName>
    <definedName name="A" localSheetId="2">#REF!</definedName>
    <definedName name="A">#REF!</definedName>
    <definedName name="A_IMPRESION_IM" localSheetId="9">#REF!</definedName>
    <definedName name="A_IMPRESION_IM" localSheetId="1">#REF!</definedName>
    <definedName name="A_IMPRESION_IM" localSheetId="2">#REF!</definedName>
    <definedName name="A_IMPRESION_IM">#REF!</definedName>
    <definedName name="A_impresión_IM" localSheetId="9">#REF!</definedName>
    <definedName name="A_impresión_IM" localSheetId="1">#REF!</definedName>
    <definedName name="A_impresión_IM" localSheetId="2">#REF!</definedName>
    <definedName name="A_impresión_IM">#REF!</definedName>
    <definedName name="A_IMPRESIÚN_IM">#REF!</definedName>
    <definedName name="A_pozo">[4]MiniDB!$D$39</definedName>
    <definedName name="aa" localSheetId="9" hidden="1">#REF!</definedName>
    <definedName name="aa" localSheetId="1" hidden="1">#REF!</definedName>
    <definedName name="aa" localSheetId="2" hidden="1">#REF!</definedName>
    <definedName name="aa" hidden="1">#REF!</definedName>
    <definedName name="aaaa" localSheetId="9" hidden="1">#REF!</definedName>
    <definedName name="aaaa" localSheetId="1" hidden="1">#REF!</definedName>
    <definedName name="aaaa" localSheetId="2" hidden="1">#REF!</definedName>
    <definedName name="aaaa" hidden="1">#REF!</definedName>
    <definedName name="AbrirImprimir" localSheetId="1">[8]!AbrirImprimir</definedName>
    <definedName name="AbrirImprimir">[8]!AbrirImprimir</definedName>
    <definedName name="ACT" localSheetId="9">#REF!</definedName>
    <definedName name="ACT" localSheetId="1">#REF!</definedName>
    <definedName name="ACT" localSheetId="2">#REF!</definedName>
    <definedName name="ACT">#REF!</definedName>
    <definedName name="Actual" localSheetId="9">#REF!</definedName>
    <definedName name="Actual" localSheetId="1">#REF!</definedName>
    <definedName name="Actual" localSheetId="2">#REF!</definedName>
    <definedName name="Actual">#REF!</definedName>
    <definedName name="Adic">[9]CS!$A$31:$A$38</definedName>
    <definedName name="ADIC_CCT">[10]BD_ADICIONALES.PETROLERO!$A$8:$A$14</definedName>
    <definedName name="ADIC_IMPORTE">[10]BD_ADICIONALES.PETROLERO!$BE$8:$FL$14</definedName>
    <definedName name="Adic_Intern" localSheetId="9">#REF!</definedName>
    <definedName name="Adic_Intern" localSheetId="1">#REF!</definedName>
    <definedName name="Adic_Intern" localSheetId="2">#REF!</definedName>
    <definedName name="Adic_Intern">#REF!</definedName>
    <definedName name="ADIC_ITEM">[10]BD_ADICIONALES.PETROLERO!$BE$6:$FL$6</definedName>
    <definedName name="ADIC_MES">[10]BD_ADICIONALES.PETROLERO!$BE$7:$FL$7</definedName>
    <definedName name="ADIC_PROVINCIA">[11]BD_ADICIONALES!$B$8:$B$16</definedName>
    <definedName name="Administración" localSheetId="9">#REF!</definedName>
    <definedName name="Administración" localSheetId="1">#REF!</definedName>
    <definedName name="Administración" localSheetId="2">#REF!</definedName>
    <definedName name="Administración">#REF!</definedName>
    <definedName name="Afe_Buscado" localSheetId="9">[12]Cotizaciones!#REF!</definedName>
    <definedName name="Afe_Buscado" localSheetId="1">[12]Cotizaciones!#REF!</definedName>
    <definedName name="Afe_Buscado" localSheetId="2">[12]Cotizaciones!#REF!</definedName>
    <definedName name="Afe_Buscado">[12]Cotizaciones!#REF!</definedName>
    <definedName name="Agua" localSheetId="9">#REF!</definedName>
    <definedName name="Agua" localSheetId="1">#REF!</definedName>
    <definedName name="Agua" localSheetId="2">#REF!</definedName>
    <definedName name="Agua">#REF!</definedName>
    <definedName name="AGUA.INY" localSheetId="9">#REF!</definedName>
    <definedName name="AGUA.INY" localSheetId="1">#REF!</definedName>
    <definedName name="AGUA.INY" localSheetId="2">#REF!</definedName>
    <definedName name="AGUA.INY">#REF!</definedName>
    <definedName name="AGUA_ACTUAL_YAC11" localSheetId="9">'[13]producción por yac-bloques'!#REF!</definedName>
    <definedName name="AGUA_ACTUAL_YAC11" localSheetId="1">'[13]producción por yac-bloques'!#REF!</definedName>
    <definedName name="AGUA_ACTUAL_YAC11" localSheetId="2">'[13]producción por yac-bloques'!#REF!</definedName>
    <definedName name="AGUA_ACTUAL_YAC11">'[13]producción por yac-bloques'!#REF!</definedName>
    <definedName name="aisla150" localSheetId="9">#REF!</definedName>
    <definedName name="aisla150" localSheetId="1">#REF!</definedName>
    <definedName name="aisla150" localSheetId="2">#REF!</definedName>
    <definedName name="aisla150">#REF!</definedName>
    <definedName name="aisla600" localSheetId="9">#REF!</definedName>
    <definedName name="aisla600" localSheetId="1">#REF!</definedName>
    <definedName name="aisla600" localSheetId="2">#REF!</definedName>
    <definedName name="aisla600">#REF!</definedName>
    <definedName name="amamam">#N/A</definedName>
    <definedName name="amamama">#N/A</definedName>
    <definedName name="AMORT">#N/A</definedName>
    <definedName name="Amperaje" localSheetId="9">#REF!</definedName>
    <definedName name="Amperaje" localSheetId="1">#REF!</definedName>
    <definedName name="Amperaje" localSheetId="2">#REF!</definedName>
    <definedName name="Amperaje">#REF!</definedName>
    <definedName name="Analisis" localSheetId="9">#REF!</definedName>
    <definedName name="Analisis" localSheetId="1">#REF!</definedName>
    <definedName name="Analisis" localSheetId="2">#REF!</definedName>
    <definedName name="Analisis">#REF!</definedName>
    <definedName name="Analisis_Final" localSheetId="9">#REF!</definedName>
    <definedName name="Analisis_Final" localSheetId="1">#REF!</definedName>
    <definedName name="Analisis_Final" localSheetId="2">#REF!</definedName>
    <definedName name="Analisis_Final">#REF!</definedName>
    <definedName name="anioIni">[14]TABLERO!$C$6</definedName>
    <definedName name="anlisis" localSheetId="9">#REF!</definedName>
    <definedName name="anlisis" localSheetId="1">#REF!</definedName>
    <definedName name="anlisis" localSheetId="2">#REF!</definedName>
    <definedName name="anlisis">#REF!</definedName>
    <definedName name="ANSW" localSheetId="9">#REF!</definedName>
    <definedName name="ANSW" localSheetId="1">#REF!</definedName>
    <definedName name="ANSW" localSheetId="2">#REF!</definedName>
    <definedName name="ANSW">#REF!</definedName>
    <definedName name="AOF">[4]MiniDB!$D$43</definedName>
    <definedName name="API" localSheetId="9">#REF!</definedName>
    <definedName name="API" localSheetId="1">#REF!</definedName>
    <definedName name="API" localSheetId="2">#REF!</definedName>
    <definedName name="API">#REF!</definedName>
    <definedName name="APIDB">[15]API!$A$2:$M$102</definedName>
    <definedName name="aqerqwer" localSheetId="9" hidden="1">#REF!</definedName>
    <definedName name="aqerqwer" localSheetId="1" hidden="1">#REF!</definedName>
    <definedName name="aqerqwer" localSheetId="2" hidden="1">#REF!</definedName>
    <definedName name="aqerqwer" hidden="1">#REF!</definedName>
    <definedName name="_xlnm.Print_Area" localSheetId="18">'Lista PQ Comp'!$C$2:$F$76</definedName>
    <definedName name="areaniv" localSheetId="9">#REF!</definedName>
    <definedName name="areaniv" localSheetId="1">#REF!</definedName>
    <definedName name="areaniv" localSheetId="2">#REF!</definedName>
    <definedName name="areaniv">#REF!</definedName>
    <definedName name="ary" localSheetId="9">#REF!</definedName>
    <definedName name="ary" localSheetId="1">#REF!</definedName>
    <definedName name="ary" localSheetId="2">#REF!</definedName>
    <definedName name="ary">#REF!</definedName>
    <definedName name="asd" localSheetId="9">#REF!</definedName>
    <definedName name="asd" localSheetId="1">#REF!</definedName>
    <definedName name="asd" localSheetId="2">#REF!</definedName>
    <definedName name="asd">#REF!</definedName>
    <definedName name="asdf">#REF!</definedName>
    <definedName name="asdfasd" localSheetId="9" hidden="1">{#N/A,#N/A,TRUE,"OBJETIVOS";#N/A,#N/A,TRUE,"CARATA";#N/A,#N/A,TRUE,"COLUMNA";#N/A,#N/A,TRUE,"ENTUBACION";#N/A,#N/A,TRUE,"COSTOS";#N/A,#N/A,TRUE,"CAÑERIA";#N/A,#N/A,TRUE,"CRONO";#N/A,#N/A,TRUE,"BOP";#N/A,#N/A,TRUE,"PREVENTORES"}</definedName>
    <definedName name="asdfasd" localSheetId="1" hidden="1">{#N/A,#N/A,TRUE,"OBJETIVOS";#N/A,#N/A,TRUE,"CARATA";#N/A,#N/A,TRUE,"COLUMNA";#N/A,#N/A,TRUE,"ENTUBACION";#N/A,#N/A,TRUE,"COSTOS";#N/A,#N/A,TRUE,"CAÑERIA";#N/A,#N/A,TRUE,"CRONO";#N/A,#N/A,TRUE,"BOP";#N/A,#N/A,TRUE,"PREVENTORES"}</definedName>
    <definedName name="asdfasd" localSheetId="2" hidden="1">{#N/A,#N/A,TRUE,"OBJETIVOS";#N/A,#N/A,TRUE,"CARATA";#N/A,#N/A,TRUE,"COLUMNA";#N/A,#N/A,TRUE,"ENTUBACION";#N/A,#N/A,TRUE,"COSTOS";#N/A,#N/A,TRUE,"CAÑERIA";#N/A,#N/A,TRUE,"CRONO";#N/A,#N/A,TRUE,"BOP";#N/A,#N/A,TRUE,"PREVENTORES"}</definedName>
    <definedName name="asdfasd" hidden="1">{#N/A,#N/A,TRUE,"OBJETIVOS";#N/A,#N/A,TRUE,"CARATA";#N/A,#N/A,TRUE,"COLUMNA";#N/A,#N/A,TRUE,"ENTUBACION";#N/A,#N/A,TRUE,"COSTOS";#N/A,#N/A,TRUE,"CAÑERIA";#N/A,#N/A,TRUE,"CRONO";#N/A,#N/A,TRUE,"BOP";#N/A,#N/A,TRUE,"PREVENTORES"}</definedName>
    <definedName name="Atención">#REF!</definedName>
    <definedName name="B">#REF!</definedName>
    <definedName name="B_pozo">[4]MiniDB!$D$40</definedName>
    <definedName name="B4450." localSheetId="9">#REF!</definedName>
    <definedName name="B4450." localSheetId="1">#REF!</definedName>
    <definedName name="B4450." localSheetId="2">#REF!</definedName>
    <definedName name="B4450.">#REF!</definedName>
    <definedName name="Bacterias">'[16]Ultima Medicion'!$V$1:$W$5</definedName>
    <definedName name="BAJADAS" localSheetId="9">#REF!</definedName>
    <definedName name="BAJADAS" localSheetId="1">#REF!</definedName>
    <definedName name="BAJADAS" localSheetId="2">#REF!</definedName>
    <definedName name="BAJADAS">#REF!</definedName>
    <definedName name="BAKER" localSheetId="9" hidden="1">{#N/A,#N/A,TRUE,"OBJETIVOS";#N/A,#N/A,TRUE,"CARATA";#N/A,#N/A,TRUE,"COLUMNA";#N/A,#N/A,TRUE,"ENTUBACION";#N/A,#N/A,TRUE,"COSTOS";#N/A,#N/A,TRUE,"CAÑERIA";#N/A,#N/A,TRUE,"CRONO";#N/A,#N/A,TRUE,"BOP";#N/A,#N/A,TRUE,"PREVENTORES"}</definedName>
    <definedName name="BAKER" localSheetId="1" hidden="1">{#N/A,#N/A,TRUE,"OBJETIVOS";#N/A,#N/A,TRUE,"CARATA";#N/A,#N/A,TRUE,"COLUMNA";#N/A,#N/A,TRUE,"ENTUBACION";#N/A,#N/A,TRUE,"COSTOS";#N/A,#N/A,TRUE,"CAÑERIA";#N/A,#N/A,TRUE,"CRONO";#N/A,#N/A,TRUE,"BOP";#N/A,#N/A,TRUE,"PREVENTORES"}</definedName>
    <definedName name="BAKER" localSheetId="2" hidden="1">{#N/A,#N/A,TRUE,"OBJETIVOS";#N/A,#N/A,TRUE,"CARATA";#N/A,#N/A,TRUE,"COLUMNA";#N/A,#N/A,TRUE,"ENTUBACION";#N/A,#N/A,TRUE,"COSTOS";#N/A,#N/A,TRUE,"CAÑERIA";#N/A,#N/A,TRUE,"CRONO";#N/A,#N/A,TRUE,"BOP";#N/A,#N/A,TRUE,"PREVENTORES"}</definedName>
    <definedName name="BAKER" hidden="1">{#N/A,#N/A,TRUE,"OBJETIVOS";#N/A,#N/A,TRUE,"CARATA";#N/A,#N/A,TRUE,"COLUMNA";#N/A,#N/A,TRUE,"ENTUBACION";#N/A,#N/A,TRUE,"COSTOS";#N/A,#N/A,TRUE,"CAÑERIA";#N/A,#N/A,TRUE,"CRONO";#N/A,#N/A,TRUE,"BOP";#N/A,#N/A,TRUE,"PREVENTORES"}</definedName>
    <definedName name="Base2">[17]Dic2001!$A$12:$I$112</definedName>
    <definedName name="Base6" localSheetId="9">#REF!</definedName>
    <definedName name="Base6" localSheetId="1">#REF!</definedName>
    <definedName name="Base6" localSheetId="2">#REF!</definedName>
    <definedName name="Base6">#REF!</definedName>
    <definedName name="Base7" localSheetId="9">#REF!</definedName>
    <definedName name="Base7" localSheetId="1">#REF!</definedName>
    <definedName name="Base7" localSheetId="2">#REF!</definedName>
    <definedName name="Base7">#REF!</definedName>
    <definedName name="BaseDatos" localSheetId="9">#REF!</definedName>
    <definedName name="BaseDatos" localSheetId="1">#REF!</definedName>
    <definedName name="BaseDatos" localSheetId="2">#REF!</definedName>
    <definedName name="BaseDatos">#REF!</definedName>
    <definedName name="_xlnm.Database">#REF!</definedName>
    <definedName name="BaseGastos">#REF!</definedName>
    <definedName name="bb">#REF!</definedName>
    <definedName name="bbaINY">'[16]Impulsion Bomba Inyectora'!$A$4:$U$231</definedName>
    <definedName name="Bbl">[18]Tablas!$I$4</definedName>
    <definedName name="BHP" localSheetId="9">#REF!</definedName>
    <definedName name="BHP" localSheetId="1">#REF!</definedName>
    <definedName name="BHP" localSheetId="2">#REF!</definedName>
    <definedName name="BHP">#REF!</definedName>
    <definedName name="BHT" localSheetId="9">#REF!</definedName>
    <definedName name="BHT" localSheetId="1">#REF!</definedName>
    <definedName name="BHT" localSheetId="2">#REF!</definedName>
    <definedName name="BHT">#REF!</definedName>
    <definedName name="bipp" localSheetId="9">[19]SPLITS!#REF!</definedName>
    <definedName name="bipp" localSheetId="1">[19]SPLITS!#REF!</definedName>
    <definedName name="bipp" localSheetId="2">[19]SPLITS!#REF!</definedName>
    <definedName name="bipp">[19]SPLITS!#REF!</definedName>
    <definedName name="BOLIVARES" localSheetId="9">#REF!</definedName>
    <definedName name="BOLIVARES" localSheetId="1">#REF!</definedName>
    <definedName name="BOLIVARES" localSheetId="2">#REF!</definedName>
    <definedName name="BOLIVARES">#REF!</definedName>
    <definedName name="Bolívares" localSheetId="9">#REF!</definedName>
    <definedName name="Bolívares" localSheetId="1">#REF!</definedName>
    <definedName name="Bolívares" localSheetId="2">#REF!</definedName>
    <definedName name="Bolívares">#REF!</definedName>
    <definedName name="Bolívares_MRIL" localSheetId="9">#REF!</definedName>
    <definedName name="Bolívares_MRIL" localSheetId="1">#REF!</definedName>
    <definedName name="Bolívares_MRIL" localSheetId="2">#REF!</definedName>
    <definedName name="Bolívares_MRIL">#REF!</definedName>
    <definedName name="BOMBAS">#N/A</definedName>
    <definedName name="Bono">[17]Dic2001!$F$12:$F$112</definedName>
    <definedName name="BorrarHoja" localSheetId="1">[8]!BorrarHoja</definedName>
    <definedName name="BorrarHoja">[8]!BorrarHoja</definedName>
    <definedName name="BorrarProducc">[20]Production!$C$6:$L$306</definedName>
    <definedName name="brantes">[21]Sheet1!#REF!</definedName>
    <definedName name="brdesp">[21]Sheet1!#REF!</definedName>
    <definedName name="BRUTA" localSheetId="9">#REF!</definedName>
    <definedName name="BRUTA" localSheetId="1">#REF!</definedName>
    <definedName name="BRUTA" localSheetId="2">#REF!</definedName>
    <definedName name="BRUTA">#REF!</definedName>
    <definedName name="Bruta_Antes" localSheetId="9">#REF!</definedName>
    <definedName name="Bruta_Antes" localSheetId="1">#REF!</definedName>
    <definedName name="Bruta_Antes" localSheetId="2">#REF!</definedName>
    <definedName name="Bruta_Antes">#REF!</definedName>
    <definedName name="Bruta_despues" localSheetId="9">#REF!</definedName>
    <definedName name="Bruta_despues" localSheetId="1">#REF!</definedName>
    <definedName name="Bruta_despues" localSheetId="2">#REF!</definedName>
    <definedName name="Bruta_despues">#REF!</definedName>
    <definedName name="BSW">#REF!</definedName>
    <definedName name="BUILDUP">#REF!</definedName>
    <definedName name="C_">#REF!</definedName>
    <definedName name="c_Afe">#REF!</definedName>
    <definedName name="c_Analisis">#REF!</definedName>
    <definedName name="c_Equipo">#REF!</definedName>
    <definedName name="c_Estado">#REF!</definedName>
    <definedName name="c_Fin">#REF!</definedName>
    <definedName name="c_Inicio">#REF!</definedName>
    <definedName name="c_Objetivo">#REF!</definedName>
    <definedName name="C_pozo">[4]MiniDB!$D$41</definedName>
    <definedName name="CA" localSheetId="9">#REF!</definedName>
    <definedName name="CA" localSheetId="1">#REF!</definedName>
    <definedName name="CA" localSheetId="2">#REF!</definedName>
    <definedName name="CA">#REF!</definedName>
    <definedName name="cables" localSheetId="9">#REF!</definedName>
    <definedName name="cables" localSheetId="1">#REF!</definedName>
    <definedName name="cables" localSheetId="2">#REF!</definedName>
    <definedName name="cables">#REF!</definedName>
    <definedName name="CALCULOS" localSheetId="9">#REF!</definedName>
    <definedName name="CALCULOS" localSheetId="1">#REF!</definedName>
    <definedName name="CALCULOS" localSheetId="2">#REF!</definedName>
    <definedName name="CALCULOS">#REF!</definedName>
    <definedName name="CALIB">#REF!</definedName>
    <definedName name="CALIB1">#REF!</definedName>
    <definedName name="CAMBIO">#REF!</definedName>
    <definedName name="CamionerosPozos">#REF!</definedName>
    <definedName name="Camisa">'[22]Coef.'!$J$112:$J$115</definedName>
    <definedName name="CANO" localSheetId="9">#REF!</definedName>
    <definedName name="CANO" localSheetId="1">#REF!</definedName>
    <definedName name="CANO" localSheetId="2">#REF!</definedName>
    <definedName name="CANO">#REF!</definedName>
    <definedName name="Cant_CV" localSheetId="9">#REF!</definedName>
    <definedName name="Cant_CV" localSheetId="1">#REF!</definedName>
    <definedName name="Cant_CV" localSheetId="2">#REF!</definedName>
    <definedName name="Cant_CV">#REF!</definedName>
    <definedName name="Cant_turnos" localSheetId="9">#REF!</definedName>
    <definedName name="Cant_turnos" localSheetId="1">#REF!</definedName>
    <definedName name="Cant_turnos" localSheetId="2">#REF!</definedName>
    <definedName name="Cant_turnos">#REF!</definedName>
    <definedName name="CANTESP">#REF!</definedName>
    <definedName name="CARGAR">#REF!</definedName>
    <definedName name="Cargo">#REF!</definedName>
    <definedName name="Carrera">#REF!</definedName>
    <definedName name="cash">#REF!</definedName>
    <definedName name="Categoria">[23]Hoja3!$A$2:$A$9</definedName>
    <definedName name="Catepp">[9]GdP!$F$5:$K$5</definedName>
    <definedName name="Catot">[9]GdP!$F$61:$K$61</definedName>
    <definedName name="CBIOBOMBAS">'[24]CAMBIO DE BOMBA'!$A$1:$J$59</definedName>
    <definedName name="CBIOBOMBASPERDIDA">'[24]CAMBIO DE BOMBA'!$A$136:$J$199</definedName>
    <definedName name="CBIOBOMBASTOTAL">'[24]CAMBIO DE BOMBA'!$A$66:$J$129</definedName>
    <definedName name="cc" localSheetId="9">#REF!</definedName>
    <definedName name="cc" localSheetId="1">#REF!</definedName>
    <definedName name="cc" localSheetId="2">#REF!</definedName>
    <definedName name="cc">#REF!</definedName>
    <definedName name="ccc" localSheetId="9">#REF!</definedName>
    <definedName name="ccc" localSheetId="1">#REF!</definedName>
    <definedName name="ccc" localSheetId="2">#REF!</definedName>
    <definedName name="ccc">#REF!</definedName>
    <definedName name="CCT_1" localSheetId="9">#REF!</definedName>
    <definedName name="CCT_1" localSheetId="1">#REF!</definedName>
    <definedName name="CCT_1" localSheetId="2">#REF!</definedName>
    <definedName name="CCT_1">#REF!</definedName>
    <definedName name="CCT_2">#REF!</definedName>
    <definedName name="Ce">#REF!</definedName>
    <definedName name="Ce35A">[25]Pulling!$C$24</definedName>
    <definedName name="CeCos">[26]CeCos!$D$2:$D$1842</definedName>
    <definedName name="Celdasaborrar">[27]Planilla!$B$9:$C$33,[27]Planilla!$BG$8:$BM$33</definedName>
    <definedName name="CENTENARIO" localSheetId="9">#REF!</definedName>
    <definedName name="CENTENARIO" localSheetId="1">#REF!</definedName>
    <definedName name="CENTENARIO" localSheetId="2">#REF!</definedName>
    <definedName name="CENTENARIO">#REF!</definedName>
    <definedName name="CF" localSheetId="9">#REF!</definedName>
    <definedName name="CF" localSheetId="1">#REF!</definedName>
    <definedName name="CF" localSheetId="2">#REF!</definedName>
    <definedName name="CF">#REF!</definedName>
    <definedName name="cftr">'[28]500'!$A$1:$N$61</definedName>
    <definedName name="CH_DATE" localSheetId="9">#REF!</definedName>
    <definedName name="CH_DATE" localSheetId="1">#REF!</definedName>
    <definedName name="CH_DATE" localSheetId="2">#REF!</definedName>
    <definedName name="CH_DATE">#REF!</definedName>
    <definedName name="CH_PAGE" localSheetId="9">#REF!</definedName>
    <definedName name="CH_PAGE" localSheetId="1">#REF!</definedName>
    <definedName name="CH_PAGE" localSheetId="2">#REF!</definedName>
    <definedName name="CH_PAGE">#REF!</definedName>
    <definedName name="chapa" localSheetId="9">#REF!</definedName>
    <definedName name="chapa" localSheetId="1">#REF!</definedName>
    <definedName name="chapa" localSheetId="2">#REF!</definedName>
    <definedName name="chapa">#REF!</definedName>
    <definedName name="CHECK">#REF!</definedName>
    <definedName name="cia">#REF!</definedName>
    <definedName name="CINCO">"Lista desplegable 1"</definedName>
    <definedName name="Ciudad">#REF!</definedName>
    <definedName name="Clor1">[4]MiniDB!$D$21</definedName>
    <definedName name="Clor2">[4]MiniDB!$D$20</definedName>
    <definedName name="Clor3">[4]MiniDB!$D$19</definedName>
    <definedName name="cmax" localSheetId="9">#REF!</definedName>
    <definedName name="cmax" localSheetId="1">#REF!</definedName>
    <definedName name="cmax" localSheetId="2">#REF!</definedName>
    <definedName name="cmax">#REF!</definedName>
    <definedName name="cmin" localSheetId="9">#REF!</definedName>
    <definedName name="cmin" localSheetId="1">#REF!</definedName>
    <definedName name="cmin" localSheetId="2">#REF!</definedName>
    <definedName name="cmin">#REF!</definedName>
    <definedName name="CNT" localSheetId="9">#REF!</definedName>
    <definedName name="CNT" localSheetId="1">#REF!</definedName>
    <definedName name="CNT" localSheetId="2">#REF!</definedName>
    <definedName name="CNT">#REF!</definedName>
    <definedName name="CNTR">#REF!</definedName>
    <definedName name="Co">#REF!</definedName>
    <definedName name="cober1">[29]Hoja1!$F$3:$F$6</definedName>
    <definedName name="Cobertura">[30]Cobertura!$K$12:$K$13</definedName>
    <definedName name="code">[15]Data!$I$13</definedName>
    <definedName name="coef">'[31]COEF. C'!$A$5:$B$104</definedName>
    <definedName name="Cola_camisa">'[22]Coef.'!$J$117:$J$122</definedName>
    <definedName name="COLOR" localSheetId="9">#REF!</definedName>
    <definedName name="COLOR" localSheetId="1">#REF!</definedName>
    <definedName name="COLOR" localSheetId="2">#REF!</definedName>
    <definedName name="COLOR">#REF!</definedName>
    <definedName name="columna1" localSheetId="9">#REF!</definedName>
    <definedName name="columna1" localSheetId="1">#REF!</definedName>
    <definedName name="columna1" localSheetId="2">#REF!</definedName>
    <definedName name="columna1">#REF!</definedName>
    <definedName name="columna10" localSheetId="9">#REF!</definedName>
    <definedName name="columna10" localSheetId="1">#REF!</definedName>
    <definedName name="columna10" localSheetId="2">#REF!</definedName>
    <definedName name="columna10">#REF!</definedName>
    <definedName name="columna11">#REF!</definedName>
    <definedName name="columna12">#REF!</definedName>
    <definedName name="columna13">#REF!</definedName>
    <definedName name="columna14">#REF!</definedName>
    <definedName name="columna2">#REF!</definedName>
    <definedName name="columna3">#REF!</definedName>
    <definedName name="columna4">#REF!</definedName>
    <definedName name="columna5">#REF!</definedName>
    <definedName name="columna6">#REF!</definedName>
    <definedName name="columna7">#REF!</definedName>
    <definedName name="columna8">#REF!</definedName>
    <definedName name="columna9">#REF!</definedName>
    <definedName name="CombPerf">#REF!</definedName>
    <definedName name="CombustibleF4000">#REF!</definedName>
    <definedName name="CombustibleRanger">#REF!</definedName>
    <definedName name="CombustibleRetro">#REF!</definedName>
    <definedName name="COMENT">#REF!</definedName>
    <definedName name="Comer">#REF!</definedName>
    <definedName name="Comerc">#REF!</definedName>
    <definedName name="CompC">#REF!</definedName>
    <definedName name="ComprPeriods">[20]Production!$P$4</definedName>
    <definedName name="cond">[15]Data!$J$13</definedName>
    <definedName name="CONT\Y">[1]Sheet6!#REF!</definedName>
    <definedName name="Contacto">#REF!</definedName>
    <definedName name="CONTADOR">[1]Sheet6!#REF!</definedName>
    <definedName name="continua" localSheetId="9">'Optimización de Estructura'!continua</definedName>
    <definedName name="continua" localSheetId="1">Optimización_Estructura!continua</definedName>
    <definedName name="continua" localSheetId="2">'PUNTOS DE INYECCIÓN (2)'!continua</definedName>
    <definedName name="continua">[0]!continua</definedName>
    <definedName name="controasist">[32]Hoja1!$H$1:$H$4</definedName>
    <definedName name="Control" localSheetId="9">#REF!</definedName>
    <definedName name="Control" localSheetId="1">#REF!</definedName>
    <definedName name="Control" localSheetId="2">#REF!</definedName>
    <definedName name="Control">#REF!</definedName>
    <definedName name="CONTROLADOR">[1]Sheet6!#REF!</definedName>
    <definedName name="conv1">[15]Data!$AF$3</definedName>
    <definedName name="conv2">[15]Data!$AF$4</definedName>
    <definedName name="conv3">[15]Data!$AF$5</definedName>
    <definedName name="Conyuge" localSheetId="9">#REF!</definedName>
    <definedName name="Conyuge" localSheetId="1">#REF!</definedName>
    <definedName name="Conyuge" localSheetId="2">#REF!</definedName>
    <definedName name="Conyuge">#REF!</definedName>
    <definedName name="Conyuge1" localSheetId="9">#REF!</definedName>
    <definedName name="Conyuge1" localSheetId="1">#REF!</definedName>
    <definedName name="Conyuge1" localSheetId="2">#REF!</definedName>
    <definedName name="Conyuge1">#REF!</definedName>
    <definedName name="CORROSION">#N/A</definedName>
    <definedName name="costos_diectos" localSheetId="9">'[33]Cuadro de Resultados'!#REF!</definedName>
    <definedName name="costos_diectos" localSheetId="1">'[33]Cuadro de Resultados'!#REF!</definedName>
    <definedName name="costos_diectos" localSheetId="2">'[33]Cuadro de Resultados'!#REF!</definedName>
    <definedName name="costos_diectos">'[33]Cuadro de Resultados'!#REF!</definedName>
    <definedName name="COTA" localSheetId="9">#REF!</definedName>
    <definedName name="COTA" localSheetId="1">#REF!</definedName>
    <definedName name="COTA" localSheetId="2">#REF!</definedName>
    <definedName name="COTA">#REF!</definedName>
    <definedName name="Coti" localSheetId="9">#REF!</definedName>
    <definedName name="Coti" localSheetId="1">#REF!</definedName>
    <definedName name="Coti" localSheetId="2">#REF!</definedName>
    <definedName name="Coti">#REF!</definedName>
    <definedName name="Coti_01">[34]Tablas!$D$4</definedName>
    <definedName name="Coti_02">[34]Tablas!$D$5</definedName>
    <definedName name="Coti_03">[34]Tablas!$D$6</definedName>
    <definedName name="Coti_04">[34]Tablas!$D$7</definedName>
    <definedName name="Coti_05">[34]Tablas!$D$8</definedName>
    <definedName name="Coti_06">[34]Tablas!$D$9</definedName>
    <definedName name="Coti_07">[34]Tablas!$D$10</definedName>
    <definedName name="Coti_08">[34]Tablas!$D$11</definedName>
    <definedName name="Coti_09">[34]Tablas!$D$12</definedName>
    <definedName name="Coti_10">[34]Tablas!$D$13</definedName>
    <definedName name="Coti_11">[34]Tablas!$D$14</definedName>
    <definedName name="Coti_12">[34]Tablas!$D$15</definedName>
    <definedName name="cotiz">'[27]WO 1'!$Q$53</definedName>
    <definedName name="CP" localSheetId="9">#REF!</definedName>
    <definedName name="CP" localSheetId="1">#REF!</definedName>
    <definedName name="CP" localSheetId="2">#REF!</definedName>
    <definedName name="CP">#REF!</definedName>
    <definedName name="CPG" localSheetId="9">#REF!</definedName>
    <definedName name="CPG" localSheetId="1">#REF!</definedName>
    <definedName name="CPG" localSheetId="2">#REF!</definedName>
    <definedName name="CPG">#REF!</definedName>
    <definedName name="CPL" localSheetId="9">#REF!</definedName>
    <definedName name="CPL" localSheetId="1">#REF!</definedName>
    <definedName name="CPL" localSheetId="2">#REF!</definedName>
    <definedName name="CPL">#REF!</definedName>
    <definedName name="Criterio">#REF!</definedName>
    <definedName name="CS">#REF!</definedName>
    <definedName name="CSUB2">#REF!</definedName>
    <definedName name="CUAR">[1]Sheet6!#REF!</definedName>
    <definedName name="CUAR2">[1]Sheet5!#REF!</definedName>
    <definedName name="Cuartil1">[4]MiniDB!$D$46</definedName>
    <definedName name="Cuartil2">[4]MiniDB!$D$47</definedName>
    <definedName name="Cuartil3">[4]MiniDB!$D$48</definedName>
    <definedName name="Cuenta" localSheetId="9">#REF!</definedName>
    <definedName name="Cuenta" localSheetId="1">#REF!</definedName>
    <definedName name="Cuenta" localSheetId="2">#REF!</definedName>
    <definedName name="Cuenta">#REF!</definedName>
    <definedName name="Curvaprog" localSheetId="9">#REF!</definedName>
    <definedName name="Curvaprog" localSheetId="1">#REF!</definedName>
    <definedName name="Curvaprog" localSheetId="2">#REF!</definedName>
    <definedName name="Curvaprog">#REF!</definedName>
    <definedName name="CUST" localSheetId="9">#REF!</definedName>
    <definedName name="CUST" localSheetId="1">#REF!</definedName>
    <definedName name="CUST" localSheetId="2">#REF!</definedName>
    <definedName name="CUST">#REF!</definedName>
    <definedName name="D">#REF!</definedName>
    <definedName name="D_pozo">[4]MiniDB!$D$42</definedName>
    <definedName name="DATA_PRES.DIN" localSheetId="9">#REF!</definedName>
    <definedName name="DATA_PRES.DIN" localSheetId="1">#REF!</definedName>
    <definedName name="DATA_PRES.DIN" localSheetId="2">#REF!</definedName>
    <definedName name="DATA_PRES.DIN">#REF!</definedName>
    <definedName name="DATA_PRES_DIN" localSheetId="9">#REF!</definedName>
    <definedName name="DATA_PRES_DIN" localSheetId="1">#REF!</definedName>
    <definedName name="DATA_PRES_DIN" localSheetId="2">#REF!</definedName>
    <definedName name="DATA_PRES_DIN">#REF!</definedName>
    <definedName name="DATA1" localSheetId="9">#REF!</definedName>
    <definedName name="DATA1" localSheetId="1">#REF!</definedName>
    <definedName name="DATA1" localSheetId="2">#REF!</definedName>
    <definedName name="DATA1">#REF!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6">#REF!</definedName>
    <definedName name="DATA17">#REF!</definedName>
    <definedName name="DATA18">#REF!</definedName>
    <definedName name="DATA19">#REF!</definedName>
    <definedName name="DATA2">#REF!</definedName>
    <definedName name="DATA20">#REF!</definedName>
    <definedName name="DATA21">#REF!</definedName>
    <definedName name="DATA22">#REF!</definedName>
    <definedName name="DATA23">#REF!</definedName>
    <definedName name="DATA24">#REF!</definedName>
    <definedName name="DATA25">#REF!</definedName>
    <definedName name="DATA26">#REF!</definedName>
    <definedName name="DATA27">#REF!</definedName>
    <definedName name="DATA28">#REF!</definedName>
    <definedName name="DATA29">#REF!</definedName>
    <definedName name="DATA3">#REF!</definedName>
    <definedName name="DATA30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6">#REF!</definedName>
    <definedName name="DATA37">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9">#REF!</definedName>
    <definedName name="DATE">#REF!</definedName>
    <definedName name="DATE0">#REF!</definedName>
    <definedName name="datos">[35]RUBROS!$A$2:$B$562</definedName>
    <definedName name="Datosaingresar" localSheetId="9">#REF!</definedName>
    <definedName name="Datosaingresar" localSheetId="1">#REF!</definedName>
    <definedName name="Datosaingresar" localSheetId="2">#REF!</definedName>
    <definedName name="Datosaingresar">#REF!</definedName>
    <definedName name="datosimp" localSheetId="9">#REF!</definedName>
    <definedName name="datosimp" localSheetId="1">#REF!</definedName>
    <definedName name="datosimp" localSheetId="2">#REF!</definedName>
    <definedName name="datosimp">#REF!</definedName>
    <definedName name="datosparo" localSheetId="9">#REF!</definedName>
    <definedName name="datosparo" localSheetId="1">#REF!</definedName>
    <definedName name="datosparo" localSheetId="2">#REF!</definedName>
    <definedName name="datosparo">#REF!</definedName>
    <definedName name="dd" localSheetId="9" hidden="1">{#N/A,#N/A,FALSE,"SERIE_150";#N/A,#N/A,FALSE,"SERIE_600 "}</definedName>
    <definedName name="dd" localSheetId="1" hidden="1">{#N/A,#N/A,FALSE,"SERIE_150";#N/A,#N/A,FALSE,"SERIE_600 "}</definedName>
    <definedName name="dd" localSheetId="2" hidden="1">{#N/A,#N/A,FALSE,"SERIE_150";#N/A,#N/A,FALSE,"SERIE_600 "}</definedName>
    <definedName name="dd" hidden="1">{#N/A,#N/A,FALSE,"SERIE_150";#N/A,#N/A,FALSE,"SERIE_600 "}</definedName>
    <definedName name="dddd">#REF!</definedName>
    <definedName name="De">#REF!</definedName>
    <definedName name="Ded_Esp">#REF!</definedName>
    <definedName name="Ded_Esp1">#REF!</definedName>
    <definedName name="Deducciones1">#REF!</definedName>
    <definedName name="Deducciones2">#REF!</definedName>
    <definedName name="Desarrollo">#REF!</definedName>
    <definedName name="Desc_Serv1">#REF!</definedName>
    <definedName name="Desc_Serv2">#REF!</definedName>
    <definedName name="Desc_Serv3">#REF!</definedName>
    <definedName name="Desc_Serv4">#REF!</definedName>
    <definedName name="Desc_Serv5">#REF!</definedName>
    <definedName name="Descuento_Bolívares">#REF!</definedName>
    <definedName name="Descuento_Dólares">#REF!</definedName>
    <definedName name="DESENRVBBEO">'[24]PESCA DE V-B'!$A$69:$J$133</definedName>
    <definedName name="det" localSheetId="9">#REF!</definedName>
    <definedName name="det" localSheetId="1">#REF!</definedName>
    <definedName name="det" localSheetId="2">#REF!</definedName>
    <definedName name="det">#REF!</definedName>
    <definedName name="dete" localSheetId="9">#REF!</definedName>
    <definedName name="dete" localSheetId="1">#REF!</definedName>
    <definedName name="dete" localSheetId="2">#REF!</definedName>
    <definedName name="dete">#REF!</definedName>
    <definedName name="dhsl" localSheetId="9">#REF!</definedName>
    <definedName name="dhsl" localSheetId="1">#REF!</definedName>
    <definedName name="dhsl" localSheetId="2">#REF!</definedName>
    <definedName name="dhsl">#REF!</definedName>
    <definedName name="diagrama">#REF!</definedName>
    <definedName name="diam">[15]Data!$E$7</definedName>
    <definedName name="Días_a_cubrir" localSheetId="9">#REF!</definedName>
    <definedName name="Días_a_cubrir" localSheetId="1">#REF!</definedName>
    <definedName name="Días_a_cubrir" localSheetId="2">#REF!</definedName>
    <definedName name="Días_a_cubrir">#REF!</definedName>
    <definedName name="Días_descanso_titular" localSheetId="9">#REF!</definedName>
    <definedName name="Días_descanso_titular" localSheetId="1">#REF!</definedName>
    <definedName name="Días_descanso_titular" localSheetId="2">#REF!</definedName>
    <definedName name="Días_descanso_titular">#REF!</definedName>
    <definedName name="Días_trabajdos_titular" localSheetId="9">#REF!</definedName>
    <definedName name="Días_trabajdos_titular" localSheetId="1">#REF!</definedName>
    <definedName name="Días_trabajdos_titular" localSheetId="2">#REF!</definedName>
    <definedName name="Días_trabajdos_titular">#REF!</definedName>
    <definedName name="DIC">'[36]Informe global'!$A$6:$AA$107</definedName>
    <definedName name="DIFF" localSheetId="9">#REF!</definedName>
    <definedName name="DIFF" localSheetId="1">#REF!</definedName>
    <definedName name="DIFF" localSheetId="2">#REF!</definedName>
    <definedName name="DIFF">#REF!</definedName>
    <definedName name="Dirección" localSheetId="9">#REF!</definedName>
    <definedName name="Dirección" localSheetId="1">#REF!</definedName>
    <definedName name="Dirección" localSheetId="2">#REF!</definedName>
    <definedName name="Dirección">#REF!</definedName>
    <definedName name="dlev">[15]Data!$D$11</definedName>
    <definedName name="Do" localSheetId="9">#REF!</definedName>
    <definedName name="Do" localSheetId="1">#REF!</definedName>
    <definedName name="Do" localSheetId="2">#REF!</definedName>
    <definedName name="Do">#REF!</definedName>
    <definedName name="Dolar" localSheetId="9">#REF!</definedName>
    <definedName name="Dolar" localSheetId="1">#REF!</definedName>
    <definedName name="Dolar" localSheetId="2">#REF!</definedName>
    <definedName name="Dolar">#REF!</definedName>
    <definedName name="Dólar" localSheetId="9">#REF!</definedName>
    <definedName name="Dólar" localSheetId="1">#REF!</definedName>
    <definedName name="Dólar" localSheetId="2">#REF!</definedName>
    <definedName name="Dólar">#REF!</definedName>
    <definedName name="DOLARES">#REF!</definedName>
    <definedName name="Dólares">#REF!</definedName>
    <definedName name="Dólares_MRIL">#REF!</definedName>
    <definedName name="dp">[15]Data!$H$7</definedName>
    <definedName name="DR_" localSheetId="9">#REF!</definedName>
    <definedName name="DR_" localSheetId="1">#REF!</definedName>
    <definedName name="DR_" localSheetId="2">#REF!</definedName>
    <definedName name="DR_">#REF!</definedName>
    <definedName name="DR_1" localSheetId="9">#REF!</definedName>
    <definedName name="DR_1" localSheetId="1">#REF!</definedName>
    <definedName name="DR_1" localSheetId="2">#REF!</definedName>
    <definedName name="DR_1">#REF!</definedName>
    <definedName name="drf" localSheetId="9">#REF!</definedName>
    <definedName name="drf" localSheetId="1">#REF!</definedName>
    <definedName name="drf" localSheetId="2">#REF!</definedName>
    <definedName name="drf">#REF!</definedName>
    <definedName name="dro">[15]Data!$D$17</definedName>
    <definedName name="drw">[15]Data!$D$19</definedName>
    <definedName name="DTOMAT8">#N/A</definedName>
    <definedName name="DTORMAT">#N/A</definedName>
    <definedName name="DTORSER">#N/A</definedName>
    <definedName name="DTOSER8">#N/A</definedName>
    <definedName name="dyyi">#REF!</definedName>
    <definedName name="E">#REF!</definedName>
    <definedName name="EC_ANtes">#REF!</definedName>
    <definedName name="ec_despues">#REF!</definedName>
    <definedName name="ecant">[21]Sheet1!#REF!</definedName>
    <definedName name="ecdesp">[21]Sheet1!#REF!</definedName>
    <definedName name="EDIT2" localSheetId="9">#REF!</definedName>
    <definedName name="EDIT2" localSheetId="1">#REF!</definedName>
    <definedName name="EDIT2" localSheetId="2">#REF!</definedName>
    <definedName name="EDIT2">#REF!</definedName>
    <definedName name="ee" localSheetId="9">#REF!</definedName>
    <definedName name="ee" localSheetId="1">#REF!</definedName>
    <definedName name="ee" localSheetId="2">#REF!</definedName>
    <definedName name="ee">#REF!</definedName>
    <definedName name="eeeeeee" localSheetId="9">#REF!</definedName>
    <definedName name="eeeeeee" localSheetId="1">#REF!</definedName>
    <definedName name="eeeeeee" localSheetId="2">#REF!</definedName>
    <definedName name="eeeeeee">#REF!</definedName>
    <definedName name="eeerr" localSheetId="9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eeerr" localSheetId="1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eeerr" localSheetId="2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eeerr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ejecucion">#REF!</definedName>
    <definedName name="EL__PORVENIR">#REF!</definedName>
    <definedName name="ELAPS">#REF!</definedName>
    <definedName name="Empresa">[37]Hoja1!$B$55:$B$56</definedName>
    <definedName name="EMPRESA_DEL_GRUPO" localSheetId="9">#REF!</definedName>
    <definedName name="EMPRESA_DEL_GRUPO" localSheetId="1">#REF!</definedName>
    <definedName name="EMPRESA_DEL_GRUPO" localSheetId="2">#REF!</definedName>
    <definedName name="EMPRESA_DEL_GRUPO">#REF!</definedName>
    <definedName name="END" localSheetId="9">'Optimización de Estructura'!END</definedName>
    <definedName name="END" localSheetId="1">Optimización_Estructura!END</definedName>
    <definedName name="END" localSheetId="2">'PUNTOS DE INYECCIÓN (2)'!END</definedName>
    <definedName name="END">[0]!END</definedName>
    <definedName name="entAPI" localSheetId="9">#REF!</definedName>
    <definedName name="entAPI" localSheetId="1">#REF!</definedName>
    <definedName name="entAPI" localSheetId="2">#REF!</definedName>
    <definedName name="entAPI">#REF!</definedName>
    <definedName name="entBAF">'[16]Entrada Tk Bafle'!$A$7:$P$81</definedName>
    <definedName name="enter150" localSheetId="9">#REF!</definedName>
    <definedName name="enter150" localSheetId="1">#REF!</definedName>
    <definedName name="enter150" localSheetId="2">#REF!</definedName>
    <definedName name="enter150">#REF!</definedName>
    <definedName name="enter600" localSheetId="9">#REF!</definedName>
    <definedName name="enter600" localSheetId="1">#REF!</definedName>
    <definedName name="enter600" localSheetId="2">#REF!</definedName>
    <definedName name="enter600">#REF!</definedName>
    <definedName name="entidad" localSheetId="9">#REF!</definedName>
    <definedName name="entidad" localSheetId="1">#REF!</definedName>
    <definedName name="entidad" localSheetId="2">#REF!</definedName>
    <definedName name="entidad">#REF!</definedName>
    <definedName name="EQUIPAMIENTO">#REF!</definedName>
    <definedName name="equipo">#REF!</definedName>
    <definedName name="EquipoBASE">#REF!</definedName>
    <definedName name="EquipoCIS">#REF!</definedName>
    <definedName name="EquipoFUGAS">#REF!</definedName>
    <definedName name="EquipoPAT">#REF!</definedName>
    <definedName name="EquipoPCM">#REF!</definedName>
    <definedName name="EquiposPC">#REF!</definedName>
    <definedName name="er">#REF!</definedName>
    <definedName name="esc1bbainy">#REF!</definedName>
    <definedName name="esc1ipe843">#REF!</definedName>
    <definedName name="esc1salfw">#REF!</definedName>
    <definedName name="Escala">#REF!</definedName>
    <definedName name="Escala2">#REF!</definedName>
    <definedName name="ESPA">#REF!</definedName>
    <definedName name="Est">[9]GE!$I$5:$I$36</definedName>
    <definedName name="et" localSheetId="9">#REF!</definedName>
    <definedName name="et" localSheetId="1">#REF!</definedName>
    <definedName name="et" localSheetId="2">#REF!</definedName>
    <definedName name="et">#REF!</definedName>
    <definedName name="ETAPA">[38]MODELO!$D$7</definedName>
    <definedName name="EVI" localSheetId="9">#REF!</definedName>
    <definedName name="EVI" localSheetId="1">#REF!</definedName>
    <definedName name="EVI" localSheetId="2">#REF!</definedName>
    <definedName name="EVI">#REF!</definedName>
    <definedName name="ex_despues" localSheetId="9">#REF!</definedName>
    <definedName name="ex_despues" localSheetId="1">#REF!</definedName>
    <definedName name="ex_despues" localSheetId="2">#REF!</definedName>
    <definedName name="ex_despues">#REF!</definedName>
    <definedName name="exdesp" localSheetId="9">[21]Sheet1!#REF!</definedName>
    <definedName name="exdesp" localSheetId="1">[21]Sheet1!#REF!</definedName>
    <definedName name="exdesp" localSheetId="2">[21]Sheet1!#REF!</definedName>
    <definedName name="exdesp">[21]Sheet1!#REF!</definedName>
    <definedName name="fab" localSheetId="9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fab" localSheetId="1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fab" localSheetId="2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fab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Fax">#REF!</definedName>
    <definedName name="FB">#REF!</definedName>
    <definedName name="FC.DURACION">'[10]FUERA DE CONVENIO'!#REF!</definedName>
    <definedName name="FC.MES">'[10]FUERA DE CONVENIO'!$D$8</definedName>
    <definedName name="Fd">[39]ESPESOR!$C$15</definedName>
    <definedName name="Fecha" localSheetId="9">#REF!</definedName>
    <definedName name="Fecha" localSheetId="1">#REF!</definedName>
    <definedName name="Fecha" localSheetId="2">#REF!</definedName>
    <definedName name="Fecha">#REF!</definedName>
    <definedName name="Fecha_Antes" localSheetId="9">#REF!</definedName>
    <definedName name="Fecha_Antes" localSheetId="1">#REF!</definedName>
    <definedName name="Fecha_Antes" localSheetId="2">#REF!</definedName>
    <definedName name="Fecha_Antes">#REF!</definedName>
    <definedName name="Fecha_Cierre">'[12]Datos Generales'!$C$3</definedName>
    <definedName name="Fecha_despues" localSheetId="9">#REF!</definedName>
    <definedName name="Fecha_despues" localSheetId="1">#REF!</definedName>
    <definedName name="Fecha_despues" localSheetId="2">#REF!</definedName>
    <definedName name="Fecha_despues">#REF!</definedName>
    <definedName name="Fecha1">[4]MiniDB!$D$10</definedName>
    <definedName name="Fecha2">[4]MiniDB!$D$7</definedName>
    <definedName name="Fecha3">[4]MiniDB!$D$2</definedName>
    <definedName name="FECHAFINAL">[1]Sheet5!#REF!</definedName>
    <definedName name="FECHAFINAL1">[1]Sheet5!#REF!</definedName>
    <definedName name="FECHAINICIAL">[1]Sheet5!#REF!</definedName>
    <definedName name="FECHAINICIAL1">[1]Sheet5!#REF!</definedName>
    <definedName name="fechant">[21]Sheet1!#REF!</definedName>
    <definedName name="fechdesp">[21]Sheet1!#REF!</definedName>
    <definedName name="ff" localSheetId="9">#REF!</definedName>
    <definedName name="ff" localSheetId="1">#REF!</definedName>
    <definedName name="ff" localSheetId="2">#REF!</definedName>
    <definedName name="ff">#REF!</definedName>
    <definedName name="FG" localSheetId="9">#REF!</definedName>
    <definedName name="FG" localSheetId="1">#REF!</definedName>
    <definedName name="FG" localSheetId="2">#REF!</definedName>
    <definedName name="FG">#REF!</definedName>
    <definedName name="FIEL" localSheetId="9">#REF!</definedName>
    <definedName name="FIEL" localSheetId="1">#REF!</definedName>
    <definedName name="FIEL" localSheetId="2">#REF!</definedName>
    <definedName name="FIEL">#REF!</definedName>
    <definedName name="FIL">#REF!</definedName>
    <definedName name="FixedC">#REF!</definedName>
    <definedName name="FL_ID">[4]MiniDB!$D$36</definedName>
    <definedName name="FL_length">[4]MiniDB!$D$35</definedName>
    <definedName name="Fluido" localSheetId="9">#REF!</definedName>
    <definedName name="Fluido" localSheetId="1">#REF!</definedName>
    <definedName name="Fluido" localSheetId="2">#REF!</definedName>
    <definedName name="Fluido">#REF!</definedName>
    <definedName name="Fono" localSheetId="9">#REF!</definedName>
    <definedName name="Fono" localSheetId="1">#REF!</definedName>
    <definedName name="Fono" localSheetId="2">#REF!</definedName>
    <definedName name="Fono">#REF!</definedName>
    <definedName name="Ford4000" localSheetId="9">#REF!</definedName>
    <definedName name="Ford4000" localSheetId="1">#REF!</definedName>
    <definedName name="Ford4000" localSheetId="2">#REF!</definedName>
    <definedName name="Ford4000">#REF!</definedName>
    <definedName name="FORM">#REF!</definedName>
    <definedName name="FORMAC">#REF!</definedName>
    <definedName name="Format">'[40]Base General'!#REF!</definedName>
    <definedName name="FPDe">[15]Data!$D$13</definedName>
    <definedName name="FPV" localSheetId="9">#REF!</definedName>
    <definedName name="FPV" localSheetId="1">#REF!</definedName>
    <definedName name="FPV" localSheetId="2">#REF!</definedName>
    <definedName name="FPV">#REF!</definedName>
    <definedName name="Frec_1">[4]MiniDB!$D$57</definedName>
    <definedName name="Frec_2">[4]MiniDB!$D$58</definedName>
    <definedName name="Frec_3">[4]MiniDB!$D$59</definedName>
    <definedName name="Frec_4">[4]MiniDB!$D$60</definedName>
    <definedName name="Frec_5">[4]MiniDB!$D$61</definedName>
    <definedName name="Frec_6">[4]MiniDB!$D$62</definedName>
    <definedName name="FS" localSheetId="9">#REF!</definedName>
    <definedName name="FS" localSheetId="1">#REF!</definedName>
    <definedName name="FS" localSheetId="2">#REF!</definedName>
    <definedName name="FS">#REF!</definedName>
    <definedName name="FSDFSD">#N/A</definedName>
    <definedName name="Ft">[39]ESPESOR!$C$16</definedName>
    <definedName name="FTF" localSheetId="9">#REF!</definedName>
    <definedName name="FTF" localSheetId="1">#REF!</definedName>
    <definedName name="FTF" localSheetId="2">#REF!</definedName>
    <definedName name="FTF">#REF!</definedName>
    <definedName name="FU" localSheetId="9">#REF!</definedName>
    <definedName name="FU" localSheetId="1">#REF!</definedName>
    <definedName name="FU" localSheetId="2">#REF!</definedName>
    <definedName name="FU">#REF!</definedName>
    <definedName name="fv" localSheetId="9">#REF!</definedName>
    <definedName name="fv" localSheetId="1">#REF!</definedName>
    <definedName name="fv" localSheetId="2">#REF!</definedName>
    <definedName name="fv">#REF!</definedName>
    <definedName name="fyioo">#REF!</definedName>
    <definedName name="G">#REF!</definedName>
    <definedName name="G.1">#REF!</definedName>
    <definedName name="G.2">#REF!</definedName>
    <definedName name="G.3">#REF!</definedName>
    <definedName name="gamma">#REF!</definedName>
    <definedName name="Gan_no_Imp">#REF!</definedName>
    <definedName name="Gan_no_imp1">#REF!</definedName>
    <definedName name="Gas">#REF!</definedName>
    <definedName name="GAS.INY">#REF!</definedName>
    <definedName name="GAS_A">#REF!</definedName>
    <definedName name="Gas_Antes">#REF!</definedName>
    <definedName name="Gas_despues">#REF!</definedName>
    <definedName name="gasant">[21]Sheet1!#REF!</definedName>
    <definedName name="gasdesp">[21]Sheet1!#REF!</definedName>
    <definedName name="GassepModelo">[41]DataCombos2!$B$6:$B$88</definedName>
    <definedName name="GAST" localSheetId="9">#REF!</definedName>
    <definedName name="GAST" localSheetId="1">#REF!</definedName>
    <definedName name="GAST" localSheetId="2">#REF!</definedName>
    <definedName name="GAST">#REF!</definedName>
    <definedName name="GC3500_PRICES">'[42]MASTER TABLE'!$I$547:$I$564</definedName>
    <definedName name="GDEP" localSheetId="9">#REF!</definedName>
    <definedName name="GDEP" localSheetId="1">#REF!</definedName>
    <definedName name="GDEP" localSheetId="2">#REF!</definedName>
    <definedName name="GDEP">#REF!</definedName>
    <definedName name="GENERAL">#N/A</definedName>
    <definedName name="GETDAT" localSheetId="9">#REF!</definedName>
    <definedName name="GETDAT" localSheetId="1">#REF!</definedName>
    <definedName name="GETDAT" localSheetId="2">#REF!</definedName>
    <definedName name="GETDAT">#REF!</definedName>
    <definedName name="gf" localSheetId="9">#REF!</definedName>
    <definedName name="gf" localSheetId="1">#REF!</definedName>
    <definedName name="gf" localSheetId="2">#REF!</definedName>
    <definedName name="gf">#REF!</definedName>
    <definedName name="GG" localSheetId="9">#REF!</definedName>
    <definedName name="GG" localSheetId="1">#REF!</definedName>
    <definedName name="GG" localSheetId="2">#REF!</definedName>
    <definedName name="GG">#REF!</definedName>
    <definedName name="GGRA">#REF!</definedName>
    <definedName name="GL">#REF!</definedName>
    <definedName name="GM3D">#REF!</definedName>
    <definedName name="GOR">#REF!</definedName>
    <definedName name="Gor_Antes">#REF!</definedName>
    <definedName name="GOR_despues">#REF!</definedName>
    <definedName name="gorant">[21]Sheet1!#REF!</definedName>
    <definedName name="GPM" localSheetId="9">#REF!</definedName>
    <definedName name="GPM" localSheetId="1">#REF!</definedName>
    <definedName name="GPM" localSheetId="2">#REF!</definedName>
    <definedName name="GPM">#REF!</definedName>
    <definedName name="_xlnm.Recorder" localSheetId="9">#REF!</definedName>
    <definedName name="_xlnm.Recorder" localSheetId="1">#REF!</definedName>
    <definedName name="_xlnm.Recorder" localSheetId="2">#REF!</definedName>
    <definedName name="_xlnm.Recorder">#REF!</definedName>
    <definedName name="GRABAR" localSheetId="9">#REF!</definedName>
    <definedName name="GRABAR" localSheetId="1">#REF!</definedName>
    <definedName name="GRABAR" localSheetId="2">#REF!</definedName>
    <definedName name="GRABAR">#REF!</definedName>
    <definedName name="GrabarCambios" localSheetId="1">[8]!GrabarCambios</definedName>
    <definedName name="GrabarCambios">[8]!GrabarCambios</definedName>
    <definedName name="GRABARDIAS">[1]Sheet6!#REF!</definedName>
    <definedName name="grade">[15]Data!$K$13</definedName>
    <definedName name="Guardias_por_turno" localSheetId="9">#REF!</definedName>
    <definedName name="Guardias_por_turno" localSheetId="1">#REF!</definedName>
    <definedName name="Guardias_por_turno" localSheetId="2">#REF!</definedName>
    <definedName name="Guardias_por_turno">#REF!</definedName>
    <definedName name="h" localSheetId="9">#REF!</definedName>
    <definedName name="h" localSheetId="1">#REF!</definedName>
    <definedName name="h" localSheetId="2">#REF!</definedName>
    <definedName name="h">#REF!</definedName>
    <definedName name="H2O" localSheetId="9">#REF!</definedName>
    <definedName name="H2O" localSheetId="1">#REF!</definedName>
    <definedName name="H2O" localSheetId="2">#REF!</definedName>
    <definedName name="H2O">#REF!</definedName>
    <definedName name="hdp" localSheetId="9">[43]WTPO0197!#REF!</definedName>
    <definedName name="hdp" localSheetId="1">[43]WTPO0197!#REF!</definedName>
    <definedName name="hdp" localSheetId="2">[43]WTPO0197!#REF!</definedName>
    <definedName name="hdp">[43]WTPO0197!#REF!</definedName>
    <definedName name="HeatValue" localSheetId="9">#REF!</definedName>
    <definedName name="HeatValue" localSheetId="1">#REF!</definedName>
    <definedName name="HeatValue" localSheetId="2">#REF!</definedName>
    <definedName name="HeatValue">#REF!</definedName>
    <definedName name="HERRA" localSheetId="9">#REF!</definedName>
    <definedName name="HERRA" localSheetId="1">#REF!</definedName>
    <definedName name="HERRA" localSheetId="2">#REF!</definedName>
    <definedName name="HERRA">#REF!</definedName>
    <definedName name="herramientas" localSheetId="9">[44]Equipos!#REF!</definedName>
    <definedName name="herramientas" localSheetId="1">[44]Equipos!#REF!</definedName>
    <definedName name="herramientas" localSheetId="2">[44]Equipos!#REF!</definedName>
    <definedName name="herramientas">[44]Equipos!#REF!</definedName>
    <definedName name="hh" localSheetId="9">#REF!</definedName>
    <definedName name="hh" localSheetId="1">#REF!</definedName>
    <definedName name="hh" localSheetId="2">#REF!</definedName>
    <definedName name="hh">#REF!</definedName>
    <definedName name="hi" localSheetId="9">#REF!</definedName>
    <definedName name="hi" localSheetId="1">#REF!</definedName>
    <definedName name="hi" localSheetId="2">#REF!</definedName>
    <definedName name="hi">#REF!</definedName>
    <definedName name="Hijo1" localSheetId="9">#REF!</definedName>
    <definedName name="Hijo1" localSheetId="1">#REF!</definedName>
    <definedName name="Hijo1" localSheetId="2">#REF!</definedName>
    <definedName name="Hijo1">#REF!</definedName>
    <definedName name="Hijos">#REF!</definedName>
    <definedName name="hoja2">#REF!</definedName>
    <definedName name="hoja3">#REF!</definedName>
    <definedName name="hoja4">#REF!</definedName>
    <definedName name="hoja5">'[16]Salida Tk Bafle'!$A$7:$P$500</definedName>
    <definedName name="hoja6">'[16]Impulsion Bomba Inyectora'!$A$4:$U$502</definedName>
    <definedName name="Horas_por_turno" localSheetId="9">#REF!</definedName>
    <definedName name="Horas_por_turno" localSheetId="1">#REF!</definedName>
    <definedName name="Horas_por_turno" localSheetId="2">#REF!</definedName>
    <definedName name="Horas_por_turno">#REF!</definedName>
    <definedName name="horasp" localSheetId="9">#REF!</definedName>
    <definedName name="horasp" localSheetId="1">#REF!</definedName>
    <definedName name="horasp" localSheetId="2">#REF!</definedName>
    <definedName name="horasp">#REF!</definedName>
    <definedName name="HP" localSheetId="9">#REF!</definedName>
    <definedName name="HP" localSheetId="1">#REF!</definedName>
    <definedName name="HP" localSheetId="2">#REF!</definedName>
    <definedName name="HP">#REF!</definedName>
    <definedName name="hsd">#REF!</definedName>
    <definedName name="HVGI">#REF!</definedName>
    <definedName name="HVGS">#REF!</definedName>
    <definedName name="HVLS">#REF!</definedName>
    <definedName name="i">#REF!</definedName>
    <definedName name="IB">#REF!</definedName>
    <definedName name="iff">#REF!</definedName>
    <definedName name="ii">#REF!</definedName>
    <definedName name="iiiiiiiiiiiiiiiiiiiiiiii" localSheetId="9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iiiiiiiiiiiiiiiiiiiiiii" localSheetId="1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iiiiiiiiiiiiiiiiiiiiiii" localSheetId="2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iiiiiiiiiiiiiiiiiiiiiii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iiiiiiiiiiiiiiiiiiiiiiiiiiiiiiiiiii" localSheetId="9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iiiiiiiiiiiiiiiiiiiiiiiiiiiiiiiiiii" localSheetId="1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iiiiiiiiiiiiiiiiiiiiiiiiiiiiiiiiiii" localSheetId="2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iiiiiiiiiiiiiiiiiiiiiiiiiiiiiiiiiii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mp_1">#REF!</definedName>
    <definedName name="Imp_2">#REF!</definedName>
    <definedName name="Impuestos">#REF!</definedName>
    <definedName name="imputa">'[45]Canon Taller '!$I$15:$J$19</definedName>
    <definedName name="Income" localSheetId="9">#REF!</definedName>
    <definedName name="Income" localSheetId="1">#REF!</definedName>
    <definedName name="Income" localSheetId="2">#REF!</definedName>
    <definedName name="Income">#REF!</definedName>
    <definedName name="Indices">[46]Validaciones!$B$79:$B$83</definedName>
    <definedName name="InfoGlob">'[47]Informe global'!$A$6:$AA$90</definedName>
    <definedName name="INI" localSheetId="9">#REF!</definedName>
    <definedName name="INI" localSheetId="1">#REF!</definedName>
    <definedName name="INI" localSheetId="2">#REF!</definedName>
    <definedName name="INI">#REF!</definedName>
    <definedName name="INICIAL" localSheetId="9">[1]Sheet5!#REF!</definedName>
    <definedName name="INICIAL" localSheetId="1">[1]Sheet5!#REF!</definedName>
    <definedName name="INICIAL" localSheetId="2">[1]Sheet5!#REF!</definedName>
    <definedName name="INICIAL">[1]Sheet5!#REF!</definedName>
    <definedName name="inicio" localSheetId="9">#REF!</definedName>
    <definedName name="inicio" localSheetId="1">#REF!</definedName>
    <definedName name="inicio" localSheetId="2">#REF!</definedName>
    <definedName name="inicio">#REF!</definedName>
    <definedName name="InjectionVC">[20]Datos!$F$66</definedName>
    <definedName name="Insumos_Directo_Indirecto">[48]Validaciones!$B$61:$B$63</definedName>
    <definedName name="INT" localSheetId="9">#REF!</definedName>
    <definedName name="INT" localSheetId="1">#REF!</definedName>
    <definedName name="INT" localSheetId="2">#REF!</definedName>
    <definedName name="INT">#REF!</definedName>
    <definedName name="INV" localSheetId="9" hidden="1">{#N/A,#N/A,FALSE,"RES-ANUAL";#N/A,#N/A,FALSE,"RES-CUENTA";#N/A,#N/A,FALSE,"AREA-RESP"}</definedName>
    <definedName name="INV" localSheetId="1" hidden="1">{#N/A,#N/A,FALSE,"RES-ANUAL";#N/A,#N/A,FALSE,"RES-CUENTA";#N/A,#N/A,FALSE,"AREA-RESP"}</definedName>
    <definedName name="INV" localSheetId="2" hidden="1">{#N/A,#N/A,FALSE,"RES-ANUAL";#N/A,#N/A,FALSE,"RES-CUENTA";#N/A,#N/A,FALSE,"AREA-RESP"}</definedName>
    <definedName name="INV" hidden="1">{#N/A,#N/A,FALSE,"RES-ANUAL";#N/A,#N/A,FALSE,"RES-CUENTA";#N/A,#N/A,FALSE,"AREA-RESP"}</definedName>
    <definedName name="Inversiones">#REF!</definedName>
    <definedName name="Investment">#REF!</definedName>
    <definedName name="Inygas">#REF!</definedName>
    <definedName name="IS">#REF!</definedName>
    <definedName name="ITB">#REF!</definedName>
    <definedName name="IVA">#REF!</definedName>
    <definedName name="IVA_AÑO">[49]IVA!$C$6:$G$6</definedName>
    <definedName name="IVA_IMPORTE">[49]IVA!$C$7:$G$90</definedName>
    <definedName name="IVA_JURISDICCION">[49]IVA!$B$7:$B$90</definedName>
    <definedName name="j" localSheetId="9">#REF!</definedName>
    <definedName name="j" localSheetId="1">#REF!</definedName>
    <definedName name="j" localSheetId="2">#REF!</definedName>
    <definedName name="j">#REF!</definedName>
    <definedName name="jj" localSheetId="9">#REF!</definedName>
    <definedName name="jj" localSheetId="1">#REF!</definedName>
    <definedName name="jj" localSheetId="2">#REF!</definedName>
    <definedName name="jj">#REF!</definedName>
    <definedName name="JJJF">'[7]PROD DIA Y MES'!$A$1:$P$55</definedName>
    <definedName name="k" localSheetId="9">#REF!</definedName>
    <definedName name="k" localSheetId="1">#REF!</definedName>
    <definedName name="k" localSheetId="2">#REF!</definedName>
    <definedName name="k">#REF!</definedName>
    <definedName name="KFAC" localSheetId="9">#REF!</definedName>
    <definedName name="KFAC" localSheetId="1">#REF!</definedName>
    <definedName name="KFAC" localSheetId="2">#REF!</definedName>
    <definedName name="KFAC">#REF!</definedName>
    <definedName name="kk" localSheetId="9">#REF!</definedName>
    <definedName name="kk" localSheetId="1">#REF!</definedName>
    <definedName name="kk" localSheetId="2">#REF!</definedName>
    <definedName name="kk">#REF!</definedName>
    <definedName name="L._DEL__MOJON_____JARILLOSA_____PTO._SILVA">#REF!</definedName>
    <definedName name="LABEL">#REF!</definedName>
    <definedName name="lapso">#REF!</definedName>
    <definedName name="Lavadero">#REF!</definedName>
    <definedName name="Lim_inf">[4]MiniDB!$D$51</definedName>
    <definedName name="Lim_sup">[4]MiniDB!$D$56</definedName>
    <definedName name="LIN" localSheetId="9">#REF!</definedName>
    <definedName name="LIN" localSheetId="1">#REF!</definedName>
    <definedName name="LIN" localSheetId="2">#REF!</definedName>
    <definedName name="LIN">#REF!</definedName>
    <definedName name="ListaActividades">[50]Datos!$G$6:$G$29</definedName>
    <definedName name="ListaCombustibles" localSheetId="9">#REF!</definedName>
    <definedName name="ListaCombustibles" localSheetId="1">#REF!</definedName>
    <definedName name="ListaCombustibles" localSheetId="2">#REF!</definedName>
    <definedName name="ListaCombustibles">#REF!</definedName>
    <definedName name="ListaModelos">'[51]Controles procesos'!$B$29:$B$37</definedName>
    <definedName name="ListaNeumaticos" localSheetId="9">#REF!</definedName>
    <definedName name="ListaNeumaticos" localSheetId="1">#REF!</definedName>
    <definedName name="ListaNeumaticos" localSheetId="2">#REF!</definedName>
    <definedName name="ListaNeumaticos">#REF!</definedName>
    <definedName name="ListaSueldos" localSheetId="9">#REF!</definedName>
    <definedName name="ListaSueldos" localSheetId="1">#REF!</definedName>
    <definedName name="ListaSueldos" localSheetId="2">#REF!</definedName>
    <definedName name="ListaSueldos">#REF!</definedName>
    <definedName name="ListaTiemposUnidades">[50]Datos!$K$6:$K$10</definedName>
    <definedName name="ll" localSheetId="9">#REF!</definedName>
    <definedName name="ll" localSheetId="1">#REF!</definedName>
    <definedName name="ll" localSheetId="2">#REF!</definedName>
    <definedName name="ll">#REF!</definedName>
    <definedName name="LOC" localSheetId="9">#REF!</definedName>
    <definedName name="LOC" localSheetId="1">#REF!</definedName>
    <definedName name="LOC" localSheetId="2">#REF!</definedName>
    <definedName name="LOC">#REF!</definedName>
    <definedName name="LTW_Seguimiento_Laboratorio" localSheetId="9">#REF!</definedName>
    <definedName name="LTW_Seguimiento_Laboratorio" localSheetId="1">#REF!</definedName>
    <definedName name="LTW_Seguimiento_Laboratorio" localSheetId="2">#REF!</definedName>
    <definedName name="LTW_Seguimiento_Laboratorio">#REF!</definedName>
    <definedName name="LubeF4000">#REF!</definedName>
    <definedName name="LubePerf">#REF!</definedName>
    <definedName name="LubeRanger">#REF!</definedName>
    <definedName name="LubeRetro">#REF!</definedName>
    <definedName name="M">#REF!</definedName>
    <definedName name="m8m8" localSheetId="9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8m8" localSheetId="1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8m8" localSheetId="2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8m8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acro1" localSheetId="9">'Optimización de Estructura'!Macro1</definedName>
    <definedName name="Macro1" localSheetId="1">Optimización_Estructura!Macro1</definedName>
    <definedName name="Macro1" localSheetId="2">'PUNTOS DE INYECCIÓN (2)'!Macro1</definedName>
    <definedName name="Macro1">[0]!Macro1</definedName>
    <definedName name="Macro10" localSheetId="9">'Optimización de Estructura'!Macro10</definedName>
    <definedName name="Macro10" localSheetId="1">Optimización_Estructura!Macro10</definedName>
    <definedName name="Macro10" localSheetId="2">'PUNTOS DE INYECCIÓN (2)'!Macro10</definedName>
    <definedName name="Macro10">[0]!Macro10</definedName>
    <definedName name="Macro2" localSheetId="9">'Optimización de Estructura'!Macro2</definedName>
    <definedName name="Macro2" localSheetId="1">Optimización_Estructura!Macro2</definedName>
    <definedName name="Macro2" localSheetId="2">'PUNTOS DE INYECCIÓN (2)'!Macro2</definedName>
    <definedName name="Macro2">[0]!Macro2</definedName>
    <definedName name="Macro20" localSheetId="9">'Optimización de Estructura'!Macro20</definedName>
    <definedName name="Macro20" localSheetId="1">Optimización_Estructura!Macro20</definedName>
    <definedName name="Macro20" localSheetId="2">'PUNTOS DE INYECCIÓN (2)'!Macro20</definedName>
    <definedName name="Macro20">[0]!Macro20</definedName>
    <definedName name="Macro4" localSheetId="1">[8]!Macro4</definedName>
    <definedName name="Macro4">[8]!Macro4</definedName>
    <definedName name="Macro6" localSheetId="9">'Optimización de Estructura'!Macro6</definedName>
    <definedName name="Macro6" localSheetId="1">Optimización_Estructura!Macro6</definedName>
    <definedName name="Macro6" localSheetId="2">'PUNTOS DE INYECCIÓN (2)'!Macro6</definedName>
    <definedName name="Macro6">[0]!Macro6</definedName>
    <definedName name="Macro60" localSheetId="9">'Optimización de Estructura'!Macro60</definedName>
    <definedName name="Macro60" localSheetId="1">Optimización_Estructura!Macro60</definedName>
    <definedName name="Macro60" localSheetId="2">'PUNTOS DE INYECCIÓN (2)'!Macro60</definedName>
    <definedName name="Macro60">[0]!Macro60</definedName>
    <definedName name="Macro7" localSheetId="9">'Optimización de Estructura'!Macro7</definedName>
    <definedName name="Macro7" localSheetId="1">Optimización_Estructura!Macro7</definedName>
    <definedName name="Macro7" localSheetId="2">'PUNTOS DE INYECCIÓN (2)'!Macro7</definedName>
    <definedName name="Macro7">[0]!Macro7</definedName>
    <definedName name="Macro70" localSheetId="9">'Optimización de Estructura'!Macro70</definedName>
    <definedName name="Macro70" localSheetId="1">Optimización_Estructura!Macro70</definedName>
    <definedName name="Macro70" localSheetId="2">'PUNTOS DE INYECCIÓN (2)'!Macro70</definedName>
    <definedName name="Macro70">[0]!Macro70</definedName>
    <definedName name="ManejoDefensivo" localSheetId="9">#REF!</definedName>
    <definedName name="ManejoDefensivo" localSheetId="1">#REF!</definedName>
    <definedName name="ManejoDefensivo" localSheetId="2">#REF!</definedName>
    <definedName name="ManejoDefensivo">#REF!</definedName>
    <definedName name="maquina1">[32]Hoja1!$E$1:$E$14</definedName>
    <definedName name="Máquinas">[9]Maq!$A$6:$A$33</definedName>
    <definedName name="mas" localSheetId="9">#REF!</definedName>
    <definedName name="mas" localSheetId="1">#REF!</definedName>
    <definedName name="mas" localSheetId="2">#REF!</definedName>
    <definedName name="mas">#REF!</definedName>
    <definedName name="MATE" localSheetId="9">'[52]1240-18-P-RI-002'!#REF!</definedName>
    <definedName name="MATE" localSheetId="1">'[52]1240-18-P-RI-002'!#REF!</definedName>
    <definedName name="MATE" localSheetId="2">'[52]1240-18-P-RI-002'!#REF!</definedName>
    <definedName name="MATE">'[52]1240-18-P-RI-002'!#REF!</definedName>
    <definedName name="Materiales">[9]Mat!$A$4:$A$305</definedName>
    <definedName name="Maxima">[4]MiniDB!$D$49</definedName>
    <definedName name="MedicinaLaboral" localSheetId="9">#REF!</definedName>
    <definedName name="MedicinaLaboral" localSheetId="1">#REF!</definedName>
    <definedName name="MedicinaLaboral" localSheetId="2">#REF!</definedName>
    <definedName name="MedicinaLaboral">#REF!</definedName>
    <definedName name="Menor" localSheetId="9">'[45]Sop Dif '!#REF!</definedName>
    <definedName name="Menor" localSheetId="1">'[45]Sop Dif '!#REF!</definedName>
    <definedName name="Menor" localSheetId="2">'[45]Sop Dif '!#REF!</definedName>
    <definedName name="Menor">'[45]Sop Dif '!#REF!</definedName>
    <definedName name="menos" localSheetId="9">#REF!</definedName>
    <definedName name="menos" localSheetId="1">#REF!</definedName>
    <definedName name="menos" localSheetId="2">#REF!</definedName>
    <definedName name="menos">#REF!</definedName>
    <definedName name="MENSAJE_DIAS" localSheetId="9">[1]Sheet6!#REF!</definedName>
    <definedName name="MENSAJE_DIAS" localSheetId="1">[1]Sheet6!#REF!</definedName>
    <definedName name="MENSAJE_DIAS" localSheetId="2">[1]Sheet6!#REF!</definedName>
    <definedName name="MENSAJE_DIAS">[1]Sheet6!#REF!</definedName>
    <definedName name="MENU" localSheetId="9">#REF!</definedName>
    <definedName name="MENU" localSheetId="1">#REF!</definedName>
    <definedName name="MENU" localSheetId="2">#REF!</definedName>
    <definedName name="MENU">#REF!</definedName>
    <definedName name="MENUS" localSheetId="9">#REF!</definedName>
    <definedName name="MENUS" localSheetId="1">#REF!</definedName>
    <definedName name="MENUS" localSheetId="2">#REF!</definedName>
    <definedName name="MENUS">#REF!</definedName>
    <definedName name="mermas" localSheetId="9">#REF!</definedName>
    <definedName name="mermas" localSheetId="1">#REF!</definedName>
    <definedName name="mermas" localSheetId="2">#REF!</definedName>
    <definedName name="mermas">#REF!</definedName>
    <definedName name="MES">#REF!</definedName>
    <definedName name="min">#REF!</definedName>
    <definedName name="Minima">[4]MiniDB!$D$45</definedName>
    <definedName name="mm" localSheetId="9">#REF!</definedName>
    <definedName name="mm" localSheetId="1">#REF!</definedName>
    <definedName name="mm" localSheetId="2">#REF!</definedName>
    <definedName name="mm">#REF!</definedName>
    <definedName name="mmm" localSheetId="9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mm" localSheetId="1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mm" localSheetId="2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mm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NM" localSheetId="9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NM" localSheetId="1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NM" localSheetId="2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NM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odalidad">[32]Hoja1!$F$1:$F$5</definedName>
    <definedName name="Módulo3.Sector2" localSheetId="1">[8]!Módulo3.Sector2</definedName>
    <definedName name="Módulo3.Sector2">[8]!Módulo3.Sector2</definedName>
    <definedName name="Módulo4.Sector3" localSheetId="1">[8]!Módulo4.Sector3</definedName>
    <definedName name="Módulo4.Sector3">[8]!Módulo4.Sector3</definedName>
    <definedName name="Módulo5.Sector4" localSheetId="1">[8]!Módulo5.Sector4</definedName>
    <definedName name="Módulo5.Sector4">[8]!Módulo5.Sector4</definedName>
    <definedName name="Módulo6.Sector5" localSheetId="1">[8]!Módulo6.Sector5</definedName>
    <definedName name="Módulo6.Sector5">[8]!Módulo6.Sector5</definedName>
    <definedName name="MOI" localSheetId="9">#REF!</definedName>
    <definedName name="MOI" localSheetId="1">#REF!</definedName>
    <definedName name="MOI" localSheetId="2">#REF!</definedName>
    <definedName name="MOI">#REF!</definedName>
    <definedName name="Moneda">[12]Resumen!$X$2</definedName>
    <definedName name="MONTO" localSheetId="9">#REF!</definedName>
    <definedName name="MONTO" localSheetId="1">#REF!</definedName>
    <definedName name="MONTO" localSheetId="2">#REF!</definedName>
    <definedName name="MONTO">#REF!</definedName>
    <definedName name="Monto_Descuento_Bolívares" localSheetId="9">#REF!</definedName>
    <definedName name="Monto_Descuento_Bolívares" localSheetId="1">#REF!</definedName>
    <definedName name="Monto_Descuento_Bolívares" localSheetId="2">#REF!</definedName>
    <definedName name="Monto_Descuento_Bolívares">#REF!</definedName>
    <definedName name="Monto_Descuento_Dólares" localSheetId="9">#REF!</definedName>
    <definedName name="Monto_Descuento_Dólares" localSheetId="1">#REF!</definedName>
    <definedName name="Monto_Descuento_Dólares" localSheetId="2">#REF!</definedName>
    <definedName name="Monto_Descuento_Dólares">#REF!</definedName>
    <definedName name="Mopre1">#REF!</definedName>
    <definedName name="movimiento">#REF!</definedName>
    <definedName name="MOVPARAFINA">'[24]PERDIDA DE TBG.'!$A$71:$J$132</definedName>
    <definedName name="MOVTBGACIDO">'[24]PERDIDA DE TBG.'!$A$207:$J$268</definedName>
    <definedName name="MOVTBGARENACARB">'[24]PERDIDA DE TBG.'!$A$139:$J$200</definedName>
    <definedName name="MSG" localSheetId="9">#REF!</definedName>
    <definedName name="MSG" localSheetId="1">#REF!</definedName>
    <definedName name="MSG" localSheetId="2">#REF!</definedName>
    <definedName name="MSG">#REF!</definedName>
    <definedName name="MSG0" localSheetId="9">#REF!</definedName>
    <definedName name="MSG0" localSheetId="1">#REF!</definedName>
    <definedName name="MSG0" localSheetId="2">#REF!</definedName>
    <definedName name="MSG0">#REF!</definedName>
    <definedName name="MtoF4000" localSheetId="9">#REF!</definedName>
    <definedName name="MtoF4000" localSheetId="1">#REF!</definedName>
    <definedName name="MtoF4000" localSheetId="2">#REF!</definedName>
    <definedName name="MtoF4000">#REF!</definedName>
    <definedName name="MtoPerf">#REF!</definedName>
    <definedName name="MtoRanger">#REF!</definedName>
    <definedName name="MtoRetro">#REF!</definedName>
    <definedName name="MtoTrailer">#REF!</definedName>
    <definedName name="MTR">#REF!</definedName>
    <definedName name="MTRD">#REF!</definedName>
    <definedName name="MTRT">#REF!</definedName>
    <definedName name="MU">#REF!</definedName>
    <definedName name="MW">#REF!</definedName>
    <definedName name="n">#REF!</definedName>
    <definedName name="N°CCT">'[11]MO - Petrolero Privado'!$E$10</definedName>
    <definedName name="nbreTotal1" localSheetId="9">#REF!</definedName>
    <definedName name="nbreTotal1" localSheetId="1">#REF!</definedName>
    <definedName name="nbreTotal1" localSheetId="2">#REF!</definedName>
    <definedName name="nbreTotal1">#REF!</definedName>
    <definedName name="nbreTotal10" localSheetId="9">#REF!</definedName>
    <definedName name="nbreTotal10" localSheetId="1">#REF!</definedName>
    <definedName name="nbreTotal10" localSheetId="2">#REF!</definedName>
    <definedName name="nbreTotal10">#REF!</definedName>
    <definedName name="nbreTotal2" localSheetId="9">#REF!</definedName>
    <definedName name="nbreTotal2" localSheetId="1">#REF!</definedName>
    <definedName name="nbreTotal2" localSheetId="2">#REF!</definedName>
    <definedName name="nbreTotal2">#REF!</definedName>
    <definedName name="nbreTotal3">#REF!</definedName>
    <definedName name="nbreTotal4">#REF!</definedName>
    <definedName name="nbreTotal5">#REF!</definedName>
    <definedName name="nbreTotal6">#REF!</definedName>
    <definedName name="NDATE">#REF!</definedName>
    <definedName name="Neta">#REF!</definedName>
    <definedName name="Neta_Antes">#REF!</definedName>
    <definedName name="Neta_despues">#REF!</definedName>
    <definedName name="netant">[21]Sheet1!#REF!</definedName>
    <definedName name="netdesp">[21]Sheet1!#REF!</definedName>
    <definedName name="Neto_Arg" localSheetId="9">#REF!</definedName>
    <definedName name="Neto_Arg" localSheetId="1">#REF!</definedName>
    <definedName name="Neto_Arg" localSheetId="2">#REF!</definedName>
    <definedName name="Neto_Arg">#REF!</definedName>
    <definedName name="Neto_Arg_T" localSheetId="9">#REF!</definedName>
    <definedName name="Neto_Arg_T" localSheetId="1">#REF!</definedName>
    <definedName name="Neto_Arg_T" localSheetId="2">#REF!</definedName>
    <definedName name="Neto_Arg_T">#REF!</definedName>
    <definedName name="Netos_país">'[36]Netos  país'!$A$6:$I$107</definedName>
    <definedName name="NeumaticosF4000" localSheetId="9">#REF!</definedName>
    <definedName name="NeumaticosF4000" localSheetId="1">#REF!</definedName>
    <definedName name="NeumaticosF4000" localSheetId="2">#REF!</definedName>
    <definedName name="NeumaticosF4000">#REF!</definedName>
    <definedName name="NeumaticosPerf" localSheetId="9">#REF!</definedName>
    <definedName name="NeumaticosPerf" localSheetId="1">#REF!</definedName>
    <definedName name="NeumaticosPerf" localSheetId="2">#REF!</definedName>
    <definedName name="NeumaticosPerf">#REF!</definedName>
    <definedName name="NeumaticosRanger" localSheetId="9">#REF!</definedName>
    <definedName name="NeumaticosRanger" localSheetId="1">#REF!</definedName>
    <definedName name="NeumaticosRanger" localSheetId="2">#REF!</definedName>
    <definedName name="NeumaticosRanger">#REF!</definedName>
    <definedName name="NeumaticosRetro">#REF!</definedName>
    <definedName name="NeumaticosTrailer">#REF!</definedName>
    <definedName name="NEUQUEN__DISTRICT">#REF!</definedName>
    <definedName name="niveles">#REF!</definedName>
    <definedName name="NOAMORT">[53]Bases!$H$7:$O$60</definedName>
    <definedName name="NOMBRE" localSheetId="9">#REF!</definedName>
    <definedName name="NOMBRE" localSheetId="1">#REF!</definedName>
    <definedName name="NOMBRE" localSheetId="2">#REF!</definedName>
    <definedName name="NOMBRE">#REF!</definedName>
    <definedName name="Normal">[4]MiniDB!$D$44</definedName>
    <definedName name="nro" localSheetId="9">#REF!</definedName>
    <definedName name="nro" localSheetId="1">#REF!</definedName>
    <definedName name="nro" localSheetId="2">#REF!</definedName>
    <definedName name="nro">#REF!</definedName>
    <definedName name="NROW" localSheetId="9">#REF!</definedName>
    <definedName name="NROW" localSheetId="1">#REF!</definedName>
    <definedName name="NROW" localSheetId="2">#REF!</definedName>
    <definedName name="NROW">#REF!</definedName>
    <definedName name="NROWF" localSheetId="9">#REF!</definedName>
    <definedName name="NROWF" localSheetId="1">#REF!</definedName>
    <definedName name="NROWF" localSheetId="2">#REF!</definedName>
    <definedName name="NROWF">#REF!</definedName>
    <definedName name="NTIME">#REF!</definedName>
    <definedName name="NUEDTO.S">#N/A</definedName>
    <definedName name="NUEDTOA">#N/A</definedName>
    <definedName name="NUEDTOP">#N/A</definedName>
    <definedName name="NUEVA">#REF!</definedName>
    <definedName name="ñ">#REF!</definedName>
    <definedName name="o">#REF!</definedName>
    <definedName name="O_Cargas">#REF!</definedName>
    <definedName name="O_Cargas1">#REF!</definedName>
    <definedName name="obs_Antes">#REF!</definedName>
    <definedName name="obs_despues">#REF!</definedName>
    <definedName name="obsant">[21]Sheet1!#REF!</definedName>
    <definedName name="obsdesp">[21]Sheet1!#REF!</definedName>
    <definedName name="Observation">[4]MiniDB!$D$34</definedName>
    <definedName name="OGRA" localSheetId="9">#REF!</definedName>
    <definedName name="OGRA" localSheetId="1">#REF!</definedName>
    <definedName name="OGRA" localSheetId="2">#REF!</definedName>
    <definedName name="OGRA">#REF!</definedName>
    <definedName name="OGRA_C" localSheetId="9">#REF!</definedName>
    <definedName name="OGRA_C" localSheetId="1">#REF!</definedName>
    <definedName name="OGRA_C" localSheetId="2">#REF!</definedName>
    <definedName name="OGRA_C">#REF!</definedName>
    <definedName name="OILMTR" localSheetId="9">#REF!</definedName>
    <definedName name="OILMTR" localSheetId="1">#REF!</definedName>
    <definedName name="OILMTR" localSheetId="2">#REF!</definedName>
    <definedName name="OILMTR">#REF!</definedName>
    <definedName name="OilReserves">[20]Datos!$F$13</definedName>
    <definedName name="OILT" localSheetId="9">#REF!</definedName>
    <definedName name="OILT" localSheetId="1">#REF!</definedName>
    <definedName name="OILT" localSheetId="2">#REF!</definedName>
    <definedName name="OILT">#REF!</definedName>
    <definedName name="OiltransC" localSheetId="9">#REF!</definedName>
    <definedName name="OiltransC" localSheetId="1">#REF!</definedName>
    <definedName name="OiltransC" localSheetId="2">#REF!</definedName>
    <definedName name="OiltransC">#REF!</definedName>
    <definedName name="OPC_ELEG" localSheetId="9">[1]Sheet5!#REF!</definedName>
    <definedName name="OPC_ELEG" localSheetId="1">[1]Sheet5!#REF!</definedName>
    <definedName name="OPC_ELEG" localSheetId="2">[1]Sheet5!#REF!</definedName>
    <definedName name="OPC_ELEG">[1]Sheet5!#REF!</definedName>
    <definedName name="operador" localSheetId="9">#REF!</definedName>
    <definedName name="operador" localSheetId="1">#REF!</definedName>
    <definedName name="operador" localSheetId="2">#REF!</definedName>
    <definedName name="operador">#REF!</definedName>
    <definedName name="Operadores" localSheetId="9">#REF!</definedName>
    <definedName name="Operadores" localSheetId="1">#REF!</definedName>
    <definedName name="Operadores" localSheetId="2">#REF!</definedName>
    <definedName name="Operadores">#REF!</definedName>
    <definedName name="ORDEN" localSheetId="9">#REF!</definedName>
    <definedName name="ORDEN" localSheetId="1">#REF!</definedName>
    <definedName name="ORDEN" localSheetId="2">#REF!</definedName>
    <definedName name="ORDEN">#REF!</definedName>
    <definedName name="ORID">#REF!</definedName>
    <definedName name="Orif3">[4]MiniDB!$D$5</definedName>
    <definedName name="orifa">[21]Sheet1!#REF!</definedName>
    <definedName name="orifd">[21]Sheet1!#REF!</definedName>
    <definedName name="Orificio" localSheetId="9">#REF!</definedName>
    <definedName name="Orificio" localSheetId="1">#REF!</definedName>
    <definedName name="Orificio" localSheetId="2">#REF!</definedName>
    <definedName name="Orificio">#REF!</definedName>
    <definedName name="orificio_Antes" localSheetId="9">#REF!</definedName>
    <definedName name="orificio_Antes" localSheetId="1">#REF!</definedName>
    <definedName name="orificio_Antes" localSheetId="2">#REF!</definedName>
    <definedName name="orificio_Antes">#REF!</definedName>
    <definedName name="orificio_despues" localSheetId="9">#REF!</definedName>
    <definedName name="orificio_despues" localSheetId="1">#REF!</definedName>
    <definedName name="orificio_despues" localSheetId="2">#REF!</definedName>
    <definedName name="orificio_despues">#REF!</definedName>
    <definedName name="ot">#REF!</definedName>
    <definedName name="OtherVC">#REF!</definedName>
    <definedName name="Otros">[9]Otros!$A$4:$A$303</definedName>
    <definedName name="Overhead" localSheetId="9">#REF!</definedName>
    <definedName name="Overhead" localSheetId="1">#REF!</definedName>
    <definedName name="Overhead" localSheetId="2">#REF!</definedName>
    <definedName name="Overhead">#REF!</definedName>
    <definedName name="p" localSheetId="9">#REF!</definedName>
    <definedName name="p" localSheetId="1">#REF!</definedName>
    <definedName name="p" localSheetId="2">#REF!</definedName>
    <definedName name="p">#REF!</definedName>
    <definedName name="P.1" localSheetId="9">#REF!</definedName>
    <definedName name="P.1" localSheetId="1">#REF!</definedName>
    <definedName name="P.1" localSheetId="2">#REF!</definedName>
    <definedName name="P.1">#REF!</definedName>
    <definedName name="P.2">#REF!</definedName>
    <definedName name="P.3">#REF!</definedName>
    <definedName name="P.4">#REF!</definedName>
    <definedName name="P.5">#REF!</definedName>
    <definedName name="P.6">#REF!</definedName>
    <definedName name="P.7">#REF!</definedName>
    <definedName name="P.A.">#N/A</definedName>
    <definedName name="pa">#REF!</definedName>
    <definedName name="Página_Principal">#REF!</definedName>
    <definedName name="pat">#REF!</definedName>
    <definedName name="PatenteRanger">#REF!</definedName>
    <definedName name="PatenteSeguroCENT">#REF!</definedName>
    <definedName name="Pb">#REF!</definedName>
    <definedName name="Pboca">#REF!</definedName>
    <definedName name="pbp_Antes">#REF!</definedName>
    <definedName name="pbp_despues">#REF!</definedName>
    <definedName name="PC">#REF!</definedName>
    <definedName name="Pcolumna">#REF!</definedName>
    <definedName name="Pdb_Comp">[4]MiniDB!$D$38</definedName>
    <definedName name="pdepth">[15]Data!$D$9</definedName>
    <definedName name="PE_Obs">[4]MiniDB!$D$37</definedName>
    <definedName name="PEPITO" localSheetId="9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" localSheetId="1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" localSheetId="2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1" localSheetId="9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1" localSheetId="1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1" localSheetId="2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1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RF">#REF!</definedName>
    <definedName name="Perforador">#REF!</definedName>
    <definedName name="PERICAM">[54]PARAM!$A$3</definedName>
    <definedName name="Personal">[9]MO!$A$3:$A$128</definedName>
    <definedName name="PESOS150" localSheetId="9">#REF!</definedName>
    <definedName name="PESOS150" localSheetId="1">#REF!</definedName>
    <definedName name="PESOS150" localSheetId="2">#REF!</definedName>
    <definedName name="PESOS150">#REF!</definedName>
    <definedName name="pesos600" localSheetId="9">#REF!</definedName>
    <definedName name="pesos600" localSheetId="1">#REF!</definedName>
    <definedName name="pesos600" localSheetId="2">#REF!</definedName>
    <definedName name="pesos600">#REF!</definedName>
    <definedName name="PESOS83">'[55]#¡REF'!$K$28</definedName>
    <definedName name="PESOS85">'[55]RESUMEN GRAL'!#REF!</definedName>
    <definedName name="Petróleo_y_Gas_Occidente" localSheetId="9">#REF!</definedName>
    <definedName name="Petróleo_y_Gas_Occidente" localSheetId="1">#REF!</definedName>
    <definedName name="Petróleo_y_Gas_Occidente" localSheetId="2">#REF!</definedName>
    <definedName name="Petróleo_y_Gas_Occidente">#REF!</definedName>
    <definedName name="Pf" localSheetId="9">#REF!</definedName>
    <definedName name="Pf" localSheetId="1">#REF!</definedName>
    <definedName name="Pf" localSheetId="2">#REF!</definedName>
    <definedName name="Pf">#REF!</definedName>
    <definedName name="PGAS1" localSheetId="9">#REF!</definedName>
    <definedName name="PGAS1" localSheetId="1">#REF!</definedName>
    <definedName name="PGAS1" localSheetId="2">#REF!</definedName>
    <definedName name="PGAS1">#REF!</definedName>
    <definedName name="PGAS2">#REF!</definedName>
    <definedName name="PGAS3">#REF!</definedName>
    <definedName name="PGAS4">#REF!</definedName>
    <definedName name="PGAS5">#REF!</definedName>
    <definedName name="PGAS6">#REF!</definedName>
    <definedName name="PHDG">#REF!</definedName>
    <definedName name="PHGAS">#REF!</definedName>
    <definedName name="PHMED">#REF!</definedName>
    <definedName name="PHRES">#REF!</definedName>
    <definedName name="PHTAN">#REF!</definedName>
    <definedName name="pilREV">'[16]Pileta Revestida'!$A$7:$P$54</definedName>
    <definedName name="PINCUPLA">'[24]PESCA DE V-B'!$A$135:$J$195</definedName>
    <definedName name="Pinyeccion" localSheetId="9">#REF!</definedName>
    <definedName name="Pinyeccion" localSheetId="1">#REF!</definedName>
    <definedName name="Pinyeccion" localSheetId="2">#REF!</definedName>
    <definedName name="Pinyeccion">#REF!</definedName>
    <definedName name="PKR" localSheetId="9">#REF!</definedName>
    <definedName name="PKR" localSheetId="1">#REF!</definedName>
    <definedName name="PKR" localSheetId="2">#REF!</definedName>
    <definedName name="PKR">#REF!</definedName>
    <definedName name="PLA" localSheetId="9">#REF!</definedName>
    <definedName name="PLA" localSheetId="1">#REF!</definedName>
    <definedName name="PLA" localSheetId="2">#REF!</definedName>
    <definedName name="PLA">#REF!</definedName>
    <definedName name="PLANILLAS">#REF!</definedName>
    <definedName name="PLANTA__DE__GAS__CENTENARIO">#REF!</definedName>
    <definedName name="Plin1">[4]MiniDB!$D$15</definedName>
    <definedName name="Plin2">[4]MiniDB!$D$14</definedName>
    <definedName name="Plin3">[4]MiniDB!$D$13</definedName>
    <definedName name="Plinea" localSheetId="9">#REF!</definedName>
    <definedName name="Plinea" localSheetId="1">#REF!</definedName>
    <definedName name="Plinea" localSheetId="2">#REF!</definedName>
    <definedName name="Plinea">#REF!</definedName>
    <definedName name="PLPG1" localSheetId="9">#REF!</definedName>
    <definedName name="PLPG1" localSheetId="1">#REF!</definedName>
    <definedName name="PLPG1" localSheetId="2">#REF!</definedName>
    <definedName name="PLPG1">#REF!</definedName>
    <definedName name="PLPG2" localSheetId="9">#REF!</definedName>
    <definedName name="PLPG2" localSheetId="1">#REF!</definedName>
    <definedName name="PLPG2" localSheetId="2">#REF!</definedName>
    <definedName name="PLPG2">#REF!</definedName>
    <definedName name="PLPG3">#REF!</definedName>
    <definedName name="PLPG4">#REF!</definedName>
    <definedName name="plunger">[15]Data!$D$7</definedName>
    <definedName name="PM" localSheetId="9">#REF!</definedName>
    <definedName name="PM" localSheetId="1">#REF!</definedName>
    <definedName name="PM" localSheetId="2">#REF!</definedName>
    <definedName name="PM">#REF!</definedName>
    <definedName name="PMED1" localSheetId="9">#REF!</definedName>
    <definedName name="PMED1" localSheetId="1">#REF!</definedName>
    <definedName name="PMED1" localSheetId="2">#REF!</definedName>
    <definedName name="PMED1">#REF!</definedName>
    <definedName name="PMED2" localSheetId="9">#REF!</definedName>
    <definedName name="PMED2" localSheetId="1">#REF!</definedName>
    <definedName name="PMED2" localSheetId="2">#REF!</definedName>
    <definedName name="PMED2">#REF!</definedName>
    <definedName name="PMED3">#REF!</definedName>
    <definedName name="PMED4">#REF!</definedName>
    <definedName name="PMED5">#REF!</definedName>
    <definedName name="PMED6">#REF!</definedName>
    <definedName name="Porc_T0">[4]MiniDB!$D$63</definedName>
    <definedName name="Porc_T1">[4]MiniDB!$D$64</definedName>
    <definedName name="Porc_T2">[4]MiniDB!$D$65</definedName>
    <definedName name="Porc_T3">[4]MiniDB!$D$66</definedName>
    <definedName name="Porc_T4">[4]MiniDB!$D$67</definedName>
    <definedName name="Porc_T5">[4]MiniDB!$D$68</definedName>
    <definedName name="potencial" localSheetId="9">#REF!</definedName>
    <definedName name="potencial" localSheetId="1">#REF!</definedName>
    <definedName name="potencial" localSheetId="2">#REF!</definedName>
    <definedName name="potencial">#REF!</definedName>
    <definedName name="Pozo">[4]MiniDB!$D$1</definedName>
    <definedName name="Pozos" localSheetId="9">#REF!</definedName>
    <definedName name="Pozos" localSheetId="1">#REF!</definedName>
    <definedName name="Pozos" localSheetId="2">#REF!</definedName>
    <definedName name="Pozos">#REF!</definedName>
    <definedName name="pp">[39]ESPESOR!$C$13</definedName>
    <definedName name="ppp" localSheetId="9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ppp" localSheetId="1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ppp" localSheetId="2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ppp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PRES1">#REF!</definedName>
    <definedName name="PRES2">#REF!</definedName>
    <definedName name="PRES3">#REF!</definedName>
    <definedName name="PRES4">#REF!</definedName>
    <definedName name="PRES5">#REF!</definedName>
    <definedName name="PRES6">#REF!</definedName>
    <definedName name="PresionCO2">#REF!</definedName>
    <definedName name="PRIM">[1]Sheet6!#REF!</definedName>
    <definedName name="PRIM2">[1]Sheet5!#REF!</definedName>
    <definedName name="print">#REF!</definedName>
    <definedName name="Print_Area_MI">#REF!</definedName>
    <definedName name="Print_Titles_MI">#REF!</definedName>
    <definedName name="print1" localSheetId="9">#REF!,#REF!</definedName>
    <definedName name="print1" localSheetId="1">#REF!,#REF!</definedName>
    <definedName name="print1" localSheetId="2">#REF!,#REF!</definedName>
    <definedName name="print1">#REF!,#REF!</definedName>
    <definedName name="PROCESANDO2" localSheetId="9">[1]Sheet5!#REF!</definedName>
    <definedName name="PROCESANDO2" localSheetId="1">[1]Sheet5!#REF!</definedName>
    <definedName name="PROCESANDO2" localSheetId="2">[1]Sheet5!#REF!</definedName>
    <definedName name="PROCESANDO2">[1]Sheet5!#REF!</definedName>
    <definedName name="ProdCorr" localSheetId="9">#REF!</definedName>
    <definedName name="ProdCorr" localSheetId="1">#REF!</definedName>
    <definedName name="ProdCorr" localSheetId="2">#REF!</definedName>
    <definedName name="ProdCorr">#REF!</definedName>
    <definedName name="Prodexp">[20]Datos!$F$74</definedName>
    <definedName name="production" localSheetId="9">#REF!</definedName>
    <definedName name="production" localSheetId="1">#REF!</definedName>
    <definedName name="production" localSheetId="2">#REF!</definedName>
    <definedName name="production">#REF!</definedName>
    <definedName name="prof" localSheetId="9">#REF!</definedName>
    <definedName name="prof" localSheetId="1">#REF!</definedName>
    <definedName name="prof" localSheetId="2">#REF!</definedName>
    <definedName name="prof">#REF!</definedName>
    <definedName name="Proveedores" localSheetId="9">#REF!</definedName>
    <definedName name="Proveedores" localSheetId="1">#REF!</definedName>
    <definedName name="Proveedores" localSheetId="2">#REF!</definedName>
    <definedName name="Proveedores">#REF!</definedName>
    <definedName name="PROVINCIA">'[11]MO - Petrolero Privado'!$E$8</definedName>
    <definedName name="PRTR" localSheetId="9">#REF!</definedName>
    <definedName name="PRTR" localSheetId="1">#REF!</definedName>
    <definedName name="PRTR" localSheetId="2">#REF!</definedName>
    <definedName name="PRTR">#REF!</definedName>
    <definedName name="Psep1">[4]MiniDB!$D$18</definedName>
    <definedName name="Psep2">[4]MiniDB!$D$17</definedName>
    <definedName name="Psep3">[4]MiniDB!$D$16</definedName>
    <definedName name="PTAN1" localSheetId="9">#REF!</definedName>
    <definedName name="PTAN1" localSheetId="1">#REF!</definedName>
    <definedName name="PTAN1" localSheetId="2">#REF!</definedName>
    <definedName name="PTAN1">#REF!</definedName>
    <definedName name="PTAN2" localSheetId="9">#REF!</definedName>
    <definedName name="PTAN2" localSheetId="1">#REF!</definedName>
    <definedName name="PTAN2" localSheetId="2">#REF!</definedName>
    <definedName name="PTAN2">#REF!</definedName>
    <definedName name="PTAN3" localSheetId="9">#REF!</definedName>
    <definedName name="PTAN3" localSheetId="1">#REF!</definedName>
    <definedName name="PTAN3" localSheetId="2">#REF!</definedName>
    <definedName name="PTAN3">#REF!</definedName>
    <definedName name="PTAN4">#REF!</definedName>
    <definedName name="PTAN5">#REF!</definedName>
    <definedName name="PTAN6">#REF!</definedName>
    <definedName name="PUESTO__TOUQUET">#REF!</definedName>
    <definedName name="PUN">#REF!</definedName>
    <definedName name="Puntos_con_telemetria">#REF!</definedName>
    <definedName name="PZ.1">#REF!</definedName>
    <definedName name="PZ.2">#REF!</definedName>
    <definedName name="PZ.3">#REF!</definedName>
    <definedName name="PZ.4">#REF!</definedName>
    <definedName name="q">#REF!</definedName>
    <definedName name="Qab">[56]Datos!$F$48</definedName>
    <definedName name="Qabg" localSheetId="9">#REF!</definedName>
    <definedName name="Qabg" localSheetId="1">#REF!</definedName>
    <definedName name="Qabg" localSheetId="2">#REF!</definedName>
    <definedName name="Qabg">#REF!</definedName>
    <definedName name="Qabo" localSheetId="9">#REF!</definedName>
    <definedName name="Qabo" localSheetId="1">#REF!</definedName>
    <definedName name="Qabo" localSheetId="2">#REF!</definedName>
    <definedName name="Qabo">#REF!</definedName>
    <definedName name="qfh" localSheetId="9">#REF!</definedName>
    <definedName name="qfh" localSheetId="1">#REF!</definedName>
    <definedName name="qfh" localSheetId="2">#REF!</definedName>
    <definedName name="qfh">#REF!</definedName>
    <definedName name="QG">#REF!</definedName>
    <definedName name="Qgas1">[4]MiniDB!$D$12</definedName>
    <definedName name="Qgas2">[4]MiniDB!$D$9</definedName>
    <definedName name="Qgas3">[4]MiniDB!$D$4</definedName>
    <definedName name="Qig" localSheetId="9">#REF!</definedName>
    <definedName name="Qig" localSheetId="1">#REF!</definedName>
    <definedName name="Qig" localSheetId="2">#REF!</definedName>
    <definedName name="Qig">#REF!</definedName>
    <definedName name="Qio" localSheetId="9">#REF!</definedName>
    <definedName name="Qio" localSheetId="1">#REF!</definedName>
    <definedName name="Qio" localSheetId="2">#REF!</definedName>
    <definedName name="Qio">#REF!</definedName>
    <definedName name="QO" localSheetId="9">#REF!</definedName>
    <definedName name="QO" localSheetId="1">#REF!</definedName>
    <definedName name="QO" localSheetId="2">#REF!</definedName>
    <definedName name="QO">#REF!</definedName>
    <definedName name="Qs">#REF!</definedName>
    <definedName name="QUEM">#REF!</definedName>
    <definedName name="QW">#REF!</definedName>
    <definedName name="qwer">#REF!</definedName>
    <definedName name="R_Social">#REF!</definedName>
    <definedName name="RangerCD4x2">#REF!</definedName>
    <definedName name="RangerCD4x4">#REF!</definedName>
    <definedName name="RangerCS4x2">#REF!</definedName>
    <definedName name="RangerCS4x4">#REF!</definedName>
    <definedName name="rango_500">#REF!</definedName>
    <definedName name="rango_505">#REF!</definedName>
    <definedName name="rango_514">#REF!</definedName>
    <definedName name="rango_aclara_505">#REF!</definedName>
    <definedName name="rango_aclara_514">#REF!</definedName>
    <definedName name="Rango_P">[4]MiniDB!$D$50</definedName>
    <definedName name="rango_produccion" localSheetId="9">#REF!</definedName>
    <definedName name="rango_produccion" localSheetId="1">#REF!</definedName>
    <definedName name="rango_produccion" localSheetId="2">#REF!</definedName>
    <definedName name="rango_produccion">#REF!</definedName>
    <definedName name="rango_produccion_total" localSheetId="9">#REF!</definedName>
    <definedName name="rango_produccion_total" localSheetId="1">#REF!</definedName>
    <definedName name="rango_produccion_total" localSheetId="2">#REF!</definedName>
    <definedName name="rango_produccion_total">#REF!</definedName>
    <definedName name="RANGOIMPRESION" localSheetId="9">#REF!</definedName>
    <definedName name="RANGOIMPRESION" localSheetId="1">#REF!</definedName>
    <definedName name="RANGOIMPRESION" localSheetId="2">#REF!</definedName>
    <definedName name="RANGOIMPRESION">#REF!</definedName>
    <definedName name="rara">#REF!</definedName>
    <definedName name="Recover">[57]Macro1!$A$314</definedName>
    <definedName name="RECUP" localSheetId="9">#REF!</definedName>
    <definedName name="RECUP" localSheetId="1">#REF!</definedName>
    <definedName name="RECUP" localSheetId="2">#REF!</definedName>
    <definedName name="RECUP">#REF!</definedName>
    <definedName name="RED" localSheetId="9">#REF!</definedName>
    <definedName name="RED" localSheetId="1">#REF!</definedName>
    <definedName name="RED" localSheetId="2">#REF!</definedName>
    <definedName name="RED">#REF!</definedName>
    <definedName name="Refin" localSheetId="9">#REF!</definedName>
    <definedName name="Refin" localSheetId="1">#REF!</definedName>
    <definedName name="Refin" localSheetId="2">#REF!</definedName>
    <definedName name="Refin">#REF!</definedName>
    <definedName name="region2">[32]Hoja1!$G$1:$G$5</definedName>
    <definedName name="renglon" localSheetId="9">#REF!</definedName>
    <definedName name="renglon" localSheetId="1">#REF!</definedName>
    <definedName name="renglon" localSheetId="2">#REF!</definedName>
    <definedName name="renglon">#REF!</definedName>
    <definedName name="Rep">'[45]Sop Dif '!$K$5</definedName>
    <definedName name="reparacion" localSheetId="9">#REF!</definedName>
    <definedName name="reparacion" localSheetId="1">#REF!</definedName>
    <definedName name="reparacion" localSheetId="2">#REF!</definedName>
    <definedName name="reparacion">#REF!</definedName>
    <definedName name="RES">[54]PARAM!$A$1</definedName>
    <definedName name="residuales" localSheetId="9">#REF!</definedName>
    <definedName name="residuales" localSheetId="1">#REF!</definedName>
    <definedName name="residuales" localSheetId="2">#REF!</definedName>
    <definedName name="residuales">#REF!</definedName>
    <definedName name="resu150" localSheetId="9">#REF!</definedName>
    <definedName name="resu150" localSheetId="1">#REF!</definedName>
    <definedName name="resu150" localSheetId="2">#REF!</definedName>
    <definedName name="resu150">#REF!</definedName>
    <definedName name="resum600" localSheetId="9">#REF!</definedName>
    <definedName name="resum600" localSheetId="1">#REF!</definedName>
    <definedName name="resum600" localSheetId="2">#REF!</definedName>
    <definedName name="resum600">#REF!</definedName>
    <definedName name="RETRO">#REF!</definedName>
    <definedName name="ROOT">#REF!</definedName>
    <definedName name="rotacion">#REF!</definedName>
    <definedName name="ROTTBGYMOVROTTBG">'[24]PERDIDA DE TBG.'!$A$1:$J$63</definedName>
    <definedName name="ROWS" localSheetId="9">#REF!</definedName>
    <definedName name="ROWS" localSheetId="1">#REF!</definedName>
    <definedName name="ROWS" localSheetId="2">#REF!</definedName>
    <definedName name="ROWS">#REF!</definedName>
    <definedName name="Roygas" localSheetId="9">#REF!</definedName>
    <definedName name="Roygas" localSheetId="1">#REF!</definedName>
    <definedName name="Roygas" localSheetId="2">#REF!</definedName>
    <definedName name="Roygas">#REF!</definedName>
    <definedName name="Royoil" localSheetId="9">#REF!</definedName>
    <definedName name="Royoil" localSheetId="1">#REF!</definedName>
    <definedName name="Royoil" localSheetId="2">#REF!</definedName>
    <definedName name="Royoil">#REF!</definedName>
    <definedName name="rpm">[15]Data!$K$9</definedName>
    <definedName name="rr">[15]Data!$H$9</definedName>
    <definedName name="rrrrrrrrrrrrrr" localSheetId="9">#REF!</definedName>
    <definedName name="rrrrrrrrrrrrrr" localSheetId="1">#REF!</definedName>
    <definedName name="rrrrrrrrrrrrrr" localSheetId="2">#REF!</definedName>
    <definedName name="rrrrrrrrrrrrrr">#REF!</definedName>
    <definedName name="RUT" localSheetId="9">#REF!</definedName>
    <definedName name="RUT" localSheetId="1">#REF!</definedName>
    <definedName name="RUT" localSheetId="2">#REF!</definedName>
    <definedName name="RUT">#REF!</definedName>
    <definedName name="S" localSheetId="9">#REF!</definedName>
    <definedName name="S" localSheetId="1">#REF!</definedName>
    <definedName name="S" localSheetId="2">#REF!</definedName>
    <definedName name="S">#REF!</definedName>
    <definedName name="sal">#REF!</definedName>
    <definedName name="SALABA40">[1]Sheet4!#REF!</definedName>
    <definedName name="salAPI">#REF!</definedName>
    <definedName name="SALARIOS">#REF!</definedName>
    <definedName name="salBAF">'[16]Salida Tk Bafle'!$A$7:$P$84</definedName>
    <definedName name="Salesret" localSheetId="9">#REF!</definedName>
    <definedName name="Salesret" localSheetId="1">#REF!</definedName>
    <definedName name="Salesret" localSheetId="2">#REF!</definedName>
    <definedName name="Salesret">#REF!</definedName>
    <definedName name="Salinidad" localSheetId="9">#REF!</definedName>
    <definedName name="Salinidad" localSheetId="1">#REF!</definedName>
    <definedName name="Salinidad" localSheetId="2">#REF!</definedName>
    <definedName name="Salinidad">#REF!</definedName>
    <definedName name="Salinidad_Antes" localSheetId="9">#REF!</definedName>
    <definedName name="Salinidad_Antes" localSheetId="1">#REF!</definedName>
    <definedName name="Salinidad_Antes" localSheetId="2">#REF!</definedName>
    <definedName name="Salinidad_Antes">#REF!</definedName>
    <definedName name="Salinidad_despues">#REF!</definedName>
    <definedName name="SAPBEXdnldView" hidden="1">"BDBYBWNAUJ42UM403UEV7H72C"</definedName>
    <definedName name="SAPBEXsysID" hidden="1">"BP2"</definedName>
    <definedName name="SCI_UTE">'[58]CECO - SCI - SCI PESA'!$A$2:$A$44</definedName>
    <definedName name="SCII">'[59]CECO - SCII'!$A$2:$A$45</definedName>
    <definedName name="SCIO">'[60]CECO - SCIO'!$A$2:$A$4</definedName>
    <definedName name="SDAT" localSheetId="9">#REF!</definedName>
    <definedName name="SDAT" localSheetId="1">#REF!</definedName>
    <definedName name="SDAT" localSheetId="2">#REF!</definedName>
    <definedName name="SDAT">#REF!</definedName>
    <definedName name="Sector" localSheetId="9">#REF!</definedName>
    <definedName name="Sector" localSheetId="1">#REF!</definedName>
    <definedName name="Sector" localSheetId="2">#REF!</definedName>
    <definedName name="Sector">#REF!</definedName>
    <definedName name="Sector1" localSheetId="1">[8]!Sector1</definedName>
    <definedName name="Sector1">[8]!Sector1</definedName>
    <definedName name="Sector2">#N/A</definedName>
    <definedName name="SectorTanque1" localSheetId="1">[8]!SectorTanque1</definedName>
    <definedName name="SectorTanque1">[8]!SectorTanque1</definedName>
    <definedName name="SEG">[1]Sheet6!#REF!</definedName>
    <definedName name="Segurodeobra">[44]MOI!#REF!</definedName>
    <definedName name="SeguroRanger" localSheetId="9">#REF!</definedName>
    <definedName name="SeguroRanger" localSheetId="1">#REF!</definedName>
    <definedName name="SeguroRanger" localSheetId="2">#REF!</definedName>
    <definedName name="SeguroRanger">#REF!</definedName>
    <definedName name="SELECCION" localSheetId="9">[1]Sheet5!#REF!</definedName>
    <definedName name="SELECCION" localSheetId="1">[1]Sheet5!#REF!</definedName>
    <definedName name="SELECCION" localSheetId="2">[1]Sheet5!#REF!</definedName>
    <definedName name="SELECCION">[1]Sheet5!#REF!</definedName>
    <definedName name="SelloModelo">[61]DataCombos2!$D$6:$D$165</definedName>
    <definedName name="Semanas_por_mes" localSheetId="9">#REF!</definedName>
    <definedName name="Semanas_por_mes" localSheetId="1">#REF!</definedName>
    <definedName name="Semanas_por_mes" localSheetId="2">#REF!</definedName>
    <definedName name="Semanas_por_mes">#REF!</definedName>
    <definedName name="SEPAR" localSheetId="9">#REF!</definedName>
    <definedName name="SEPAR" localSheetId="1">#REF!</definedName>
    <definedName name="SEPAR" localSheetId="2">#REF!</definedName>
    <definedName name="SEPAR">#REF!</definedName>
    <definedName name="SERIE" localSheetId="9">#REF!</definedName>
    <definedName name="SERIE" localSheetId="1">#REF!</definedName>
    <definedName name="SERIE" localSheetId="2">#REF!</definedName>
    <definedName name="SERIE">#REF!</definedName>
    <definedName name="sf">[15]Data!$J$14</definedName>
    <definedName name="SH">[62]InfTerm!#REF!</definedName>
    <definedName name="shdf" localSheetId="9">#REF!</definedName>
    <definedName name="shdf" localSheetId="1">#REF!</definedName>
    <definedName name="shdf" localSheetId="2">#REF!</definedName>
    <definedName name="shdf">#REF!</definedName>
    <definedName name="sino">[32]Hoja1!$D$1:$D$3</definedName>
    <definedName name="SINO2">[63]Hoja1!$K$3:$K$6</definedName>
    <definedName name="sl">[15]Data!$J$5</definedName>
    <definedName name="Sp">[39]ESPESOR!$C$14</definedName>
    <definedName name="spm">[15]Data!$L$5</definedName>
    <definedName name="spmt">[15]Data!$K$5</definedName>
    <definedName name="srdata">[15]Data!$R$3:$U$6</definedName>
    <definedName name="Srink" localSheetId="9">#REF!</definedName>
    <definedName name="Srink" localSheetId="1">#REF!</definedName>
    <definedName name="Srink" localSheetId="2">#REF!</definedName>
    <definedName name="Srink">#REF!</definedName>
    <definedName name="srl">[15]Data!$K$16</definedName>
    <definedName name="sry" localSheetId="9">#REF!</definedName>
    <definedName name="sry" localSheetId="1">#REF!</definedName>
    <definedName name="sry" localSheetId="2">#REF!</definedName>
    <definedName name="sry">#REF!</definedName>
    <definedName name="ss" localSheetId="9">'[64]Informe Mensual'!#REF!</definedName>
    <definedName name="ss" localSheetId="1">'[64]Informe Mensual'!#REF!</definedName>
    <definedName name="ss" localSheetId="2">'[64]Informe Mensual'!#REF!</definedName>
    <definedName name="ss">'[64]Informe Mensual'!#REF!</definedName>
    <definedName name="sss" localSheetId="9">'[64]Informe Mensual'!#REF!</definedName>
    <definedName name="sss" localSheetId="1">'[64]Informe Mensual'!#REF!</definedName>
    <definedName name="sss" localSheetId="2">'[64]Informe Mensual'!#REF!</definedName>
    <definedName name="sss">'[64]Informe Mensual'!#REF!</definedName>
    <definedName name="ssssssss">'[65]Informe Mensual'!#REF!</definedName>
    <definedName name="STARP" localSheetId="9">#REF!</definedName>
    <definedName name="STARP" localSheetId="1">#REF!</definedName>
    <definedName name="STARP" localSheetId="2">#REF!</definedName>
    <definedName name="STARP">#REF!</definedName>
    <definedName name="STAT" localSheetId="9">#REF!</definedName>
    <definedName name="STAT" localSheetId="1">#REF!</definedName>
    <definedName name="STAT" localSheetId="2">#REF!</definedName>
    <definedName name="STAT">#REF!</definedName>
    <definedName name="Sub_Total_Bolívares" localSheetId="9">#REF!</definedName>
    <definedName name="Sub_Total_Bolívares" localSheetId="1">#REF!</definedName>
    <definedName name="Sub_Total_Bolívares" localSheetId="2">#REF!</definedName>
    <definedName name="Sub_Total_Bolívares">#REF!</definedName>
    <definedName name="Sub_Total_Dólares">#REF!</definedName>
    <definedName name="Subcuenta">#REF!</definedName>
    <definedName name="SueldoAyudante">#REF!</definedName>
    <definedName name="SueldoOficial">#REF!</definedName>
    <definedName name="SueldoPerforador">#REF!</definedName>
    <definedName name="SueldoSupervisor">#REF!</definedName>
    <definedName name="sup">#REF!</definedName>
    <definedName name="t">#REF!</definedName>
    <definedName name="T_Actividad">[48]Validaciones!$B$4:$B$8</definedName>
    <definedName name="T_Gremio">[48]Validaciones!$D$4:$D$38</definedName>
    <definedName name="T_Nro_CCT">[48]Validaciones!$F$4:$F$11</definedName>
    <definedName name="T_Provincia">[48]Validaciones!$B$11:$B$17</definedName>
    <definedName name="T_Relac_con_servic">[48]Validaciones!$B$39:$B$42</definedName>
    <definedName name="T_rubro">[48]Validaciones!$F$19:$F$23</definedName>
    <definedName name="T_sino">[48]Validaciones!$B$28:$B$29</definedName>
    <definedName name="T_Situac_actual">[48]Validaciones!$B$34:$B$35</definedName>
    <definedName name="T_Tipo_neumat">[66]Validaciones!$B$46:$B$47</definedName>
    <definedName name="T_UUNN">[48]Validaciones!$B$23:$B$25</definedName>
    <definedName name="TABLA.FC_IMPORTE">[10]BD_ADICIONALES.FC!$B$7:$J$13</definedName>
    <definedName name="TABLA.FC_ITEM">[10]BD_ADICIONALES.FC!$A$7:$A$13</definedName>
    <definedName name="TABLA.FC_MES">[10]BD_ADICIONALES.FC!$B$6:$J$6</definedName>
    <definedName name="TABLA.UOCRA_ADIC.UOCRA">[10]BD_ESCALAS.UOCRA!$K$127:$K$262</definedName>
    <definedName name="TABLA.UOCRA_ADIC.ZONA">[10]BD_ESCALAS.UOCRA!$F$127:$F$262</definedName>
    <definedName name="TABLA.UOCRA_AYUDA.ALIM">[10]BD_ESCALAS.UOCRA!$I$127:$I$262</definedName>
    <definedName name="TABLA.UOCRA_CAMPAMENTO">[10]BD_ESCALAS.UOCRA!$J$127:$J$262</definedName>
    <definedName name="TABLA.UOCRA_CATEGORIA">[10]BD_ESCALAS.UOCRA!$B$127:$B$262</definedName>
    <definedName name="TABLA.UOCRA_HSVIAJE">[10]BD_ESCALAS.UOCRA!$G$127:$G$262</definedName>
    <definedName name="TABLA.UOCRA_IMPORTE">[10]BD_ESCALAS.UOCRA!$E$127:$E$262</definedName>
    <definedName name="TABLA.UOCRA_MES">[10]BD_ESCALAS.UOCRA!$C$127:$C$262</definedName>
    <definedName name="TABLA.UOCRA_VIANDA">[10]BD_ESCALAS.UOCRA!$H$127:$H$262</definedName>
    <definedName name="TABLA.UOCRA_ZONA">[10]BD_ESCALAS.UOCRA!$D$127:$D$262</definedName>
    <definedName name="TABLA_CATEGORIA">[10]BD_ESCALAS.PETROLERO!$A$10:$A$105</definedName>
    <definedName name="TABLA_CCT">[10]BD_ESCALAS.PETROLERO!$BA$7:$CN$7</definedName>
    <definedName name="TABLA_IMPORTE">[10]BD_ESCALAS.PETROLERO!$BA$10:$CN$105</definedName>
    <definedName name="TABLA_MES">[10]BD_ESCALAS.PETROLERO!$BA$9:$CN$9</definedName>
    <definedName name="TABLA_TURNO">[10]BD_ESCALAS.PETROLERO!$B$10:$B$105</definedName>
    <definedName name="TABLA_ZONA">[10]BD_ESCALAS.PETROLERO!$BA$8:$CN$8</definedName>
    <definedName name="tabladatos" localSheetId="9">#REF!</definedName>
    <definedName name="tabladatos" localSheetId="1">#REF!</definedName>
    <definedName name="tabladatos" localSheetId="2">#REF!</definedName>
    <definedName name="tabladatos">#REF!</definedName>
    <definedName name="TableName">"Dummy"</definedName>
    <definedName name="Tanque2" localSheetId="1">[8]!Tanque2</definedName>
    <definedName name="Tanque2">[8]!Tanque2</definedName>
    <definedName name="Tanque3" localSheetId="1">[8]!Tanque3</definedName>
    <definedName name="Tanque3">[8]!Tanque3</definedName>
    <definedName name="Tanque4" localSheetId="1">[8]!Tanque4</definedName>
    <definedName name="Tanque4">[8]!Tanque4</definedName>
    <definedName name="Tanque5" localSheetId="1">[8]!Tanque5</definedName>
    <definedName name="Tanque5">[8]!Tanque5</definedName>
    <definedName name="Tanque6" localSheetId="1">[8]!Tanque6</definedName>
    <definedName name="Tanque6">[8]!Tanque6</definedName>
    <definedName name="TAREAS" localSheetId="9">#REF!</definedName>
    <definedName name="TAREAS" localSheetId="1">#REF!</definedName>
    <definedName name="TAREAS" localSheetId="2">#REF!</definedName>
    <definedName name="TAREAS">#REF!</definedName>
    <definedName name="tarifa" localSheetId="9">#REF!</definedName>
    <definedName name="tarifa" localSheetId="1">#REF!</definedName>
    <definedName name="tarifa" localSheetId="2">#REF!</definedName>
    <definedName name="tarifa">#REF!</definedName>
    <definedName name="Tb" localSheetId="9">#REF!</definedName>
    <definedName name="Tb" localSheetId="1">#REF!</definedName>
    <definedName name="Tb" localSheetId="2">#REF!</definedName>
    <definedName name="Tb">#REF!</definedName>
    <definedName name="TBG">#N/A</definedName>
    <definedName name="Tboca">#REF!</definedName>
    <definedName name="TC">#REF!</definedName>
    <definedName name="TE">#REF!</definedName>
    <definedName name="TER">[1]Sheet6!#REF!</definedName>
    <definedName name="termino">#REF!</definedName>
    <definedName name="TEST0">#REF!</definedName>
    <definedName name="TEST1">#REF!</definedName>
    <definedName name="TEST10">#REF!</definedName>
    <definedName name="TEST11">#REF!</definedName>
    <definedName name="TEST12">#REF!</definedName>
    <definedName name="TEST13">#REF!</definedName>
    <definedName name="TEST14">#REF!</definedName>
    <definedName name="TEST15">#REF!</definedName>
    <definedName name="TEST16">#REF!</definedName>
    <definedName name="TEST17">#REF!</definedName>
    <definedName name="TEST18">#REF!</definedName>
    <definedName name="TEST19">#REF!</definedName>
    <definedName name="TEST2">#REF!</definedName>
    <definedName name="TEST20">#REF!</definedName>
    <definedName name="TEST21">#REF!</definedName>
    <definedName name="TEST22">#REF!</definedName>
    <definedName name="TEST23">#REF!</definedName>
    <definedName name="TEST24">#REF!</definedName>
    <definedName name="TEST25">#REF!</definedName>
    <definedName name="TEST26">#REF!</definedName>
    <definedName name="TEST27">#REF!</definedName>
    <definedName name="TEST28">#REF!</definedName>
    <definedName name="TEST29">#REF!</definedName>
    <definedName name="TEST3">#REF!</definedName>
    <definedName name="TEST30">#REF!</definedName>
    <definedName name="TEST31">#REF!</definedName>
    <definedName name="TEST32">#REF!</definedName>
    <definedName name="TEST33">#REF!</definedName>
    <definedName name="TEST34">#REF!</definedName>
    <definedName name="TEST35">#REF!</definedName>
    <definedName name="TEST36">#REF!</definedName>
    <definedName name="TEST37">#REF!</definedName>
    <definedName name="TEST38">#REF!</definedName>
    <definedName name="TEST39">#REF!</definedName>
    <definedName name="TEST4">#REF!</definedName>
    <definedName name="TEST40">#REF!</definedName>
    <definedName name="TEST41">#REF!</definedName>
    <definedName name="TEST42">#REF!</definedName>
    <definedName name="TEST43">#REF!</definedName>
    <definedName name="TEST44">#REF!</definedName>
    <definedName name="TEST45">#REF!</definedName>
    <definedName name="TEST46">#REF!</definedName>
    <definedName name="TEST47">#REF!</definedName>
    <definedName name="TEST48">#REF!</definedName>
    <definedName name="TEST49">#REF!</definedName>
    <definedName name="TEST5">#REF!</definedName>
    <definedName name="TEST50">#REF!</definedName>
    <definedName name="TEST51">#REF!</definedName>
    <definedName name="TEST52">#REF!</definedName>
    <definedName name="TEST53">#REF!</definedName>
    <definedName name="TEST54">#REF!</definedName>
    <definedName name="TEST55">#REF!</definedName>
    <definedName name="TEST56">#REF!</definedName>
    <definedName name="TEST57">#REF!</definedName>
    <definedName name="TEST58">#REF!</definedName>
    <definedName name="TEST59">#REF!</definedName>
    <definedName name="TEST6">#REF!</definedName>
    <definedName name="TEST60">#REF!</definedName>
    <definedName name="TEST61">#REF!</definedName>
    <definedName name="TEST62">#REF!</definedName>
    <definedName name="TEST63">#REF!</definedName>
    <definedName name="TEST64">#REF!</definedName>
    <definedName name="TEST7">#REF!</definedName>
    <definedName name="TEST8">#REF!</definedName>
    <definedName name="TEST9">#REF!</definedName>
    <definedName name="TESTHKEY">#REF!</definedName>
    <definedName name="TESTKEYS">#REF!</definedName>
    <definedName name="TESTVKEY">#REF!</definedName>
    <definedName name="Tf">#REF!</definedName>
    <definedName name="TicketAyudante">#REF!</definedName>
    <definedName name="TicketOficial">#REF!</definedName>
    <definedName name="TicketPerforador">#REF!</definedName>
    <definedName name="TicketSupervisor">#REF!</definedName>
    <definedName name="TIME">#REF!</definedName>
    <definedName name="TIME1">#REF!</definedName>
    <definedName name="TINC">#REF!</definedName>
    <definedName name="TINT">#REF!</definedName>
    <definedName name="Tipo_Insumos">[48]Validaciones!$B$69:$B$73</definedName>
    <definedName name="tipo1">[32]Hoja1!$A$1:$A$5</definedName>
    <definedName name="Tipo3">[4]MiniDB!$D$6</definedName>
    <definedName name="tipocliente">[32]Hoja1!$B$1:$B$4</definedName>
    <definedName name="TIPSA">#N/A</definedName>
    <definedName name="TIT_POZOS_PETROLIFEROS">#REF!</definedName>
    <definedName name="Titulo">#REF!</definedName>
    <definedName name="Título">#REF!</definedName>
    <definedName name="Titulo_1">#REF!</definedName>
    <definedName name="_xlnm.Print_Titles">#N/A</definedName>
    <definedName name="Títulos_a_imprimir_IM">#REF!</definedName>
    <definedName name="tm">#REF!</definedName>
    <definedName name="Torque">#REF!</definedName>
    <definedName name="TOT_MES_ACTUAL_OIL">#REF!</definedName>
    <definedName name="total">#REF!</definedName>
    <definedName name="Total_Agua_OIL_Mes_Actual">#REF!</definedName>
    <definedName name="Total_Bolívares">#REF!</definedName>
    <definedName name="TOTAL_CENTENARIO__Field_Gas_Plant">#REF!</definedName>
    <definedName name="Total_Dólares">#REF!</definedName>
    <definedName name="Total_Gas_Asoc_Mes_Actual">#REF!</definedName>
    <definedName name="total1">#REF!</definedName>
    <definedName name="total10">#REF!</definedName>
    <definedName name="total2">#REF!</definedName>
    <definedName name="total3">#REF!</definedName>
    <definedName name="total4">#REF!</definedName>
    <definedName name="total5">#REF!</definedName>
    <definedName name="total6">#REF!</definedName>
    <definedName name="TOTALBBA">'[24]RESUMEN ANUAL'!$A$66:$J$94</definedName>
    <definedName name="TOTALCUERPO">'[24]PESCA DE V-B'!$A$1:$J$63</definedName>
    <definedName name="TOTALFAC" localSheetId="9">#REF!</definedName>
    <definedName name="TOTALFAC" localSheetId="1">#REF!</definedName>
    <definedName name="TOTALFAC" localSheetId="2">#REF!</definedName>
    <definedName name="TOTALFAC">#REF!</definedName>
    <definedName name="TOTALPESC">'[24]RESUMEN ANUAL'!$A$34:$J$62</definedName>
    <definedName name="TOTALPUL">'[24]RESUMEN ANUAL'!$A$1:$J$30</definedName>
    <definedName name="TOTALTBGR">'[24]RESUMEN ANUAL'!$A$98:$J$126</definedName>
    <definedName name="TP" localSheetId="9">#REF!</definedName>
    <definedName name="TP" localSheetId="1">#REF!</definedName>
    <definedName name="TP" localSheetId="2">#REF!</definedName>
    <definedName name="TP">#REF!</definedName>
    <definedName name="tra" localSheetId="9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a" localSheetId="1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a" localSheetId="2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a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ailer">#REF!</definedName>
    <definedName name="TrepanoII" localSheetId="9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" localSheetId="1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" localSheetId="2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I" localSheetId="9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I" localSheetId="1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I" localSheetId="2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sep1">[4]MiniDB!$D$31</definedName>
    <definedName name="Tsep2">[4]MiniDB!$D$32</definedName>
    <definedName name="Tsep3">[4]MiniDB!$D$33</definedName>
    <definedName name="TSTN" localSheetId="9">#REF!</definedName>
    <definedName name="TSTN" localSheetId="1">#REF!</definedName>
    <definedName name="TSTN" localSheetId="2">#REF!</definedName>
    <definedName name="TSTN">#REF!</definedName>
    <definedName name="TSTT" localSheetId="9">#REF!</definedName>
    <definedName name="TSTT" localSheetId="1">#REF!</definedName>
    <definedName name="TSTT" localSheetId="2">#REF!</definedName>
    <definedName name="TSTT">#REF!</definedName>
    <definedName name="TT" localSheetId="9">#REF!</definedName>
    <definedName name="TT" localSheetId="1">#REF!</definedName>
    <definedName name="TT" localSheetId="2">#REF!</definedName>
    <definedName name="TT">#REF!</definedName>
    <definedName name="TUB">#REF!</definedName>
    <definedName name="Turngas">#REF!</definedName>
    <definedName name="Turnoil">#REF!</definedName>
    <definedName name="type">#REF!</definedName>
    <definedName name="u">#REF!</definedName>
    <definedName name="UF">#REF!</definedName>
    <definedName name="UIB">[15]Data!$H$5</definedName>
    <definedName name="Unid.">'[52]1240-18-P-RI-002'!#REF!</definedName>
    <definedName name="Unidadgor">[67]Datos!$H$50</definedName>
    <definedName name="UNION150" localSheetId="9">#REF!</definedName>
    <definedName name="UNION150" localSheetId="1">#REF!</definedName>
    <definedName name="UNION150" localSheetId="2">#REF!</definedName>
    <definedName name="UNION150">#REF!</definedName>
    <definedName name="UNIT" localSheetId="9">#REF!</definedName>
    <definedName name="UNIT" localSheetId="1">#REF!</definedName>
    <definedName name="UNIT" localSheetId="2">#REF!</definedName>
    <definedName name="UNIT">#REF!</definedName>
    <definedName name="UNITC" localSheetId="9">#REF!</definedName>
    <definedName name="UNITC" localSheetId="1">#REF!</definedName>
    <definedName name="UNITC" localSheetId="2">#REF!</definedName>
    <definedName name="UNITC">#REF!</definedName>
    <definedName name="UNITP">#REF!</definedName>
    <definedName name="UNITT">#REF!</definedName>
    <definedName name="UOCRA.DURACION">#REF!</definedName>
    <definedName name="UOCRA.MES">[10]UOCRA!$D$8</definedName>
    <definedName name="UOCRA.ZONA">[10]UOCRA!$D$9</definedName>
    <definedName name="US">[68]IPC!$H$9</definedName>
    <definedName name="Utilidad" localSheetId="9">#REF!</definedName>
    <definedName name="Utilidad" localSheetId="1">#REF!</definedName>
    <definedName name="Utilidad" localSheetId="2">#REF!</definedName>
    <definedName name="Utilidad">#REF!</definedName>
    <definedName name="UTS">[15]Data!$K$14</definedName>
    <definedName name="uu" localSheetId="9">'Optimización de Estructura'!uu</definedName>
    <definedName name="uu" localSheetId="1">Optimización_Estructura!uu</definedName>
    <definedName name="uu" localSheetId="2">'PUNTOS DE INYECCIÓN (2)'!uu</definedName>
    <definedName name="uu">[0]!uu</definedName>
    <definedName name="v" localSheetId="9">#REF!</definedName>
    <definedName name="v" localSheetId="1">#REF!</definedName>
    <definedName name="v" localSheetId="2">#REF!</definedName>
    <definedName name="v">#REF!</definedName>
    <definedName name="V0" localSheetId="9">#REF!</definedName>
    <definedName name="V0" localSheetId="1">#REF!</definedName>
    <definedName name="V0" localSheetId="2">#REF!</definedName>
    <definedName name="V0">#REF!</definedName>
    <definedName name="Valor_Final" localSheetId="9">#REF!</definedName>
    <definedName name="Valor_Final" localSheetId="1">#REF!</definedName>
    <definedName name="Valor_Final" localSheetId="2">#REF!</definedName>
    <definedName name="Valor_Final">#REF!</definedName>
    <definedName name="Valor_Serv1">#REF!</definedName>
    <definedName name="Valor_Serv2">#REF!</definedName>
    <definedName name="Valor_Serv3">#REF!</definedName>
    <definedName name="Valor_Serv4">#REF!</definedName>
    <definedName name="Valor_Serv5">#REF!</definedName>
    <definedName name="varios">#REF!</definedName>
    <definedName name="Vehiculos">[9]Veh!$A$6:$A$23</definedName>
    <definedName name="Vehículos" localSheetId="9">#REF!</definedName>
    <definedName name="Vehículos" localSheetId="1">#REF!</definedName>
    <definedName name="Vehículos" localSheetId="2">#REF!</definedName>
    <definedName name="Vehículos">#REF!</definedName>
    <definedName name="VERGUENZA" localSheetId="9">#REF!</definedName>
    <definedName name="VERGUENZA" localSheetId="1">#REF!</definedName>
    <definedName name="VERGUENZA" localSheetId="2">#REF!</definedName>
    <definedName name="VERGUENZA">#REF!</definedName>
    <definedName name="Vestimenta" localSheetId="9">#REF!</definedName>
    <definedName name="Vestimenta" localSheetId="1">#REF!</definedName>
    <definedName name="Vestimenta" localSheetId="2">#REF!</definedName>
    <definedName name="Vestimenta">#REF!</definedName>
    <definedName name="VfluidC">[20]Datos!$F$62</definedName>
    <definedName name="VgasC" localSheetId="9">#REF!</definedName>
    <definedName name="VgasC" localSheetId="1">#REF!</definedName>
    <definedName name="VgasC" localSheetId="2">#REF!</definedName>
    <definedName name="VgasC">#REF!</definedName>
    <definedName name="Viandas" localSheetId="9">#REF!</definedName>
    <definedName name="Viandas" localSheetId="1">#REF!</definedName>
    <definedName name="Viandas" localSheetId="2">#REF!</definedName>
    <definedName name="Viandas">#REF!</definedName>
    <definedName name="VInjecC">[20]Datos!$F$66</definedName>
    <definedName name="VM" localSheetId="9">#REF!</definedName>
    <definedName name="VM" localSheetId="1">#REF!</definedName>
    <definedName name="VM" localSheetId="2">#REF!</definedName>
    <definedName name="VM">#REF!</definedName>
    <definedName name="VnpozosC">[20]Datos!$F$72</definedName>
    <definedName name="VoilC" localSheetId="9">#REF!</definedName>
    <definedName name="VoilC" localSheetId="1">#REF!</definedName>
    <definedName name="VoilC" localSheetId="2">#REF!</definedName>
    <definedName name="VoilC">#REF!</definedName>
    <definedName name="VOLVER" localSheetId="1">[69]!VOLVER</definedName>
    <definedName name="VOLVER">[69]!VOLVER</definedName>
    <definedName name="vp">[15]Data!$H$16</definedName>
    <definedName name="VtasNetas" localSheetId="9">#REF!</definedName>
    <definedName name="VtasNetas" localSheetId="1">#REF!</definedName>
    <definedName name="VtasNetas" localSheetId="2">#REF!</definedName>
    <definedName name="VtasNetas">#REF!</definedName>
    <definedName name="VwatC" localSheetId="9">[20]Datos!#REF!</definedName>
    <definedName name="VwatC" localSheetId="1">[20]Datos!#REF!</definedName>
    <definedName name="VwatC" localSheetId="2">[20]Datos!#REF!</definedName>
    <definedName name="VwatC">[20]Datos!#REF!</definedName>
    <definedName name="VwellC" localSheetId="9">#REF!</definedName>
    <definedName name="VwellC" localSheetId="1">#REF!</definedName>
    <definedName name="VwellC" localSheetId="2">#REF!</definedName>
    <definedName name="VwellC">#REF!</definedName>
    <definedName name="w" localSheetId="9">#REF!</definedName>
    <definedName name="w" localSheetId="1">#REF!</definedName>
    <definedName name="w" localSheetId="2">#REF!</definedName>
    <definedName name="w">#REF!</definedName>
    <definedName name="Water1">[4]MiniDB!$D$25</definedName>
    <definedName name="Water2">[4]MiniDB!$D$26</definedName>
    <definedName name="Water3">[4]MiniDB!$D$27</definedName>
    <definedName name="wc">[15]Data!$D$15</definedName>
    <definedName name="WCOM" localSheetId="9">#REF!</definedName>
    <definedName name="WCOM" localSheetId="1">#REF!</definedName>
    <definedName name="WCOM" localSheetId="2">#REF!</definedName>
    <definedName name="WCOM">#REF!</definedName>
    <definedName name="WCOM1" localSheetId="9">#REF!</definedName>
    <definedName name="WCOM1" localSheetId="1">#REF!</definedName>
    <definedName name="WCOM1" localSheetId="2">#REF!</definedName>
    <definedName name="WCOM1">#REF!</definedName>
    <definedName name="WELL" localSheetId="9">#REF!</definedName>
    <definedName name="WELL" localSheetId="1">#REF!</definedName>
    <definedName name="WELL" localSheetId="2">#REF!</definedName>
    <definedName name="WELL">#REF!</definedName>
    <definedName name="WF">#REF!</definedName>
    <definedName name="Winterest">#REF!</definedName>
    <definedName name="wlasa">#REF!</definedName>
    <definedName name="wrn.Completo260." localSheetId="9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wrn.Completo260." localSheetId="1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wrn.Completo260." localSheetId="2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wrn.Completo260.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wrn.COMPUMAT." localSheetId="9" hidden="1">{#N/A,#N/A,FALSE,"SERIE_150";#N/A,#N/A,FALSE,"SERIE_600 "}</definedName>
    <definedName name="wrn.COMPUMAT." localSheetId="1" hidden="1">{#N/A,#N/A,FALSE,"SERIE_150";#N/A,#N/A,FALSE,"SERIE_600 "}</definedName>
    <definedName name="wrn.COMPUMAT." localSheetId="2" hidden="1">{#N/A,#N/A,FALSE,"SERIE_150";#N/A,#N/A,FALSE,"SERIE_600 "}</definedName>
    <definedName name="wrn.COMPUMAT." hidden="1">{#N/A,#N/A,FALSE,"SERIE_150";#N/A,#N/A,FALSE,"SERIE_600 "}</definedName>
    <definedName name="wrn.FORECAST." localSheetId="9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." localSheetId="1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." localSheetId="2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.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1." localSheetId="9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1." localSheetId="1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1." localSheetId="2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1.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INDIRECTOS." localSheetId="9" hidden="1">{#N/A,#N/A,FALSE,"FASE81";#N/A,#N/A,FALSE,"FASE83";#N/A,#N/A,FALSE,"FASE85"}</definedName>
    <definedName name="wrn.INDIRECTOS." localSheetId="1" hidden="1">{#N/A,#N/A,FALSE,"FASE81";#N/A,#N/A,FALSE,"FASE83";#N/A,#N/A,FALSE,"FASE85"}</definedName>
    <definedName name="wrn.INDIRECTOS." localSheetId="2" hidden="1">{#N/A,#N/A,FALSE,"FASE81";#N/A,#N/A,FALSE,"FASE83";#N/A,#N/A,FALSE,"FASE85"}</definedName>
    <definedName name="wrn.INDIRECTOS." hidden="1">{#N/A,#N/A,FALSE,"FASE81";#N/A,#N/A,FALSE,"FASE83";#N/A,#N/A,FALSE,"FASE85"}</definedName>
    <definedName name="wrn.LISTADOC." localSheetId="9" hidden="1">{#N/A,#N/A,FALSE,"GENERAL";#N/A,#N/A,FALSE,"USP 1";#N/A,#N/A,FALSE,"USP 2";#N/A,#N/A,FALSE,"UTE"}</definedName>
    <definedName name="wrn.LISTADOC." localSheetId="1" hidden="1">{#N/A,#N/A,FALSE,"GENERAL";#N/A,#N/A,FALSE,"USP 1";#N/A,#N/A,FALSE,"USP 2";#N/A,#N/A,FALSE,"UTE"}</definedName>
    <definedName name="wrn.LISTADOC." localSheetId="2" hidden="1">{#N/A,#N/A,FALSE,"GENERAL";#N/A,#N/A,FALSE,"USP 1";#N/A,#N/A,FALSE,"USP 2";#N/A,#N/A,FALSE,"UTE"}</definedName>
    <definedName name="wrn.LISTADOC." hidden="1">{#N/A,#N/A,FALSE,"GENERAL";#N/A,#N/A,FALSE,"USP 1";#N/A,#N/A,FALSE,"USP 2";#N/A,#N/A,FALSE,"UTE"}</definedName>
    <definedName name="wrn.nnn." localSheetId="9" hidden="1">{#N/A,#N/A,FALSE,"RES-ANUAL";#N/A,#N/A,FALSE,"RES-CUENTA";#N/A,#N/A,FALSE,"AREA-RESP"}</definedName>
    <definedName name="wrn.nnn." localSheetId="1" hidden="1">{#N/A,#N/A,FALSE,"RES-ANUAL";#N/A,#N/A,FALSE,"RES-CUENTA";#N/A,#N/A,FALSE,"AREA-RESP"}</definedName>
    <definedName name="wrn.nnn." localSheetId="2" hidden="1">{#N/A,#N/A,FALSE,"RES-ANUAL";#N/A,#N/A,FALSE,"RES-CUENTA";#N/A,#N/A,FALSE,"AREA-RESP"}</definedName>
    <definedName name="wrn.nnn." hidden="1">{#N/A,#N/A,FALSE,"RES-ANUAL";#N/A,#N/A,FALSE,"RES-CUENTA";#N/A,#N/A,FALSE,"AREA-RESP"}</definedName>
    <definedName name="wrn.Payroll." localSheetId="9" hidden="1">{#N/A,#N/A,TRUE,"Summary";"Payroll - Aust Permanent",#N/A,TRUE,"Australia -Permanent";"Payroll - Aust Casuals",#N/A,TRUE,"Australia -Casuals";"Payroll - NZ",#N/A,TRUE,"NZ";"Payroll - PNG",#N/A,TRUE,"PNG";"Payroll - Singapore",#N/A,TRUE,"Singapore"}</definedName>
    <definedName name="wrn.Payroll." localSheetId="1" hidden="1">{#N/A,#N/A,TRUE,"Summary";"Payroll - Aust Permanent",#N/A,TRUE,"Australia -Permanent";"Payroll - Aust Casuals",#N/A,TRUE,"Australia -Casuals";"Payroll - NZ",#N/A,TRUE,"NZ";"Payroll - PNG",#N/A,TRUE,"PNG";"Payroll - Singapore",#N/A,TRUE,"Singapore"}</definedName>
    <definedName name="wrn.Payroll." localSheetId="2" hidden="1">{#N/A,#N/A,TRUE,"Summary";"Payroll - Aust Permanent",#N/A,TRUE,"Australia -Permanent";"Payroll - Aust Casuals",#N/A,TRUE,"Australia -Casuals";"Payroll - NZ",#N/A,TRUE,"NZ";"Payroll - PNG",#N/A,TRUE,"PNG";"Payroll - Singapore",#N/A,TRUE,"Singapore"}</definedName>
    <definedName name="wrn.Payroll." hidden="1">{#N/A,#N/A,TRUE,"Summary";"Payroll - Aust Permanent",#N/A,TRUE,"Australia -Permanent";"Payroll - Aust Casuals",#N/A,TRUE,"Australia -Casuals";"Payroll - NZ",#N/A,TRUE,"NZ";"Payroll - PNG",#N/A,TRUE,"PNG";"Payroll - Singapore",#N/A,TRUE,"Singapore"}</definedName>
    <definedName name="wrn.pcinv96." localSheetId="9" hidden="1">{#N/A,#N/A,TRUE,"DESARROLLO";#N/A,#N/A,TRUE,"MANTENIMIENTO";#N/A,#N/A,TRUE,"MENSUAL";#N/A,#N/A,TRUE,"PORCUENTA";#N/A,#N/A,TRUE,"DETALLE"}</definedName>
    <definedName name="wrn.pcinv96." localSheetId="1" hidden="1">{#N/A,#N/A,TRUE,"DESARROLLO";#N/A,#N/A,TRUE,"MANTENIMIENTO";#N/A,#N/A,TRUE,"MENSUAL";#N/A,#N/A,TRUE,"PORCUENTA";#N/A,#N/A,TRUE,"DETALLE"}</definedName>
    <definedName name="wrn.pcinv96." localSheetId="2" hidden="1">{#N/A,#N/A,TRUE,"DESARROLLO";#N/A,#N/A,TRUE,"MANTENIMIENTO";#N/A,#N/A,TRUE,"MENSUAL";#N/A,#N/A,TRUE,"PORCUENTA";#N/A,#N/A,TRUE,"DETALLE"}</definedName>
    <definedName name="wrn.pcinv96." hidden="1">{#N/A,#N/A,TRUE,"DESARROLLO";#N/A,#N/A,TRUE,"MANTENIMIENTO";#N/A,#N/A,TRUE,"MENSUAL";#N/A,#N/A,TRUE,"PORCUENTA";#N/A,#N/A,TRUE,"DETALLE"}</definedName>
    <definedName name="wrn.PEPE." localSheetId="9" hidden="1">{#N/A,#N/A,TRUE,"OBJETIVOS";#N/A,#N/A,TRUE,"CARATA";#N/A,#N/A,TRUE,"COLUMNA";#N/A,#N/A,TRUE,"ENTUBACION";#N/A,#N/A,TRUE,"COSTOS";#N/A,#N/A,TRUE,"CAÑERIA";#N/A,#N/A,TRUE,"CRONO";#N/A,#N/A,TRUE,"BOP";#N/A,#N/A,TRUE,"PREVENTORES"}</definedName>
    <definedName name="wrn.PEPE." localSheetId="1" hidden="1">{#N/A,#N/A,TRUE,"OBJETIVOS";#N/A,#N/A,TRUE,"CARATA";#N/A,#N/A,TRUE,"COLUMNA";#N/A,#N/A,TRUE,"ENTUBACION";#N/A,#N/A,TRUE,"COSTOS";#N/A,#N/A,TRUE,"CAÑERIA";#N/A,#N/A,TRUE,"CRONO";#N/A,#N/A,TRUE,"BOP";#N/A,#N/A,TRUE,"PREVENTORES"}</definedName>
    <definedName name="wrn.PEPE." localSheetId="2" hidden="1">{#N/A,#N/A,TRUE,"OBJETIVOS";#N/A,#N/A,TRUE,"CARATA";#N/A,#N/A,TRUE,"COLUMNA";#N/A,#N/A,TRUE,"ENTUBACION";#N/A,#N/A,TRUE,"COSTOS";#N/A,#N/A,TRUE,"CAÑERIA";#N/A,#N/A,TRUE,"CRONO";#N/A,#N/A,TRUE,"BOP";#N/A,#N/A,TRUE,"PREVENTORES"}</definedName>
    <definedName name="wrn.PEPE." hidden="1">{#N/A,#N/A,TRUE,"OBJETIVOS";#N/A,#N/A,TRUE,"CARATA";#N/A,#N/A,TRUE,"COLUMNA";#N/A,#N/A,TRUE,"ENTUBACION";#N/A,#N/A,TRUE,"COSTOS";#N/A,#N/A,TRUE,"CAÑERIA";#N/A,#N/A,TRUE,"CRONO";#N/A,#N/A,TRUE,"BOP";#N/A,#N/A,TRUE,"PREVENTORES"}</definedName>
    <definedName name="wrn.pull97." localSheetId="9" hidden="1">{#N/A,#N/A,FALSE,"ENE"}</definedName>
    <definedName name="wrn.pull97." localSheetId="1" hidden="1">{#N/A,#N/A,FALSE,"ENE"}</definedName>
    <definedName name="wrn.pull97." localSheetId="2" hidden="1">{#N/A,#N/A,FALSE,"ENE"}</definedName>
    <definedName name="wrn.pull97." hidden="1">{#N/A,#N/A,FALSE,"ENE"}</definedName>
    <definedName name="wrn.pull98." localSheetId="9" hidden="1">{#N/A,#N/A,FALSE,"ENE"}</definedName>
    <definedName name="wrn.pull98." localSheetId="1" hidden="1">{#N/A,#N/A,FALSE,"ENE"}</definedName>
    <definedName name="wrn.pull98." localSheetId="2" hidden="1">{#N/A,#N/A,FALSE,"ENE"}</definedName>
    <definedName name="wrn.pull98." hidden="1">{#N/A,#N/A,FALSE,"ENE"}</definedName>
    <definedName name="wrn.Sale_Local_Q2." localSheetId="9" hidden="1">{"Sales_Local_Q2",#N/A,FALSE,"Q1_2000"}</definedName>
    <definedName name="wrn.Sale_Local_Q2." localSheetId="1" hidden="1">{"Sales_Local_Q2",#N/A,FALSE,"Q1_2000"}</definedName>
    <definedName name="wrn.Sale_Local_Q2." localSheetId="2" hidden="1">{"Sales_Local_Q2",#N/A,FALSE,"Q1_2000"}</definedName>
    <definedName name="wrn.Sale_Local_Q2." hidden="1">{"Sales_Local_Q2",#N/A,FALSE,"Q1_2000"}</definedName>
    <definedName name="wrn.Sale_Local_Q4." localSheetId="9" hidden="1">{"Sales_Local_Q4",#N/A,FALSE,"Q4_1999"}</definedName>
    <definedName name="wrn.Sale_Local_Q4." localSheetId="1" hidden="1">{"Sales_Local_Q4",#N/A,FALSE,"Q4_1999"}</definedName>
    <definedName name="wrn.Sale_Local_Q4." localSheetId="2" hidden="1">{"Sales_Local_Q4",#N/A,FALSE,"Q4_1999"}</definedName>
    <definedName name="wrn.Sale_Local_Q4." hidden="1">{"Sales_Local_Q4",#N/A,FALSE,"Q4_1999"}</definedName>
    <definedName name="WSAL">#REF!</definedName>
    <definedName name="WTI_01">[18]Tablas!$E$4</definedName>
    <definedName name="WTI_02">[18]Tablas!$E$5</definedName>
    <definedName name="WTI_03">[18]Tablas!$E$6</definedName>
    <definedName name="WTI_04">[18]Tablas!$E$7</definedName>
    <definedName name="WTI_05">[18]Tablas!$E$8</definedName>
    <definedName name="WTI_06">[18]Tablas!$E$9</definedName>
    <definedName name="WTI_07">[18]Tablas!$E$10</definedName>
    <definedName name="WTI_08">[18]Tablas!$E$11</definedName>
    <definedName name="WTI_09">[18]Tablas!$E$12</definedName>
    <definedName name="WTI_10">[18]Tablas!$E$13</definedName>
    <definedName name="WTI_11">[18]Tablas!$E$14</definedName>
    <definedName name="WTI_12">[18]Tablas!$E$15</definedName>
    <definedName name="wtrhy" localSheetId="9">#REF!</definedName>
    <definedName name="wtrhy" localSheetId="1">#REF!</definedName>
    <definedName name="wtrhy" localSheetId="2">#REF!</definedName>
    <definedName name="wtrhy">#REF!</definedName>
    <definedName name="ww" localSheetId="9">#REF!</definedName>
    <definedName name="ww" localSheetId="1">#REF!</definedName>
    <definedName name="ww" localSheetId="2">#REF!</definedName>
    <definedName name="ww">#REF!</definedName>
    <definedName name="wwww" localSheetId="9">#REF!</definedName>
    <definedName name="wwww" localSheetId="1">#REF!</definedName>
    <definedName name="wwww" localSheetId="2">#REF!</definedName>
    <definedName name="wwww">#REF!</definedName>
    <definedName name="x">#REF!</definedName>
    <definedName name="xx">[39]ESPESOR!$B$21</definedName>
    <definedName name="xxx" localSheetId="9">#REF!</definedName>
    <definedName name="xxx" localSheetId="1">#REF!</definedName>
    <definedName name="xxx" localSheetId="2">#REF!</definedName>
    <definedName name="xxx">#REF!</definedName>
    <definedName name="xxxx" localSheetId="9">#REF!</definedName>
    <definedName name="xxxx" localSheetId="1">#REF!</definedName>
    <definedName name="xxxx" localSheetId="2">#REF!</definedName>
    <definedName name="xxxx">#REF!</definedName>
    <definedName name="xxxxxxxxxxx" localSheetId="9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xxxxxxxxxxx" localSheetId="1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xxxxxxxxxxx" localSheetId="2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xxxxxxxxxxx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Y">#REF!</definedName>
    <definedName name="Y_2">#REF!</definedName>
    <definedName name="YACI">#REF!</definedName>
    <definedName name="Yacimiento">[37]Hoja1!$B$57:$B$65</definedName>
    <definedName name="yak" localSheetId="9">#REF!</definedName>
    <definedName name="yak" localSheetId="1">#REF!</definedName>
    <definedName name="yak" localSheetId="2">#REF!</definedName>
    <definedName name="yak">#REF!</definedName>
    <definedName name="yar" localSheetId="9">#REF!</definedName>
    <definedName name="yar" localSheetId="1">#REF!</definedName>
    <definedName name="yar" localSheetId="2">#REF!</definedName>
    <definedName name="yar">#REF!</definedName>
    <definedName name="Yes_No">'[22]Coef.'!$J$112:$J$113</definedName>
    <definedName name="Z" localSheetId="9">#REF!</definedName>
    <definedName name="Z" localSheetId="1">#REF!</definedName>
    <definedName name="Z" localSheetId="2">#REF!</definedName>
    <definedName name="Z">#REF!</definedName>
    <definedName name="zagz" localSheetId="9">#REF!</definedName>
    <definedName name="zagz" localSheetId="1">#REF!</definedName>
    <definedName name="zagz" localSheetId="2">#REF!</definedName>
    <definedName name="zagz">#REF!</definedName>
    <definedName name="ZAP" localSheetId="9">#REF!</definedName>
    <definedName name="ZAP" localSheetId="1">#REF!</definedName>
    <definedName name="ZAP" localSheetId="2">#REF!</definedName>
    <definedName name="ZAP">#REF!</definedName>
    <definedName name="Zb">#REF!</definedName>
    <definedName name="zdgjzfg">#REF!</definedName>
    <definedName name="Zona">[48]Validaciones!$B$51:$B$57</definedName>
  </definedNames>
  <calcPr calcId="191028"/>
  <pivotCaches>
    <pivotCache cacheId="0" r:id="rId9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1" name="Tabla1" connection="WorksheetConnection_Tabla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7" i="33" l="1"/>
  <c r="G66" i="33"/>
  <c r="E67" i="33"/>
  <c r="F67" i="33"/>
  <c r="D67" i="33"/>
  <c r="E66" i="33"/>
  <c r="F66" i="33"/>
  <c r="D66" i="33"/>
  <c r="F58" i="33"/>
  <c r="E58" i="33"/>
  <c r="D58" i="33"/>
  <c r="F57" i="33"/>
  <c r="E57" i="33"/>
  <c r="D57" i="33"/>
  <c r="F56" i="33"/>
  <c r="E56" i="33"/>
  <c r="H52" i="33"/>
  <c r="G58" i="33" s="1"/>
  <c r="H51" i="33"/>
  <c r="G57" i="33" s="1"/>
  <c r="H50" i="33"/>
  <c r="G56" i="33" s="1"/>
  <c r="H46" i="33"/>
  <c r="H45" i="33"/>
  <c r="H44" i="33"/>
  <c r="D44" i="33"/>
  <c r="D56" i="33" s="1"/>
  <c r="F64" i="33"/>
  <c r="E64" i="33"/>
  <c r="D64" i="33"/>
  <c r="H12" i="33"/>
  <c r="J12" i="33" s="1"/>
  <c r="G12" i="33"/>
  <c r="F12" i="33"/>
  <c r="E12" i="33"/>
  <c r="D12" i="33"/>
  <c r="H7" i="33"/>
  <c r="J7" i="33" s="1"/>
  <c r="K7" i="33" s="1"/>
  <c r="K8" i="33" s="1"/>
  <c r="G7" i="33"/>
  <c r="F7" i="33"/>
  <c r="E7" i="33"/>
  <c r="D7" i="33"/>
  <c r="H6" i="33"/>
  <c r="J6" i="33" s="1"/>
  <c r="G6" i="33"/>
  <c r="F6" i="33"/>
  <c r="E6" i="33"/>
  <c r="D6" i="33"/>
  <c r="G10" i="32"/>
  <c r="G15" i="32"/>
  <c r="G14" i="32"/>
  <c r="G13" i="32"/>
  <c r="G12" i="32"/>
  <c r="D8" i="32"/>
  <c r="E8" i="32" s="1"/>
  <c r="F8" i="32" s="1"/>
  <c r="G8" i="32" s="1"/>
  <c r="B4" i="32"/>
  <c r="C4" i="32"/>
  <c r="D4" i="32"/>
  <c r="E4" i="32"/>
  <c r="F4" i="32"/>
  <c r="G4" i="32" s="1"/>
  <c r="B5" i="32"/>
  <c r="C5" i="32"/>
  <c r="D5" i="32"/>
  <c r="E5" i="32"/>
  <c r="F5" i="32"/>
  <c r="G5" i="32" s="1"/>
  <c r="B6" i="32"/>
  <c r="C6" i="32"/>
  <c r="D6" i="32"/>
  <c r="E6" i="32"/>
  <c r="F6" i="32"/>
  <c r="G6" i="32" s="1"/>
  <c r="C3" i="32"/>
  <c r="B3" i="32"/>
  <c r="P122" i="31"/>
  <c r="Q122" i="31"/>
  <c r="R122" i="31"/>
  <c r="O122" i="31"/>
  <c r="P121" i="31"/>
  <c r="Q121" i="31"/>
  <c r="R121" i="31"/>
  <c r="O121" i="31"/>
  <c r="O119" i="31"/>
  <c r="N5" i="31"/>
  <c r="N6" i="31"/>
  <c r="N7" i="31"/>
  <c r="N8" i="31"/>
  <c r="N9" i="31"/>
  <c r="N10" i="31"/>
  <c r="N11" i="31"/>
  <c r="N12" i="31"/>
  <c r="N13" i="31"/>
  <c r="N14" i="31"/>
  <c r="N15" i="31"/>
  <c r="N16" i="31"/>
  <c r="N17" i="31"/>
  <c r="N18" i="31"/>
  <c r="N19" i="31"/>
  <c r="N20" i="31"/>
  <c r="N21" i="31"/>
  <c r="N22" i="31"/>
  <c r="N23" i="31"/>
  <c r="N24" i="31"/>
  <c r="N25" i="31"/>
  <c r="N26" i="31"/>
  <c r="N27" i="31"/>
  <c r="N28" i="31"/>
  <c r="N29" i="31"/>
  <c r="N30" i="31"/>
  <c r="N31" i="31"/>
  <c r="N32" i="31"/>
  <c r="N33" i="31"/>
  <c r="N34" i="31"/>
  <c r="N35" i="31"/>
  <c r="N36" i="31"/>
  <c r="N37" i="31"/>
  <c r="N38" i="31"/>
  <c r="N39" i="31"/>
  <c r="N40" i="31"/>
  <c r="N41" i="31"/>
  <c r="N42" i="31"/>
  <c r="N43" i="31"/>
  <c r="N44" i="31"/>
  <c r="N45" i="31"/>
  <c r="N46" i="31"/>
  <c r="N47" i="31"/>
  <c r="N48" i="31"/>
  <c r="N49" i="31"/>
  <c r="N50" i="31"/>
  <c r="N51" i="31"/>
  <c r="N52" i="31"/>
  <c r="N53" i="31"/>
  <c r="N54" i="31"/>
  <c r="N55" i="31"/>
  <c r="N56" i="31"/>
  <c r="N57" i="31"/>
  <c r="N58" i="31"/>
  <c r="N59" i="31"/>
  <c r="N60" i="31"/>
  <c r="N61" i="31"/>
  <c r="N62" i="31"/>
  <c r="N63" i="31"/>
  <c r="N64" i="31"/>
  <c r="N65" i="31"/>
  <c r="N66" i="31"/>
  <c r="N67" i="31"/>
  <c r="N68" i="31"/>
  <c r="N69" i="31"/>
  <c r="N70" i="31"/>
  <c r="N71" i="31"/>
  <c r="N72" i="31"/>
  <c r="N73" i="31"/>
  <c r="N74" i="31"/>
  <c r="N75" i="31"/>
  <c r="N76" i="31"/>
  <c r="N77" i="31"/>
  <c r="N78" i="31"/>
  <c r="N79" i="31"/>
  <c r="N80" i="31"/>
  <c r="N81" i="31"/>
  <c r="N82" i="31"/>
  <c r="N83" i="31"/>
  <c r="N84" i="31"/>
  <c r="N85" i="31"/>
  <c r="N86" i="31"/>
  <c r="N87" i="31"/>
  <c r="N88" i="31"/>
  <c r="N89" i="31"/>
  <c r="N90" i="31"/>
  <c r="N91" i="31"/>
  <c r="N92" i="31"/>
  <c r="N93" i="31"/>
  <c r="N94" i="31"/>
  <c r="N95" i="31"/>
  <c r="N96" i="31"/>
  <c r="N97" i="31"/>
  <c r="N98" i="31"/>
  <c r="N99" i="31"/>
  <c r="N100" i="31"/>
  <c r="N101" i="31"/>
  <c r="N102" i="31"/>
  <c r="N103" i="31"/>
  <c r="N104" i="31"/>
  <c r="N105" i="31"/>
  <c r="N106" i="31"/>
  <c r="N107" i="31"/>
  <c r="N108" i="31"/>
  <c r="N109" i="31"/>
  <c r="N110" i="31"/>
  <c r="N111" i="31"/>
  <c r="N112" i="31"/>
  <c r="N4" i="31"/>
  <c r="K112" i="31"/>
  <c r="E112" i="31"/>
  <c r="L112" i="31" s="1"/>
  <c r="K111" i="31"/>
  <c r="F111" i="31"/>
  <c r="E111" i="31"/>
  <c r="L111" i="31" s="1"/>
  <c r="K110" i="31"/>
  <c r="E110" i="31"/>
  <c r="L110" i="31" s="1"/>
  <c r="L109" i="31"/>
  <c r="K109" i="31"/>
  <c r="E109" i="31"/>
  <c r="F109" i="31" s="1"/>
  <c r="K108" i="31"/>
  <c r="E108" i="31"/>
  <c r="L108" i="31" s="1"/>
  <c r="K107" i="31"/>
  <c r="F107" i="31"/>
  <c r="E107" i="31"/>
  <c r="L107" i="31" s="1"/>
  <c r="K106" i="31"/>
  <c r="E106" i="31"/>
  <c r="L106" i="31" s="1"/>
  <c r="K105" i="31"/>
  <c r="F105" i="31"/>
  <c r="E105" i="31"/>
  <c r="L105" i="31" s="1"/>
  <c r="M105" i="31" s="1"/>
  <c r="K104" i="31"/>
  <c r="F104" i="31"/>
  <c r="E104" i="31"/>
  <c r="L104" i="31" s="1"/>
  <c r="M104" i="31" s="1"/>
  <c r="K103" i="31"/>
  <c r="F103" i="31"/>
  <c r="E103" i="31"/>
  <c r="L103" i="31" s="1"/>
  <c r="L102" i="31"/>
  <c r="K102" i="31"/>
  <c r="E102" i="31"/>
  <c r="F102" i="31" s="1"/>
  <c r="K101" i="31"/>
  <c r="E101" i="31"/>
  <c r="F101" i="31" s="1"/>
  <c r="K100" i="31"/>
  <c r="F100" i="31"/>
  <c r="E100" i="31"/>
  <c r="L100" i="31" s="1"/>
  <c r="L99" i="31"/>
  <c r="K99" i="31"/>
  <c r="M99" i="31" s="1"/>
  <c r="E99" i="31"/>
  <c r="F99" i="31" s="1"/>
  <c r="L98" i="31"/>
  <c r="K98" i="31"/>
  <c r="F98" i="31"/>
  <c r="E98" i="31"/>
  <c r="K97" i="31"/>
  <c r="E97" i="31"/>
  <c r="L97" i="31" s="1"/>
  <c r="M97" i="31" s="1"/>
  <c r="K96" i="31"/>
  <c r="E96" i="31"/>
  <c r="L96" i="31" s="1"/>
  <c r="M96" i="31" s="1"/>
  <c r="L95" i="31"/>
  <c r="K95" i="31"/>
  <c r="F95" i="31"/>
  <c r="E95" i="31"/>
  <c r="L94" i="31"/>
  <c r="K94" i="31"/>
  <c r="M94" i="31" s="1"/>
  <c r="E94" i="31"/>
  <c r="F94" i="31" s="1"/>
  <c r="K93" i="31"/>
  <c r="E93" i="31"/>
  <c r="F93" i="31" s="1"/>
  <c r="K92" i="31"/>
  <c r="E92" i="31"/>
  <c r="L92" i="31" s="1"/>
  <c r="K91" i="31"/>
  <c r="E91" i="31"/>
  <c r="L91" i="31" s="1"/>
  <c r="L90" i="31"/>
  <c r="K90" i="31"/>
  <c r="E90" i="31"/>
  <c r="F90" i="31" s="1"/>
  <c r="K89" i="31"/>
  <c r="M89" i="31" s="1"/>
  <c r="E89" i="31"/>
  <c r="L89" i="31" s="1"/>
  <c r="K88" i="31"/>
  <c r="E88" i="31"/>
  <c r="L88" i="31" s="1"/>
  <c r="M87" i="31"/>
  <c r="L87" i="31"/>
  <c r="K87" i="31"/>
  <c r="F87" i="31"/>
  <c r="E87" i="31"/>
  <c r="K86" i="31"/>
  <c r="E86" i="31"/>
  <c r="L86" i="31" s="1"/>
  <c r="L85" i="31"/>
  <c r="M85" i="31" s="1"/>
  <c r="K85" i="31"/>
  <c r="E85" i="31"/>
  <c r="F85" i="31" s="1"/>
  <c r="L84" i="31"/>
  <c r="K84" i="31"/>
  <c r="E84" i="31"/>
  <c r="F84" i="31" s="1"/>
  <c r="K83" i="31"/>
  <c r="E83" i="31"/>
  <c r="L83" i="31" s="1"/>
  <c r="L82" i="31"/>
  <c r="K82" i="31"/>
  <c r="E82" i="31"/>
  <c r="F82" i="31" s="1"/>
  <c r="K81" i="31"/>
  <c r="E81" i="31"/>
  <c r="L81" i="31" s="1"/>
  <c r="K80" i="31"/>
  <c r="E80" i="31"/>
  <c r="L80" i="31" s="1"/>
  <c r="M80" i="31" s="1"/>
  <c r="K79" i="31"/>
  <c r="E79" i="31"/>
  <c r="L79" i="31" s="1"/>
  <c r="M79" i="31" s="1"/>
  <c r="K78" i="31"/>
  <c r="F78" i="31"/>
  <c r="E78" i="31"/>
  <c r="L78" i="31" s="1"/>
  <c r="K77" i="31"/>
  <c r="E77" i="31"/>
  <c r="L77" i="31" s="1"/>
  <c r="M77" i="31" s="1"/>
  <c r="L76" i="31"/>
  <c r="K76" i="31"/>
  <c r="E76" i="31"/>
  <c r="F76" i="31" s="1"/>
  <c r="K75" i="31"/>
  <c r="E75" i="31"/>
  <c r="L75" i="31" s="1"/>
  <c r="L74" i="31"/>
  <c r="K74" i="31"/>
  <c r="E74" i="31"/>
  <c r="F74" i="31" s="1"/>
  <c r="K73" i="31"/>
  <c r="E73" i="31"/>
  <c r="L73" i="31" s="1"/>
  <c r="K72" i="31"/>
  <c r="E72" i="31"/>
  <c r="L72" i="31" s="1"/>
  <c r="M72" i="31" s="1"/>
  <c r="K71" i="31"/>
  <c r="E71" i="31"/>
  <c r="L71" i="31" s="1"/>
  <c r="M71" i="31" s="1"/>
  <c r="K70" i="31"/>
  <c r="F70" i="31"/>
  <c r="E70" i="31"/>
  <c r="L70" i="31" s="1"/>
  <c r="K69" i="31"/>
  <c r="E69" i="31"/>
  <c r="F69" i="31" s="1"/>
  <c r="L68" i="31"/>
  <c r="M68" i="31" s="1"/>
  <c r="K68" i="31"/>
  <c r="E68" i="31"/>
  <c r="F68" i="31" s="1"/>
  <c r="K67" i="31"/>
  <c r="M67" i="31" s="1"/>
  <c r="E67" i="31"/>
  <c r="L67" i="31" s="1"/>
  <c r="K66" i="31"/>
  <c r="E66" i="31"/>
  <c r="F66" i="31" s="1"/>
  <c r="K65" i="31"/>
  <c r="M65" i="31" s="1"/>
  <c r="E65" i="31"/>
  <c r="L65" i="31" s="1"/>
  <c r="K64" i="31"/>
  <c r="F64" i="31"/>
  <c r="E64" i="31"/>
  <c r="L64" i="31" s="1"/>
  <c r="M64" i="31" s="1"/>
  <c r="K63" i="31"/>
  <c r="E63" i="31"/>
  <c r="L63" i="31" s="1"/>
  <c r="M63" i="31" s="1"/>
  <c r="K62" i="31"/>
  <c r="E62" i="31"/>
  <c r="L62" i="31" s="1"/>
  <c r="L61" i="31"/>
  <c r="M61" i="31" s="1"/>
  <c r="K61" i="31"/>
  <c r="E61" i="31"/>
  <c r="F61" i="31" s="1"/>
  <c r="L60" i="31"/>
  <c r="K60" i="31"/>
  <c r="E60" i="31"/>
  <c r="F60" i="31" s="1"/>
  <c r="K59" i="31"/>
  <c r="E59" i="31"/>
  <c r="L59" i="31" s="1"/>
  <c r="L58" i="31"/>
  <c r="K58" i="31"/>
  <c r="E58" i="31"/>
  <c r="F58" i="31" s="1"/>
  <c r="L57" i="31"/>
  <c r="K57" i="31"/>
  <c r="M57" i="31" s="1"/>
  <c r="E57" i="31"/>
  <c r="F57" i="31" s="1"/>
  <c r="D56" i="31"/>
  <c r="K55" i="31"/>
  <c r="D55" i="31"/>
  <c r="E54" i="31"/>
  <c r="F54" i="31" s="1"/>
  <c r="D54" i="31"/>
  <c r="K54" i="31" s="1"/>
  <c r="K53" i="31"/>
  <c r="E53" i="31"/>
  <c r="L53" i="31" s="1"/>
  <c r="L52" i="31"/>
  <c r="M52" i="31" s="1"/>
  <c r="K52" i="31"/>
  <c r="E52" i="31"/>
  <c r="F52" i="31" s="1"/>
  <c r="L51" i="31"/>
  <c r="K51" i="31"/>
  <c r="E51" i="31"/>
  <c r="F51" i="31" s="1"/>
  <c r="K50" i="31"/>
  <c r="E50" i="31"/>
  <c r="L50" i="31" s="1"/>
  <c r="L49" i="31"/>
  <c r="K49" i="31"/>
  <c r="E49" i="31"/>
  <c r="F49" i="31" s="1"/>
  <c r="L48" i="31"/>
  <c r="K48" i="31"/>
  <c r="M48" i="31" s="1"/>
  <c r="E48" i="31"/>
  <c r="F48" i="31" s="1"/>
  <c r="K47" i="31"/>
  <c r="F47" i="31"/>
  <c r="E47" i="31"/>
  <c r="L47" i="31" s="1"/>
  <c r="M47" i="31" s="1"/>
  <c r="L46" i="31"/>
  <c r="K46" i="31"/>
  <c r="M46" i="31" s="1"/>
  <c r="F46" i="31"/>
  <c r="E46" i="31"/>
  <c r="L45" i="31"/>
  <c r="K45" i="31"/>
  <c r="M45" i="31" s="1"/>
  <c r="F45" i="31"/>
  <c r="E45" i="31"/>
  <c r="K44" i="31"/>
  <c r="E44" i="31"/>
  <c r="F44" i="31" s="1"/>
  <c r="K43" i="31"/>
  <c r="E43" i="31"/>
  <c r="F43" i="31" s="1"/>
  <c r="K42" i="31"/>
  <c r="M42" i="31" s="1"/>
  <c r="E42" i="31"/>
  <c r="L42" i="31" s="1"/>
  <c r="K41" i="31"/>
  <c r="E41" i="31"/>
  <c r="F41" i="31" s="1"/>
  <c r="K40" i="31"/>
  <c r="E40" i="31"/>
  <c r="F40" i="31" s="1"/>
  <c r="K39" i="31"/>
  <c r="E39" i="31"/>
  <c r="L39" i="31" s="1"/>
  <c r="K38" i="31"/>
  <c r="E38" i="31"/>
  <c r="L38" i="31" s="1"/>
  <c r="M38" i="31" s="1"/>
  <c r="L37" i="31"/>
  <c r="K37" i="31"/>
  <c r="F37" i="31"/>
  <c r="E37" i="31"/>
  <c r="L36" i="31"/>
  <c r="M36" i="31" s="1"/>
  <c r="K36" i="31"/>
  <c r="E36" i="31"/>
  <c r="F36" i="31" s="1"/>
  <c r="L35" i="31"/>
  <c r="M35" i="31" s="1"/>
  <c r="K35" i="31"/>
  <c r="E35" i="31"/>
  <c r="F35" i="31" s="1"/>
  <c r="K34" i="31"/>
  <c r="M34" i="31" s="1"/>
  <c r="E34" i="31"/>
  <c r="L34" i="31" s="1"/>
  <c r="L33" i="31"/>
  <c r="K33" i="31"/>
  <c r="E33" i="31"/>
  <c r="F33" i="31" s="1"/>
  <c r="L32" i="31"/>
  <c r="K32" i="31"/>
  <c r="M32" i="31" s="1"/>
  <c r="E32" i="31"/>
  <c r="F32" i="31" s="1"/>
  <c r="K31" i="31"/>
  <c r="E31" i="31"/>
  <c r="L31" i="31" s="1"/>
  <c r="M31" i="31" s="1"/>
  <c r="K30" i="31"/>
  <c r="F30" i="31"/>
  <c r="E30" i="31"/>
  <c r="L30" i="31" s="1"/>
  <c r="L29" i="31"/>
  <c r="K29" i="31"/>
  <c r="M29" i="31" s="1"/>
  <c r="F29" i="31"/>
  <c r="E29" i="31"/>
  <c r="K28" i="31"/>
  <c r="E28" i="31"/>
  <c r="F28" i="31" s="1"/>
  <c r="K27" i="31"/>
  <c r="E27" i="31"/>
  <c r="F27" i="31" s="1"/>
  <c r="K26" i="31"/>
  <c r="M26" i="31" s="1"/>
  <c r="E26" i="31"/>
  <c r="L26" i="31" s="1"/>
  <c r="K25" i="31"/>
  <c r="E25" i="31"/>
  <c r="F25" i="31" s="1"/>
  <c r="K24" i="31"/>
  <c r="E24" i="31"/>
  <c r="F24" i="31" s="1"/>
  <c r="K23" i="31"/>
  <c r="E23" i="31"/>
  <c r="L23" i="31" s="1"/>
  <c r="L22" i="31"/>
  <c r="K22" i="31"/>
  <c r="M22" i="31" s="1"/>
  <c r="E22" i="31"/>
  <c r="F22" i="31" s="1"/>
  <c r="L21" i="31"/>
  <c r="K21" i="31"/>
  <c r="M21" i="31" s="1"/>
  <c r="F21" i="31"/>
  <c r="E21" i="31"/>
  <c r="L20" i="31"/>
  <c r="K20" i="31"/>
  <c r="E20" i="31"/>
  <c r="F20" i="31" s="1"/>
  <c r="K19" i="31"/>
  <c r="E19" i="31"/>
  <c r="F19" i="31" s="1"/>
  <c r="K18" i="31"/>
  <c r="E18" i="31"/>
  <c r="L18" i="31" s="1"/>
  <c r="L17" i="31"/>
  <c r="K17" i="31"/>
  <c r="M17" i="31" s="1"/>
  <c r="E17" i="31"/>
  <c r="F17" i="31" s="1"/>
  <c r="K16" i="31"/>
  <c r="E16" i="31"/>
  <c r="F16" i="31" s="1"/>
  <c r="K15" i="31"/>
  <c r="E15" i="31"/>
  <c r="L15" i="31" s="1"/>
  <c r="M15" i="31" s="1"/>
  <c r="L14" i="31"/>
  <c r="M14" i="31" s="1"/>
  <c r="K14" i="31"/>
  <c r="E14" i="31"/>
  <c r="F14" i="31" s="1"/>
  <c r="K13" i="31"/>
  <c r="E13" i="31"/>
  <c r="L13" i="31" s="1"/>
  <c r="L12" i="31"/>
  <c r="M12" i="31" s="1"/>
  <c r="K12" i="31"/>
  <c r="E12" i="31"/>
  <c r="F12" i="31" s="1"/>
  <c r="L11" i="31"/>
  <c r="K11" i="31"/>
  <c r="E11" i="31"/>
  <c r="F11" i="31" s="1"/>
  <c r="K10" i="31"/>
  <c r="E10" i="31"/>
  <c r="F10" i="31" s="1"/>
  <c r="L9" i="31"/>
  <c r="K9" i="31"/>
  <c r="E9" i="31"/>
  <c r="F9" i="31" s="1"/>
  <c r="L8" i="31"/>
  <c r="K8" i="31"/>
  <c r="M8" i="31" s="1"/>
  <c r="E8" i="31"/>
  <c r="F8" i="31" s="1"/>
  <c r="K7" i="31"/>
  <c r="E7" i="31"/>
  <c r="L7" i="31" s="1"/>
  <c r="M7" i="31" s="1"/>
  <c r="K6" i="31"/>
  <c r="E6" i="31"/>
  <c r="L6" i="31" s="1"/>
  <c r="M6" i="31" s="1"/>
  <c r="K5" i="31"/>
  <c r="E5" i="31"/>
  <c r="F5" i="31" s="1"/>
  <c r="K4" i="31"/>
  <c r="E4" i="31"/>
  <c r="F4" i="31" s="1"/>
  <c r="T18" i="14"/>
  <c r="T19" i="14"/>
  <c r="T13" i="14"/>
  <c r="T12" i="14"/>
  <c r="O5" i="7"/>
  <c r="K3" i="7"/>
  <c r="L3" i="7"/>
  <c r="L8" i="7"/>
  <c r="L9" i="7" s="1"/>
  <c r="K8" i="7"/>
  <c r="K9" i="7" s="1"/>
  <c r="M9" i="7"/>
  <c r="D33" i="29"/>
  <c r="C33" i="29"/>
  <c r="D30" i="29"/>
  <c r="C25" i="29"/>
  <c r="C23" i="29"/>
  <c r="C22" i="29"/>
  <c r="D22" i="29" s="1"/>
  <c r="D26" i="29" s="1"/>
  <c r="C26" i="29"/>
  <c r="C30" i="29" s="1"/>
  <c r="C27" i="29"/>
  <c r="D23" i="29"/>
  <c r="E23" i="29" s="1"/>
  <c r="E27" i="29" s="1"/>
  <c r="C21" i="29"/>
  <c r="D21" i="29" s="1"/>
  <c r="F18" i="29"/>
  <c r="E18" i="29"/>
  <c r="D18" i="29"/>
  <c r="C18" i="29"/>
  <c r="E17" i="29"/>
  <c r="D17" i="29"/>
  <c r="C17" i="29"/>
  <c r="F16" i="29"/>
  <c r="E16" i="29"/>
  <c r="D16" i="29"/>
  <c r="C16" i="29"/>
  <c r="G12" i="29"/>
  <c r="G11" i="29"/>
  <c r="F17" i="29" s="1"/>
  <c r="G10" i="29"/>
  <c r="G6" i="29"/>
  <c r="G5" i="29"/>
  <c r="G4" i="29"/>
  <c r="C4" i="29"/>
  <c r="M30" i="31" l="1"/>
  <c r="F13" i="31"/>
  <c r="L25" i="31"/>
  <c r="L28" i="31"/>
  <c r="M28" i="31" s="1"/>
  <c r="F38" i="31"/>
  <c r="F53" i="31"/>
  <c r="F62" i="31"/>
  <c r="M70" i="31"/>
  <c r="F72" i="31"/>
  <c r="M78" i="31"/>
  <c r="F80" i="31"/>
  <c r="F86" i="31"/>
  <c r="M88" i="31"/>
  <c r="L93" i="31"/>
  <c r="M93" i="31" s="1"/>
  <c r="M103" i="31"/>
  <c r="M107" i="31"/>
  <c r="M25" i="31"/>
  <c r="L5" i="31"/>
  <c r="M5" i="31" s="1"/>
  <c r="M13" i="31"/>
  <c r="M23" i="31"/>
  <c r="M33" i="31"/>
  <c r="L40" i="31"/>
  <c r="M40" i="31" s="1"/>
  <c r="L43" i="31"/>
  <c r="M43" i="31" s="1"/>
  <c r="M53" i="31"/>
  <c r="M62" i="31"/>
  <c r="M86" i="31"/>
  <c r="F88" i="31"/>
  <c r="F91" i="31"/>
  <c r="L101" i="31"/>
  <c r="M101" i="31" s="1"/>
  <c r="M20" i="31"/>
  <c r="M91" i="31"/>
  <c r="F6" i="31"/>
  <c r="M11" i="31"/>
  <c r="F31" i="31"/>
  <c r="M51" i="31"/>
  <c r="M54" i="31"/>
  <c r="M60" i="31"/>
  <c r="F71" i="31"/>
  <c r="M73" i="31"/>
  <c r="M76" i="31"/>
  <c r="F79" i="31"/>
  <c r="M81" i="31"/>
  <c r="M84" i="31"/>
  <c r="M111" i="31"/>
  <c r="L16" i="31"/>
  <c r="M16" i="31" s="1"/>
  <c r="L19" i="31"/>
  <c r="M19" i="31" s="1"/>
  <c r="M24" i="31"/>
  <c r="M39" i="31"/>
  <c r="L41" i="31"/>
  <c r="M41" i="31" s="1"/>
  <c r="L44" i="31"/>
  <c r="M44" i="31" s="1"/>
  <c r="F63" i="31"/>
  <c r="M66" i="31"/>
  <c r="M92" i="31"/>
  <c r="M100" i="31"/>
  <c r="M102" i="31"/>
  <c r="F106" i="31"/>
  <c r="L4" i="31"/>
  <c r="M9" i="31"/>
  <c r="L24" i="31"/>
  <c r="L27" i="31"/>
  <c r="M27" i="31" s="1"/>
  <c r="M37" i="31"/>
  <c r="F39" i="31"/>
  <c r="M49" i="31"/>
  <c r="L54" i="31"/>
  <c r="M58" i="31"/>
  <c r="L66" i="31"/>
  <c r="L69" i="31"/>
  <c r="M69" i="31" s="1"/>
  <c r="M74" i="31"/>
  <c r="M82" i="31"/>
  <c r="M109" i="31"/>
  <c r="M112" i="31"/>
  <c r="M90" i="31"/>
  <c r="M95" i="31"/>
  <c r="M98" i="31"/>
  <c r="M59" i="31"/>
  <c r="M75" i="31"/>
  <c r="M83" i="31"/>
  <c r="M110" i="31"/>
  <c r="M50" i="31"/>
  <c r="M18" i="31"/>
  <c r="M108" i="31"/>
  <c r="M106" i="31"/>
  <c r="M4" i="31"/>
  <c r="F92" i="31"/>
  <c r="F108" i="31"/>
  <c r="D114" i="31"/>
  <c r="F65" i="31"/>
  <c r="F73" i="31"/>
  <c r="F81" i="31"/>
  <c r="F89" i="31"/>
  <c r="F97" i="31"/>
  <c r="F110" i="31"/>
  <c r="F18" i="31"/>
  <c r="F26" i="31"/>
  <c r="F34" i="31"/>
  <c r="F42" i="31"/>
  <c r="F50" i="31"/>
  <c r="E56" i="31"/>
  <c r="L56" i="31" s="1"/>
  <c r="F59" i="31"/>
  <c r="F67" i="31"/>
  <c r="F75" i="31"/>
  <c r="F83" i="31"/>
  <c r="F7" i="31"/>
  <c r="F96" i="31"/>
  <c r="F112" i="31"/>
  <c r="F23" i="31"/>
  <c r="L10" i="31"/>
  <c r="L114" i="31" s="1"/>
  <c r="E55" i="31"/>
  <c r="L55" i="31" s="1"/>
  <c r="M55" i="31" s="1"/>
  <c r="K56" i="31"/>
  <c r="F77" i="31"/>
  <c r="F15" i="31"/>
  <c r="D25" i="29"/>
  <c r="E21" i="29"/>
  <c r="F23" i="29"/>
  <c r="F27" i="29" s="1"/>
  <c r="C31" i="29" s="1"/>
  <c r="D27" i="29"/>
  <c r="E22" i="29"/>
  <c r="M10" i="31" l="1"/>
  <c r="M56" i="31"/>
  <c r="F55" i="31"/>
  <c r="E114" i="31"/>
  <c r="E117" i="31" s="1"/>
  <c r="K114" i="31"/>
  <c r="L116" i="31" s="1"/>
  <c r="F56" i="31"/>
  <c r="E26" i="29"/>
  <c r="E30" i="29" s="1"/>
  <c r="F22" i="29"/>
  <c r="F26" i="29" s="1"/>
  <c r="D31" i="29"/>
  <c r="E31" i="29"/>
  <c r="F21" i="29"/>
  <c r="F25" i="29" s="1"/>
  <c r="C29" i="29" s="1"/>
  <c r="C32" i="29" s="1"/>
  <c r="E25" i="29"/>
  <c r="E29" i="29" s="1"/>
  <c r="E32" i="29" s="1"/>
  <c r="L117" i="31" l="1"/>
  <c r="E116" i="31"/>
  <c r="D29" i="29"/>
  <c r="D32" i="29" s="1"/>
  <c r="E38" i="28" l="1"/>
  <c r="E37" i="28"/>
  <c r="D37" i="28"/>
  <c r="E36" i="28"/>
  <c r="D36" i="28"/>
  <c r="H32" i="28"/>
  <c r="G32" i="28"/>
  <c r="C2" i="14"/>
  <c r="H10" i="28" l="1"/>
  <c r="G10" i="28"/>
  <c r="F10" i="28"/>
  <c r="E10" i="28"/>
  <c r="D10" i="28"/>
  <c r="T103" i="6"/>
  <c r="T34" i="14"/>
  <c r="T35" i="14"/>
  <c r="T36" i="14"/>
  <c r="T33" i="14"/>
  <c r="O34" i="14"/>
  <c r="O35" i="14"/>
  <c r="O36" i="14"/>
  <c r="O33" i="14"/>
  <c r="D33" i="28" l="1"/>
  <c r="I10" i="28"/>
  <c r="K10" i="28"/>
  <c r="C56" i="7"/>
  <c r="C47" i="7"/>
  <c r="C38" i="7"/>
  <c r="C39" i="7"/>
  <c r="C48" i="7" s="1"/>
  <c r="C57" i="7" s="1"/>
  <c r="O5" i="26"/>
  <c r="O4" i="26"/>
  <c r="O6" i="26"/>
  <c r="O7" i="26"/>
  <c r="O3" i="26"/>
  <c r="G4" i="7"/>
  <c r="G5" i="7"/>
  <c r="G6" i="7"/>
  <c r="G7" i="7"/>
  <c r="G3" i="7"/>
  <c r="L240" i="26"/>
  <c r="K240" i="26"/>
  <c r="J4" i="7"/>
  <c r="J5" i="7"/>
  <c r="J6" i="7"/>
  <c r="J7" i="7"/>
  <c r="J3" i="7"/>
  <c r="S90" i="6"/>
  <c r="Q90" i="6"/>
  <c r="S99" i="6"/>
  <c r="S114" i="6" s="1"/>
  <c r="Q99" i="6"/>
  <c r="Q114" i="6" s="1"/>
  <c r="U20" i="6"/>
  <c r="U25" i="6"/>
  <c r="U26" i="6"/>
  <c r="S120" i="6"/>
  <c r="S87" i="6"/>
  <c r="S75" i="6"/>
  <c r="S18" i="6"/>
  <c r="S47" i="6"/>
  <c r="S77" i="6"/>
  <c r="E300" i="26"/>
  <c r="F300" i="26" s="1"/>
  <c r="D300" i="26"/>
  <c r="G300" i="26" s="1"/>
  <c r="S97" i="6"/>
  <c r="Q85" i="6"/>
  <c r="Q80" i="6"/>
  <c r="S39" i="6"/>
  <c r="S37" i="6"/>
  <c r="S65" i="6"/>
  <c r="S64" i="6"/>
  <c r="F8" i="7"/>
  <c r="F9" i="7"/>
  <c r="E9" i="7"/>
  <c r="E8" i="7"/>
  <c r="E62" i="7"/>
  <c r="D65" i="7" l="1"/>
  <c r="M240" i="26"/>
  <c r="N240" i="26"/>
  <c r="F9" i="20"/>
  <c r="E36" i="7" l="1"/>
  <c r="E73" i="7" s="1"/>
  <c r="E74" i="7" s="1"/>
  <c r="E54" i="7"/>
  <c r="S19" i="23"/>
  <c r="P19" i="23"/>
  <c r="S9" i="23"/>
  <c r="P9" i="23"/>
  <c r="S14" i="23"/>
  <c r="R14" i="23" s="1"/>
  <c r="S15" i="23"/>
  <c r="R15" i="23" s="1"/>
  <c r="S16" i="23"/>
  <c r="R16" i="23" s="1"/>
  <c r="S17" i="23"/>
  <c r="R17" i="23" s="1"/>
  <c r="S18" i="23"/>
  <c r="R18" i="23" s="1"/>
  <c r="R13" i="23"/>
  <c r="S13" i="23"/>
  <c r="R12" i="23"/>
  <c r="O14" i="23"/>
  <c r="O15" i="23"/>
  <c r="O16" i="23"/>
  <c r="O17" i="23"/>
  <c r="O18" i="23"/>
  <c r="O13" i="23"/>
  <c r="P14" i="23"/>
  <c r="P15" i="23"/>
  <c r="P16" i="23"/>
  <c r="P17" i="23"/>
  <c r="P18" i="23"/>
  <c r="P13" i="23"/>
  <c r="O12" i="23"/>
  <c r="R4" i="23"/>
  <c r="R5" i="23"/>
  <c r="R6" i="23"/>
  <c r="R7" i="23"/>
  <c r="R8" i="23"/>
  <c r="R3" i="23"/>
  <c r="S4" i="23"/>
  <c r="S5" i="23"/>
  <c r="S6" i="23"/>
  <c r="S7" i="23"/>
  <c r="S8" i="23"/>
  <c r="S3" i="23"/>
  <c r="R2" i="23"/>
  <c r="O4" i="23"/>
  <c r="O5" i="23"/>
  <c r="O6" i="23"/>
  <c r="O7" i="23"/>
  <c r="O8" i="23"/>
  <c r="O3" i="23"/>
  <c r="M4" i="23"/>
  <c r="M5" i="23"/>
  <c r="M6" i="23"/>
  <c r="M7" i="23"/>
  <c r="M8" i="23"/>
  <c r="M9" i="23"/>
  <c r="M10" i="23"/>
  <c r="M11" i="23"/>
  <c r="M12" i="23"/>
  <c r="M13" i="23"/>
  <c r="M14" i="23"/>
  <c r="M15" i="23"/>
  <c r="M16" i="23"/>
  <c r="M17" i="23"/>
  <c r="M18" i="23"/>
  <c r="M19" i="23"/>
  <c r="M20" i="23"/>
  <c r="M21" i="23"/>
  <c r="M22" i="23"/>
  <c r="M23" i="23"/>
  <c r="M24" i="23"/>
  <c r="M25" i="23"/>
  <c r="M26" i="23"/>
  <c r="M27" i="23"/>
  <c r="M28" i="23"/>
  <c r="M29" i="23"/>
  <c r="M30" i="23"/>
  <c r="M31" i="23"/>
  <c r="M32" i="23"/>
  <c r="M33" i="23"/>
  <c r="M34" i="23"/>
  <c r="M35" i="23"/>
  <c r="M36" i="23"/>
  <c r="M37" i="23"/>
  <c r="M38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3" i="23"/>
  <c r="E4" i="23"/>
  <c r="F4" i="23"/>
  <c r="G4" i="23"/>
  <c r="H4" i="23"/>
  <c r="E5" i="23"/>
  <c r="F5" i="23"/>
  <c r="G5" i="23"/>
  <c r="H5" i="23"/>
  <c r="E6" i="23"/>
  <c r="F6" i="23"/>
  <c r="G6" i="23"/>
  <c r="H6" i="23"/>
  <c r="E7" i="23"/>
  <c r="F7" i="23"/>
  <c r="G7" i="23"/>
  <c r="H7" i="23"/>
  <c r="E8" i="23"/>
  <c r="F8" i="23"/>
  <c r="G8" i="23"/>
  <c r="H8" i="23"/>
  <c r="E9" i="23"/>
  <c r="F9" i="23"/>
  <c r="G9" i="23"/>
  <c r="H9" i="23"/>
  <c r="E10" i="23"/>
  <c r="F10" i="23"/>
  <c r="G10" i="23"/>
  <c r="H10" i="23"/>
  <c r="E11" i="23"/>
  <c r="F11" i="23"/>
  <c r="G11" i="23"/>
  <c r="H11" i="23"/>
  <c r="E12" i="23"/>
  <c r="F12" i="23"/>
  <c r="G12" i="23"/>
  <c r="H12" i="23"/>
  <c r="E13" i="23"/>
  <c r="F13" i="23"/>
  <c r="G13" i="23"/>
  <c r="H13" i="23"/>
  <c r="E14" i="23"/>
  <c r="F14" i="23"/>
  <c r="G14" i="23"/>
  <c r="H14" i="23"/>
  <c r="E15" i="23"/>
  <c r="F15" i="23"/>
  <c r="G15" i="23"/>
  <c r="H15" i="23"/>
  <c r="E16" i="23"/>
  <c r="F16" i="23"/>
  <c r="G16" i="23"/>
  <c r="H16" i="23"/>
  <c r="E17" i="23"/>
  <c r="F17" i="23"/>
  <c r="G17" i="23"/>
  <c r="H17" i="23"/>
  <c r="E18" i="23"/>
  <c r="F18" i="23"/>
  <c r="G18" i="23"/>
  <c r="H18" i="23"/>
  <c r="E19" i="23"/>
  <c r="F19" i="23"/>
  <c r="G19" i="23"/>
  <c r="H19" i="23"/>
  <c r="E20" i="23"/>
  <c r="F20" i="23"/>
  <c r="G20" i="23"/>
  <c r="H20" i="23"/>
  <c r="E21" i="23"/>
  <c r="F21" i="23"/>
  <c r="G21" i="23"/>
  <c r="H21" i="23"/>
  <c r="E22" i="23"/>
  <c r="F22" i="23"/>
  <c r="G22" i="23"/>
  <c r="H22" i="23"/>
  <c r="E23" i="23"/>
  <c r="F23" i="23"/>
  <c r="G23" i="23"/>
  <c r="H23" i="23"/>
  <c r="E24" i="23"/>
  <c r="F24" i="23"/>
  <c r="G24" i="23"/>
  <c r="H24" i="23"/>
  <c r="E25" i="23"/>
  <c r="F25" i="23"/>
  <c r="G25" i="23"/>
  <c r="H25" i="23"/>
  <c r="E26" i="23"/>
  <c r="F26" i="23"/>
  <c r="G26" i="23"/>
  <c r="H26" i="23"/>
  <c r="E27" i="23"/>
  <c r="F27" i="23"/>
  <c r="G27" i="23"/>
  <c r="H27" i="23"/>
  <c r="E28" i="23"/>
  <c r="F28" i="23"/>
  <c r="G28" i="23"/>
  <c r="H28" i="23"/>
  <c r="E29" i="23"/>
  <c r="F29" i="23"/>
  <c r="G29" i="23"/>
  <c r="H29" i="23"/>
  <c r="E30" i="23"/>
  <c r="F30" i="23"/>
  <c r="G30" i="23"/>
  <c r="H30" i="23"/>
  <c r="E31" i="23"/>
  <c r="F31" i="23"/>
  <c r="G31" i="23"/>
  <c r="H31" i="23"/>
  <c r="E32" i="23"/>
  <c r="F32" i="23"/>
  <c r="G32" i="23"/>
  <c r="H32" i="23"/>
  <c r="E33" i="23"/>
  <c r="F33" i="23"/>
  <c r="G33" i="23"/>
  <c r="H33" i="23"/>
  <c r="E34" i="23"/>
  <c r="F34" i="23"/>
  <c r="G34" i="23"/>
  <c r="H34" i="23"/>
  <c r="E35" i="23"/>
  <c r="F35" i="23"/>
  <c r="G35" i="23"/>
  <c r="H35" i="23"/>
  <c r="E36" i="23"/>
  <c r="F36" i="23"/>
  <c r="G36" i="23"/>
  <c r="H36" i="23"/>
  <c r="E37" i="23"/>
  <c r="F37" i="23"/>
  <c r="G37" i="23"/>
  <c r="H37" i="23"/>
  <c r="E38" i="23"/>
  <c r="F38" i="23"/>
  <c r="G38" i="23"/>
  <c r="H38" i="23"/>
  <c r="E39" i="23"/>
  <c r="F39" i="23"/>
  <c r="G39" i="23"/>
  <c r="H39" i="23"/>
  <c r="E40" i="23"/>
  <c r="F40" i="23"/>
  <c r="G40" i="23"/>
  <c r="H40" i="23"/>
  <c r="E41" i="23"/>
  <c r="F41" i="23"/>
  <c r="G41" i="23"/>
  <c r="H41" i="23"/>
  <c r="E42" i="23"/>
  <c r="F42" i="23"/>
  <c r="G42" i="23"/>
  <c r="H42" i="23"/>
  <c r="E43" i="23"/>
  <c r="F43" i="23"/>
  <c r="G43" i="23"/>
  <c r="H43" i="23"/>
  <c r="E44" i="23"/>
  <c r="F44" i="23"/>
  <c r="G44" i="23"/>
  <c r="H44" i="23"/>
  <c r="E45" i="23"/>
  <c r="F45" i="23"/>
  <c r="G45" i="23"/>
  <c r="H45" i="23"/>
  <c r="E46" i="23"/>
  <c r="F46" i="23"/>
  <c r="G46" i="23"/>
  <c r="H46" i="23"/>
  <c r="E47" i="23"/>
  <c r="F47" i="23"/>
  <c r="G47" i="23"/>
  <c r="H47" i="23"/>
  <c r="E48" i="23"/>
  <c r="F48" i="23"/>
  <c r="G48" i="23"/>
  <c r="H48" i="23"/>
  <c r="E49" i="23"/>
  <c r="F49" i="23"/>
  <c r="G49" i="23"/>
  <c r="H49" i="23"/>
  <c r="E50" i="23"/>
  <c r="F50" i="23"/>
  <c r="G50" i="23"/>
  <c r="H50" i="23"/>
  <c r="H3" i="23"/>
  <c r="F3" i="23"/>
  <c r="G3" i="23"/>
  <c r="E3" i="23"/>
  <c r="D62" i="7"/>
  <c r="C62" i="7"/>
  <c r="D36" i="7"/>
  <c r="D73" i="7" s="1"/>
  <c r="D74" i="7" s="1"/>
  <c r="C36" i="7"/>
  <c r="C73" i="7" s="1"/>
  <c r="C74" i="7" s="1"/>
  <c r="D45" i="7"/>
  <c r="C45" i="7"/>
  <c r="C54" i="7"/>
  <c r="D54" i="7"/>
  <c r="F74" i="7" l="1"/>
  <c r="M11" i="7" s="1"/>
  <c r="N11" i="7" s="1"/>
  <c r="H51" i="23"/>
  <c r="E51" i="23"/>
  <c r="L49" i="23"/>
  <c r="L47" i="23"/>
  <c r="L45" i="23"/>
  <c r="L43" i="23"/>
  <c r="L41" i="23"/>
  <c r="L39" i="23"/>
  <c r="L37" i="23"/>
  <c r="L35" i="23"/>
  <c r="L33" i="23"/>
  <c r="L31" i="23"/>
  <c r="L29" i="23"/>
  <c r="L27" i="23"/>
  <c r="L25" i="23"/>
  <c r="L23" i="23"/>
  <c r="L21" i="23"/>
  <c r="L19" i="23"/>
  <c r="L17" i="23"/>
  <c r="L15" i="23"/>
  <c r="L13" i="23"/>
  <c r="L11" i="23"/>
  <c r="L9" i="23"/>
  <c r="L7" i="23"/>
  <c r="L5" i="23"/>
  <c r="G51" i="23"/>
  <c r="K11" i="23" s="1"/>
  <c r="K35" i="23"/>
  <c r="K43" i="23"/>
  <c r="K3" i="23"/>
  <c r="K9" i="23"/>
  <c r="K17" i="23"/>
  <c r="K25" i="23"/>
  <c r="K33" i="23"/>
  <c r="K41" i="23"/>
  <c r="K49" i="23"/>
  <c r="K47" i="23"/>
  <c r="K45" i="23"/>
  <c r="K39" i="23"/>
  <c r="K37" i="23"/>
  <c r="K31" i="23"/>
  <c r="K29" i="23"/>
  <c r="K23" i="23"/>
  <c r="K21" i="23"/>
  <c r="K15" i="23"/>
  <c r="K13" i="23"/>
  <c r="K7" i="23"/>
  <c r="K5" i="23"/>
  <c r="I49" i="23"/>
  <c r="I47" i="23"/>
  <c r="I45" i="23"/>
  <c r="I39" i="23"/>
  <c r="I37" i="23"/>
  <c r="I31" i="23"/>
  <c r="I29" i="23"/>
  <c r="I23" i="23"/>
  <c r="I21" i="23"/>
  <c r="I15" i="23"/>
  <c r="I13" i="23"/>
  <c r="I7" i="23"/>
  <c r="I5" i="23"/>
  <c r="L50" i="23"/>
  <c r="L48" i="23"/>
  <c r="L46" i="23"/>
  <c r="L44" i="23"/>
  <c r="L42" i="23"/>
  <c r="L40" i="23"/>
  <c r="L38" i="23"/>
  <c r="L36" i="23"/>
  <c r="L34" i="23"/>
  <c r="L32" i="23"/>
  <c r="L30" i="23"/>
  <c r="L28" i="23"/>
  <c r="L26" i="23"/>
  <c r="L24" i="23"/>
  <c r="L22" i="23"/>
  <c r="L20" i="23"/>
  <c r="L18" i="23"/>
  <c r="L16" i="23"/>
  <c r="L14" i="23"/>
  <c r="L12" i="23"/>
  <c r="L10" i="23"/>
  <c r="L8" i="23"/>
  <c r="L6" i="23"/>
  <c r="L4" i="23"/>
  <c r="K50" i="23"/>
  <c r="K42" i="23"/>
  <c r="K38" i="23"/>
  <c r="K32" i="23"/>
  <c r="K28" i="23"/>
  <c r="K26" i="23"/>
  <c r="K24" i="23"/>
  <c r="K22" i="23"/>
  <c r="K20" i="23"/>
  <c r="K18" i="23"/>
  <c r="K16" i="23"/>
  <c r="K14" i="23"/>
  <c r="K12" i="23"/>
  <c r="K10" i="23"/>
  <c r="K8" i="23"/>
  <c r="K6" i="23"/>
  <c r="K4" i="23"/>
  <c r="K44" i="23"/>
  <c r="K34" i="23"/>
  <c r="I9" i="23"/>
  <c r="I17" i="23"/>
  <c r="I25" i="23"/>
  <c r="I33" i="23"/>
  <c r="I41" i="23"/>
  <c r="I11" i="23"/>
  <c r="I19" i="23"/>
  <c r="I27" i="23"/>
  <c r="I35" i="23"/>
  <c r="I43" i="23"/>
  <c r="K48" i="23"/>
  <c r="K46" i="23"/>
  <c r="K40" i="23"/>
  <c r="K36" i="23"/>
  <c r="K30" i="23"/>
  <c r="I50" i="23"/>
  <c r="I48" i="23"/>
  <c r="I46" i="23"/>
  <c r="I44" i="23"/>
  <c r="I42" i="23"/>
  <c r="I40" i="23"/>
  <c r="I38" i="23"/>
  <c r="I36" i="23"/>
  <c r="I34" i="23"/>
  <c r="I32" i="23"/>
  <c r="I30" i="23"/>
  <c r="I28" i="23"/>
  <c r="I26" i="23"/>
  <c r="I24" i="23"/>
  <c r="I22" i="23"/>
  <c r="I20" i="23"/>
  <c r="I18" i="23"/>
  <c r="I16" i="23"/>
  <c r="I14" i="23"/>
  <c r="I12" i="23"/>
  <c r="I10" i="23"/>
  <c r="I8" i="23"/>
  <c r="I6" i="23"/>
  <c r="I4" i="23"/>
  <c r="P4" i="23" s="1"/>
  <c r="F51" i="23"/>
  <c r="J49" i="23" s="1"/>
  <c r="L3" i="23"/>
  <c r="I3" i="23"/>
  <c r="P8" i="23" l="1"/>
  <c r="K27" i="23"/>
  <c r="P6" i="23"/>
  <c r="P5" i="23"/>
  <c r="P7" i="23"/>
  <c r="P3" i="23"/>
  <c r="K19" i="23"/>
  <c r="J3" i="23"/>
  <c r="J32" i="23"/>
  <c r="J19" i="23"/>
  <c r="J36" i="23"/>
  <c r="J16" i="23"/>
  <c r="J34" i="23"/>
  <c r="J43" i="23"/>
  <c r="J27" i="23"/>
  <c r="J9" i="23"/>
  <c r="J41" i="23"/>
  <c r="J5" i="23"/>
  <c r="J13" i="23"/>
  <c r="J14" i="23"/>
  <c r="J40" i="23"/>
  <c r="J18" i="23"/>
  <c r="J38" i="23"/>
  <c r="J37" i="23"/>
  <c r="J17" i="23"/>
  <c r="J44" i="23"/>
  <c r="J4" i="23"/>
  <c r="J47" i="23"/>
  <c r="J48" i="23"/>
  <c r="J15" i="23"/>
  <c r="J6" i="23"/>
  <c r="J22" i="23"/>
  <c r="J46" i="23"/>
  <c r="J25" i="23"/>
  <c r="J29" i="23"/>
  <c r="J12" i="23"/>
  <c r="J30" i="23"/>
  <c r="J31" i="23"/>
  <c r="J42" i="23"/>
  <c r="J7" i="23"/>
  <c r="J21" i="23"/>
  <c r="J50" i="23"/>
  <c r="J23" i="23"/>
  <c r="J8" i="23"/>
  <c r="J24" i="23"/>
  <c r="J35" i="23"/>
  <c r="J39" i="23"/>
  <c r="J28" i="23"/>
  <c r="J11" i="23"/>
  <c r="J20" i="23"/>
  <c r="J33" i="23"/>
  <c r="J10" i="23"/>
  <c r="J26" i="23"/>
  <c r="J45" i="23"/>
  <c r="F59" i="10" l="1"/>
  <c r="D65" i="6"/>
  <c r="D66" i="6"/>
  <c r="D64" i="6"/>
  <c r="N94" i="6"/>
  <c r="N95" i="6"/>
  <c r="F14" i="20"/>
  <c r="F15" i="20"/>
  <c r="S110" i="6" s="1"/>
  <c r="N107" i="6"/>
  <c r="N10" i="6"/>
  <c r="N20" i="6"/>
  <c r="N21" i="6"/>
  <c r="N22" i="6"/>
  <c r="N23" i="6"/>
  <c r="N24" i="6"/>
  <c r="N12" i="6"/>
  <c r="N13" i="6"/>
  <c r="N14" i="6"/>
  <c r="N15" i="6"/>
  <c r="N8" i="6"/>
  <c r="S15" i="6"/>
  <c r="F31" i="20"/>
  <c r="F22" i="20"/>
  <c r="S73" i="6" s="1"/>
  <c r="V64" i="6" l="1"/>
  <c r="K13" i="18"/>
  <c r="C37" i="7"/>
  <c r="P213" i="12"/>
  <c r="T65" i="6"/>
  <c r="T66" i="6"/>
  <c r="F6" i="19"/>
  <c r="I13" i="18"/>
  <c r="D14" i="18"/>
  <c r="I14" i="18" s="1"/>
  <c r="D19" i="18"/>
  <c r="D20" i="18"/>
  <c r="D13" i="18"/>
  <c r="D12" i="18"/>
  <c r="D18" i="18"/>
  <c r="D16" i="18"/>
  <c r="I15" i="18" s="1"/>
  <c r="D17" i="18"/>
  <c r="L34" i="19"/>
  <c r="O94" i="6"/>
  <c r="C55" i="7"/>
  <c r="C58" i="7" s="1"/>
  <c r="O6" i="6"/>
  <c r="O107" i="6"/>
  <c r="D122" i="6"/>
  <c r="D123" i="6"/>
  <c r="D121" i="6"/>
  <c r="D104" i="6"/>
  <c r="D103" i="6"/>
  <c r="C46" i="7"/>
  <c r="D56" i="6"/>
  <c r="D55" i="6"/>
  <c r="D5" i="6"/>
  <c r="D4" i="6"/>
  <c r="D62" i="6"/>
  <c r="D63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61" i="6"/>
  <c r="D6" i="6"/>
  <c r="T6" i="6" s="1"/>
  <c r="U6" i="6" s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9" i="6"/>
  <c r="D60" i="6"/>
  <c r="D93" i="6"/>
  <c r="D94" i="6"/>
  <c r="D95" i="6"/>
  <c r="D96" i="6"/>
  <c r="D97" i="6"/>
  <c r="D98" i="6"/>
  <c r="D99" i="6"/>
  <c r="D100" i="6"/>
  <c r="D101" i="6"/>
  <c r="D102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4" i="6"/>
  <c r="D125" i="6"/>
  <c r="D126" i="6"/>
  <c r="D127" i="6"/>
  <c r="D128" i="6"/>
  <c r="D129" i="6"/>
  <c r="D130" i="6"/>
  <c r="F194" i="9"/>
  <c r="N106" i="6"/>
  <c r="O106" i="6" s="1"/>
  <c r="N33" i="6"/>
  <c r="O33" i="6" s="1"/>
  <c r="K33" i="6"/>
  <c r="K9" i="6"/>
  <c r="S9" i="6"/>
  <c r="S11" i="6"/>
  <c r="S20" i="6"/>
  <c r="S25" i="6"/>
  <c r="S26" i="6"/>
  <c r="S38" i="6"/>
  <c r="S41" i="6"/>
  <c r="S51" i="6"/>
  <c r="S52" i="6"/>
  <c r="S62" i="6"/>
  <c r="S72" i="6"/>
  <c r="S74" i="6"/>
  <c r="S82" i="6"/>
  <c r="S95" i="6"/>
  <c r="S96" i="6"/>
  <c r="S101" i="6"/>
  <c r="S108" i="6"/>
  <c r="S109" i="6"/>
  <c r="S115" i="6"/>
  <c r="S117" i="6"/>
  <c r="S118" i="6"/>
  <c r="S124" i="6"/>
  <c r="S125" i="6"/>
  <c r="S126" i="6"/>
  <c r="S127" i="6"/>
  <c r="S130" i="6"/>
  <c r="F23" i="20"/>
  <c r="S7" i="6" s="1"/>
  <c r="F20" i="20"/>
  <c r="F17" i="20"/>
  <c r="S13" i="6" s="1"/>
  <c r="F18" i="20"/>
  <c r="S14" i="6" s="1"/>
  <c r="F33" i="20"/>
  <c r="F8" i="20"/>
  <c r="S16" i="6" s="1"/>
  <c r="F29" i="20"/>
  <c r="S17" i="6" s="1"/>
  <c r="F12" i="20"/>
  <c r="F28" i="20"/>
  <c r="S46" i="6" s="1"/>
  <c r="F35" i="20"/>
  <c r="F16" i="20"/>
  <c r="F6" i="20"/>
  <c r="S23" i="6" s="1"/>
  <c r="F34" i="20"/>
  <c r="S24" i="6" s="1"/>
  <c r="F39" i="20"/>
  <c r="S88" i="6" s="1"/>
  <c r="F5" i="20"/>
  <c r="S54" i="6" s="1"/>
  <c r="F3" i="20"/>
  <c r="S60" i="6" s="1"/>
  <c r="F10" i="20"/>
  <c r="S61" i="6" s="1"/>
  <c r="F26" i="20"/>
  <c r="S35" i="6" s="1"/>
  <c r="F19" i="20"/>
  <c r="S43" i="6" s="1"/>
  <c r="F30" i="20"/>
  <c r="S84" i="6" s="1"/>
  <c r="F38" i="20"/>
  <c r="S48" i="6" s="1"/>
  <c r="F13" i="20"/>
  <c r="F21" i="20"/>
  <c r="S67" i="6" s="1"/>
  <c r="F40" i="20"/>
  <c r="S71" i="6" s="1"/>
  <c r="F25" i="20"/>
  <c r="F36" i="20"/>
  <c r="F27" i="20"/>
  <c r="S76" i="6" s="1"/>
  <c r="F32" i="20"/>
  <c r="S81" i="6" s="1"/>
  <c r="F37" i="20"/>
  <c r="S86" i="6" s="1"/>
  <c r="F4" i="20"/>
  <c r="S129" i="6" s="1"/>
  <c r="F11" i="20"/>
  <c r="S94" i="6" s="1"/>
  <c r="F7" i="20"/>
  <c r="S5" i="6" s="1"/>
  <c r="E10" i="19"/>
  <c r="G10" i="19" s="1"/>
  <c r="E11" i="19"/>
  <c r="G11" i="19" s="1"/>
  <c r="E9" i="19"/>
  <c r="G9" i="19" s="1"/>
  <c r="P285" i="12" s="1"/>
  <c r="A2" i="19"/>
  <c r="E3" i="19"/>
  <c r="G3" i="19" s="1"/>
  <c r="E4" i="19"/>
  <c r="G4" i="19" s="1"/>
  <c r="E5" i="19"/>
  <c r="G5" i="19" s="1"/>
  <c r="D34" i="18"/>
  <c r="D33" i="18"/>
  <c r="D30" i="18"/>
  <c r="D31" i="18"/>
  <c r="D28" i="18"/>
  <c r="D27" i="18"/>
  <c r="D25" i="18"/>
  <c r="D24" i="18"/>
  <c r="D15" i="18"/>
  <c r="D11" i="18"/>
  <c r="N7" i="6"/>
  <c r="O7" i="6" s="1"/>
  <c r="O8" i="6"/>
  <c r="N9" i="6"/>
  <c r="O9" i="6" s="1"/>
  <c r="O10" i="6"/>
  <c r="N11" i="6"/>
  <c r="O11" i="6" s="1"/>
  <c r="U11" i="6" s="1"/>
  <c r="O13" i="6"/>
  <c r="O14" i="6"/>
  <c r="O15" i="6"/>
  <c r="N16" i="6"/>
  <c r="N17" i="6"/>
  <c r="O17" i="6" s="1"/>
  <c r="N18" i="6"/>
  <c r="O18" i="6" s="1"/>
  <c r="N19" i="6"/>
  <c r="O19" i="6" s="1"/>
  <c r="O21" i="6"/>
  <c r="O22" i="6"/>
  <c r="O24" i="6"/>
  <c r="N25" i="6"/>
  <c r="N26" i="6"/>
  <c r="N27" i="6"/>
  <c r="O27" i="6" s="1"/>
  <c r="N28" i="6"/>
  <c r="O28" i="6" s="1"/>
  <c r="N29" i="6"/>
  <c r="O29" i="6" s="1"/>
  <c r="N34" i="6"/>
  <c r="O34" i="6" s="1"/>
  <c r="N35" i="6"/>
  <c r="O35" i="6" s="1"/>
  <c r="N36" i="6"/>
  <c r="O36" i="6" s="1"/>
  <c r="N37" i="6"/>
  <c r="O37" i="6" s="1"/>
  <c r="N38" i="6"/>
  <c r="O38" i="6" s="1"/>
  <c r="N39" i="6"/>
  <c r="O39" i="6" s="1"/>
  <c r="N40" i="6"/>
  <c r="N41" i="6"/>
  <c r="N42" i="6"/>
  <c r="O42" i="6" s="1"/>
  <c r="N43" i="6"/>
  <c r="O43" i="6" s="1"/>
  <c r="N44" i="6"/>
  <c r="O44" i="6" s="1"/>
  <c r="N45" i="6"/>
  <c r="O45" i="6" s="1"/>
  <c r="N46" i="6"/>
  <c r="O46" i="6" s="1"/>
  <c r="N47" i="6"/>
  <c r="O47" i="6" s="1"/>
  <c r="N48" i="6"/>
  <c r="N49" i="6"/>
  <c r="O49" i="6" s="1"/>
  <c r="N50" i="6"/>
  <c r="N51" i="6"/>
  <c r="N52" i="6"/>
  <c r="N53" i="6"/>
  <c r="O53" i="6" s="1"/>
  <c r="N54" i="6"/>
  <c r="O54" i="6" s="1"/>
  <c r="N60" i="6"/>
  <c r="O60" i="6" s="1"/>
  <c r="N61" i="6"/>
  <c r="O61" i="6" s="1"/>
  <c r="N62" i="6"/>
  <c r="N63" i="6"/>
  <c r="O63" i="6" s="1"/>
  <c r="N64" i="6"/>
  <c r="O64" i="6" s="1"/>
  <c r="N67" i="6"/>
  <c r="N68" i="6"/>
  <c r="O68" i="6" s="1"/>
  <c r="N69" i="6"/>
  <c r="O69" i="6" s="1"/>
  <c r="N70" i="6"/>
  <c r="O70" i="6" s="1"/>
  <c r="N71" i="6"/>
  <c r="O71" i="6" s="1"/>
  <c r="N72" i="6"/>
  <c r="O72" i="6" s="1"/>
  <c r="N73" i="6"/>
  <c r="O73" i="6" s="1"/>
  <c r="N74" i="6"/>
  <c r="O74" i="6" s="1"/>
  <c r="N75" i="6"/>
  <c r="O75" i="6" s="1"/>
  <c r="N76" i="6"/>
  <c r="O76" i="6" s="1"/>
  <c r="N77" i="6"/>
  <c r="O77" i="6" s="1"/>
  <c r="N78" i="6"/>
  <c r="N79" i="6"/>
  <c r="O79" i="6" s="1"/>
  <c r="N80" i="6"/>
  <c r="O80" i="6" s="1"/>
  <c r="N81" i="6"/>
  <c r="O81" i="6" s="1"/>
  <c r="N82" i="6"/>
  <c r="N83" i="6"/>
  <c r="O83" i="6" s="1"/>
  <c r="N84" i="6"/>
  <c r="O84" i="6" s="1"/>
  <c r="N85" i="6"/>
  <c r="O85" i="6" s="1"/>
  <c r="N86" i="6"/>
  <c r="O86" i="6" s="1"/>
  <c r="N87" i="6"/>
  <c r="O87" i="6" s="1"/>
  <c r="N88" i="6"/>
  <c r="O88" i="6" s="1"/>
  <c r="N89" i="6"/>
  <c r="O89" i="6" s="1"/>
  <c r="N90" i="6"/>
  <c r="O90" i="6" s="1"/>
  <c r="N96" i="6"/>
  <c r="O96" i="6" s="1"/>
  <c r="N97" i="6"/>
  <c r="O97" i="6" s="1"/>
  <c r="N98" i="6"/>
  <c r="O98" i="6" s="1"/>
  <c r="N99" i="6"/>
  <c r="O99" i="6" s="1"/>
  <c r="N100" i="6"/>
  <c r="O100" i="6" s="1"/>
  <c r="N101" i="6"/>
  <c r="N102" i="6"/>
  <c r="N108" i="6"/>
  <c r="O108" i="6" s="1"/>
  <c r="N109" i="6"/>
  <c r="O109" i="6" s="1"/>
  <c r="N110" i="6"/>
  <c r="O110" i="6" s="1"/>
  <c r="N111" i="6"/>
  <c r="N112" i="6"/>
  <c r="O112" i="6" s="1"/>
  <c r="N113" i="6"/>
  <c r="O113" i="6" s="1"/>
  <c r="N114" i="6"/>
  <c r="O114" i="6" s="1"/>
  <c r="N115" i="6"/>
  <c r="N116" i="6"/>
  <c r="O116" i="6" s="1"/>
  <c r="N117" i="6"/>
  <c r="N118" i="6"/>
  <c r="N119" i="6"/>
  <c r="O119" i="6" s="1"/>
  <c r="N120" i="6"/>
  <c r="O120" i="6" s="1"/>
  <c r="N125" i="6"/>
  <c r="N126" i="6"/>
  <c r="N127" i="6"/>
  <c r="N128" i="6"/>
  <c r="N129" i="6"/>
  <c r="N5" i="6"/>
  <c r="O5" i="6" s="1"/>
  <c r="K5" i="6"/>
  <c r="K7" i="6"/>
  <c r="K8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60" i="6"/>
  <c r="K61" i="6"/>
  <c r="K62" i="6"/>
  <c r="K63" i="6"/>
  <c r="K64" i="6"/>
  <c r="K67" i="6"/>
  <c r="K69" i="6"/>
  <c r="K70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4" i="6"/>
  <c r="K95" i="6"/>
  <c r="K96" i="6"/>
  <c r="K97" i="6"/>
  <c r="K98" i="6"/>
  <c r="K99" i="6"/>
  <c r="K100" i="6"/>
  <c r="K101" i="6"/>
  <c r="K102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5" i="6"/>
  <c r="K126" i="6"/>
  <c r="K127" i="6"/>
  <c r="K128" i="6"/>
  <c r="K129" i="6"/>
  <c r="K130" i="6"/>
  <c r="R11" i="6"/>
  <c r="R20" i="6"/>
  <c r="R25" i="6"/>
  <c r="R26" i="6"/>
  <c r="R41" i="6"/>
  <c r="R51" i="6"/>
  <c r="R52" i="6"/>
  <c r="R62" i="6"/>
  <c r="R72" i="6"/>
  <c r="R82" i="6"/>
  <c r="R95" i="6"/>
  <c r="R101" i="6"/>
  <c r="R115" i="6"/>
  <c r="R117" i="6"/>
  <c r="R118" i="6"/>
  <c r="R124" i="6"/>
  <c r="R125" i="6"/>
  <c r="R126" i="6"/>
  <c r="R127" i="6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R120" i="6" s="1"/>
  <c r="P24" i="12"/>
  <c r="R54" i="6" s="1"/>
  <c r="P25" i="12"/>
  <c r="P26" i="12"/>
  <c r="P27" i="12"/>
  <c r="P28" i="12"/>
  <c r="P29" i="12"/>
  <c r="R23" i="6" s="1"/>
  <c r="P30" i="12"/>
  <c r="P31" i="12"/>
  <c r="P32" i="12"/>
  <c r="P33" i="12"/>
  <c r="R5" i="6" s="1"/>
  <c r="P34" i="12"/>
  <c r="P35" i="12"/>
  <c r="P36" i="12"/>
  <c r="P37" i="12"/>
  <c r="R16" i="6" s="1"/>
  <c r="P38" i="12"/>
  <c r="P39" i="12"/>
  <c r="P40" i="12"/>
  <c r="P41" i="12"/>
  <c r="P42" i="12"/>
  <c r="P43" i="12"/>
  <c r="P44" i="12"/>
  <c r="P45" i="12"/>
  <c r="P46" i="12"/>
  <c r="P47" i="12"/>
  <c r="R34" i="6" s="1"/>
  <c r="P48" i="12"/>
  <c r="P49" i="12"/>
  <c r="P50" i="12"/>
  <c r="P51" i="12"/>
  <c r="R94" i="6" s="1"/>
  <c r="P52" i="12"/>
  <c r="P53" i="12"/>
  <c r="P54" i="12"/>
  <c r="P55" i="12"/>
  <c r="P56" i="12"/>
  <c r="P57" i="12"/>
  <c r="R47" i="6" s="1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R37" i="6" s="1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R108" i="6" s="1"/>
  <c r="P100" i="12"/>
  <c r="P101" i="12"/>
  <c r="P102" i="12"/>
  <c r="P103" i="12"/>
  <c r="P104" i="12"/>
  <c r="P105" i="12"/>
  <c r="R36" i="6" s="1"/>
  <c r="P106" i="12"/>
  <c r="R42" i="6" s="1"/>
  <c r="P107" i="12"/>
  <c r="P108" i="12"/>
  <c r="P109" i="12"/>
  <c r="P110" i="12"/>
  <c r="R14" i="6" s="1"/>
  <c r="P111" i="12"/>
  <c r="R43" i="6" s="1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R12" i="6" s="1"/>
  <c r="S12" i="6" s="1"/>
  <c r="P125" i="12"/>
  <c r="R67" i="6" s="1"/>
  <c r="P126" i="12"/>
  <c r="P127" i="12"/>
  <c r="P128" i="12"/>
  <c r="P129" i="12"/>
  <c r="P130" i="12"/>
  <c r="P131" i="12"/>
  <c r="P132" i="12"/>
  <c r="P133" i="12"/>
  <c r="P134" i="12"/>
  <c r="R7" i="6" s="1"/>
  <c r="P135" i="12"/>
  <c r="P136" i="12"/>
  <c r="R38" i="6" s="1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R35" i="6" s="1"/>
  <c r="P157" i="12"/>
  <c r="P158" i="12"/>
  <c r="R76" i="6" s="1"/>
  <c r="P159" i="12"/>
  <c r="P160" i="12"/>
  <c r="R19" i="6" s="1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R17" i="6" s="1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R84" i="6" s="1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R98" i="6" s="1"/>
  <c r="P201" i="12"/>
  <c r="P202" i="12"/>
  <c r="P203" i="12"/>
  <c r="P204" i="12"/>
  <c r="P205" i="12"/>
  <c r="P206" i="12"/>
  <c r="P207" i="12"/>
  <c r="P208" i="12"/>
  <c r="P209" i="12"/>
  <c r="P210" i="12"/>
  <c r="P211" i="12"/>
  <c r="R24" i="6" s="1"/>
  <c r="P212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R21" i="6" s="1"/>
  <c r="S21" i="6" s="1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R86" i="6" s="1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R48" i="6" s="1"/>
  <c r="P280" i="12"/>
  <c r="P281" i="12"/>
  <c r="P282" i="12"/>
  <c r="P283" i="12"/>
  <c r="P284" i="12"/>
  <c r="R68" i="6" s="1"/>
  <c r="P3" i="12"/>
  <c r="R29" i="6" s="1"/>
  <c r="R283" i="12"/>
  <c r="R208" i="12"/>
  <c r="C49" i="7" l="1"/>
  <c r="D66" i="7"/>
  <c r="D67" i="7" s="1"/>
  <c r="T33" i="6"/>
  <c r="E7" i="14"/>
  <c r="T5" i="6"/>
  <c r="U5" i="6" s="1"/>
  <c r="S80" i="6"/>
  <c r="S85" i="6"/>
  <c r="R85" i="6"/>
  <c r="R80" i="6"/>
  <c r="O103" i="6"/>
  <c r="R7" i="14" s="1"/>
  <c r="T42" i="6"/>
  <c r="T34" i="6"/>
  <c r="U34" i="6" s="1"/>
  <c r="T16" i="6"/>
  <c r="U16" i="6" s="1"/>
  <c r="T24" i="6"/>
  <c r="U24" i="6" s="1"/>
  <c r="R15" i="6"/>
  <c r="T15" i="6" s="1"/>
  <c r="U15" i="6" s="1"/>
  <c r="R73" i="6"/>
  <c r="T73" i="6" s="1"/>
  <c r="T47" i="6"/>
  <c r="U47" i="6" s="1"/>
  <c r="T98" i="6"/>
  <c r="T38" i="6"/>
  <c r="U38" i="6" s="1"/>
  <c r="T54" i="6"/>
  <c r="U54" i="6" s="1"/>
  <c r="G58" i="7"/>
  <c r="F58" i="7"/>
  <c r="S119" i="6"/>
  <c r="S36" i="6"/>
  <c r="S66" i="6"/>
  <c r="S79" i="6"/>
  <c r="S40" i="6"/>
  <c r="S111" i="6"/>
  <c r="S45" i="6"/>
  <c r="S70" i="6"/>
  <c r="S34" i="6"/>
  <c r="S113" i="6"/>
  <c r="S112" i="6"/>
  <c r="S53" i="6"/>
  <c r="S22" i="6"/>
  <c r="S98" i="6"/>
  <c r="S78" i="6"/>
  <c r="S69" i="6"/>
  <c r="S44" i="6"/>
  <c r="S29" i="6"/>
  <c r="S68" i="6"/>
  <c r="S28" i="6"/>
  <c r="S19" i="6"/>
  <c r="S8" i="6"/>
  <c r="S128" i="6"/>
  <c r="S50" i="6"/>
  <c r="S42" i="6"/>
  <c r="S27" i="6"/>
  <c r="S116" i="6"/>
  <c r="S107" i="6"/>
  <c r="S83" i="6"/>
  <c r="S49" i="6"/>
  <c r="S102" i="6"/>
  <c r="S89" i="6"/>
  <c r="S100" i="6"/>
  <c r="T64" i="6"/>
  <c r="U64" i="6" s="1"/>
  <c r="O121" i="6"/>
  <c r="L7" i="14" s="1"/>
  <c r="O30" i="6"/>
  <c r="O7" i="14" s="1"/>
  <c r="J15" i="18"/>
  <c r="J13" i="18"/>
  <c r="J14" i="18"/>
  <c r="T43" i="6"/>
  <c r="T36" i="6"/>
  <c r="U36" i="6" s="1"/>
  <c r="T120" i="6"/>
  <c r="U120" i="6" s="1"/>
  <c r="T35" i="6"/>
  <c r="U35" i="6" s="1"/>
  <c r="T94" i="6"/>
  <c r="U94" i="6" s="1"/>
  <c r="R10" i="6"/>
  <c r="T10" i="6" s="1"/>
  <c r="U10" i="6" s="1"/>
  <c r="T19" i="6"/>
  <c r="U19" i="6" s="1"/>
  <c r="T17" i="6"/>
  <c r="U17" i="6" s="1"/>
  <c r="T23" i="6"/>
  <c r="U23" i="6" s="1"/>
  <c r="T7" i="6"/>
  <c r="U7" i="6" s="1"/>
  <c r="T29" i="6"/>
  <c r="U29" i="6" s="1"/>
  <c r="T21" i="6"/>
  <c r="U21" i="6" s="1"/>
  <c r="R8" i="6"/>
  <c r="T8" i="6" s="1"/>
  <c r="U8" i="6" s="1"/>
  <c r="T108" i="6"/>
  <c r="U108" i="6" s="1"/>
  <c r="T48" i="6"/>
  <c r="T14" i="6"/>
  <c r="U14" i="6" s="1"/>
  <c r="T37" i="6"/>
  <c r="T12" i="6"/>
  <c r="U12" i="6" s="1"/>
  <c r="O55" i="6"/>
  <c r="I7" i="14" s="1"/>
  <c r="T86" i="6"/>
  <c r="U86" i="6" s="1"/>
  <c r="T84" i="6"/>
  <c r="U84" i="6" s="1"/>
  <c r="T76" i="6"/>
  <c r="U76" i="6" s="1"/>
  <c r="T68" i="6"/>
  <c r="U68" i="6" s="1"/>
  <c r="T67" i="6"/>
  <c r="O91" i="6"/>
  <c r="F7" i="14"/>
  <c r="R97" i="6"/>
  <c r="T97" i="6" s="1"/>
  <c r="U97" i="6" s="1"/>
  <c r="R69" i="6"/>
  <c r="T69" i="6" s="1"/>
  <c r="U69" i="6" s="1"/>
  <c r="R110" i="6"/>
  <c r="R107" i="6"/>
  <c r="T107" i="6" s="1"/>
  <c r="R27" i="6"/>
  <c r="T27" i="6" s="1"/>
  <c r="U27" i="6" s="1"/>
  <c r="R78" i="6"/>
  <c r="T78" i="6" s="1"/>
  <c r="R39" i="6"/>
  <c r="T39" i="6" s="1"/>
  <c r="U39" i="6" s="1"/>
  <c r="R70" i="6"/>
  <c r="T70" i="6" s="1"/>
  <c r="R116" i="6"/>
  <c r="T116" i="6" s="1"/>
  <c r="U116" i="6" s="1"/>
  <c r="R129" i="6"/>
  <c r="R87" i="6"/>
  <c r="T87" i="6" s="1"/>
  <c r="U87" i="6" s="1"/>
  <c r="R71" i="6"/>
  <c r="T71" i="6" s="1"/>
  <c r="U71" i="6" s="1"/>
  <c r="R49" i="6"/>
  <c r="T49" i="6" s="1"/>
  <c r="U49" i="6" s="1"/>
  <c r="R22" i="6"/>
  <c r="T22" i="6" s="1"/>
  <c r="U22" i="6" s="1"/>
  <c r="R79" i="6"/>
  <c r="T79" i="6" s="1"/>
  <c r="U79" i="6" s="1"/>
  <c r="R40" i="6"/>
  <c r="R61" i="6"/>
  <c r="T61" i="6" s="1"/>
  <c r="U61" i="6" s="1"/>
  <c r="R13" i="6"/>
  <c r="T13" i="6" s="1"/>
  <c r="U13" i="6" s="1"/>
  <c r="C40" i="7"/>
  <c r="R60" i="6"/>
  <c r="T60" i="6" s="1"/>
  <c r="U60" i="6" s="1"/>
  <c r="R113" i="6"/>
  <c r="T113" i="6" s="1"/>
  <c r="U113" i="6" s="1"/>
  <c r="R112" i="6"/>
  <c r="T112" i="6" s="1"/>
  <c r="R83" i="6"/>
  <c r="T83" i="6" s="1"/>
  <c r="U83" i="6" s="1"/>
  <c r="R75" i="6"/>
  <c r="T75" i="6" s="1"/>
  <c r="U75" i="6" s="1"/>
  <c r="R53" i="6"/>
  <c r="T53" i="6" s="1"/>
  <c r="U53" i="6" s="1"/>
  <c r="R45" i="6"/>
  <c r="T45" i="6" s="1"/>
  <c r="R18" i="6"/>
  <c r="T18" i="6" s="1"/>
  <c r="U18" i="6" s="1"/>
  <c r="R119" i="6"/>
  <c r="T119" i="6" s="1"/>
  <c r="U119" i="6" s="1"/>
  <c r="R111" i="6"/>
  <c r="R100" i="6"/>
  <c r="T100" i="6" s="1"/>
  <c r="U100" i="6" s="1"/>
  <c r="R90" i="6"/>
  <c r="T90" i="6" s="1"/>
  <c r="U90" i="6" s="1"/>
  <c r="R74" i="6"/>
  <c r="T74" i="6" s="1"/>
  <c r="R44" i="6"/>
  <c r="T44" i="6" s="1"/>
  <c r="R9" i="6"/>
  <c r="T9" i="6" s="1"/>
  <c r="U9" i="6" s="1"/>
  <c r="R99" i="6"/>
  <c r="T99" i="6" s="1"/>
  <c r="U99" i="6" s="1"/>
  <c r="R89" i="6"/>
  <c r="T89" i="6" s="1"/>
  <c r="U89" i="6" s="1"/>
  <c r="R81" i="6"/>
  <c r="T81" i="6" s="1"/>
  <c r="U81" i="6" s="1"/>
  <c r="R63" i="6"/>
  <c r="R96" i="6"/>
  <c r="T96" i="6" s="1"/>
  <c r="U96" i="6" s="1"/>
  <c r="R128" i="6"/>
  <c r="R109" i="6"/>
  <c r="T109" i="6" s="1"/>
  <c r="U109" i="6" s="1"/>
  <c r="R88" i="6"/>
  <c r="T88" i="6" s="1"/>
  <c r="U88" i="6" s="1"/>
  <c r="R50" i="6"/>
  <c r="T50" i="6" s="1"/>
  <c r="R114" i="6"/>
  <c r="T114" i="6" s="1"/>
  <c r="U114" i="6" s="1"/>
  <c r="R77" i="6"/>
  <c r="T77" i="6" s="1"/>
  <c r="U77" i="6" s="1"/>
  <c r="R28" i="6"/>
  <c r="T28" i="6" s="1"/>
  <c r="U28" i="6" s="1"/>
  <c r="R102" i="6"/>
  <c r="T102" i="6" s="1"/>
  <c r="R46" i="6"/>
  <c r="T46" i="6" s="1"/>
  <c r="U46" i="6" s="1"/>
  <c r="E33" i="11"/>
  <c r="B33" i="11"/>
  <c r="J33" i="11" s="1"/>
  <c r="E32" i="11"/>
  <c r="B32" i="11"/>
  <c r="J32" i="11" s="1"/>
  <c r="E31" i="11"/>
  <c r="B31" i="11"/>
  <c r="J31" i="11" s="1"/>
  <c r="E30" i="11"/>
  <c r="B30" i="11"/>
  <c r="J30" i="11" s="1"/>
  <c r="E29" i="11"/>
  <c r="B29" i="11"/>
  <c r="J29" i="11" s="1"/>
  <c r="E28" i="11"/>
  <c r="B28" i="11"/>
  <c r="J28" i="11" s="1"/>
  <c r="E27" i="11"/>
  <c r="B27" i="11"/>
  <c r="J27" i="11" s="1"/>
  <c r="E26" i="11"/>
  <c r="B26" i="11"/>
  <c r="J26" i="11" s="1"/>
  <c r="E25" i="11"/>
  <c r="B25" i="11"/>
  <c r="J25" i="11" s="1"/>
  <c r="E24" i="11"/>
  <c r="B24" i="11"/>
  <c r="J24" i="11" s="1"/>
  <c r="E23" i="11"/>
  <c r="B23" i="11"/>
  <c r="J23" i="11" s="1"/>
  <c r="E22" i="11"/>
  <c r="B22" i="11"/>
  <c r="J22" i="11" s="1"/>
  <c r="E21" i="11"/>
  <c r="B21" i="11"/>
  <c r="J21" i="11" s="1"/>
  <c r="E20" i="11"/>
  <c r="B20" i="11"/>
  <c r="J20" i="11" s="1"/>
  <c r="E19" i="11"/>
  <c r="B19" i="11"/>
  <c r="J19" i="11" s="1"/>
  <c r="E18" i="11"/>
  <c r="B18" i="11"/>
  <c r="J18" i="11" s="1"/>
  <c r="E17" i="11"/>
  <c r="B17" i="11"/>
  <c r="J17" i="11" s="1"/>
  <c r="E16" i="11"/>
  <c r="B16" i="11"/>
  <c r="J16" i="11" s="1"/>
  <c r="E15" i="11"/>
  <c r="B15" i="11"/>
  <c r="J15" i="11" s="1"/>
  <c r="E14" i="11"/>
  <c r="B14" i="11"/>
  <c r="J14" i="11" s="1"/>
  <c r="E13" i="11"/>
  <c r="B13" i="11"/>
  <c r="J13" i="11" s="1"/>
  <c r="E12" i="11"/>
  <c r="B12" i="11"/>
  <c r="J12" i="11" s="1"/>
  <c r="E11" i="11"/>
  <c r="B11" i="11"/>
  <c r="J11" i="11" s="1"/>
  <c r="E10" i="11"/>
  <c r="B10" i="11"/>
  <c r="J10" i="11" s="1"/>
  <c r="E9" i="11"/>
  <c r="B9" i="11"/>
  <c r="J9" i="11" s="1"/>
  <c r="E8" i="11"/>
  <c r="B8" i="11"/>
  <c r="J8" i="11" s="1"/>
  <c r="E7" i="11"/>
  <c r="B7" i="11"/>
  <c r="J7" i="11" s="1"/>
  <c r="E6" i="11"/>
  <c r="B6" i="11"/>
  <c r="J6" i="11" s="1"/>
  <c r="E5" i="11"/>
  <c r="B5" i="11"/>
  <c r="J5" i="11" s="1"/>
  <c r="E4" i="11"/>
  <c r="B4" i="11"/>
  <c r="J4" i="11" s="1"/>
  <c r="E3" i="11"/>
  <c r="C3" i="11"/>
  <c r="B3" i="11"/>
  <c r="J3" i="11" s="1"/>
  <c r="E17" i="10"/>
  <c r="D68" i="7" l="1"/>
  <c r="Q12" i="14"/>
  <c r="E12" i="14"/>
  <c r="N12" i="14"/>
  <c r="T63" i="6"/>
  <c r="U63" i="6" s="1"/>
  <c r="S63" i="6"/>
  <c r="E6" i="14"/>
  <c r="N6" i="14"/>
  <c r="Q6" i="14"/>
  <c r="K6" i="14"/>
  <c r="U73" i="6"/>
  <c r="T110" i="6"/>
  <c r="U110" i="6" s="1"/>
  <c r="U7" i="14"/>
  <c r="U107" i="6"/>
  <c r="T111" i="6"/>
  <c r="K12" i="14"/>
  <c r="H12" i="14"/>
  <c r="T30" i="6"/>
  <c r="H6" i="14"/>
  <c r="T40" i="6"/>
  <c r="T55" i="6" s="1"/>
  <c r="K68" i="6"/>
  <c r="K71" i="6"/>
  <c r="K34" i="11"/>
  <c r="G6" i="11" s="1"/>
  <c r="I29" i="14" l="1"/>
  <c r="Q18" i="14"/>
  <c r="H7" i="14"/>
  <c r="I8" i="14" s="1"/>
  <c r="N7" i="14"/>
  <c r="N9" i="14" s="1"/>
  <c r="N10" i="14" s="1"/>
  <c r="Q7" i="14"/>
  <c r="Q8" i="14" s="1"/>
  <c r="T6" i="14"/>
  <c r="T121" i="6"/>
  <c r="T91" i="6"/>
  <c r="E18" i="14"/>
  <c r="N18" i="14"/>
  <c r="H18" i="14"/>
  <c r="K18" i="14"/>
  <c r="F8" i="14"/>
  <c r="E8" i="14"/>
  <c r="E9" i="14"/>
  <c r="E10" i="14" s="1"/>
  <c r="G30" i="11"/>
  <c r="G28" i="11"/>
  <c r="G5" i="11"/>
  <c r="G27" i="11"/>
  <c r="G11" i="11"/>
  <c r="G32" i="11"/>
  <c r="G24" i="11"/>
  <c r="G20" i="11"/>
  <c r="G3" i="11"/>
  <c r="H3" i="11" s="1"/>
  <c r="G25" i="11"/>
  <c r="G14" i="11"/>
  <c r="G33" i="11"/>
  <c r="G18" i="11"/>
  <c r="G17" i="11"/>
  <c r="G13" i="11"/>
  <c r="G8" i="11"/>
  <c r="G29" i="11"/>
  <c r="G15" i="11"/>
  <c r="G10" i="11"/>
  <c r="G26" i="11"/>
  <c r="G23" i="11"/>
  <c r="G19" i="11"/>
  <c r="G21" i="11"/>
  <c r="G4" i="11"/>
  <c r="G7" i="11"/>
  <c r="G31" i="11"/>
  <c r="G12" i="11"/>
  <c r="G16" i="11"/>
  <c r="G9" i="11"/>
  <c r="G22" i="11"/>
  <c r="H4" i="11" l="1"/>
  <c r="H5" i="11" s="1"/>
  <c r="H6" i="11" s="1"/>
  <c r="H7" i="11" s="1"/>
  <c r="H8" i="11" s="1"/>
  <c r="H9" i="11" s="1"/>
  <c r="H10" i="11" s="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L29" i="14"/>
  <c r="N8" i="14"/>
  <c r="G29" i="14"/>
  <c r="H9" i="14"/>
  <c r="H10" i="14" s="1"/>
  <c r="O8" i="14"/>
  <c r="H8" i="14"/>
  <c r="Q9" i="14"/>
  <c r="Q10" i="14" s="1"/>
  <c r="K7" i="14"/>
  <c r="T7" i="14" s="1"/>
  <c r="H29" i="14" s="1"/>
  <c r="R8" i="14"/>
  <c r="K13" i="7"/>
  <c r="H6" i="7" s="1"/>
  <c r="K14" i="7"/>
  <c r="H5" i="7" s="1"/>
  <c r="K15" i="7"/>
  <c r="H7" i="7" s="1"/>
  <c r="K16" i="7"/>
  <c r="K17" i="7"/>
  <c r="K18" i="7"/>
  <c r="H3" i="7" s="1"/>
  <c r="D5" i="28" s="1"/>
  <c r="K19" i="7"/>
  <c r="I3" i="7" s="1"/>
  <c r="D4" i="28" s="1"/>
  <c r="K20" i="7"/>
  <c r="K21" i="7"/>
  <c r="K12" i="7"/>
  <c r="B30" i="8"/>
  <c r="D20" i="8"/>
  <c r="D14" i="8"/>
  <c r="C14" i="8"/>
  <c r="C20" i="8"/>
  <c r="D27" i="8"/>
  <c r="B27" i="8"/>
  <c r="C19" i="8"/>
  <c r="D19" i="8" s="1"/>
  <c r="B10" i="8"/>
  <c r="B11" i="8"/>
  <c r="C11" i="8" s="1"/>
  <c r="B12" i="8"/>
  <c r="C12" i="8" s="1"/>
  <c r="B13" i="8"/>
  <c r="C13" i="8" s="1"/>
  <c r="B14" i="8"/>
  <c r="B9" i="8"/>
  <c r="P29" i="14" l="1"/>
  <c r="J29" i="14"/>
  <c r="K29" i="14"/>
  <c r="T8" i="14"/>
  <c r="K9" i="14"/>
  <c r="K10" i="14" s="1"/>
  <c r="K8" i="14"/>
  <c r="U8" i="14"/>
  <c r="T9" i="14"/>
  <c r="T10" i="14" s="1"/>
  <c r="L8" i="14"/>
  <c r="H4" i="7"/>
  <c r="C10" i="8"/>
  <c r="D13" i="8"/>
  <c r="D12" i="8"/>
  <c r="D11" i="8"/>
  <c r="D37" i="8" l="1"/>
  <c r="D4" i="7"/>
  <c r="D5" i="7"/>
  <c r="D6" i="7"/>
  <c r="D7" i="7"/>
  <c r="D3" i="7"/>
  <c r="L6" i="7"/>
  <c r="G5" i="28" s="1"/>
  <c r="I4" i="7"/>
  <c r="K4" i="7" s="1"/>
  <c r="E4" i="28" s="1"/>
  <c r="L7" i="7"/>
  <c r="H5" i="28" s="1"/>
  <c r="L5" i="7"/>
  <c r="F5" i="28" s="1"/>
  <c r="L4" i="7"/>
  <c r="E5" i="28" s="1"/>
  <c r="I6" i="28" l="1"/>
  <c r="K5" i="28"/>
  <c r="I5" i="28"/>
  <c r="M4" i="7"/>
  <c r="D36" i="8"/>
  <c r="M3" i="7"/>
  <c r="I5" i="7"/>
  <c r="K5" i="7" s="1"/>
  <c r="F4" i="28" s="1"/>
  <c r="M5" i="7" l="1"/>
  <c r="N13" i="14"/>
  <c r="N15" i="14" s="1"/>
  <c r="N16" i="14" s="1"/>
  <c r="H13" i="14"/>
  <c r="H19" i="14" s="1"/>
  <c r="H20" i="14" s="1"/>
  <c r="H21" i="14" s="1"/>
  <c r="I6" i="7"/>
  <c r="K6" i="7" s="1"/>
  <c r="G4" i="28" s="1"/>
  <c r="E13" i="14" l="1"/>
  <c r="E15" i="14" s="1"/>
  <c r="E16" i="14" s="1"/>
  <c r="M6" i="7"/>
  <c r="N19" i="14"/>
  <c r="N20" i="14" s="1"/>
  <c r="N21" i="14" s="1"/>
  <c r="H15" i="14"/>
  <c r="H16" i="14" s="1"/>
  <c r="H14" i="14"/>
  <c r="I7" i="7"/>
  <c r="K7" i="7" s="1"/>
  <c r="H4" i="28" s="1"/>
  <c r="I4" i="28" l="1"/>
  <c r="K4" i="28"/>
  <c r="L5" i="28" s="1"/>
  <c r="E19" i="14"/>
  <c r="E20" i="14" s="1"/>
  <c r="E21" i="14" s="1"/>
  <c r="Q13" i="14"/>
  <c r="Q15" i="14" s="1"/>
  <c r="Q16" i="14" s="1"/>
  <c r="N14" i="14"/>
  <c r="M7" i="7"/>
  <c r="J124" i="6"/>
  <c r="L6" i="28" l="1"/>
  <c r="D32" i="28"/>
  <c r="E14" i="14"/>
  <c r="Q19" i="14"/>
  <c r="Q20" i="14" s="1"/>
  <c r="Q21" i="14" s="1"/>
  <c r="M8" i="7"/>
  <c r="K13" i="14"/>
  <c r="K124" i="6"/>
  <c r="N124" i="6"/>
  <c r="B25" i="8"/>
  <c r="B26" i="8" s="1"/>
  <c r="Q14" i="14" l="1"/>
  <c r="K15" i="14"/>
  <c r="K16" i="14" s="1"/>
  <c r="K19" i="14"/>
  <c r="U14" i="14"/>
  <c r="D26" i="8"/>
  <c r="M29" i="14" l="1"/>
  <c r="T20" i="14"/>
  <c r="T21" i="14" s="1"/>
  <c r="T15" i="14"/>
  <c r="T16" i="14" s="1"/>
  <c r="K14" i="14"/>
  <c r="K20" i="14"/>
  <c r="K21" i="14" s="1"/>
  <c r="D38" i="8"/>
  <c r="D40" i="8" s="1"/>
  <c r="N29" i="14" l="1"/>
  <c r="Q29" i="14"/>
  <c r="T14" i="14"/>
  <c r="S29" i="14" l="1"/>
  <c r="R29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MENTASTY, ANALIA IVON</author>
    <author>tc={8AB5D43B-01E2-4E56-AC60-275DD63AE0BE}</author>
  </authors>
  <commentList>
    <comment ref="B11" authorId="0" shapeId="0" xr:uid="{E1F6C25D-4F49-44EB-A8C3-127E836D98BE}">
      <text>
        <r>
          <rPr>
            <b/>
            <sz val="9"/>
            <color indexed="81"/>
            <rFont val="Tahoma"/>
            <family val="2"/>
          </rPr>
          <t>Texto breve</t>
        </r>
      </text>
    </comment>
    <comment ref="C11" authorId="0" shapeId="0" xr:uid="{14190733-0561-4718-B557-7076E115D21D}">
      <text>
        <r>
          <rPr>
            <b/>
            <sz val="9"/>
            <color indexed="81"/>
            <rFont val="Tahoma"/>
            <family val="2"/>
          </rPr>
          <t>Texto breve</t>
        </r>
      </text>
    </comment>
    <comment ref="E11" authorId="0" shapeId="0" xr:uid="{5EF9D588-A696-49EC-8351-FC9B235846F1}">
      <text>
        <r>
          <rPr>
            <b/>
            <sz val="9"/>
            <color indexed="81"/>
            <rFont val="Tahoma"/>
            <family val="2"/>
          </rPr>
          <t>Unidad medida base</t>
        </r>
      </text>
    </comment>
    <comment ref="G11" authorId="0" shapeId="0" xr:uid="{1BABB611-39C1-42CD-A988-47DADBBD53A4}">
      <text>
        <r>
          <rPr>
            <b/>
            <sz val="9"/>
            <color indexed="81"/>
            <rFont val="Tahoma"/>
            <family val="2"/>
          </rPr>
          <t>Número de servicio</t>
        </r>
      </text>
    </comment>
    <comment ref="H11" authorId="0" shapeId="0" xr:uid="{78091A45-41C8-40B5-8B6D-C852BE251E22}">
      <text>
        <r>
          <rPr>
            <b/>
            <sz val="9"/>
            <color indexed="81"/>
            <rFont val="Tahoma"/>
            <family val="2"/>
          </rPr>
          <t>Precio bruto</t>
        </r>
      </text>
    </comment>
    <comment ref="E35" authorId="1" shapeId="0" xr:uid="{8AB5D43B-01E2-4E56-AC60-275DD63AE0B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11 personas Champion + 3 de Baker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tc={6D80A471-93E1-4537-8331-667389F2479A}</author>
  </authors>
  <commentList>
    <comment ref="J61" authorId="0" shapeId="0" xr:uid="{6D80A471-93E1-4537-8331-667389F247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 Bactron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1397CB-8C87-41D2-8423-FE463749DF4C}" keepAlive="1" name="Consulta - Page001" description="Conexión a la consulta 'Page001' en el libro." type="5" refreshedVersion="0" background="1" saveData="1">
    <dbPr connection="Provider=Microsoft.Mashup.OleDb.1;Data Source=$Workbook$;Location=Page001;Extended Properties=&quot;&quot;" command="SELECT * FROM [Page001]"/>
  </connection>
  <connection id="2" xr16:uid="{00000000-0015-0000-FFFF-FFFF00000000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1000000}" name="WorksheetConnection_Tabla1" type="102" refreshedVersion="7" minRefreshableVersion="5">
    <extLst>
      <ext xmlns:x15="http://schemas.microsoft.com/office/spreadsheetml/2010/11/main" uri="{DE250136-89BD-433C-8126-D09CA5730AF9}">
        <x15:connection id="Tabla1">
          <x15:rangePr sourceName="_xlcn.WorksheetConnection_Tabla11"/>
        </x15:connection>
      </ext>
    </extLst>
  </connection>
</connections>
</file>

<file path=xl/sharedStrings.xml><?xml version="1.0" encoding="utf-8"?>
<sst xmlns="http://schemas.openxmlformats.org/spreadsheetml/2006/main" count="8791" uniqueCount="1432">
  <si>
    <t>PQ</t>
  </si>
  <si>
    <t>Familia</t>
  </si>
  <si>
    <t>Precio</t>
  </si>
  <si>
    <t>Vigencia</t>
  </si>
  <si>
    <t>Puntos en uso</t>
  </si>
  <si>
    <t>Fuente</t>
  </si>
  <si>
    <t>Puntos en uso [%]</t>
  </si>
  <si>
    <t>Uso acumulado [%]</t>
  </si>
  <si>
    <t>Comentario</t>
  </si>
  <si>
    <t>Familia Cod BND</t>
  </si>
  <si>
    <t>CAPTRON 75/ENCAPTRON 95</t>
  </si>
  <si>
    <t>Inf Nalco</t>
  </si>
  <si>
    <t>Captron 75: 10,58 (2018-Inf Nalco). Para la mezcla C75/E95 se asume un 50% de c/u</t>
  </si>
  <si>
    <t>CLEAR 2335</t>
  </si>
  <si>
    <t>YPF</t>
  </si>
  <si>
    <t>De acuerdo a reporte de consumo Nov-Dic 2019 de YPF</t>
  </si>
  <si>
    <t>SURFATRON DN-155</t>
  </si>
  <si>
    <t>Sinopec</t>
  </si>
  <si>
    <t>De acuerdo a reporte de consumo Nov-Dic 2019 de YPF (4,19)</t>
  </si>
  <si>
    <t>EC6359A</t>
  </si>
  <si>
    <t>GYPTRON TA-416</t>
  </si>
  <si>
    <t>I&amp;VYPF</t>
  </si>
  <si>
    <t>1,91 USD Gytron TA-73 SNPC 2019 -  2,19 Gyptron  T-356 I&amp;VYPF</t>
  </si>
  <si>
    <t>EC3156</t>
  </si>
  <si>
    <t>Estimado JGB</t>
  </si>
  <si>
    <t>EMBR14512A</t>
  </si>
  <si>
    <t>EMBR17949A</t>
  </si>
  <si>
    <t>CAPTRON 75</t>
  </si>
  <si>
    <t>CORTRON RN470</t>
  </si>
  <si>
    <t>I&amp;V - YPF</t>
  </si>
  <si>
    <t>EMBR12601A</t>
  </si>
  <si>
    <t>ENCAPTRON 95</t>
  </si>
  <si>
    <t>EC6539A</t>
  </si>
  <si>
    <t>CGC - RGL</t>
  </si>
  <si>
    <t xml:space="preserve">GT CGC Inh de parafinas EC6545A 5.47 </t>
  </si>
  <si>
    <t>BACTRON L-133</t>
  </si>
  <si>
    <t>I&amp;V CRV</t>
  </si>
  <si>
    <t>3,51 I&amp;V YPF 2017</t>
  </si>
  <si>
    <t>CORTRON 2533</t>
  </si>
  <si>
    <t>GAS TREAT 200</t>
  </si>
  <si>
    <t>DVE4B003</t>
  </si>
  <si>
    <t>TX14120</t>
  </si>
  <si>
    <t>TX14532 3,90 (I&amp;V YPF)</t>
  </si>
  <si>
    <t>EC2434A</t>
  </si>
  <si>
    <t>EC6019A</t>
  </si>
  <si>
    <t>EC6012A</t>
  </si>
  <si>
    <t>EMULSOTRON x-8134</t>
  </si>
  <si>
    <t>Nalco 2016 YPF</t>
  </si>
  <si>
    <t>x-8131</t>
  </si>
  <si>
    <t>03VC057</t>
  </si>
  <si>
    <t>EMULSOTRON x-8131</t>
  </si>
  <si>
    <t>CORTRON RU312</t>
  </si>
  <si>
    <t>EC6036A</t>
  </si>
  <si>
    <t>LA3147A</t>
  </si>
  <si>
    <t xml:space="preserve"> GT CGC Desemulsionante LA3147A 5.07  - LA3113A I&amp;V YPF (sep agua/oil) 5,29 USD -  LA3303A (desemulsionante) 3USD </t>
  </si>
  <si>
    <t>CORE SHELL</t>
  </si>
  <si>
    <t>EMULSOTRON x-8135</t>
  </si>
  <si>
    <t>EC6620</t>
  </si>
  <si>
    <t>CLEAR 2336</t>
  </si>
  <si>
    <t xml:space="preserve">GT CGC Dispersante Parafina Clear 2335 3.74 </t>
  </si>
  <si>
    <t>CAPTRON 75/ENCAPTRON 96</t>
  </si>
  <si>
    <t>TC</t>
  </si>
  <si>
    <t>BNA Cotizacion Divisas Venta 13/03/2024</t>
  </si>
  <si>
    <t>EERR</t>
  </si>
  <si>
    <t>Ítem</t>
  </si>
  <si>
    <t>Malargüe</t>
  </si>
  <si>
    <t>La Ventana</t>
  </si>
  <si>
    <t>Vizcacheras</t>
  </si>
  <si>
    <t>Barrancas</t>
  </si>
  <si>
    <t>Ugarteche</t>
  </si>
  <si>
    <t>GLOBAL MZA</t>
  </si>
  <si>
    <t>PECOM</t>
  </si>
  <si>
    <t>Competencia</t>
  </si>
  <si>
    <t>Productos Químicos</t>
  </si>
  <si>
    <t>Costo</t>
  </si>
  <si>
    <t>Venta</t>
  </si>
  <si>
    <t>k</t>
  </si>
  <si>
    <t>CP USD</t>
  </si>
  <si>
    <t>CP %</t>
  </si>
  <si>
    <t>Servicio</t>
  </si>
  <si>
    <t>Costo estimado</t>
  </si>
  <si>
    <t>Scio/Global %</t>
  </si>
  <si>
    <t>Global</t>
  </si>
  <si>
    <t>Optimización de consumo [%]</t>
  </si>
  <si>
    <t>Dto Scio [%]</t>
  </si>
  <si>
    <t>ventas</t>
  </si>
  <si>
    <t>Area</t>
  </si>
  <si>
    <t>Consumo mensual [lts]</t>
  </si>
  <si>
    <t>Consumo %</t>
  </si>
  <si>
    <t>Puntos en Continua</t>
  </si>
  <si>
    <t>Puntos en Batch</t>
  </si>
  <si>
    <t>Batches-mes</t>
  </si>
  <si>
    <t>Tarifa OYM DOSIF</t>
  </si>
  <si>
    <t>Tarifa SERV. BATCHEO TRAT. QUIM</t>
  </si>
  <si>
    <t>Venta Batch [ARS]</t>
  </si>
  <si>
    <t>Venta Continuo [ARS]</t>
  </si>
  <si>
    <t>Total</t>
  </si>
  <si>
    <t>BARRANCAS</t>
  </si>
  <si>
    <t>LA VENTANA</t>
  </si>
  <si>
    <t>MALARGUE</t>
  </si>
  <si>
    <t>UGARTECHE</t>
  </si>
  <si>
    <t>VIZCACHERAS</t>
  </si>
  <si>
    <t>Total ARS</t>
  </si>
  <si>
    <t>Total USD</t>
  </si>
  <si>
    <t>Texto breve</t>
  </si>
  <si>
    <t>Unidad medida base</t>
  </si>
  <si>
    <t>Número de servicio</t>
  </si>
  <si>
    <t>Precio bruto (último ajuste Septiembre ´23)</t>
  </si>
  <si>
    <t>Precio Renovación</t>
  </si>
  <si>
    <t>Precio Renovación Actualizado a dic-23</t>
  </si>
  <si>
    <t>Estimación de actualización a mar-24</t>
  </si>
  <si>
    <t>TARIFARIO MENDOZA NORTE</t>
  </si>
  <si>
    <t>OYM PTO.DOSIF. TRAT.QUIM. 1A50 P/UNI</t>
  </si>
  <si>
    <t>UNI</t>
  </si>
  <si>
    <t>10000000000003862</t>
  </si>
  <si>
    <t>OYM PTO.DOSIF. TRAT.QUIM. 51A100 P/UNI</t>
  </si>
  <si>
    <t>10000000000003863</t>
  </si>
  <si>
    <t>OYM PTO.DOSIF. TRAT.QUIM. 101A200 P/UNI</t>
  </si>
  <si>
    <t>10000000000003864</t>
  </si>
  <si>
    <t>OYM PTO.DOSIF. TRAT.QUIM. 201A300 P/UNI</t>
  </si>
  <si>
    <t>10000000000003865</t>
  </si>
  <si>
    <t>TTE. P/UNI SKID.DOSIF. TRAT.QUIM.</t>
  </si>
  <si>
    <t>80000000000000620</t>
  </si>
  <si>
    <t>OYM PTO.DOSIF. TRAT.QUIM. 301A400 P/UNI</t>
  </si>
  <si>
    <t>10000000000003866</t>
  </si>
  <si>
    <t>OYM PTO.DOSIF. TRAT.QUIM. &gt;400 P/UNI</t>
  </si>
  <si>
    <t>10000000000003867</t>
  </si>
  <si>
    <t>SERV. BATCHEO TRAT.QUIM. BP≤20KG P/UNI</t>
  </si>
  <si>
    <t>10000000000003860</t>
  </si>
  <si>
    <t>SERV. BATCHEO TRAT.QUIM. AP&gt;70KG P/UNI</t>
  </si>
  <si>
    <t>10000000000003861</t>
  </si>
  <si>
    <t>MONT. SKID.DOSIF. TRAT.QUIM. _ P/UNI</t>
  </si>
  <si>
    <t>10000000000003868</t>
  </si>
  <si>
    <t>Costos</t>
  </si>
  <si>
    <t>Mgue - Estimación</t>
  </si>
  <si>
    <t>UM</t>
  </si>
  <si>
    <t>Camiones</t>
  </si>
  <si>
    <t>Camionetas</t>
  </si>
  <si>
    <t>Personas</t>
  </si>
  <si>
    <t>Cantidad</t>
  </si>
  <si>
    <t>Costo [USD/UM]</t>
  </si>
  <si>
    <t>Costo [USD]</t>
  </si>
  <si>
    <t>Otros costos (base, guardía, etc)</t>
  </si>
  <si>
    <t>Indirectos</t>
  </si>
  <si>
    <t>La Ventana + Vizcacheras - Estimación</t>
  </si>
  <si>
    <t>Barrancas + Ugarteche - Estimación</t>
  </si>
  <si>
    <t>Total Camiones</t>
  </si>
  <si>
    <t>Total camionetas</t>
  </si>
  <si>
    <t>Total Personas</t>
  </si>
  <si>
    <t>Actualmente en Uso (Champion X, Veolia, Baker)</t>
  </si>
  <si>
    <t>Etiquetas de fila</t>
  </si>
  <si>
    <t>Consumo optimizado [l/mes]</t>
  </si>
  <si>
    <t>Consumo presentado [L/mes]</t>
  </si>
  <si>
    <t xml:space="preserve">Suma de Bacheo B/P </t>
  </si>
  <si>
    <t>Suma de Continua</t>
  </si>
  <si>
    <t>PQB Antiguo Producto</t>
  </si>
  <si>
    <t>Denominación comercial</t>
  </si>
  <si>
    <t>Compañía</t>
  </si>
  <si>
    <t>SAP</t>
  </si>
  <si>
    <t>USD/L</t>
  </si>
  <si>
    <t>Total (USD/mes)</t>
  </si>
  <si>
    <t>PQ PECOM</t>
  </si>
  <si>
    <t>Precio [USD/L]</t>
  </si>
  <si>
    <t>CR</t>
  </si>
  <si>
    <t>% DIFF</t>
  </si>
  <si>
    <t xml:space="preserve"> </t>
  </si>
  <si>
    <t>Biocida</t>
  </si>
  <si>
    <t>Bactron L-133</t>
  </si>
  <si>
    <t>CHAMPIONX</t>
  </si>
  <si>
    <t>BX707</t>
  </si>
  <si>
    <t>BX844</t>
  </si>
  <si>
    <t xml:space="preserve">Biomate San 9485 </t>
  </si>
  <si>
    <t>Veolia</t>
  </si>
  <si>
    <t>CLARIFICANTE</t>
  </si>
  <si>
    <t>FBS1747</t>
  </si>
  <si>
    <t xml:space="preserve">Desemulsionante  </t>
  </si>
  <si>
    <t>Prosolv EB 8283 Ruptor</t>
  </si>
  <si>
    <t>DBM4022CT</t>
  </si>
  <si>
    <t>Desemulsionante inverso</t>
  </si>
  <si>
    <t>FBS2008</t>
  </si>
  <si>
    <t>Deshidratación y Calidad de entrega</t>
  </si>
  <si>
    <t xml:space="preserve">Prosolv EB 3417 </t>
  </si>
  <si>
    <t>DBC4893</t>
  </si>
  <si>
    <t>DBM2840</t>
  </si>
  <si>
    <t>DBM4022</t>
  </si>
  <si>
    <t>Deshidratador de gas</t>
  </si>
  <si>
    <t>EMB14512A</t>
  </si>
  <si>
    <t>DESINCRUSTANTE</t>
  </si>
  <si>
    <t>DS592</t>
  </si>
  <si>
    <t>CR estimado</t>
  </si>
  <si>
    <t>Detergente</t>
  </si>
  <si>
    <t>DPB350</t>
  </si>
  <si>
    <t>EC9297</t>
  </si>
  <si>
    <t>Dispersante</t>
  </si>
  <si>
    <t>DPB52</t>
  </si>
  <si>
    <t>Dispersante de parafinas y/o asfaltenos</t>
  </si>
  <si>
    <t xml:space="preserve">CDC 9630 </t>
  </si>
  <si>
    <t>IPB650A</t>
  </si>
  <si>
    <t>Humectante de Solido</t>
  </si>
  <si>
    <t>DBM4002</t>
  </si>
  <si>
    <t>Inh. De Incrustaciones</t>
  </si>
  <si>
    <t>IC898</t>
  </si>
  <si>
    <t>INHIBIDOR DE CORROSIÓN</t>
  </si>
  <si>
    <t xml:space="preserve">Endcor occ 9783 </t>
  </si>
  <si>
    <t>CY20W</t>
  </si>
  <si>
    <t>INHIBIDOR DE INCRUSTACIONES</t>
  </si>
  <si>
    <t>IC5087 IC5091</t>
  </si>
  <si>
    <t xml:space="preserve">Prosolv si8022 </t>
  </si>
  <si>
    <t>IC5091</t>
  </si>
  <si>
    <t>Limpieza de Punzados</t>
  </si>
  <si>
    <t>Mejorador de Fluidez</t>
  </si>
  <si>
    <t xml:space="preserve">Kleen sc 9567 </t>
  </si>
  <si>
    <t>RFB200</t>
  </si>
  <si>
    <t>Mejorador de flujo y de Parafinas</t>
  </si>
  <si>
    <t>IPB650</t>
  </si>
  <si>
    <t>OXIDANTE</t>
  </si>
  <si>
    <t>BX256</t>
  </si>
  <si>
    <t>Reductor de Viscocidad</t>
  </si>
  <si>
    <t>IPB935CT</t>
  </si>
  <si>
    <t>Regulador de pH</t>
  </si>
  <si>
    <t>PHB300</t>
  </si>
  <si>
    <t xml:space="preserve">Sal </t>
  </si>
  <si>
    <t>Cloruro de Sodio</t>
  </si>
  <si>
    <t>QI505</t>
  </si>
  <si>
    <t>Secuestrante de oxígeno</t>
  </si>
  <si>
    <t>SO4345</t>
  </si>
  <si>
    <t>SO4353CT</t>
  </si>
  <si>
    <t>SECUESTRANTE DE SULFHÍDRICO</t>
  </si>
  <si>
    <t>BSH8080</t>
  </si>
  <si>
    <t>Gas Treat 200</t>
  </si>
  <si>
    <t>BSH8050CT</t>
  </si>
  <si>
    <t>ANTIESPUMANTE</t>
  </si>
  <si>
    <t xml:space="preserve">PAF 9497 </t>
  </si>
  <si>
    <t>ABC11</t>
  </si>
  <si>
    <t>TOTAL (USD)</t>
  </si>
  <si>
    <t>La Vent</t>
  </si>
  <si>
    <t xml:space="preserve">Biomate San 9494 </t>
  </si>
  <si>
    <t>BX960</t>
  </si>
  <si>
    <t>FBS9558</t>
  </si>
  <si>
    <t>DESEMULSIONANTE</t>
  </si>
  <si>
    <t>Prosolv EB 8290</t>
  </si>
  <si>
    <t>DBC4039</t>
  </si>
  <si>
    <t>DBM3075</t>
  </si>
  <si>
    <t>DPB52CT</t>
  </si>
  <si>
    <t>Dispersnate de Parafina/Asfaltenos</t>
  </si>
  <si>
    <t>IPB535</t>
  </si>
  <si>
    <t>IPB530</t>
  </si>
  <si>
    <t>Humectante/Secante</t>
  </si>
  <si>
    <t>INHIBIDOR DE HIDRATOS</t>
  </si>
  <si>
    <t>SB14CT</t>
  </si>
  <si>
    <t xml:space="preserve">Experimental 3223 </t>
  </si>
  <si>
    <t xml:space="preserve">Oxidante de solidos </t>
  </si>
  <si>
    <t>MALARGÜE</t>
  </si>
  <si>
    <t>Mgue</t>
  </si>
  <si>
    <t>ABC15</t>
  </si>
  <si>
    <t>Defoamer AF-177</t>
  </si>
  <si>
    <t>BACTERICIDA</t>
  </si>
  <si>
    <t>DVE48008</t>
  </si>
  <si>
    <t>BX910CT</t>
  </si>
  <si>
    <t>EMBpromedio</t>
  </si>
  <si>
    <t>DBC3158</t>
  </si>
  <si>
    <t>DBM4080A</t>
  </si>
  <si>
    <t>DBC4879CT</t>
  </si>
  <si>
    <t>DS592CT</t>
  </si>
  <si>
    <t>DISOLVENTE DE PARAFINAS Y ASFALTENOS</t>
  </si>
  <si>
    <t>SPBC38</t>
  </si>
  <si>
    <t>SB28</t>
  </si>
  <si>
    <t>Dispersante de Asfaltenos</t>
  </si>
  <si>
    <t>DISPERSANTE DE PARAFINAS Y ASFALTENOS</t>
  </si>
  <si>
    <t>SB26</t>
  </si>
  <si>
    <t>Dispersante de sólidos orgánicos e inorgánicos</t>
  </si>
  <si>
    <t>DCB509</t>
  </si>
  <si>
    <t>Estabilizador de Arcillas</t>
  </si>
  <si>
    <t>EC6129A</t>
  </si>
  <si>
    <t>FLOCULANTE</t>
  </si>
  <si>
    <t>FBS1409</t>
  </si>
  <si>
    <t>EC6086A</t>
  </si>
  <si>
    <t>HUMECTANTE DE SOLIDOS</t>
  </si>
  <si>
    <t>BX844CT</t>
  </si>
  <si>
    <t>RT160/DBM4002</t>
  </si>
  <si>
    <t>Inh Incrustaciones</t>
  </si>
  <si>
    <t>EC6395A</t>
  </si>
  <si>
    <t>IC5087A</t>
  </si>
  <si>
    <t>CY802CT</t>
  </si>
  <si>
    <t>GyptronTA-416</t>
  </si>
  <si>
    <t>INHIBIDOR DE PARAFINAS</t>
  </si>
  <si>
    <t>INHIBIDOR DE PARAFINAS Y ASFALTENOS</t>
  </si>
  <si>
    <t>IPB658</t>
  </si>
  <si>
    <t>Odorizante</t>
  </si>
  <si>
    <t>REDUCTOR DE FRICCIÓN</t>
  </si>
  <si>
    <t>SurfatronDN155</t>
  </si>
  <si>
    <t>REDUCTOR DE VISCOSIDAD</t>
  </si>
  <si>
    <t>EC6620A</t>
  </si>
  <si>
    <t>Removedor Incrustaciones</t>
  </si>
  <si>
    <t>GYPSTRONTA70</t>
  </si>
  <si>
    <t>Ruptor total</t>
  </si>
  <si>
    <t>RT20</t>
  </si>
  <si>
    <t>Sec Sulfhídrico</t>
  </si>
  <si>
    <t>BSH8050</t>
  </si>
  <si>
    <t>Sec. Oxígeno</t>
  </si>
  <si>
    <t>SECUESTRANTE DE OXIGENO</t>
  </si>
  <si>
    <t>BXC3209</t>
  </si>
  <si>
    <t>Viz</t>
  </si>
  <si>
    <t>DBC4928</t>
  </si>
  <si>
    <t>Qi505</t>
  </si>
  <si>
    <t>Total general</t>
  </si>
  <si>
    <t>Representa</t>
  </si>
  <si>
    <t> </t>
  </si>
  <si>
    <t>$ 88.880</t>
  </si>
  <si>
    <t>$ 80.240</t>
  </si>
  <si>
    <t>$ 56.820</t>
  </si>
  <si>
    <t xml:space="preserve"> $ -   </t>
  </si>
  <si>
    <t>$ 15.569</t>
  </si>
  <si>
    <t>$ 7.038</t>
  </si>
  <si>
    <t>$ 495</t>
  </si>
  <si>
    <t>$ 358</t>
  </si>
  <si>
    <t>$ 15.770</t>
  </si>
  <si>
    <t>$ 8.439</t>
  </si>
  <si>
    <t>$ 76.707</t>
  </si>
  <si>
    <t>$ 116.254</t>
  </si>
  <si>
    <t>$ 0</t>
  </si>
  <si>
    <t>$ 2.130</t>
  </si>
  <si>
    <t>$ 3.117</t>
  </si>
  <si>
    <t>$ 1.350</t>
  </si>
  <si>
    <t>$ 2.282</t>
  </si>
  <si>
    <t>$ 20.079</t>
  </si>
  <si>
    <t>$ 32.662</t>
  </si>
  <si>
    <t>$ 1.090</t>
  </si>
  <si>
    <t>$ 484</t>
  </si>
  <si>
    <t>$ 44.987</t>
  </si>
  <si>
    <t>$ 63.617</t>
  </si>
  <si>
    <t>$ 35.375</t>
  </si>
  <si>
    <t>$ 26.781</t>
  </si>
  <si>
    <t>$ 1.617</t>
  </si>
  <si>
    <t>$ 1.860</t>
  </si>
  <si>
    <t>$ 24.588</t>
  </si>
  <si>
    <t>$ 22.831</t>
  </si>
  <si>
    <t>$ 21.519</t>
  </si>
  <si>
    <t>$ 37.682</t>
  </si>
  <si>
    <t>$ 3.841</t>
  </si>
  <si>
    <t>$ 5.013</t>
  </si>
  <si>
    <t>$ 2.086</t>
  </si>
  <si>
    <t>$ 3.247</t>
  </si>
  <si>
    <t xml:space="preserve">$ -   </t>
  </si>
  <si>
    <t>$ 412.902</t>
  </si>
  <si>
    <t>$ 411.903</t>
  </si>
  <si>
    <t>$ 17.145</t>
  </si>
  <si>
    <t>$ 16.046</t>
  </si>
  <si>
    <t>$ 133.453</t>
  </si>
  <si>
    <t>$ 68.243</t>
  </si>
  <si>
    <t>$ 18.640</t>
  </si>
  <si>
    <t>$ 8.434</t>
  </si>
  <si>
    <t>$ 145.669</t>
  </si>
  <si>
    <t>$ 79.932</t>
  </si>
  <si>
    <t>$ 13.962</t>
  </si>
  <si>
    <t>$ 41.971</t>
  </si>
  <si>
    <t>$ 1.800</t>
  </si>
  <si>
    <t>$ 1.812</t>
  </si>
  <si>
    <t>$ 71.550</t>
  </si>
  <si>
    <t>$ 55.310</t>
  </si>
  <si>
    <t>$ 4.335</t>
  </si>
  <si>
    <t>$ 3.041</t>
  </si>
  <si>
    <t>$ 92</t>
  </si>
  <si>
    <t>$ 71</t>
  </si>
  <si>
    <t>$ 35.691</t>
  </si>
  <si>
    <t>FBS5609</t>
  </si>
  <si>
    <t>$ 32.405</t>
  </si>
  <si>
    <t>$ 25.312</t>
  </si>
  <si>
    <t>$ 15.881</t>
  </si>
  <si>
    <t>$ 9.393</t>
  </si>
  <si>
    <t>$ 8.423</t>
  </si>
  <si>
    <t>$ 24.845</t>
  </si>
  <si>
    <t>$ 35.982</t>
  </si>
  <si>
    <t>$ 34.982</t>
  </si>
  <si>
    <t>$ 39.270</t>
  </si>
  <si>
    <t>$ 14.228</t>
  </si>
  <si>
    <t>$ 13.133</t>
  </si>
  <si>
    <t>$ 19.599</t>
  </si>
  <si>
    <t>$ 10.982</t>
  </si>
  <si>
    <t>$ 5.767</t>
  </si>
  <si>
    <t>$ 3.398</t>
  </si>
  <si>
    <t>$ 18.761</t>
  </si>
  <si>
    <t>$ 20.670</t>
  </si>
  <si>
    <t>$ 1.531</t>
  </si>
  <si>
    <t>$ 2.421</t>
  </si>
  <si>
    <t>$ 158</t>
  </si>
  <si>
    <t>$ 206</t>
  </si>
  <si>
    <t>$ 304</t>
  </si>
  <si>
    <t>$ 391</t>
  </si>
  <si>
    <t>$ 13.289</t>
  </si>
  <si>
    <t>$ 20.688</t>
  </si>
  <si>
    <t>$ 596.542</t>
  </si>
  <si>
    <t>$ 492.671</t>
  </si>
  <si>
    <t>$ 40.400</t>
  </si>
  <si>
    <t>$ 28.410</t>
  </si>
  <si>
    <t>$ 36.000</t>
  </si>
  <si>
    <t>$ 13.244</t>
  </si>
  <si>
    <t>$ 12.118</t>
  </si>
  <si>
    <t>$ 7.920</t>
  </si>
  <si>
    <t>$ 3.985</t>
  </si>
  <si>
    <t>$ 320</t>
  </si>
  <si>
    <t>$ 529</t>
  </si>
  <si>
    <t>$ 14.974</t>
  </si>
  <si>
    <t>$ 15.322</t>
  </si>
  <si>
    <t>$ 1.200</t>
  </si>
  <si>
    <t>$ 1.208</t>
  </si>
  <si>
    <t>$ 945</t>
  </si>
  <si>
    <t>$ 1.383</t>
  </si>
  <si>
    <t>$ 2.736</t>
  </si>
  <si>
    <t>$ 4.624</t>
  </si>
  <si>
    <t>$ 9.081</t>
  </si>
  <si>
    <t>$ 13.339</t>
  </si>
  <si>
    <t>$ 23.307</t>
  </si>
  <si>
    <t>$ 30.221</t>
  </si>
  <si>
    <t>$ 13.721</t>
  </si>
  <si>
    <t>$ 10.388</t>
  </si>
  <si>
    <t>$ 54.078</t>
  </si>
  <si>
    <t>$ 76.474</t>
  </si>
  <si>
    <t>$ 29.853</t>
  </si>
  <si>
    <t>$ 21.507</t>
  </si>
  <si>
    <t>$ 2.000</t>
  </si>
  <si>
    <t>$ 3.016</t>
  </si>
  <si>
    <t>$ 8.425</t>
  </si>
  <si>
    <t>$ 10.996</t>
  </si>
  <si>
    <t>$ 1.795</t>
  </si>
  <si>
    <t>$ 2.795</t>
  </si>
  <si>
    <t>$ 268.179</t>
  </si>
  <si>
    <t>$ 252.342</t>
  </si>
  <si>
    <t>$ 20.692</t>
  </si>
  <si>
    <t>$ 6.205</t>
  </si>
  <si>
    <t>$ 614</t>
  </si>
  <si>
    <t>$ 329</t>
  </si>
  <si>
    <t>$ 32.151</t>
  </si>
  <si>
    <t>$ 33.943</t>
  </si>
  <si>
    <t>$ 5.292</t>
  </si>
  <si>
    <t>$ 8.467</t>
  </si>
  <si>
    <t>$ 3.555</t>
  </si>
  <si>
    <t>$ 5.027</t>
  </si>
  <si>
    <t>$ 2.830</t>
  </si>
  <si>
    <t>$ 2.143</t>
  </si>
  <si>
    <t>$ 65.135</t>
  </si>
  <si>
    <t>$ 56.115</t>
  </si>
  <si>
    <t>$ 80.800</t>
  </si>
  <si>
    <t>$ 49.121</t>
  </si>
  <si>
    <t>$ 43.131</t>
  </si>
  <si>
    <t>$ 388</t>
  </si>
  <si>
    <t>$ 397</t>
  </si>
  <si>
    <t>$ 9.626</t>
  </si>
  <si>
    <t>$ 5.151</t>
  </si>
  <si>
    <t>$ 67.649</t>
  </si>
  <si>
    <t>$ 69.325</t>
  </si>
  <si>
    <t>$ 990</t>
  </si>
  <si>
    <t>$ 498</t>
  </si>
  <si>
    <t>$ 2.952</t>
  </si>
  <si>
    <t>$ 4.336</t>
  </si>
  <si>
    <t>$ 6.807</t>
  </si>
  <si>
    <t>$ 5.897</t>
  </si>
  <si>
    <t>$ 98.521</t>
  </si>
  <si>
    <t>$ 139.322</t>
  </si>
  <si>
    <t>$ 64.036</t>
  </si>
  <si>
    <t>$ 46.134</t>
  </si>
  <si>
    <t>$ 6.496</t>
  </si>
  <si>
    <t>$ 8.478</t>
  </si>
  <si>
    <t>$ 1.320</t>
  </si>
  <si>
    <t>$ 2.055</t>
  </si>
  <si>
    <t>$ 388.705</t>
  </si>
  <si>
    <t>$ 324.724</t>
  </si>
  <si>
    <t>Para busqueda de CR</t>
  </si>
  <si>
    <t>CR flete</t>
  </si>
  <si>
    <t>FBS2000</t>
  </si>
  <si>
    <t>FBS5601</t>
  </si>
  <si>
    <t/>
  </si>
  <si>
    <t>IPB935</t>
  </si>
  <si>
    <t>RT160</t>
  </si>
  <si>
    <t>SB14</t>
  </si>
  <si>
    <t>Nro</t>
  </si>
  <si>
    <t>Zona</t>
  </si>
  <si>
    <t>Empresa</t>
  </si>
  <si>
    <t>Denominación</t>
  </si>
  <si>
    <t>Dosis lpd</t>
  </si>
  <si>
    <t>Mendoza Norte</t>
  </si>
  <si>
    <t>Champion</t>
  </si>
  <si>
    <t>Bioc 16734A</t>
  </si>
  <si>
    <t>Bioc 16952A</t>
  </si>
  <si>
    <t>Breaxit LA3147A</t>
  </si>
  <si>
    <t>Ruptor</t>
  </si>
  <si>
    <t>Captron 105</t>
  </si>
  <si>
    <t>Prod combinado</t>
  </si>
  <si>
    <t>CLAR 16021A</t>
  </si>
  <si>
    <t>Clarificante</t>
  </si>
  <si>
    <t>CLAR 16036AA</t>
  </si>
  <si>
    <t>CLAR16019a</t>
  </si>
  <si>
    <t>Control de parafinas</t>
  </si>
  <si>
    <t>Cortron RN470</t>
  </si>
  <si>
    <t>Inhibidor de corrosión</t>
  </si>
  <si>
    <t>Cortron RU341</t>
  </si>
  <si>
    <t>Sec de O2</t>
  </si>
  <si>
    <t>EC 6574A</t>
  </si>
  <si>
    <t>Inhibidor de Incrustaciones</t>
  </si>
  <si>
    <t>EC 9297A</t>
  </si>
  <si>
    <t>EC1304A</t>
  </si>
  <si>
    <t>Encaptron 95</t>
  </si>
  <si>
    <t>Sec de H2S</t>
  </si>
  <si>
    <t>Nalco 47162</t>
  </si>
  <si>
    <t>Biocida circuito de enfriamiento</t>
  </si>
  <si>
    <t>R3988 ALPHA 3456</t>
  </si>
  <si>
    <t>STEH 47010A</t>
  </si>
  <si>
    <t>Agua caldera</t>
  </si>
  <si>
    <t>Bactericida</t>
  </si>
  <si>
    <t>Dispersante de parafinas y asflatenos</t>
  </si>
  <si>
    <t>Antiespumante</t>
  </si>
  <si>
    <t>EC1093</t>
  </si>
  <si>
    <t>EC2434</t>
  </si>
  <si>
    <t>Floculante</t>
  </si>
  <si>
    <t>EC6359</t>
  </si>
  <si>
    <t>Inhibidor de parafinas y asfaltenos</t>
  </si>
  <si>
    <t>Redictor de viscosidad</t>
  </si>
  <si>
    <t>EMB12601</t>
  </si>
  <si>
    <t>Desemulsionante</t>
  </si>
  <si>
    <t>EMB14512</t>
  </si>
  <si>
    <t>EMb17949A</t>
  </si>
  <si>
    <t>EMBR10203</t>
  </si>
  <si>
    <t>EMBR12601</t>
  </si>
  <si>
    <t>EMBR12601a</t>
  </si>
  <si>
    <t>EMBR17949</t>
  </si>
  <si>
    <t>EMBR17949a</t>
  </si>
  <si>
    <t>Gas treat</t>
  </si>
  <si>
    <t>Gas treat 200</t>
  </si>
  <si>
    <t>Reductor de fricción</t>
  </si>
  <si>
    <t>X-8134</t>
  </si>
  <si>
    <t>Suma de Dosis</t>
  </si>
  <si>
    <t>(en blanco)</t>
  </si>
  <si>
    <t>Cïa</t>
  </si>
  <si>
    <t>Dosis</t>
  </si>
  <si>
    <t>Numero</t>
  </si>
  <si>
    <t>Nombre comercial</t>
  </si>
  <si>
    <t>clarifante</t>
  </si>
  <si>
    <t>Cortron RN-470</t>
  </si>
  <si>
    <t>Cortron R-2533</t>
  </si>
  <si>
    <t>Biomate San 94945</t>
  </si>
  <si>
    <t>BREAXIT LA3147A</t>
  </si>
  <si>
    <t>Desmulsionante</t>
  </si>
  <si>
    <t>Emulsotron X-8131</t>
  </si>
  <si>
    <t>Emulsotron X-8134</t>
  </si>
  <si>
    <t>Captron 75</t>
  </si>
  <si>
    <t>Gyptron TA-70</t>
  </si>
  <si>
    <t>CORTRON R2533</t>
  </si>
  <si>
    <t>BREAXIT EC6129A</t>
  </si>
  <si>
    <t>DVE4O008</t>
  </si>
  <si>
    <t>antiespumante</t>
  </si>
  <si>
    <t>Gyptron T-416</t>
  </si>
  <si>
    <t>Inhibidor de Parafinas y Asffaltenos</t>
  </si>
  <si>
    <t>Surfatron DN-155</t>
  </si>
  <si>
    <t>BREAXIT EC2434A</t>
  </si>
  <si>
    <t>Cortron RU-312</t>
  </si>
  <si>
    <t>BIOMATE SAN9494</t>
  </si>
  <si>
    <t>ENDCOR OCC9783</t>
  </si>
  <si>
    <t>Ruptor emulsiones</t>
  </si>
  <si>
    <t>KLEEN SC9562</t>
  </si>
  <si>
    <t>EC3156A</t>
  </si>
  <si>
    <t>Reductor de viscosidad</t>
  </si>
  <si>
    <t>BIOMATE SAN9495</t>
  </si>
  <si>
    <t>EMBR 12601A</t>
  </si>
  <si>
    <t>EMBR 145112A</t>
  </si>
  <si>
    <t>EMULSOTRON X8131</t>
  </si>
  <si>
    <t>EMULSOTRON X8134</t>
  </si>
  <si>
    <t>EXP3417</t>
  </si>
  <si>
    <t>Kleen sc 9562</t>
  </si>
  <si>
    <t>Mejorador de flujo</t>
  </si>
  <si>
    <t>Biocida circuito enfriamiento</t>
  </si>
  <si>
    <t>Prosolv 8283</t>
  </si>
  <si>
    <t>agua caldera</t>
  </si>
  <si>
    <t>Clase de Condición</t>
  </si>
  <si>
    <t>Tabla</t>
  </si>
  <si>
    <t>Organización de Ventas</t>
  </si>
  <si>
    <t>Canal</t>
  </si>
  <si>
    <t>Sector</t>
  </si>
  <si>
    <t>Moneda del Documento</t>
  </si>
  <si>
    <t>Nro. de Contrato</t>
  </si>
  <si>
    <t>Material</t>
  </si>
  <si>
    <t>Moneda Condición</t>
  </si>
  <si>
    <t>Unidad Medida</t>
  </si>
  <si>
    <t>Inicio Validez</t>
  </si>
  <si>
    <t>Fin Validez</t>
  </si>
  <si>
    <t>USD/litro</t>
  </si>
  <si>
    <t>PR00</t>
  </si>
  <si>
    <t>AR20</t>
  </si>
  <si>
    <t>USD</t>
  </si>
  <si>
    <t>tam</t>
  </si>
  <si>
    <t>01.01.2023</t>
  </si>
  <si>
    <t>31.12.2023</t>
  </si>
  <si>
    <t>ABC11CT</t>
  </si>
  <si>
    <t>lt</t>
  </si>
  <si>
    <t>ABC19</t>
  </si>
  <si>
    <t>ABC19CT</t>
  </si>
  <si>
    <t>ABC33</t>
  </si>
  <si>
    <t>ABC33CT</t>
  </si>
  <si>
    <t>ABC42</t>
  </si>
  <si>
    <t>ABC42CT</t>
  </si>
  <si>
    <t>BHI50</t>
  </si>
  <si>
    <t>BHI50CT</t>
  </si>
  <si>
    <t>BHI58</t>
  </si>
  <si>
    <t>BHI58CT</t>
  </si>
  <si>
    <t>BHI7030</t>
  </si>
  <si>
    <t>BHI7030CT</t>
  </si>
  <si>
    <t>BHI7038</t>
  </si>
  <si>
    <t>BHI7038CT</t>
  </si>
  <si>
    <t>BSH300</t>
  </si>
  <si>
    <t>BSH300CT</t>
  </si>
  <si>
    <t>BSH506</t>
  </si>
  <si>
    <t>BSH506CT</t>
  </si>
  <si>
    <t>BX158</t>
  </si>
  <si>
    <t>BX158CT</t>
  </si>
  <si>
    <t>BX237</t>
  </si>
  <si>
    <t>BX237CT</t>
  </si>
  <si>
    <t>BX256CT</t>
  </si>
  <si>
    <t>BX264</t>
  </si>
  <si>
    <t>BX264CT</t>
  </si>
  <si>
    <t>BX707CT</t>
  </si>
  <si>
    <t>BX715</t>
  </si>
  <si>
    <t>BX715CT</t>
  </si>
  <si>
    <t>BX910</t>
  </si>
  <si>
    <t>BX927</t>
  </si>
  <si>
    <t>BX927CT</t>
  </si>
  <si>
    <t>BX950</t>
  </si>
  <si>
    <t>BX950CT</t>
  </si>
  <si>
    <t>BX958</t>
  </si>
  <si>
    <t>BX958CT</t>
  </si>
  <si>
    <t>BX960CT</t>
  </si>
  <si>
    <t>BX968</t>
  </si>
  <si>
    <t>BX968CT</t>
  </si>
  <si>
    <t>BXC3209CT</t>
  </si>
  <si>
    <t>BXC3270</t>
  </si>
  <si>
    <t>BXC3270CT</t>
  </si>
  <si>
    <t>BXC3278</t>
  </si>
  <si>
    <t>BXC3278CT</t>
  </si>
  <si>
    <t>CY20WCT</t>
  </si>
  <si>
    <t>CY28W</t>
  </si>
  <si>
    <t>CY28WCT</t>
  </si>
  <si>
    <t>CY51W</t>
  </si>
  <si>
    <t>CY51WCT</t>
  </si>
  <si>
    <t>CY59W</t>
  </si>
  <si>
    <t>CY59WCT</t>
  </si>
  <si>
    <t>CY802</t>
  </si>
  <si>
    <t>CYB589</t>
  </si>
  <si>
    <t>CYB589CT</t>
  </si>
  <si>
    <t>CYB598</t>
  </si>
  <si>
    <t>CYB598CT</t>
  </si>
  <si>
    <t>CYB816</t>
  </si>
  <si>
    <t>CYB816CT</t>
  </si>
  <si>
    <t>DBC3158CT</t>
  </si>
  <si>
    <t>DBC3513</t>
  </si>
  <si>
    <t>DBC3513CT</t>
  </si>
  <si>
    <t>DBC4039CT</t>
  </si>
  <si>
    <t>DBC4077</t>
  </si>
  <si>
    <t>DBC4077CT</t>
  </si>
  <si>
    <t>DBC4352SP</t>
  </si>
  <si>
    <t>DBC4352SPCT</t>
  </si>
  <si>
    <t>DBC4614</t>
  </si>
  <si>
    <t>DBC4614CT</t>
  </si>
  <si>
    <t>DBC4641</t>
  </si>
  <si>
    <t>DBC4641CT</t>
  </si>
  <si>
    <t>DBC4651</t>
  </si>
  <si>
    <t>DBC4651CT</t>
  </si>
  <si>
    <t>DBC4655</t>
  </si>
  <si>
    <t>DBC4655CT</t>
  </si>
  <si>
    <t>DBC4879</t>
  </si>
  <si>
    <t>DBC4886</t>
  </si>
  <si>
    <t>DBC4886CT</t>
  </si>
  <si>
    <t>DBC4893CT</t>
  </si>
  <si>
    <t>DBC4896</t>
  </si>
  <si>
    <t>DBC4896CT</t>
  </si>
  <si>
    <t>DBC4928CT</t>
  </si>
  <si>
    <t>DBC4960</t>
  </si>
  <si>
    <t>DBC4960CT</t>
  </si>
  <si>
    <t>DBC5039</t>
  </si>
  <si>
    <t>DBC5039CT</t>
  </si>
  <si>
    <t>DPB350CT</t>
  </si>
  <si>
    <t>DPB358</t>
  </si>
  <si>
    <t>DPB358CT</t>
  </si>
  <si>
    <t>DPB55</t>
  </si>
  <si>
    <t>DPB55CT</t>
  </si>
  <si>
    <t>DPB58</t>
  </si>
  <si>
    <t>DPB58CT</t>
  </si>
  <si>
    <t>DPB60</t>
  </si>
  <si>
    <t>DPB60CT</t>
  </si>
  <si>
    <t>DPB63</t>
  </si>
  <si>
    <t>DPB63CT</t>
  </si>
  <si>
    <t>DPB66</t>
  </si>
  <si>
    <t>DPB66CT</t>
  </si>
  <si>
    <t>DS100</t>
  </si>
  <si>
    <t>DS100CT</t>
  </si>
  <si>
    <t>DS92</t>
  </si>
  <si>
    <t>DS92CT</t>
  </si>
  <si>
    <t>ESB310</t>
  </si>
  <si>
    <t>ESB608</t>
  </si>
  <si>
    <t>ESB9862</t>
  </si>
  <si>
    <t>ESB9862CT</t>
  </si>
  <si>
    <t>FBS1409CT</t>
  </si>
  <si>
    <t>FBS1747CT</t>
  </si>
  <si>
    <t>FBS2008CT</t>
  </si>
  <si>
    <t>FBS2021</t>
  </si>
  <si>
    <t>FBS2021CT</t>
  </si>
  <si>
    <t>FBS2844</t>
  </si>
  <si>
    <t>FBS2844CT</t>
  </si>
  <si>
    <t>FBS2990</t>
  </si>
  <si>
    <t>FBS2990CT</t>
  </si>
  <si>
    <t>FBS3511</t>
  </si>
  <si>
    <t>FBS3511CT</t>
  </si>
  <si>
    <t>FBS4500</t>
  </si>
  <si>
    <t>FBS4500CT</t>
  </si>
  <si>
    <t>FBS4517</t>
  </si>
  <si>
    <t>FBS4517CT</t>
  </si>
  <si>
    <t>FBS4711</t>
  </si>
  <si>
    <t>FBS4711CT</t>
  </si>
  <si>
    <t>FBS5609CT</t>
  </si>
  <si>
    <t>FBS7614</t>
  </si>
  <si>
    <t>FBS7614CT</t>
  </si>
  <si>
    <t>FBS9558CT</t>
  </si>
  <si>
    <t>IC5087ACT</t>
  </si>
  <si>
    <t>IC5091CT</t>
  </si>
  <si>
    <t>IC5098</t>
  </si>
  <si>
    <t>IC5098CT</t>
  </si>
  <si>
    <t>IC5099</t>
  </si>
  <si>
    <t>IC5099CT</t>
  </si>
  <si>
    <t>IC5400</t>
  </si>
  <si>
    <t>IC5400CT</t>
  </si>
  <si>
    <t>IC5408</t>
  </si>
  <si>
    <t>IC5408CT</t>
  </si>
  <si>
    <t>IC7001</t>
  </si>
  <si>
    <t>IC7001CT</t>
  </si>
  <si>
    <t>IC896</t>
  </si>
  <si>
    <t>IC896CT</t>
  </si>
  <si>
    <t>IC898CT</t>
  </si>
  <si>
    <t>IC904</t>
  </si>
  <si>
    <t>IC904CT</t>
  </si>
  <si>
    <t>IC906</t>
  </si>
  <si>
    <t>IC906CT</t>
  </si>
  <si>
    <t>IC962</t>
  </si>
  <si>
    <t>IC962CT</t>
  </si>
  <si>
    <t>ICS400</t>
  </si>
  <si>
    <t>ICS400CT</t>
  </si>
  <si>
    <t>ICS408</t>
  </si>
  <si>
    <t>ICS408CT</t>
  </si>
  <si>
    <t>IPB279</t>
  </si>
  <si>
    <t>IPB279CT</t>
  </si>
  <si>
    <t>IPB530CT</t>
  </si>
  <si>
    <t>IPB60</t>
  </si>
  <si>
    <t>IPB60CT</t>
  </si>
  <si>
    <t>IPB6256</t>
  </si>
  <si>
    <t>IPB6256CT</t>
  </si>
  <si>
    <t>IPB6264</t>
  </si>
  <si>
    <t>IPB6264CT</t>
  </si>
  <si>
    <t>IPB651</t>
  </si>
  <si>
    <t>IPB650CT</t>
  </si>
  <si>
    <t>IPB651CT</t>
  </si>
  <si>
    <t>IPB68</t>
  </si>
  <si>
    <t>IPB658CT</t>
  </si>
  <si>
    <t>IPB71</t>
  </si>
  <si>
    <t>IPB68CT</t>
  </si>
  <si>
    <t>IPB79</t>
  </si>
  <si>
    <t>IPB71CT</t>
  </si>
  <si>
    <t>IPB895</t>
  </si>
  <si>
    <t>IPB79CT</t>
  </si>
  <si>
    <t>IPB895CT</t>
  </si>
  <si>
    <t>KPF15</t>
  </si>
  <si>
    <t>KPF15CT</t>
  </si>
  <si>
    <t>NOVOC DS3500</t>
  </si>
  <si>
    <t>NOVOC DS3500CT</t>
  </si>
  <si>
    <t>NOVOC DS3508</t>
  </si>
  <si>
    <t>NOVOC DS3508CT</t>
  </si>
  <si>
    <t>NX Duracaps CI</t>
  </si>
  <si>
    <t>NX Duracaps SI</t>
  </si>
  <si>
    <t>RFB1200</t>
  </si>
  <si>
    <t>RFB1200CT</t>
  </si>
  <si>
    <t>RFB1268</t>
  </si>
  <si>
    <t>RFB1268CT</t>
  </si>
  <si>
    <t>RFB1400</t>
  </si>
  <si>
    <t>RFB1400CT</t>
  </si>
  <si>
    <t>RFB1408</t>
  </si>
  <si>
    <t>RFB1408CT</t>
  </si>
  <si>
    <t>RFB200CT</t>
  </si>
  <si>
    <t>RFB208</t>
  </si>
  <si>
    <t>RFB208CT</t>
  </si>
  <si>
    <t>RFB650</t>
  </si>
  <si>
    <t>RFB650CT</t>
  </si>
  <si>
    <t>RFB659</t>
  </si>
  <si>
    <t>RFB659CT</t>
  </si>
  <si>
    <t>RFB671</t>
  </si>
  <si>
    <t>RFB671CT</t>
  </si>
  <si>
    <t>RFB679</t>
  </si>
  <si>
    <t>RFB679CT</t>
  </si>
  <si>
    <t>RFB700</t>
  </si>
  <si>
    <t>RFB700CT</t>
  </si>
  <si>
    <t>RFB702</t>
  </si>
  <si>
    <t>RFB702CT</t>
  </si>
  <si>
    <t>RFB708</t>
  </si>
  <si>
    <t>RFB708CT</t>
  </si>
  <si>
    <t>RFB790</t>
  </si>
  <si>
    <t>RFB790CT</t>
  </si>
  <si>
    <t>RFB791</t>
  </si>
  <si>
    <t>RFB791CT</t>
  </si>
  <si>
    <t>RFB801</t>
  </si>
  <si>
    <t>RFB801CT</t>
  </si>
  <si>
    <t>RT102</t>
  </si>
  <si>
    <t>RT102CT</t>
  </si>
  <si>
    <t>RT15</t>
  </si>
  <si>
    <t>RT150</t>
  </si>
  <si>
    <t>RT150CT</t>
  </si>
  <si>
    <t>RT155</t>
  </si>
  <si>
    <t>RT155CT</t>
  </si>
  <si>
    <t>RT15CT</t>
  </si>
  <si>
    <t>RT20CT</t>
  </si>
  <si>
    <t>RT34</t>
  </si>
  <si>
    <t>RT34CT</t>
  </si>
  <si>
    <t>RT518</t>
  </si>
  <si>
    <t>RT518CT</t>
  </si>
  <si>
    <t>RT566</t>
  </si>
  <si>
    <t>RT566CT</t>
  </si>
  <si>
    <t>RT638</t>
  </si>
  <si>
    <t>RT638CT</t>
  </si>
  <si>
    <t>RT729</t>
  </si>
  <si>
    <t>RT729CT</t>
  </si>
  <si>
    <t>RT760</t>
  </si>
  <si>
    <t>RT760CT</t>
  </si>
  <si>
    <t>RT903SP</t>
  </si>
  <si>
    <t>RT903SPCT</t>
  </si>
  <si>
    <t>SB21</t>
  </si>
  <si>
    <t>SB21CT</t>
  </si>
  <si>
    <t>SO4353</t>
  </si>
  <si>
    <t>SPBC38CT</t>
  </si>
  <si>
    <t>Yacimiento</t>
  </si>
  <si>
    <r>
      <t xml:space="preserve">Personal </t>
    </r>
    <r>
      <rPr>
        <b/>
        <sz val="11"/>
        <color rgb="FFFF0000"/>
        <rFont val="Calibri"/>
        <family val="2"/>
        <scheme val="minor"/>
      </rPr>
      <t>(sin considerar un RT)</t>
    </r>
  </si>
  <si>
    <r>
      <t xml:space="preserve">Camiones </t>
    </r>
    <r>
      <rPr>
        <b/>
        <sz val="11"/>
        <color rgb="FFFF0000"/>
        <rFont val="Calibri"/>
        <family val="2"/>
        <scheme val="minor"/>
      </rPr>
      <t>(dotación mínima)</t>
    </r>
  </si>
  <si>
    <r>
      <t>Personal</t>
    </r>
    <r>
      <rPr>
        <b/>
        <sz val="11"/>
        <color rgb="FFFF0000"/>
        <rFont val="Calibri"/>
        <family val="2"/>
        <scheme val="minor"/>
      </rPr>
      <t xml:space="preserve"> (sin considerar un RT)</t>
    </r>
  </si>
  <si>
    <t>Agua</t>
  </si>
  <si>
    <t>Petróleo</t>
  </si>
  <si>
    <t>Agua + Petróleo</t>
  </si>
  <si>
    <t xml:space="preserve">Barrancas </t>
  </si>
  <si>
    <t xml:space="preserve">Nota: considerar en todos los casos un porcentaje de afectación del personal de seguridad. </t>
  </si>
  <si>
    <t>Total personal afectado a Mendoza (Dato de YPF)</t>
  </si>
  <si>
    <t>Personas en campo</t>
  </si>
  <si>
    <t>Afectación</t>
  </si>
  <si>
    <t>Pecom</t>
  </si>
  <si>
    <t>Champion Mza Norte</t>
  </si>
  <si>
    <t>Champion Malargüe</t>
  </si>
  <si>
    <t>Baker</t>
  </si>
  <si>
    <t>Básico agua</t>
  </si>
  <si>
    <t>chofer</t>
  </si>
  <si>
    <t>recorredor</t>
  </si>
  <si>
    <t>laboratorista</t>
  </si>
  <si>
    <t>Básico petróleo</t>
  </si>
  <si>
    <t xml:space="preserve">Laboratorio - seguimiento pulling </t>
  </si>
  <si>
    <t>Flete</t>
  </si>
  <si>
    <t>Desemul</t>
  </si>
  <si>
    <t>Precio por litro</t>
  </si>
  <si>
    <t>DBM</t>
  </si>
  <si>
    <t>Precio mínimo</t>
  </si>
  <si>
    <t>Ocpiones para DBM4080A</t>
  </si>
  <si>
    <t>RT160(DBM4002</t>
  </si>
  <si>
    <t>Opciones para DBM3075 y 2840</t>
  </si>
  <si>
    <t>Rubro</t>
  </si>
  <si>
    <t xml:space="preserve">Indicador </t>
  </si>
  <si>
    <t>Incidencia</t>
  </si>
  <si>
    <t>MO</t>
  </si>
  <si>
    <t>Paritaria homologada o CVS</t>
  </si>
  <si>
    <t>Fecha</t>
  </si>
  <si>
    <t>MO Lujan</t>
  </si>
  <si>
    <t>Combustibles y Lubricantes</t>
  </si>
  <si>
    <t>GO2 Sec. Energía</t>
  </si>
  <si>
    <t>Misceláneos</t>
  </si>
  <si>
    <t>IPIM NG</t>
  </si>
  <si>
    <t>Ajuste MENSUAL automático, sin gatillo.</t>
  </si>
  <si>
    <t>Valor</t>
  </si>
  <si>
    <t>% cambio</t>
  </si>
  <si>
    <t>Cambio Total</t>
  </si>
  <si>
    <t>GO gr2 al público Mza</t>
  </si>
  <si>
    <t>Valor (n-2)</t>
  </si>
  <si>
    <t>IPIM (n-2)</t>
  </si>
  <si>
    <t>Aumento Completo</t>
  </si>
  <si>
    <t>FA vieja</t>
  </si>
  <si>
    <t>FIJO</t>
  </si>
  <si>
    <t>Impacta al resto</t>
  </si>
  <si>
    <t>MO*</t>
  </si>
  <si>
    <t>COMB Y LUB</t>
  </si>
  <si>
    <t>INSUMOS</t>
  </si>
  <si>
    <t>Aumento completo</t>
  </si>
  <si>
    <t>Total Otros costos</t>
  </si>
  <si>
    <t>Total Indirectos</t>
  </si>
  <si>
    <t>Optimización Batch</t>
  </si>
  <si>
    <t>Punto con Batch</t>
  </si>
  <si>
    <t>Puntos con doble tratamiento</t>
  </si>
  <si>
    <t>Propuesta PECOM</t>
  </si>
  <si>
    <t>BATCFT02</t>
  </si>
  <si>
    <t>BATERIA</t>
  </si>
  <si>
    <t>EMPALME LCA1</t>
  </si>
  <si>
    <t>EMPALME MDM</t>
  </si>
  <si>
    <t>ALAT 4</t>
  </si>
  <si>
    <t>ALAT-3(D)</t>
  </si>
  <si>
    <t>CF-264(d)[00]a</t>
  </si>
  <si>
    <t>NCF-0030</t>
  </si>
  <si>
    <t>NCF-0032</t>
  </si>
  <si>
    <t>NCF-0052</t>
  </si>
  <si>
    <t>NCF-0076</t>
  </si>
  <si>
    <t>NCF-0089</t>
  </si>
  <si>
    <t>NCF-0112</t>
  </si>
  <si>
    <t>NCF-0134</t>
  </si>
  <si>
    <t>NCF-0142</t>
  </si>
  <si>
    <t>NCF-0162</t>
  </si>
  <si>
    <t>NCF-0169</t>
  </si>
  <si>
    <t>NCF-0172</t>
  </si>
  <si>
    <t>NCF-0177</t>
  </si>
  <si>
    <t>NCF-0182</t>
  </si>
  <si>
    <t>NCF-0190</t>
  </si>
  <si>
    <t>NCF-0194</t>
  </si>
  <si>
    <t>NCF-0256</t>
  </si>
  <si>
    <t>PILETA API</t>
  </si>
  <si>
    <t>TK C001</t>
  </si>
  <si>
    <t>NCF-0196</t>
  </si>
  <si>
    <t>NLA.a-0015</t>
  </si>
  <si>
    <t>NCF.a-0047</t>
  </si>
  <si>
    <t>NCF-0119</t>
  </si>
  <si>
    <t>NCF-0121(I)</t>
  </si>
  <si>
    <t>NCF-0136</t>
  </si>
  <si>
    <t>NCF-0174</t>
  </si>
  <si>
    <t>NCF-0175</t>
  </si>
  <si>
    <t>NCF-0201</t>
  </si>
  <si>
    <t>NCF-0202</t>
  </si>
  <si>
    <t>NCF-0204</t>
  </si>
  <si>
    <t>NCF-0207</t>
  </si>
  <si>
    <t>NCF-0213</t>
  </si>
  <si>
    <t>NCF-0215</t>
  </si>
  <si>
    <t>NCF-0216</t>
  </si>
  <si>
    <t>NCF-0224</t>
  </si>
  <si>
    <t>NCF-0228</t>
  </si>
  <si>
    <t>NLL-2018</t>
  </si>
  <si>
    <t>NPP-0006</t>
  </si>
  <si>
    <t>NPP-0026</t>
  </si>
  <si>
    <t>NPP-0033</t>
  </si>
  <si>
    <t>NCD-0016</t>
  </si>
  <si>
    <t>NCF-0137</t>
  </si>
  <si>
    <t>NPP-0053</t>
  </si>
  <si>
    <t>Reducción estimada en servicio de batch</t>
  </si>
  <si>
    <t>Activo</t>
  </si>
  <si>
    <t>Tratamiento</t>
  </si>
  <si>
    <t xml:space="preserve">Punto dosificación </t>
  </si>
  <si>
    <t>Suma de TIPO TRATAMIENTO BACHEO</t>
  </si>
  <si>
    <t xml:space="preserve">Suma de Consumo REAL (l/mes) </t>
  </si>
  <si>
    <t>PQ INHIB.CORR._  </t>
  </si>
  <si>
    <t>B- 78</t>
  </si>
  <si>
    <t>PQ INHIB.CORR._ </t>
  </si>
  <si>
    <t>CD.a-024</t>
  </si>
  <si>
    <t>BIOCIDA</t>
  </si>
  <si>
    <t>B.a-0229</t>
  </si>
  <si>
    <t>CD-022</t>
  </si>
  <si>
    <t>CD-027</t>
  </si>
  <si>
    <t>B-0010</t>
  </si>
  <si>
    <t>CD-035</t>
  </si>
  <si>
    <t>CD-072</t>
  </si>
  <si>
    <t>B-0013</t>
  </si>
  <si>
    <t>CD-085</t>
  </si>
  <si>
    <t>CD-090</t>
  </si>
  <si>
    <t>B-0019</t>
  </si>
  <si>
    <t>CD-71</t>
  </si>
  <si>
    <t>PQ RUPT.EMULS._ </t>
  </si>
  <si>
    <t>PQ DISPER.PARAF.ASFALT._  </t>
  </si>
  <si>
    <t>Ce.a-0007</t>
  </si>
  <si>
    <t>B-0027</t>
  </si>
  <si>
    <t>Ce-0010</t>
  </si>
  <si>
    <t>B-0033(i)</t>
  </si>
  <si>
    <t>Ce-0011</t>
  </si>
  <si>
    <t>B-0097</t>
  </si>
  <si>
    <t>Ce-002</t>
  </si>
  <si>
    <t>B-0128</t>
  </si>
  <si>
    <t>Gbb-011</t>
  </si>
  <si>
    <t>PQ BIOC._ </t>
  </si>
  <si>
    <t>Gbb-020</t>
  </si>
  <si>
    <t>B-0129</t>
  </si>
  <si>
    <t>LJ-014</t>
  </si>
  <si>
    <t>LJX-1</t>
  </si>
  <si>
    <t>B-0131</t>
  </si>
  <si>
    <t>LV-011</t>
  </si>
  <si>
    <t>B-0144(i)</t>
  </si>
  <si>
    <t>PQ DISPER.PARAF.ASFALT</t>
  </si>
  <si>
    <t>LV-013</t>
  </si>
  <si>
    <t>PQ SURF._</t>
  </si>
  <si>
    <t>LV-018</t>
  </si>
  <si>
    <t>B-0175</t>
  </si>
  <si>
    <t>LV-019</t>
  </si>
  <si>
    <t>B-0197</t>
  </si>
  <si>
    <t>LV-021</t>
  </si>
  <si>
    <t>Lv-026</t>
  </si>
  <si>
    <t>B-0216(i)</t>
  </si>
  <si>
    <t>LV-060</t>
  </si>
  <si>
    <t>B-0219</t>
  </si>
  <si>
    <t>LV-071</t>
  </si>
  <si>
    <t>B-0245</t>
  </si>
  <si>
    <t>B-0294</t>
  </si>
  <si>
    <t>Lv-096</t>
  </si>
  <si>
    <t>B-0296</t>
  </si>
  <si>
    <t>LV-097</t>
  </si>
  <si>
    <t>B-0301</t>
  </si>
  <si>
    <t>LVN-003</t>
  </si>
  <si>
    <t>B-031</t>
  </si>
  <si>
    <t>PQ SURF._ </t>
  </si>
  <si>
    <t>PB-006</t>
  </si>
  <si>
    <t>PB-022</t>
  </si>
  <si>
    <t>B-0318</t>
  </si>
  <si>
    <t>PQ DISPER.PARAF.</t>
  </si>
  <si>
    <t>PB-108(I)</t>
  </si>
  <si>
    <t>B-0324</t>
  </si>
  <si>
    <t>PB-116</t>
  </si>
  <si>
    <t>B-0336</t>
  </si>
  <si>
    <t>PQ INHIB.INCRUST.</t>
  </si>
  <si>
    <t>PB-129</t>
  </si>
  <si>
    <t>B-0337</t>
  </si>
  <si>
    <t>B-0367</t>
  </si>
  <si>
    <t>PB-162</t>
  </si>
  <si>
    <t>PB-190</t>
  </si>
  <si>
    <t>B-0371</t>
  </si>
  <si>
    <t>PB-194</t>
  </si>
  <si>
    <t>B-0378</t>
  </si>
  <si>
    <t>PB-199</t>
  </si>
  <si>
    <t>B-0393</t>
  </si>
  <si>
    <t>PB-208</t>
  </si>
  <si>
    <t>PB-215</t>
  </si>
  <si>
    <t>B-0406</t>
  </si>
  <si>
    <t>PB-220</t>
  </si>
  <si>
    <t>PB-221</t>
  </si>
  <si>
    <t>B-0407</t>
  </si>
  <si>
    <t>PB-33</t>
  </si>
  <si>
    <t>B-0442</t>
  </si>
  <si>
    <t>RT-013</t>
  </si>
  <si>
    <t>B-0443</t>
  </si>
  <si>
    <t>RV-007</t>
  </si>
  <si>
    <t>Rv-031</t>
  </si>
  <si>
    <t>B-0449</t>
  </si>
  <si>
    <t>RV-034</t>
  </si>
  <si>
    <t>B-0453</t>
  </si>
  <si>
    <t>Vi.a-1059</t>
  </si>
  <si>
    <t>VI-006</t>
  </si>
  <si>
    <t>B-0454</t>
  </si>
  <si>
    <t>VI-0099</t>
  </si>
  <si>
    <t>VI-011</t>
  </si>
  <si>
    <t>Vi-013</t>
  </si>
  <si>
    <t>B-0459</t>
  </si>
  <si>
    <t>Vi-023</t>
  </si>
  <si>
    <t>Vi-026</t>
  </si>
  <si>
    <t>B-0460</t>
  </si>
  <si>
    <t>VI-034</t>
  </si>
  <si>
    <t>B-0462</t>
  </si>
  <si>
    <t>VI-039</t>
  </si>
  <si>
    <t>B-0464</t>
  </si>
  <si>
    <t>PQ BIOC._  </t>
  </si>
  <si>
    <t>VI-041</t>
  </si>
  <si>
    <t>B-0470</t>
  </si>
  <si>
    <t>B-0471</t>
  </si>
  <si>
    <t>VI-044</t>
  </si>
  <si>
    <t>VI-049</t>
  </si>
  <si>
    <t>B-0476</t>
  </si>
  <si>
    <t>Vi-050</t>
  </si>
  <si>
    <t>VI-051</t>
  </si>
  <si>
    <t>B-0485</t>
  </si>
  <si>
    <t>Vi-052</t>
  </si>
  <si>
    <t>Vi-057</t>
  </si>
  <si>
    <t>Vi-058</t>
  </si>
  <si>
    <t>Vi-063</t>
  </si>
  <si>
    <t>B-0491</t>
  </si>
  <si>
    <t>Vi-072</t>
  </si>
  <si>
    <t>PQ RUPT.EMULS._</t>
  </si>
  <si>
    <t>Vi-078</t>
  </si>
  <si>
    <t>B-0493</t>
  </si>
  <si>
    <t>Vi-10(I)[00]a</t>
  </si>
  <si>
    <t>VI-100</t>
  </si>
  <si>
    <t>B-0518</t>
  </si>
  <si>
    <t>VI-1007</t>
  </si>
  <si>
    <t>VI-1009</t>
  </si>
  <si>
    <t>B-0520</t>
  </si>
  <si>
    <t>VI-101</t>
  </si>
  <si>
    <t>VI-1013</t>
  </si>
  <si>
    <t>B-098</t>
  </si>
  <si>
    <t>VI-1016</t>
  </si>
  <si>
    <t>B-208(i)</t>
  </si>
  <si>
    <t>VI-1021</t>
  </si>
  <si>
    <t>VI-1022</t>
  </si>
  <si>
    <t>B-359</t>
  </si>
  <si>
    <t>VI-1027</t>
  </si>
  <si>
    <t>B-368</t>
  </si>
  <si>
    <t>Vi-1031</t>
  </si>
  <si>
    <t>B-384</t>
  </si>
  <si>
    <t>VI-1033</t>
  </si>
  <si>
    <t>VI-1039</t>
  </si>
  <si>
    <t>B-386</t>
  </si>
  <si>
    <t>Vi-1043</t>
  </si>
  <si>
    <t>B-392</t>
  </si>
  <si>
    <t>Vi-1044</t>
  </si>
  <si>
    <t>Vi-1046</t>
  </si>
  <si>
    <t>B-465</t>
  </si>
  <si>
    <t>Vi-1049</t>
  </si>
  <si>
    <t>B-490</t>
  </si>
  <si>
    <t>Vi-1050</t>
  </si>
  <si>
    <t>B-495</t>
  </si>
  <si>
    <t>Vi-1057</t>
  </si>
  <si>
    <t>B-501</t>
  </si>
  <si>
    <t>VI-1058</t>
  </si>
  <si>
    <t>VI-106</t>
  </si>
  <si>
    <t>Vi-1060</t>
  </si>
  <si>
    <t>B-512</t>
  </si>
  <si>
    <t>VI-1061</t>
  </si>
  <si>
    <t>Vi-1065</t>
  </si>
  <si>
    <t>B-516</t>
  </si>
  <si>
    <t>Vi-1066</t>
  </si>
  <si>
    <t>Vi-1067</t>
  </si>
  <si>
    <t>Vi-107(I)</t>
  </si>
  <si>
    <t>B-517</t>
  </si>
  <si>
    <t>VI-1076</t>
  </si>
  <si>
    <t>VI-1078</t>
  </si>
  <si>
    <t>B-523</t>
  </si>
  <si>
    <t>VI-1079</t>
  </si>
  <si>
    <t>VI-1082</t>
  </si>
  <si>
    <t>B-527</t>
  </si>
  <si>
    <t>Vi-1084</t>
  </si>
  <si>
    <t>VI-1086</t>
  </si>
  <si>
    <t>Vi-1099</t>
  </si>
  <si>
    <t>B-528</t>
  </si>
  <si>
    <t>VI-110</t>
  </si>
  <si>
    <t>B-541</t>
  </si>
  <si>
    <t>VI-1131</t>
  </si>
  <si>
    <t>VI-1133</t>
  </si>
  <si>
    <t>Vi-1135</t>
  </si>
  <si>
    <t>B-542</t>
  </si>
  <si>
    <t>VI-114</t>
  </si>
  <si>
    <t>Vi-1147(d)</t>
  </si>
  <si>
    <t>VI-1148(d)</t>
  </si>
  <si>
    <t>VI-118</t>
  </si>
  <si>
    <t>B-550</t>
  </si>
  <si>
    <t>VI-120</t>
  </si>
  <si>
    <t>VI-121</t>
  </si>
  <si>
    <t>VI-122</t>
  </si>
  <si>
    <t>B-551</t>
  </si>
  <si>
    <t>VI-124</t>
  </si>
  <si>
    <t>VI-135</t>
  </si>
  <si>
    <t>B-553</t>
  </si>
  <si>
    <t>VI-136</t>
  </si>
  <si>
    <t>B-584</t>
  </si>
  <si>
    <t>Vi-137</t>
  </si>
  <si>
    <t>B-589</t>
  </si>
  <si>
    <t>VI-150</t>
  </si>
  <si>
    <t>BS.x-0001</t>
  </si>
  <si>
    <t>VI-158</t>
  </si>
  <si>
    <t>Vi-159</t>
  </si>
  <si>
    <t>Bs-005</t>
  </si>
  <si>
    <t>VI-161</t>
  </si>
  <si>
    <t>Vi-166</t>
  </si>
  <si>
    <t>ECP.a-0007</t>
  </si>
  <si>
    <t>ECP-0020</t>
  </si>
  <si>
    <t>VI-167</t>
  </si>
  <si>
    <t>ECP-0023</t>
  </si>
  <si>
    <t>VI-172</t>
  </si>
  <si>
    <t>VI-181</t>
  </si>
  <si>
    <t>VI-185</t>
  </si>
  <si>
    <t>ECP-0026</t>
  </si>
  <si>
    <t>VI-189</t>
  </si>
  <si>
    <t>VI-190</t>
  </si>
  <si>
    <t>ECP-0039</t>
  </si>
  <si>
    <t>Vi-200</t>
  </si>
  <si>
    <t>VI-205</t>
  </si>
  <si>
    <t>VI-214</t>
  </si>
  <si>
    <t>VI-217</t>
  </si>
  <si>
    <t>ECP-0046</t>
  </si>
  <si>
    <t>VI-221</t>
  </si>
  <si>
    <t>ECP-0052(i)</t>
  </si>
  <si>
    <t>Vi-223</t>
  </si>
  <si>
    <t>Vi-224</t>
  </si>
  <si>
    <t>VI-225</t>
  </si>
  <si>
    <t>ECP-0053</t>
  </si>
  <si>
    <t>VI-228</t>
  </si>
  <si>
    <t>VI-230</t>
  </si>
  <si>
    <t>ECP-0054</t>
  </si>
  <si>
    <t>VI-231</t>
  </si>
  <si>
    <t>VI-232</t>
  </si>
  <si>
    <t>ECP-0058</t>
  </si>
  <si>
    <t>Vi-236</t>
  </si>
  <si>
    <t>VI-237</t>
  </si>
  <si>
    <t>ECP-0063</t>
  </si>
  <si>
    <t>VI-239</t>
  </si>
  <si>
    <t>ECP-0066</t>
  </si>
  <si>
    <t>VI-240</t>
  </si>
  <si>
    <t>VI-241</t>
  </si>
  <si>
    <t>ECP-0071</t>
  </si>
  <si>
    <t>VI-242</t>
  </si>
  <si>
    <t>VI-243</t>
  </si>
  <si>
    <t>ECP-0073</t>
  </si>
  <si>
    <t>VI-245</t>
  </si>
  <si>
    <t>VI-246</t>
  </si>
  <si>
    <t>ECP-0076</t>
  </si>
  <si>
    <t>Vi-247</t>
  </si>
  <si>
    <t>VI-250</t>
  </si>
  <si>
    <t>VI-251</t>
  </si>
  <si>
    <t>ECP-0077</t>
  </si>
  <si>
    <t>VI-252</t>
  </si>
  <si>
    <t>ECP-0078r</t>
  </si>
  <si>
    <t>Vi-255</t>
  </si>
  <si>
    <t>VI-256</t>
  </si>
  <si>
    <t>Vi-260</t>
  </si>
  <si>
    <t>ECP-0081</t>
  </si>
  <si>
    <t>VI-261</t>
  </si>
  <si>
    <t>VI-270</t>
  </si>
  <si>
    <t>ECP-0084</t>
  </si>
  <si>
    <t>VI-271</t>
  </si>
  <si>
    <t>VI-272</t>
  </si>
  <si>
    <t>ECP-0085</t>
  </si>
  <si>
    <t>VI-275</t>
  </si>
  <si>
    <t>VI-277</t>
  </si>
  <si>
    <t>VI-278</t>
  </si>
  <si>
    <t>ECP-0087(i)</t>
  </si>
  <si>
    <t>VI-282</t>
  </si>
  <si>
    <t>ECP-0088</t>
  </si>
  <si>
    <t>Vi-283</t>
  </si>
  <si>
    <t>Vi-284</t>
  </si>
  <si>
    <t>ECP-0097</t>
  </si>
  <si>
    <t>Vi-287</t>
  </si>
  <si>
    <t>Vi-288</t>
  </si>
  <si>
    <t>ECP-024</t>
  </si>
  <si>
    <t>VIO.x-0002</t>
  </si>
  <si>
    <t>VIO-0011</t>
  </si>
  <si>
    <t>ECP-064</t>
  </si>
  <si>
    <t>ViO-012</t>
  </si>
  <si>
    <t>ECP-127</t>
  </si>
  <si>
    <t>VIO-20</t>
  </si>
  <si>
    <t>Eda TKC111</t>
  </si>
  <si>
    <t>VIO-6</t>
  </si>
  <si>
    <t>Eda TKD 118</t>
  </si>
  <si>
    <t>Vix- 3</t>
  </si>
  <si>
    <t>L-0028</t>
  </si>
  <si>
    <t>VM-035</t>
  </si>
  <si>
    <t>Vm-073</t>
  </si>
  <si>
    <t>L-0031</t>
  </si>
  <si>
    <t>VM-096</t>
  </si>
  <si>
    <t>L-0040</t>
  </si>
  <si>
    <t>VM-102</t>
  </si>
  <si>
    <t>Vm-110</t>
  </si>
  <si>
    <t>L-0041</t>
  </si>
  <si>
    <t>VM-145</t>
  </si>
  <si>
    <t>L-0042H</t>
  </si>
  <si>
    <t>VM-157</t>
  </si>
  <si>
    <t>L-35</t>
  </si>
  <si>
    <t>VM-169</t>
  </si>
  <si>
    <t>LC-0008</t>
  </si>
  <si>
    <t>VM-175</t>
  </si>
  <si>
    <t>LC-0013</t>
  </si>
  <si>
    <t>LC-0014</t>
  </si>
  <si>
    <t>VM-177</t>
  </si>
  <si>
    <t>Lc-0020</t>
  </si>
  <si>
    <t>Vm-196</t>
  </si>
  <si>
    <t>LC-0030</t>
  </si>
  <si>
    <t>VM-211</t>
  </si>
  <si>
    <t>VM-217</t>
  </si>
  <si>
    <t>VM-218</t>
  </si>
  <si>
    <t>VM-227</t>
  </si>
  <si>
    <t>LC-0032</t>
  </si>
  <si>
    <t>VM-232</t>
  </si>
  <si>
    <t>LC-0036</t>
  </si>
  <si>
    <t>LC-0037</t>
  </si>
  <si>
    <t>VM-235</t>
  </si>
  <si>
    <t>LC-0042</t>
  </si>
  <si>
    <t>VM-238</t>
  </si>
  <si>
    <t>LC-0049</t>
  </si>
  <si>
    <t>VM-253</t>
  </si>
  <si>
    <t>VM-256</t>
  </si>
  <si>
    <t>LC-0051</t>
  </si>
  <si>
    <t>VM-265</t>
  </si>
  <si>
    <t>VM-99</t>
  </si>
  <si>
    <t>LC-0081</t>
  </si>
  <si>
    <t>YPF.Md.CD.a-0094[00]a</t>
  </si>
  <si>
    <t>YPF.Md.Vi.a-1145[00]a</t>
  </si>
  <si>
    <t>LC-0099</t>
  </si>
  <si>
    <t>YPF.Md.Vi-0268(I)[00]a</t>
  </si>
  <si>
    <t>YPF.Md.Vi-1045a(h)</t>
  </si>
  <si>
    <t>LC-0109</t>
  </si>
  <si>
    <t>YPF.Md.Vi-1062</t>
  </si>
  <si>
    <t>YPF.Md.Vi-1064</t>
  </si>
  <si>
    <t>LC-0118</t>
  </si>
  <si>
    <t>YPF.Md.Vi-1097[00]a</t>
  </si>
  <si>
    <t>LC-0121H</t>
  </si>
  <si>
    <t>YPF.Md.Vi-1113[00]a</t>
  </si>
  <si>
    <t>Lc-026</t>
  </si>
  <si>
    <t>YPF.Md.Vi-1141(d)[00]a</t>
  </si>
  <si>
    <t>LC-104</t>
  </si>
  <si>
    <t>YPF.Md.Vi-1142(d)[00]a</t>
  </si>
  <si>
    <t xml:space="preserve">YPF.MD.Vi-289(I) </t>
  </si>
  <si>
    <t>LC-114</t>
  </si>
  <si>
    <t>YPF.Md.ViO.IA-0028[00]a</t>
  </si>
  <si>
    <t>YPF.Md.VM-0193(I)[00]a</t>
  </si>
  <si>
    <t>Mv-004</t>
  </si>
  <si>
    <t>MV-005</t>
  </si>
  <si>
    <t>PQ Inh Corrosión</t>
  </si>
  <si>
    <t>MV-036</t>
  </si>
  <si>
    <t>MVx-1</t>
  </si>
  <si>
    <t>Oleoducto Playa Tupungato</t>
  </si>
  <si>
    <t>U-0016</t>
  </si>
  <si>
    <t>U-0022(ii)</t>
  </si>
  <si>
    <t>PQ DISPER.PARAF.ASFALT._ </t>
  </si>
  <si>
    <t>U-0084</t>
  </si>
  <si>
    <t>U-0096</t>
  </si>
  <si>
    <t>U-0098</t>
  </si>
  <si>
    <t>U-0112</t>
  </si>
  <si>
    <t>U-0121</t>
  </si>
  <si>
    <t>U-0135</t>
  </si>
  <si>
    <t>U-015</t>
  </si>
  <si>
    <t>U-054</t>
  </si>
  <si>
    <t>U-059</t>
  </si>
  <si>
    <t>U-070</t>
  </si>
  <si>
    <t>U-111</t>
  </si>
  <si>
    <t>U-140</t>
  </si>
  <si>
    <t>U-160</t>
  </si>
  <si>
    <t>U-169</t>
  </si>
  <si>
    <t>U-174(d)[00]a</t>
  </si>
  <si>
    <t>U-175</t>
  </si>
  <si>
    <t>U-186</t>
  </si>
  <si>
    <t>Ug-028</t>
  </si>
  <si>
    <t>Ug-085</t>
  </si>
  <si>
    <t>Ug-099</t>
  </si>
  <si>
    <t>YPF.Md.B-0134(II)</t>
  </si>
  <si>
    <t>YPF.Md.B-0555[00]a</t>
  </si>
  <si>
    <t>YPF.Md.B-0556a</t>
  </si>
  <si>
    <t>YPF.Md.B-0580(d)[00]a</t>
  </si>
  <si>
    <t>YPF.Md.B-0582(d)</t>
  </si>
  <si>
    <t>YPF.Md.B-0586(d)[00]a</t>
  </si>
  <si>
    <t>YPF.Md.ECP-0056r(d)(I)</t>
  </si>
  <si>
    <t>YPF.Md.ECP-0099(d)[01]r</t>
  </si>
  <si>
    <t>YPF.Md.ECP-0100(d)[00]a</t>
  </si>
  <si>
    <t>YPF.Md.ECP-0133(d)[00]a</t>
  </si>
  <si>
    <t>37 personas contando PECOM</t>
  </si>
  <si>
    <t>Descripción</t>
  </si>
  <si>
    <t>Base</t>
  </si>
  <si>
    <t>Optimización de batch</t>
  </si>
  <si>
    <t>Optimización de consumo</t>
  </si>
  <si>
    <t>Descuento en PQ</t>
  </si>
  <si>
    <t>CP</t>
  </si>
  <si>
    <t>Dif comp.</t>
  </si>
  <si>
    <t>Dif sobre base/comp.</t>
  </si>
  <si>
    <t>SI</t>
  </si>
  <si>
    <t>Dto Scio por batch [SI/NO]</t>
  </si>
  <si>
    <t>Dto PQ [%]</t>
  </si>
  <si>
    <t>Venta Competencia</t>
  </si>
  <si>
    <t>Scio</t>
  </si>
  <si>
    <t>Dif %</t>
  </si>
  <si>
    <t>Escenario</t>
  </si>
  <si>
    <t>CP%</t>
  </si>
  <si>
    <t>NO</t>
  </si>
  <si>
    <t>Valores</t>
  </si>
  <si>
    <t>Puntos con batch</t>
  </si>
  <si>
    <t xml:space="preserve">Plan de 6 meses enfocados a la optimización de consumo de productos quimicos mas criticos en terminos de consumo/costos. </t>
  </si>
  <si>
    <t>IAB7500</t>
  </si>
  <si>
    <t>Servicio Batch</t>
  </si>
  <si>
    <t>Servicio OyM</t>
  </si>
  <si>
    <t>Producto químico</t>
  </si>
  <si>
    <t>Servicios</t>
  </si>
  <si>
    <t>no</t>
  </si>
  <si>
    <t>Optimización servicio</t>
  </si>
  <si>
    <t>Oferta Base</t>
  </si>
  <si>
    <t>Químicos</t>
  </si>
  <si>
    <t>Optimización de servicio</t>
  </si>
  <si>
    <t>18 op</t>
  </si>
  <si>
    <t>Sup Nort</t>
  </si>
  <si>
    <t>Sup Sur</t>
  </si>
  <si>
    <t>1Seguridad</t>
  </si>
  <si>
    <t>6 camiones</t>
  </si>
  <si>
    <t>Actual</t>
  </si>
  <si>
    <t>Optimizado</t>
  </si>
  <si>
    <t>Diferencia [USD]</t>
  </si>
  <si>
    <t>Recursos afectados actualmente</t>
  </si>
  <si>
    <t>Recursos</t>
  </si>
  <si>
    <t>Barrancas - Ugarteche</t>
  </si>
  <si>
    <t>La Ventana - Vizcacheras</t>
  </si>
  <si>
    <t>Común a todas las areas</t>
  </si>
  <si>
    <t>Personas (Choferes y recorredores)</t>
  </si>
  <si>
    <t>Unidades pesadas (Camiones de reposición)</t>
  </si>
  <si>
    <t>Unidades livianas (camionetas)</t>
  </si>
  <si>
    <t>Afectación de recursos propuesta PECOM</t>
  </si>
  <si>
    <t>Optimización de recursos [%]</t>
  </si>
  <si>
    <t>Persona</t>
  </si>
  <si>
    <t>UL</t>
  </si>
  <si>
    <t>UP</t>
  </si>
  <si>
    <t>Diferencia</t>
  </si>
  <si>
    <t>Reducción de costo</t>
  </si>
  <si>
    <t>Indice</t>
  </si>
  <si>
    <t>Optimización</t>
  </si>
  <si>
    <t>Suma de  Consumo (L/mes)</t>
  </si>
  <si>
    <t>Consumo optimizado lmes</t>
  </si>
  <si>
    <t>Dif litros</t>
  </si>
  <si>
    <t>Producto Químico, Denominación comercial</t>
  </si>
  <si>
    <t>Precio [USD/litro]</t>
  </si>
  <si>
    <t>Costo total [USD/mes]</t>
  </si>
  <si>
    <t>Costo optimizado [USD/mes]</t>
  </si>
  <si>
    <t>Dif costo</t>
  </si>
  <si>
    <t>BB</t>
  </si>
  <si>
    <t>BDB</t>
  </si>
  <si>
    <t>BDP</t>
  </si>
  <si>
    <t>BCY</t>
  </si>
  <si>
    <t>BIC</t>
  </si>
  <si>
    <t>BMF</t>
  </si>
  <si>
    <t>BRV</t>
  </si>
  <si>
    <t>LVB</t>
  </si>
  <si>
    <t>LVH</t>
  </si>
  <si>
    <t>LVIC</t>
  </si>
  <si>
    <t>LVCY</t>
  </si>
  <si>
    <t>MB</t>
  </si>
  <si>
    <t>MDB</t>
  </si>
  <si>
    <t>MDP</t>
  </si>
  <si>
    <t>MCY</t>
  </si>
  <si>
    <t>MIC</t>
  </si>
  <si>
    <t>UGB</t>
  </si>
  <si>
    <t>UGDB</t>
  </si>
  <si>
    <t>UGDP</t>
  </si>
  <si>
    <t>VB</t>
  </si>
  <si>
    <t>VDB</t>
  </si>
  <si>
    <t>VIC</t>
  </si>
  <si>
    <t>VCY</t>
  </si>
  <si>
    <t>Costo PQ</t>
  </si>
  <si>
    <t>Costo Scio</t>
  </si>
  <si>
    <t>Vta Scio</t>
  </si>
  <si>
    <t>Esquema</t>
  </si>
  <si>
    <t>Dif%</t>
  </si>
  <si>
    <t>Areas Integrales</t>
  </si>
  <si>
    <t>PQ y Scio</t>
  </si>
  <si>
    <t>Optimización Estructura</t>
  </si>
  <si>
    <t>Recursos afectados actualmente (Información compartida por YPF)</t>
  </si>
  <si>
    <t>Costo anterior</t>
  </si>
  <si>
    <t>Costo optimizado</t>
  </si>
  <si>
    <t>Costo Optimizado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</si>
</sst>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%"/>
    <numFmt numFmtId="165" formatCode="0.0"/>
    <numFmt numFmtId="166" formatCode="0.0E+00"/>
    <numFmt numFmtId="167" formatCode="#,##0.0"/>
    <numFmt numFmtId="168" formatCode="0.0000"/>
    <numFmt numFmtId="169" formatCode="_-&quot;$&quot;\ * #,##0_-;\-&quot;$&quot;\ * #,##0_-;_-&quot;$&quot;\ * &quot;-&quot;??_-;_-@_-"/>
    <numFmt numFmtId="170" formatCode="[$ARS]\ #,##0;\-[$ARS]\ #,##0"/>
    <numFmt numFmtId="171" formatCode="_-[$USD]\ * #,##0_-;\-[$USD]\ * #,##0_-;_-[$USD]\ * &quot;-&quot;_-;_-@_-"/>
    <numFmt numFmtId="172" formatCode="_-[$USD]\ * #,##0.0_-;\-[$USD]\ * #,##0.0_-;_-[$USD]\ * &quot;-&quot;_-;_-@_-"/>
    <numFmt numFmtId="173" formatCode="_-[$USD]\ * #,##0.00_-;\-[$USD]\ * #,##0.00_-;_-[$USD]\ * &quot;-&quot;_-;_-@_-"/>
    <numFmt numFmtId="174" formatCode="_-[$USD]\ * #,##0.000_-;\-[$USD]\ * #,##0.000_-;_-[$USD]\ * &quot;-&quot;_-;_-@_-"/>
    <numFmt numFmtId="175" formatCode="_-[$USD]\ * #,##0.0_-;\-[$USD]\ * #,##0.0_-;_-[$USD]\ * &quot;-&quot;?_-;_-@_-"/>
    <numFmt numFmtId="176" formatCode="0.000%"/>
  </numFmts>
  <fonts count="48">
    <font>
      <sz val="11"/>
      <color theme="1"/>
      <name val="Calibri"/>
      <family val="2"/>
      <scheme val="minor"/>
    </font>
    <font>
      <sz val="10"/>
      <color theme="1"/>
      <name val="72 Condensed"/>
      <family val="2"/>
    </font>
    <font>
      <b/>
      <sz val="10"/>
      <color theme="1"/>
      <name val="72 Condensed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1"/>
      <color theme="0" tint="-4.9989318521683403E-2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8"/>
      <name val="Arial"/>
      <family val="2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0"/>
      <name val="72 Condensed"/>
    </font>
    <font>
      <b/>
      <sz val="10"/>
      <color theme="1"/>
      <name val="72 Condensed"/>
    </font>
    <font>
      <sz val="10"/>
      <color theme="1"/>
      <name val="72 Condensed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0"/>
      <color rgb="FF000000"/>
      <name val="72 Condensed"/>
    </font>
    <font>
      <sz val="11"/>
      <color theme="1"/>
      <name val="Exo"/>
    </font>
    <font>
      <b/>
      <sz val="11"/>
      <color theme="1"/>
      <name val="Exo"/>
    </font>
    <font>
      <sz val="11"/>
      <color theme="0"/>
      <name val="Exo"/>
    </font>
    <font>
      <b/>
      <sz val="10"/>
      <color theme="0"/>
      <name val="72 Condensed"/>
      <family val="2"/>
    </font>
    <font>
      <sz val="10"/>
      <color rgb="FFFF0000"/>
      <name val="72 Condensed"/>
      <family val="2"/>
    </font>
    <font>
      <b/>
      <sz val="10"/>
      <color rgb="FFFFFFFF"/>
      <name val="72 Condensed"/>
      <family val="2"/>
    </font>
    <font>
      <sz val="10"/>
      <color rgb="FF000000"/>
      <name val="72 Condensed"/>
      <family val="2"/>
    </font>
    <font>
      <sz val="11"/>
      <color rgb="FF000000"/>
      <name val="Aptos Narrow"/>
      <family val="2"/>
    </font>
    <font>
      <b/>
      <sz val="10"/>
      <color rgb="FF000000"/>
      <name val="72 Condensed"/>
      <family val="2"/>
    </font>
    <font>
      <b/>
      <sz val="11"/>
      <color rgb="FF000000"/>
      <name val="Aptos Narrow"/>
      <family val="2"/>
    </font>
    <font>
      <b/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color theme="0"/>
      <name val="72 Condensed"/>
      <family val="2"/>
    </font>
    <font>
      <b/>
      <sz val="14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rgb="FF000000"/>
      <name val="Arial Nova Cond"/>
      <family val="2"/>
    </font>
    <font>
      <b/>
      <sz val="9"/>
      <color rgb="FFFFFFFF"/>
      <name val="Arial Nova Cond"/>
      <family val="2"/>
    </font>
    <font>
      <b/>
      <sz val="9"/>
      <color rgb="FF000000"/>
      <name val="Arial Nova Cond"/>
      <family val="2"/>
    </font>
    <font>
      <sz val="14"/>
      <color rgb="FF000000"/>
      <name val="Calibri"/>
      <family val="2"/>
    </font>
    <font>
      <b/>
      <sz val="11"/>
      <color theme="0" tint="-4.9989318521683403E-2"/>
      <name val="Exo"/>
    </font>
    <font>
      <u/>
      <sz val="11"/>
      <color theme="10"/>
      <name val="Calibri"/>
      <family val="2"/>
      <scheme val="minor"/>
    </font>
    <font>
      <sz val="10"/>
      <color theme="1"/>
      <name val="Exo"/>
    </font>
    <font>
      <b/>
      <sz val="10"/>
      <color theme="1"/>
      <name val="Exo"/>
    </font>
  </fonts>
  <fills count="42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theme="0" tint="-0.1499984740745262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5"/>
        <bgColor theme="0" tint="-0.14999847407452621"/>
      </patternFill>
    </fill>
    <fill>
      <patternFill patternType="solid">
        <fgColor rgb="FF222B35"/>
        <bgColor rgb="FF000000"/>
      </patternFill>
    </fill>
    <fill>
      <patternFill patternType="solid">
        <fgColor rgb="FFC65911"/>
        <bgColor rgb="FF000000"/>
      </patternFill>
    </fill>
    <fill>
      <patternFill patternType="solid">
        <fgColor rgb="FF548235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rgb="FFD9D9D9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D9D9D9"/>
      </patternFill>
    </fill>
    <fill>
      <patternFill patternType="solid">
        <fgColor rgb="FFFFFF00"/>
        <bgColor rgb="FFD9D9D9"/>
      </patternFill>
    </fill>
    <fill>
      <patternFill patternType="solid">
        <fgColor rgb="FFF7C7AC"/>
        <bgColor rgb="FFD9D9D9"/>
      </patternFill>
    </fill>
    <fill>
      <patternFill patternType="solid">
        <fgColor rgb="FFFFFF00"/>
        <bgColor rgb="FF000000"/>
      </patternFill>
    </fill>
    <fill>
      <patternFill patternType="solid">
        <fgColor rgb="FFF7C7AC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</fills>
  <borders count="45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45" fillId="0" borderId="0" applyNumberFormat="0" applyFill="0" applyBorder="0" applyAlignment="0" applyProtection="0"/>
  </cellStyleXfs>
  <cellXfs count="559">
    <xf numFmtId="0" fontId="0" fillId="0" borderId="0" xfId="0"/>
    <xf numFmtId="0" fontId="1" fillId="0" borderId="0" xfId="0" applyFont="1"/>
    <xf numFmtId="0" fontId="0" fillId="0" borderId="2" xfId="0" applyBorder="1"/>
    <xf numFmtId="0" fontId="2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4" fontId="1" fillId="0" borderId="2" xfId="0" applyNumberFormat="1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44" fontId="0" fillId="0" borderId="3" xfId="0" applyNumberFormat="1" applyBorder="1" applyAlignment="1">
      <alignment horizontal="center"/>
    </xf>
    <xf numFmtId="4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49" fontId="7" fillId="0" borderId="4" xfId="0" applyNumberFormat="1" applyFont="1" applyBorder="1" applyAlignment="1">
      <alignment horizontal="center"/>
    </xf>
    <xf numFmtId="49" fontId="7" fillId="0" borderId="0" xfId="0" applyNumberFormat="1" applyFont="1" applyAlignment="1">
      <alignment horizontal="center"/>
    </xf>
    <xf numFmtId="49" fontId="7" fillId="0" borderId="5" xfId="0" applyNumberFormat="1" applyFont="1" applyBorder="1" applyAlignment="1">
      <alignment horizontal="center"/>
    </xf>
    <xf numFmtId="49" fontId="7" fillId="0" borderId="6" xfId="0" applyNumberFormat="1" applyFont="1" applyBorder="1" applyAlignment="1">
      <alignment horizontal="center"/>
    </xf>
    <xf numFmtId="0" fontId="6" fillId="0" borderId="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/>
    </xf>
    <xf numFmtId="44" fontId="0" fillId="5" borderId="2" xfId="0" applyNumberFormat="1" applyFill="1" applyBorder="1" applyAlignment="1">
      <alignment horizontal="center"/>
    </xf>
    <xf numFmtId="9" fontId="1" fillId="0" borderId="2" xfId="1" applyFont="1" applyFill="1" applyBorder="1" applyAlignment="1">
      <alignment horizontal="center"/>
    </xf>
    <xf numFmtId="0" fontId="9" fillId="6" borderId="0" xfId="0" applyFont="1" applyFill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9" fontId="10" fillId="0" borderId="11" xfId="0" applyNumberFormat="1" applyFont="1" applyBorder="1" applyAlignment="1">
      <alignment horizontal="right" vertical="center"/>
    </xf>
    <xf numFmtId="0" fontId="10" fillId="0" borderId="12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9" fontId="10" fillId="0" borderId="1" xfId="0" applyNumberFormat="1" applyFont="1" applyBorder="1" applyAlignment="1">
      <alignment horizontal="right" vertical="center"/>
    </xf>
    <xf numFmtId="0" fontId="11" fillId="0" borderId="0" xfId="0" applyFont="1"/>
    <xf numFmtId="9" fontId="9" fillId="0" borderId="0" xfId="0" applyNumberFormat="1" applyFont="1" applyAlignment="1">
      <alignment horizontal="right" vertical="center"/>
    </xf>
    <xf numFmtId="0" fontId="9" fillId="0" borderId="0" xfId="0" applyFont="1" applyAlignment="1">
      <alignment vertical="center"/>
    </xf>
    <xf numFmtId="0" fontId="12" fillId="0" borderId="2" xfId="0" applyFont="1" applyBorder="1" applyAlignment="1">
      <alignment horizontal="center"/>
    </xf>
    <xf numFmtId="17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10" fontId="0" fillId="0" borderId="2" xfId="0" applyNumberFormat="1" applyBorder="1" applyAlignment="1">
      <alignment horizontal="center"/>
    </xf>
    <xf numFmtId="164" fontId="4" fillId="0" borderId="2" xfId="1" applyNumberFormat="1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0" fontId="0" fillId="0" borderId="2" xfId="1" applyNumberFormat="1" applyFont="1" applyBorder="1" applyAlignment="1">
      <alignment horizontal="center"/>
    </xf>
    <xf numFmtId="10" fontId="4" fillId="0" borderId="2" xfId="0" applyNumberFormat="1" applyFont="1" applyBorder="1" applyAlignment="1">
      <alignment horizontal="center"/>
    </xf>
    <xf numFmtId="164" fontId="0" fillId="0" borderId="2" xfId="1" applyNumberFormat="1" applyFont="1" applyBorder="1" applyAlignment="1">
      <alignment horizontal="center"/>
    </xf>
    <xf numFmtId="10" fontId="4" fillId="0" borderId="2" xfId="1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/>
    <xf numFmtId="0" fontId="10" fillId="7" borderId="10" xfId="0" applyFont="1" applyFill="1" applyBorder="1" applyAlignment="1">
      <alignment vertical="center" wrapText="1"/>
    </xf>
    <xf numFmtId="0" fontId="10" fillId="7" borderId="11" xfId="0" applyFont="1" applyFill="1" applyBorder="1" applyAlignment="1">
      <alignment vertical="center" wrapText="1"/>
    </xf>
    <xf numFmtId="17" fontId="10" fillId="7" borderId="11" xfId="0" applyNumberFormat="1" applyFont="1" applyFill="1" applyBorder="1" applyAlignment="1">
      <alignment horizontal="right" vertical="center" wrapText="1"/>
    </xf>
    <xf numFmtId="0" fontId="10" fillId="7" borderId="12" xfId="0" applyFont="1" applyFill="1" applyBorder="1" applyAlignment="1">
      <alignment vertical="center" wrapText="1"/>
    </xf>
    <xf numFmtId="9" fontId="10" fillId="7" borderId="1" xfId="0" applyNumberFormat="1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right" vertical="center" wrapText="1"/>
    </xf>
    <xf numFmtId="10" fontId="10" fillId="7" borderId="1" xfId="0" applyNumberFormat="1" applyFont="1" applyFill="1" applyBorder="1" applyAlignment="1">
      <alignment horizontal="right" vertical="center" wrapText="1"/>
    </xf>
    <xf numFmtId="0" fontId="11" fillId="7" borderId="0" xfId="0" applyFont="1" applyFill="1" applyAlignment="1">
      <alignment wrapText="1"/>
    </xf>
    <xf numFmtId="0" fontId="9" fillId="7" borderId="0" xfId="0" applyFont="1" applyFill="1" applyAlignment="1">
      <alignment vertical="center" wrapText="1"/>
    </xf>
    <xf numFmtId="10" fontId="9" fillId="7" borderId="0" xfId="0" applyNumberFormat="1" applyFont="1" applyFill="1" applyAlignment="1">
      <alignment horizontal="right" vertical="center" wrapText="1"/>
    </xf>
    <xf numFmtId="1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3" fillId="0" borderId="0" xfId="0" applyFont="1"/>
    <xf numFmtId="17" fontId="13" fillId="0" borderId="0" xfId="0" applyNumberFormat="1" applyFont="1"/>
    <xf numFmtId="43" fontId="13" fillId="0" borderId="0" xfId="0" applyNumberFormat="1" applyFont="1"/>
    <xf numFmtId="165" fontId="0" fillId="0" borderId="0" xfId="0" applyNumberFormat="1" applyAlignment="1">
      <alignment horizontal="center"/>
    </xf>
    <xf numFmtId="10" fontId="0" fillId="0" borderId="0" xfId="1" applyNumberFormat="1" applyFont="1" applyBorder="1" applyAlignment="1">
      <alignment horizontal="center"/>
    </xf>
    <xf numFmtId="10" fontId="4" fillId="0" borderId="0" xfId="0" applyNumberFormat="1" applyFon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10" fontId="4" fillId="0" borderId="0" xfId="1" applyNumberFormat="1" applyFont="1" applyBorder="1" applyAlignment="1">
      <alignment horizontal="center"/>
    </xf>
    <xf numFmtId="0" fontId="9" fillId="0" borderId="0" xfId="0" applyFont="1"/>
    <xf numFmtId="10" fontId="9" fillId="0" borderId="2" xfId="1" applyNumberFormat="1" applyFont="1" applyBorder="1"/>
    <xf numFmtId="164" fontId="4" fillId="3" borderId="2" xfId="1" applyNumberFormat="1" applyFont="1" applyFill="1" applyBorder="1" applyAlignment="1">
      <alignment horizontal="center"/>
    </xf>
    <xf numFmtId="10" fontId="4" fillId="3" borderId="2" xfId="0" applyNumberFormat="1" applyFont="1" applyFill="1" applyBorder="1" applyAlignment="1">
      <alignment horizontal="center"/>
    </xf>
    <xf numFmtId="10" fontId="4" fillId="3" borderId="2" xfId="1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15" fillId="0" borderId="2" xfId="0" applyFont="1" applyBorder="1" applyAlignment="1">
      <alignment horizontal="center" vertical="center" wrapText="1"/>
    </xf>
    <xf numFmtId="0" fontId="15" fillId="8" borderId="2" xfId="0" applyFont="1" applyFill="1" applyBorder="1" applyAlignment="1">
      <alignment horizontal="center" vertical="center" wrapText="1"/>
    </xf>
    <xf numFmtId="0" fontId="15" fillId="8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 wrapText="1"/>
    </xf>
    <xf numFmtId="0" fontId="16" fillId="4" borderId="3" xfId="0" applyFont="1" applyFill="1" applyBorder="1" applyAlignment="1">
      <alignment horizontal="left" vertical="center" wrapText="1"/>
    </xf>
    <xf numFmtId="0" fontId="17" fillId="0" borderId="0" xfId="0" applyFont="1" applyAlignment="1">
      <alignment horizontal="center" vertical="center" wrapText="1"/>
    </xf>
    <xf numFmtId="0" fontId="17" fillId="0" borderId="2" xfId="0" applyFont="1" applyBorder="1" applyAlignment="1">
      <alignment horizontal="center"/>
    </xf>
    <xf numFmtId="9" fontId="17" fillId="0" borderId="2" xfId="1" applyFont="1" applyFill="1" applyBorder="1" applyAlignment="1">
      <alignment horizontal="center"/>
    </xf>
    <xf numFmtId="0" fontId="17" fillId="0" borderId="3" xfId="0" applyFont="1" applyBorder="1" applyAlignment="1">
      <alignment horizontal="left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left"/>
    </xf>
    <xf numFmtId="0" fontId="17" fillId="0" borderId="0" xfId="0" applyFont="1"/>
    <xf numFmtId="17" fontId="17" fillId="0" borderId="2" xfId="0" applyNumberFormat="1" applyFont="1" applyBorder="1" applyAlignment="1">
      <alignment horizontal="center"/>
    </xf>
    <xf numFmtId="9" fontId="17" fillId="0" borderId="2" xfId="1" applyFont="1" applyBorder="1" applyAlignment="1">
      <alignment horizontal="center"/>
    </xf>
    <xf numFmtId="0" fontId="15" fillId="8" borderId="0" xfId="0" applyFont="1" applyFill="1" applyAlignment="1">
      <alignment horizontal="center" vertical="center" wrapText="1"/>
    </xf>
    <xf numFmtId="9" fontId="17" fillId="0" borderId="0" xfId="1" applyFont="1" applyBorder="1" applyAlignment="1">
      <alignment horizontal="center"/>
    </xf>
    <xf numFmtId="0" fontId="18" fillId="10" borderId="2" xfId="0" applyFont="1" applyFill="1" applyBorder="1" applyAlignment="1">
      <alignment horizontal="center" vertical="center" wrapText="1"/>
    </xf>
    <xf numFmtId="0" fontId="18" fillId="10" borderId="2" xfId="0" applyFont="1" applyFill="1" applyBorder="1" applyAlignment="1">
      <alignment horizontal="center" vertical="center"/>
    </xf>
    <xf numFmtId="0" fontId="18" fillId="11" borderId="2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0" fontId="1" fillId="9" borderId="2" xfId="0" applyFont="1" applyFill="1" applyBorder="1" applyAlignment="1">
      <alignment horizontal="center"/>
    </xf>
    <xf numFmtId="0" fontId="19" fillId="12" borderId="2" xfId="0" applyFont="1" applyFill="1" applyBorder="1" applyAlignment="1">
      <alignment horizontal="center"/>
    </xf>
    <xf numFmtId="0" fontId="1" fillId="1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7" fontId="0" fillId="0" borderId="0" xfId="0" applyNumberFormat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14" xfId="0" applyBorder="1" applyAlignment="1">
      <alignment horizontal="left"/>
    </xf>
    <xf numFmtId="0" fontId="0" fillId="0" borderId="15" xfId="0" applyBorder="1"/>
    <xf numFmtId="0" fontId="0" fillId="0" borderId="16" xfId="0" applyBorder="1" applyAlignment="1">
      <alignment horizontal="left" indent="1"/>
    </xf>
    <xf numFmtId="0" fontId="0" fillId="0" borderId="17" xfId="0" applyBorder="1"/>
    <xf numFmtId="0" fontId="0" fillId="0" borderId="18" xfId="0" applyBorder="1" applyAlignment="1">
      <alignment horizontal="left" indent="1"/>
    </xf>
    <xf numFmtId="0" fontId="0" fillId="0" borderId="1" xfId="0" applyBorder="1"/>
    <xf numFmtId="0" fontId="0" fillId="0" borderId="16" xfId="0" applyBorder="1" applyAlignment="1">
      <alignment horizontal="left"/>
    </xf>
    <xf numFmtId="9" fontId="0" fillId="0" borderId="0" xfId="1" applyFont="1"/>
    <xf numFmtId="0" fontId="0" fillId="3" borderId="2" xfId="0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20" fillId="9" borderId="2" xfId="0" applyFont="1" applyFill="1" applyBorder="1" applyAlignment="1">
      <alignment horizontal="center"/>
    </xf>
    <xf numFmtId="0" fontId="20" fillId="0" borderId="2" xfId="0" applyFont="1" applyBorder="1" applyAlignment="1">
      <alignment horizontal="center"/>
    </xf>
    <xf numFmtId="166" fontId="20" fillId="0" borderId="2" xfId="0" applyNumberFormat="1" applyFont="1" applyBorder="1" applyAlignment="1">
      <alignment horizontal="center"/>
    </xf>
    <xf numFmtId="0" fontId="21" fillId="0" borderId="2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4" fillId="14" borderId="2" xfId="0" applyFont="1" applyFill="1" applyBorder="1"/>
    <xf numFmtId="0" fontId="21" fillId="3" borderId="2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15" borderId="2" xfId="0" applyFon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2" fontId="0" fillId="15" borderId="2" xfId="0" applyNumberFormat="1" applyFill="1" applyBorder="1" applyAlignment="1">
      <alignment horizontal="center"/>
    </xf>
    <xf numFmtId="0" fontId="10" fillId="3" borderId="2" xfId="0" applyFont="1" applyFill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2" fontId="0" fillId="0" borderId="0" xfId="0" applyNumberFormat="1"/>
    <xf numFmtId="0" fontId="6" fillId="0" borderId="0" xfId="0" applyFont="1" applyAlignment="1">
      <alignment horizontal="center" vertical="center" wrapText="1"/>
    </xf>
    <xf numFmtId="0" fontId="0" fillId="0" borderId="13" xfId="0" applyBorder="1" applyAlignment="1">
      <alignment horizontal="center"/>
    </xf>
    <xf numFmtId="44" fontId="0" fillId="5" borderId="3" xfId="0" applyNumberFormat="1" applyFill="1" applyBorder="1" applyAlignment="1">
      <alignment horizontal="center"/>
    </xf>
    <xf numFmtId="0" fontId="0" fillId="0" borderId="2" xfId="0" applyBorder="1" applyAlignment="1">
      <alignment vertical="center"/>
    </xf>
    <xf numFmtId="2" fontId="0" fillId="5" borderId="2" xfId="0" applyNumberFormat="1" applyFill="1" applyBorder="1" applyAlignment="1">
      <alignment horizontal="center"/>
    </xf>
    <xf numFmtId="0" fontId="10" fillId="6" borderId="19" xfId="0" applyFont="1" applyFill="1" applyBorder="1" applyAlignment="1">
      <alignment horizontal="center" vertical="center" wrapText="1"/>
    </xf>
    <xf numFmtId="167" fontId="1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2" xfId="0" applyFont="1" applyBorder="1" applyAlignment="1">
      <alignment vertical="center"/>
    </xf>
    <xf numFmtId="0" fontId="23" fillId="0" borderId="2" xfId="0" applyFont="1" applyBorder="1" applyAlignment="1">
      <alignment horizontal="center"/>
    </xf>
    <xf numFmtId="0" fontId="22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20" fillId="9" borderId="3" xfId="0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4" fillId="16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24" fillId="0" borderId="13" xfId="0" applyFont="1" applyBorder="1" applyAlignment="1">
      <alignment horizontal="center"/>
    </xf>
    <xf numFmtId="0" fontId="24" fillId="0" borderId="21" xfId="0" applyFont="1" applyBorder="1" applyAlignment="1">
      <alignment horizontal="center"/>
    </xf>
    <xf numFmtId="4" fontId="24" fillId="0" borderId="2" xfId="0" applyNumberFormat="1" applyFont="1" applyBorder="1" applyAlignment="1">
      <alignment horizontal="center"/>
    </xf>
    <xf numFmtId="4" fontId="24" fillId="0" borderId="0" xfId="0" applyNumberFormat="1" applyFont="1" applyAlignment="1">
      <alignment horizontal="center"/>
    </xf>
    <xf numFmtId="9" fontId="24" fillId="0" borderId="2" xfId="1" applyFont="1" applyBorder="1" applyAlignment="1">
      <alignment horizontal="center"/>
    </xf>
    <xf numFmtId="0" fontId="24" fillId="0" borderId="0" xfId="0" applyFont="1" applyAlignment="1">
      <alignment horizontal="center" vertical="center"/>
    </xf>
    <xf numFmtId="9" fontId="24" fillId="0" borderId="0" xfId="1" applyFont="1" applyAlignment="1">
      <alignment horizontal="center"/>
    </xf>
    <xf numFmtId="3" fontId="24" fillId="0" borderId="2" xfId="0" applyNumberFormat="1" applyFont="1" applyBorder="1" applyAlignment="1">
      <alignment horizontal="center"/>
    </xf>
    <xf numFmtId="44" fontId="24" fillId="0" borderId="0" xfId="0" applyNumberFormat="1" applyFont="1" applyAlignment="1">
      <alignment horizontal="center"/>
    </xf>
    <xf numFmtId="3" fontId="24" fillId="0" borderId="3" xfId="0" applyNumberFormat="1" applyFont="1" applyBorder="1" applyAlignment="1">
      <alignment horizontal="center"/>
    </xf>
    <xf numFmtId="4" fontId="24" fillId="0" borderId="3" xfId="0" applyNumberFormat="1" applyFont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center"/>
    </xf>
    <xf numFmtId="164" fontId="25" fillId="5" borderId="2" xfId="1" applyNumberFormat="1" applyFont="1" applyFill="1" applyBorder="1" applyAlignment="1">
      <alignment horizontal="center"/>
    </xf>
    <xf numFmtId="10" fontId="25" fillId="5" borderId="2" xfId="1" applyNumberFormat="1" applyFont="1" applyFill="1" applyBorder="1" applyAlignment="1">
      <alignment horizontal="center"/>
    </xf>
    <xf numFmtId="0" fontId="24" fillId="0" borderId="22" xfId="0" applyFont="1" applyBorder="1" applyAlignment="1">
      <alignment horizontal="center"/>
    </xf>
    <xf numFmtId="0" fontId="26" fillId="4" borderId="13" xfId="0" applyFont="1" applyFill="1" applyBorder="1" applyAlignment="1">
      <alignment horizontal="center"/>
    </xf>
    <xf numFmtId="0" fontId="26" fillId="4" borderId="8" xfId="0" applyFont="1" applyFill="1" applyBorder="1" applyAlignment="1">
      <alignment horizontal="center"/>
    </xf>
    <xf numFmtId="0" fontId="26" fillId="4" borderId="2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4" fontId="24" fillId="17" borderId="2" xfId="0" applyNumberFormat="1" applyFont="1" applyFill="1" applyBorder="1" applyAlignment="1">
      <alignment horizontal="center"/>
    </xf>
    <xf numFmtId="9" fontId="24" fillId="17" borderId="2" xfId="1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20" fillId="8" borderId="2" xfId="0" applyFont="1" applyFill="1" applyBorder="1" applyAlignment="1">
      <alignment horizontal="center"/>
    </xf>
    <xf numFmtId="0" fontId="1" fillId="8" borderId="0" xfId="0" applyFont="1" applyFill="1"/>
    <xf numFmtId="0" fontId="1" fillId="18" borderId="2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/>
    </xf>
    <xf numFmtId="0" fontId="18" fillId="0" borderId="4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/>
    </xf>
    <xf numFmtId="167" fontId="1" fillId="0" borderId="19" xfId="0" applyNumberFormat="1" applyFont="1" applyBorder="1" applyAlignment="1">
      <alignment horizontal="center"/>
    </xf>
    <xf numFmtId="166" fontId="20" fillId="0" borderId="19" xfId="0" applyNumberFormat="1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9" fillId="12" borderId="9" xfId="0" applyFont="1" applyFill="1" applyBorder="1" applyAlignment="1">
      <alignment horizontal="center"/>
    </xf>
    <xf numFmtId="0" fontId="1" fillId="12" borderId="9" xfId="0" applyFont="1" applyFill="1" applyBorder="1" applyAlignment="1">
      <alignment horizontal="center"/>
    </xf>
    <xf numFmtId="0" fontId="1" fillId="8" borderId="0" xfId="0" applyFont="1" applyFill="1" applyAlignment="1">
      <alignment horizontal="center"/>
    </xf>
    <xf numFmtId="0" fontId="20" fillId="0" borderId="0" xfId="0" applyFont="1" applyAlignment="1">
      <alignment horizontal="center"/>
    </xf>
    <xf numFmtId="0" fontId="1" fillId="9" borderId="19" xfId="0" applyFont="1" applyFill="1" applyBorder="1" applyAlignment="1">
      <alignment horizontal="center"/>
    </xf>
    <xf numFmtId="0" fontId="1" fillId="18" borderId="19" xfId="0" applyFont="1" applyFill="1" applyBorder="1" applyAlignment="1">
      <alignment horizontal="center"/>
    </xf>
    <xf numFmtId="0" fontId="20" fillId="0" borderId="20" xfId="0" applyFont="1" applyBorder="1" applyAlignment="1">
      <alignment horizontal="center"/>
    </xf>
    <xf numFmtId="0" fontId="1" fillId="9" borderId="20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169" fontId="1" fillId="9" borderId="2" xfId="2" applyNumberFormat="1" applyFont="1" applyFill="1" applyBorder="1" applyAlignment="1">
      <alignment horizontal="center"/>
    </xf>
    <xf numFmtId="169" fontId="1" fillId="0" borderId="2" xfId="2" applyNumberFormat="1" applyFont="1" applyBorder="1" applyAlignment="1">
      <alignment horizontal="center"/>
    </xf>
    <xf numFmtId="169" fontId="20" fillId="0" borderId="2" xfId="2" applyNumberFormat="1" applyFont="1" applyBorder="1" applyAlignment="1">
      <alignment horizontal="center"/>
    </xf>
    <xf numFmtId="169" fontId="20" fillId="9" borderId="2" xfId="2" applyNumberFormat="1" applyFont="1" applyFill="1" applyBorder="1" applyAlignment="1">
      <alignment horizontal="center"/>
    </xf>
    <xf numFmtId="0" fontId="1" fillId="9" borderId="9" xfId="0" applyFont="1" applyFill="1" applyBorder="1" applyAlignment="1">
      <alignment horizontal="center"/>
    </xf>
    <xf numFmtId="169" fontId="2" fillId="9" borderId="19" xfId="0" applyNumberFormat="1" applyFont="1" applyFill="1" applyBorder="1" applyAlignment="1">
      <alignment horizontal="center"/>
    </xf>
    <xf numFmtId="0" fontId="20" fillId="8" borderId="0" xfId="0" applyFont="1" applyFill="1" applyAlignment="1">
      <alignment horizontal="center"/>
    </xf>
    <xf numFmtId="0" fontId="1" fillId="18" borderId="0" xfId="0" applyFont="1" applyFill="1" applyAlignment="1">
      <alignment horizontal="center"/>
    </xf>
    <xf numFmtId="0" fontId="27" fillId="11" borderId="3" xfId="0" applyFont="1" applyFill="1" applyBorder="1" applyAlignment="1">
      <alignment horizontal="center" vertical="center" wrapText="1"/>
    </xf>
    <xf numFmtId="0" fontId="27" fillId="11" borderId="2" xfId="0" applyFont="1" applyFill="1" applyBorder="1" applyAlignment="1">
      <alignment horizontal="center" vertical="center"/>
    </xf>
    <xf numFmtId="2" fontId="20" fillId="0" borderId="2" xfId="0" applyNumberFormat="1" applyFont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2" fontId="20" fillId="3" borderId="2" xfId="0" applyNumberFormat="1" applyFont="1" applyFill="1" applyBorder="1" applyAlignment="1">
      <alignment horizontal="center"/>
    </xf>
    <xf numFmtId="0" fontId="20" fillId="20" borderId="2" xfId="0" applyFont="1" applyFill="1" applyBorder="1" applyAlignment="1">
      <alignment horizontal="center"/>
    </xf>
    <xf numFmtId="0" fontId="1" fillId="20" borderId="9" xfId="0" applyFont="1" applyFill="1" applyBorder="1" applyAlignment="1">
      <alignment horizontal="center"/>
    </xf>
    <xf numFmtId="169" fontId="2" fillId="20" borderId="19" xfId="0" applyNumberFormat="1" applyFont="1" applyFill="1" applyBorder="1" applyAlignment="1">
      <alignment horizontal="center"/>
    </xf>
    <xf numFmtId="0" fontId="20" fillId="20" borderId="3" xfId="0" applyFont="1" applyFill="1" applyBorder="1" applyAlignment="1">
      <alignment horizontal="center"/>
    </xf>
    <xf numFmtId="9" fontId="1" fillId="9" borderId="2" xfId="1" applyFont="1" applyFill="1" applyBorder="1" applyAlignment="1">
      <alignment horizontal="center"/>
    </xf>
    <xf numFmtId="9" fontId="1" fillId="0" borderId="2" xfId="1" applyFont="1" applyBorder="1" applyAlignment="1">
      <alignment horizontal="center"/>
    </xf>
    <xf numFmtId="9" fontId="20" fillId="0" borderId="2" xfId="1" applyFont="1" applyBorder="1" applyAlignment="1">
      <alignment horizontal="center"/>
    </xf>
    <xf numFmtId="9" fontId="20" fillId="9" borderId="2" xfId="1" applyFont="1" applyFill="1" applyBorder="1" applyAlignment="1">
      <alignment horizontal="center"/>
    </xf>
    <xf numFmtId="9" fontId="1" fillId="21" borderId="2" xfId="1" applyFont="1" applyFill="1" applyBorder="1" applyAlignment="1">
      <alignment horizontal="center"/>
    </xf>
    <xf numFmtId="9" fontId="1" fillId="19" borderId="2" xfId="1" applyFont="1" applyFill="1" applyBorder="1" applyAlignment="1">
      <alignment horizontal="center"/>
    </xf>
    <xf numFmtId="9" fontId="20" fillId="21" borderId="2" xfId="1" applyFont="1" applyFill="1" applyBorder="1" applyAlignment="1">
      <alignment horizontal="center"/>
    </xf>
    <xf numFmtId="0" fontId="24" fillId="0" borderId="0" xfId="0" applyFont="1" applyAlignment="1">
      <alignment horizontal="left"/>
    </xf>
    <xf numFmtId="0" fontId="26" fillId="0" borderId="23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24" fillId="0" borderId="8" xfId="0" applyFont="1" applyBorder="1" applyAlignment="1">
      <alignment horizontal="center"/>
    </xf>
    <xf numFmtId="0" fontId="27" fillId="11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" fillId="9" borderId="9" xfId="0" applyFont="1" applyFill="1" applyBorder="1" applyAlignment="1">
      <alignment horizontal="center"/>
    </xf>
    <xf numFmtId="169" fontId="24" fillId="0" borderId="3" xfId="2" applyNumberFormat="1" applyFont="1" applyBorder="1" applyAlignment="1">
      <alignment horizontal="center"/>
    </xf>
    <xf numFmtId="169" fontId="24" fillId="17" borderId="3" xfId="2" applyNumberFormat="1" applyFont="1" applyFill="1" applyBorder="1" applyAlignment="1">
      <alignment horizontal="center"/>
    </xf>
    <xf numFmtId="169" fontId="24" fillId="0" borderId="2" xfId="2" applyNumberFormat="1" applyFont="1" applyBorder="1" applyAlignment="1">
      <alignment horizontal="center"/>
    </xf>
    <xf numFmtId="9" fontId="24" fillId="0" borderId="0" xfId="0" applyNumberFormat="1" applyFont="1" applyAlignment="1">
      <alignment horizontal="center"/>
    </xf>
    <xf numFmtId="0" fontId="1" fillId="9" borderId="5" xfId="0" applyFont="1" applyFill="1" applyBorder="1" applyAlignment="1">
      <alignment horizontal="center"/>
    </xf>
    <xf numFmtId="169" fontId="1" fillId="3" borderId="2" xfId="2" applyNumberFormat="1" applyFont="1" applyFill="1" applyBorder="1" applyAlignment="1">
      <alignment horizontal="center"/>
    </xf>
    <xf numFmtId="0" fontId="1" fillId="20" borderId="2" xfId="0" applyFont="1" applyFill="1" applyBorder="1" applyAlignment="1">
      <alignment horizontal="center"/>
    </xf>
    <xf numFmtId="2" fontId="1" fillId="8" borderId="2" xfId="0" applyNumberFormat="1" applyFont="1" applyFill="1" applyBorder="1" applyAlignment="1">
      <alignment horizontal="center"/>
    </xf>
    <xf numFmtId="0" fontId="1" fillId="20" borderId="3" xfId="0" applyFont="1" applyFill="1" applyBorder="1" applyAlignment="1">
      <alignment horizontal="center"/>
    </xf>
    <xf numFmtId="2" fontId="20" fillId="8" borderId="2" xfId="0" applyNumberFormat="1" applyFont="1" applyFill="1" applyBorder="1" applyAlignment="1">
      <alignment horizontal="center"/>
    </xf>
    <xf numFmtId="169" fontId="1" fillId="8" borderId="2" xfId="2" applyNumberFormat="1" applyFont="1" applyFill="1" applyBorder="1" applyAlignment="1">
      <alignment horizontal="center"/>
    </xf>
    <xf numFmtId="169" fontId="1" fillId="20" borderId="2" xfId="2" applyNumberFormat="1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169" fontId="2" fillId="9" borderId="2" xfId="0" applyNumberFormat="1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9" fontId="20" fillId="9" borderId="2" xfId="1" applyFont="1" applyFill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4" fontId="1" fillId="18" borderId="2" xfId="0" applyNumberFormat="1" applyFont="1" applyFill="1" applyBorder="1" applyAlignment="1">
      <alignment horizontal="center"/>
    </xf>
    <xf numFmtId="0" fontId="0" fillId="3" borderId="16" xfId="0" applyFill="1" applyBorder="1" applyAlignment="1">
      <alignment horizontal="left" indent="1"/>
    </xf>
    <xf numFmtId="9" fontId="0" fillId="0" borderId="2" xfId="1" applyFont="1" applyBorder="1"/>
    <xf numFmtId="0" fontId="0" fillId="0" borderId="3" xfId="0" applyBorder="1" applyAlignment="1">
      <alignment horizontal="left" indent="1"/>
    </xf>
    <xf numFmtId="9" fontId="0" fillId="0" borderId="13" xfId="0" applyNumberFormat="1" applyBorder="1"/>
    <xf numFmtId="0" fontId="29" fillId="22" borderId="0" xfId="0" applyFont="1" applyFill="1" applyAlignment="1">
      <alignment wrapText="1"/>
    </xf>
    <xf numFmtId="0" fontId="29" fillId="22" borderId="24" xfId="0" applyFont="1" applyFill="1" applyBorder="1" applyAlignment="1">
      <alignment wrapText="1"/>
    </xf>
    <xf numFmtId="0" fontId="30" fillId="0" borderId="0" xfId="0" applyFont="1" applyAlignment="1">
      <alignment wrapText="1"/>
    </xf>
    <xf numFmtId="0" fontId="29" fillId="23" borderId="2" xfId="0" applyFont="1" applyFill="1" applyBorder="1" applyAlignment="1">
      <alignment wrapText="1"/>
    </xf>
    <xf numFmtId="0" fontId="29" fillId="23" borderId="13" xfId="0" applyFont="1" applyFill="1" applyBorder="1"/>
    <xf numFmtId="0" fontId="29" fillId="23" borderId="13" xfId="0" applyFont="1" applyFill="1" applyBorder="1" applyAlignment="1">
      <alignment wrapText="1"/>
    </xf>
    <xf numFmtId="0" fontId="29" fillId="0" borderId="19" xfId="0" applyFont="1" applyBorder="1"/>
    <xf numFmtId="0" fontId="29" fillId="24" borderId="2" xfId="0" applyFont="1" applyFill="1" applyBorder="1"/>
    <xf numFmtId="0" fontId="29" fillId="24" borderId="7" xfId="0" applyFont="1" applyFill="1" applyBorder="1" applyAlignment="1">
      <alignment wrapText="1"/>
    </xf>
    <xf numFmtId="0" fontId="29" fillId="24" borderId="13" xfId="0" applyFont="1" applyFill="1" applyBorder="1" applyAlignment="1">
      <alignment wrapText="1"/>
    </xf>
    <xf numFmtId="0" fontId="29" fillId="24" borderId="13" xfId="0" applyFont="1" applyFill="1" applyBorder="1"/>
    <xf numFmtId="0" fontId="31" fillId="0" borderId="0" xfId="0" applyFont="1"/>
    <xf numFmtId="0" fontId="32" fillId="25" borderId="0" xfId="0" applyFont="1" applyFill="1"/>
    <xf numFmtId="0" fontId="30" fillId="25" borderId="0" xfId="0" applyFont="1" applyFill="1"/>
    <xf numFmtId="0" fontId="30" fillId="0" borderId="19" xfId="0" applyFont="1" applyBorder="1"/>
    <xf numFmtId="0" fontId="30" fillId="0" borderId="0" xfId="0" applyFont="1"/>
    <xf numFmtId="0" fontId="30" fillId="0" borderId="2" xfId="0" applyFont="1" applyBorder="1"/>
    <xf numFmtId="0" fontId="30" fillId="0" borderId="13" xfId="0" applyFont="1" applyBorder="1"/>
    <xf numFmtId="0" fontId="30" fillId="27" borderId="2" xfId="0" applyFont="1" applyFill="1" applyBorder="1"/>
    <xf numFmtId="0" fontId="30" fillId="27" borderId="7" xfId="0" applyFont="1" applyFill="1" applyBorder="1"/>
    <xf numFmtId="0" fontId="30" fillId="28" borderId="13" xfId="0" applyFont="1" applyFill="1" applyBorder="1"/>
    <xf numFmtId="0" fontId="30" fillId="29" borderId="13" xfId="0" applyFont="1" applyFill="1" applyBorder="1"/>
    <xf numFmtId="9" fontId="30" fillId="29" borderId="13" xfId="0" applyNumberFormat="1" applyFont="1" applyFill="1" applyBorder="1"/>
    <xf numFmtId="0" fontId="30" fillId="29" borderId="0" xfId="0" applyFont="1" applyFill="1"/>
    <xf numFmtId="0" fontId="30" fillId="29" borderId="9" xfId="0" applyFont="1" applyFill="1" applyBorder="1"/>
    <xf numFmtId="0" fontId="30" fillId="29" borderId="22" xfId="0" applyFont="1" applyFill="1" applyBorder="1"/>
    <xf numFmtId="0" fontId="30" fillId="0" borderId="22" xfId="0" applyFont="1" applyBorder="1"/>
    <xf numFmtId="0" fontId="30" fillId="30" borderId="9" xfId="0" applyFont="1" applyFill="1" applyBorder="1"/>
    <xf numFmtId="0" fontId="30" fillId="30" borderId="22" xfId="0" applyFont="1" applyFill="1" applyBorder="1"/>
    <xf numFmtId="0" fontId="30" fillId="30" borderId="6" xfId="0" applyFont="1" applyFill="1" applyBorder="1"/>
    <xf numFmtId="0" fontId="30" fillId="27" borderId="9" xfId="0" applyFont="1" applyFill="1" applyBorder="1"/>
    <xf numFmtId="0" fontId="30" fillId="28" borderId="22" xfId="0" applyFont="1" applyFill="1" applyBorder="1"/>
    <xf numFmtId="9" fontId="30" fillId="29" borderId="22" xfId="0" applyNumberFormat="1" applyFont="1" applyFill="1" applyBorder="1"/>
    <xf numFmtId="0" fontId="30" fillId="31" borderId="22" xfId="0" applyFont="1" applyFill="1" applyBorder="1"/>
    <xf numFmtId="9" fontId="28" fillId="29" borderId="22" xfId="0" applyNumberFormat="1" applyFont="1" applyFill="1" applyBorder="1"/>
    <xf numFmtId="0" fontId="30" fillId="0" borderId="9" xfId="0" applyFont="1" applyBorder="1"/>
    <xf numFmtId="0" fontId="30" fillId="0" borderId="25" xfId="0" applyFont="1" applyBorder="1"/>
    <xf numFmtId="0" fontId="30" fillId="30" borderId="21" xfId="0" applyFont="1" applyFill="1" applyBorder="1"/>
    <xf numFmtId="0" fontId="30" fillId="30" borderId="4" xfId="0" applyFont="1" applyFill="1" applyBorder="1"/>
    <xf numFmtId="0" fontId="30" fillId="27" borderId="8" xfId="0" applyFont="1" applyFill="1" applyBorder="1"/>
    <xf numFmtId="0" fontId="30" fillId="28" borderId="9" xfId="0" applyFont="1" applyFill="1" applyBorder="1"/>
    <xf numFmtId="0" fontId="30" fillId="27" borderId="0" xfId="0" applyFont="1" applyFill="1"/>
    <xf numFmtId="0" fontId="32" fillId="29" borderId="9" xfId="0" applyFont="1" applyFill="1" applyBorder="1"/>
    <xf numFmtId="0" fontId="32" fillId="29" borderId="22" xfId="0" applyFont="1" applyFill="1" applyBorder="1"/>
    <xf numFmtId="0" fontId="32" fillId="29" borderId="23" xfId="0" applyFont="1" applyFill="1" applyBorder="1"/>
    <xf numFmtId="10" fontId="30" fillId="32" borderId="9" xfId="0" applyNumberFormat="1" applyFont="1" applyFill="1" applyBorder="1"/>
    <xf numFmtId="0" fontId="33" fillId="0" borderId="0" xfId="0" applyFont="1"/>
    <xf numFmtId="0" fontId="32" fillId="25" borderId="26" xfId="0" applyFont="1" applyFill="1" applyBorder="1"/>
    <xf numFmtId="0" fontId="30" fillId="25" borderId="26" xfId="0" applyFont="1" applyFill="1" applyBorder="1"/>
    <xf numFmtId="0" fontId="30" fillId="29" borderId="2" xfId="0" applyFont="1" applyFill="1" applyBorder="1"/>
    <xf numFmtId="0" fontId="30" fillId="29" borderId="7" xfId="0" applyFont="1" applyFill="1" applyBorder="1"/>
    <xf numFmtId="0" fontId="30" fillId="0" borderId="6" xfId="0" applyFont="1" applyBorder="1"/>
    <xf numFmtId="0" fontId="30" fillId="29" borderId="6" xfId="0" applyFont="1" applyFill="1" applyBorder="1"/>
    <xf numFmtId="0" fontId="30" fillId="33" borderId="9" xfId="0" applyFont="1" applyFill="1" applyBorder="1"/>
    <xf numFmtId="0" fontId="28" fillId="33" borderId="9" xfId="0" applyFont="1" applyFill="1" applyBorder="1"/>
    <xf numFmtId="0" fontId="30" fillId="33" borderId="22" xfId="0" applyFont="1" applyFill="1" applyBorder="1"/>
    <xf numFmtId="0" fontId="30" fillId="27" borderId="22" xfId="0" applyFont="1" applyFill="1" applyBorder="1"/>
    <xf numFmtId="0" fontId="30" fillId="0" borderId="23" xfId="0" applyFont="1" applyBorder="1"/>
    <xf numFmtId="9" fontId="30" fillId="32" borderId="9" xfId="0" applyNumberFormat="1" applyFont="1" applyFill="1" applyBorder="1"/>
    <xf numFmtId="0" fontId="30" fillId="27" borderId="13" xfId="0" applyFont="1" applyFill="1" applyBorder="1"/>
    <xf numFmtId="9" fontId="30" fillId="28" borderId="22" xfId="0" applyNumberFormat="1" applyFont="1" applyFill="1" applyBorder="1"/>
    <xf numFmtId="9" fontId="28" fillId="28" borderId="22" xfId="0" applyNumberFormat="1" applyFont="1" applyFill="1" applyBorder="1"/>
    <xf numFmtId="0" fontId="30" fillId="29" borderId="25" xfId="0" applyFont="1" applyFill="1" applyBorder="1"/>
    <xf numFmtId="9" fontId="30" fillId="34" borderId="9" xfId="0" applyNumberFormat="1" applyFont="1" applyFill="1" applyBorder="1"/>
    <xf numFmtId="0" fontId="30" fillId="0" borderId="20" xfId="0" applyFont="1" applyBorder="1"/>
    <xf numFmtId="0" fontId="30" fillId="33" borderId="13" xfId="0" applyFont="1" applyFill="1" applyBorder="1"/>
    <xf numFmtId="9" fontId="30" fillId="0" borderId="13" xfId="0" applyNumberFormat="1" applyFont="1" applyBorder="1"/>
    <xf numFmtId="9" fontId="30" fillId="0" borderId="22" xfId="0" applyNumberFormat="1" applyFont="1" applyBorder="1"/>
    <xf numFmtId="9" fontId="28" fillId="0" borderId="22" xfId="0" applyNumberFormat="1" applyFont="1" applyBorder="1"/>
    <xf numFmtId="0" fontId="30" fillId="29" borderId="19" xfId="0" applyFont="1" applyFill="1" applyBorder="1"/>
    <xf numFmtId="0" fontId="30" fillId="0" borderId="5" xfId="0" applyFont="1" applyBorder="1"/>
    <xf numFmtId="0" fontId="30" fillId="29" borderId="5" xfId="0" applyFont="1" applyFill="1" applyBorder="1"/>
    <xf numFmtId="9" fontId="30" fillId="34" borderId="22" xfId="0" applyNumberFormat="1" applyFont="1" applyFill="1" applyBorder="1"/>
    <xf numFmtId="0" fontId="32" fillId="26" borderId="4" xfId="0" applyFont="1" applyFill="1" applyBorder="1"/>
    <xf numFmtId="0" fontId="32" fillId="26" borderId="0" xfId="0" applyFont="1" applyFill="1"/>
    <xf numFmtId="4" fontId="28" fillId="31" borderId="0" xfId="0" applyNumberFormat="1" applyFont="1" applyFill="1"/>
    <xf numFmtId="4" fontId="28" fillId="3" borderId="0" xfId="0" applyNumberFormat="1" applyFont="1" applyFill="1"/>
    <xf numFmtId="0" fontId="30" fillId="31" borderId="9" xfId="0" applyFont="1" applyFill="1" applyBorder="1"/>
    <xf numFmtId="0" fontId="30" fillId="3" borderId="9" xfId="0" applyFont="1" applyFill="1" applyBorder="1"/>
    <xf numFmtId="0" fontId="30" fillId="3" borderId="22" xfId="0" applyFont="1" applyFill="1" applyBorder="1"/>
    <xf numFmtId="3" fontId="24" fillId="0" borderId="0" xfId="0" applyNumberFormat="1" applyFont="1" applyAlignment="1">
      <alignment horizontal="center"/>
    </xf>
    <xf numFmtId="2" fontId="1" fillId="9" borderId="2" xfId="0" applyNumberFormat="1" applyFont="1" applyFill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0" fontId="19" fillId="12" borderId="8" xfId="0" applyFont="1" applyFill="1" applyBorder="1" applyAlignment="1">
      <alignment horizontal="center"/>
    </xf>
    <xf numFmtId="0" fontId="1" fillId="12" borderId="8" xfId="0" applyFont="1" applyFill="1" applyBorder="1" applyAlignment="1">
      <alignment horizontal="center"/>
    </xf>
    <xf numFmtId="0" fontId="0" fillId="35" borderId="2" xfId="0" applyFill="1" applyBorder="1" applyAlignment="1">
      <alignment horizontal="center"/>
    </xf>
    <xf numFmtId="9" fontId="0" fillId="0" borderId="2" xfId="1" applyFont="1" applyFill="1" applyBorder="1"/>
    <xf numFmtId="164" fontId="0" fillId="0" borderId="2" xfId="1" applyNumberFormat="1" applyFont="1" applyFill="1" applyBorder="1"/>
    <xf numFmtId="0" fontId="35" fillId="0" borderId="0" xfId="0" applyFont="1"/>
    <xf numFmtId="9" fontId="35" fillId="0" borderId="0" xfId="1" applyFont="1" applyFill="1" applyBorder="1"/>
    <xf numFmtId="0" fontId="4" fillId="5" borderId="2" xfId="0" applyFont="1" applyFill="1" applyBorder="1"/>
    <xf numFmtId="164" fontId="4" fillId="5" borderId="2" xfId="0" applyNumberFormat="1" applyFont="1" applyFill="1" applyBorder="1"/>
    <xf numFmtId="0" fontId="34" fillId="4" borderId="2" xfId="0" applyFont="1" applyFill="1" applyBorder="1" applyAlignment="1">
      <alignment horizontal="center"/>
    </xf>
    <xf numFmtId="0" fontId="36" fillId="0" borderId="0" xfId="0" applyFont="1" applyAlignment="1">
      <alignment horizontal="right"/>
    </xf>
    <xf numFmtId="0" fontId="1" fillId="3" borderId="3" xfId="0" applyFont="1" applyFill="1" applyBorder="1" applyAlignment="1">
      <alignment horizontal="center"/>
    </xf>
    <xf numFmtId="0" fontId="4" fillId="0" borderId="32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4" fillId="5" borderId="36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41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left" vertical="center"/>
    </xf>
    <xf numFmtId="0" fontId="4" fillId="5" borderId="35" xfId="0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center" vertical="center"/>
    </xf>
    <xf numFmtId="0" fontId="39" fillId="5" borderId="36" xfId="0" applyFont="1" applyFill="1" applyBorder="1" applyAlignment="1">
      <alignment horizontal="center" vertical="center"/>
    </xf>
    <xf numFmtId="0" fontId="4" fillId="5" borderId="37" xfId="0" applyFont="1" applyFill="1" applyBorder="1" applyAlignment="1">
      <alignment horizontal="center" vertical="center"/>
    </xf>
    <xf numFmtId="0" fontId="4" fillId="5" borderId="38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center" vertical="center"/>
    </xf>
    <xf numFmtId="0" fontId="1" fillId="36" borderId="2" xfId="0" applyFont="1" applyFill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9" fontId="0" fillId="0" borderId="2" xfId="1" applyFont="1" applyBorder="1" applyAlignment="1">
      <alignment horizontal="center"/>
    </xf>
    <xf numFmtId="0" fontId="41" fillId="38" borderId="2" xfId="0" applyFont="1" applyFill="1" applyBorder="1" applyAlignment="1">
      <alignment vertical="center"/>
    </xf>
    <xf numFmtId="0" fontId="41" fillId="38" borderId="2" xfId="0" applyFont="1" applyFill="1" applyBorder="1" applyAlignment="1">
      <alignment horizontal="center" vertical="center"/>
    </xf>
    <xf numFmtId="0" fontId="42" fillId="37" borderId="2" xfId="0" applyFont="1" applyFill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40" fillId="0" borderId="2" xfId="0" applyFont="1" applyBorder="1" applyAlignment="1">
      <alignment horizontal="center" vertical="center"/>
    </xf>
    <xf numFmtId="0" fontId="40" fillId="0" borderId="2" xfId="0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40" fillId="0" borderId="8" xfId="0" applyFont="1" applyBorder="1" applyAlignment="1">
      <alignment horizontal="center" vertical="center"/>
    </xf>
    <xf numFmtId="0" fontId="0" fillId="3" borderId="2" xfId="0" applyFill="1" applyBorder="1"/>
    <xf numFmtId="9" fontId="0" fillId="3" borderId="2" xfId="1" applyFont="1" applyFill="1" applyBorder="1"/>
    <xf numFmtId="164" fontId="24" fillId="0" borderId="0" xfId="1" applyNumberFormat="1" applyFont="1" applyAlignment="1">
      <alignment horizontal="center"/>
    </xf>
    <xf numFmtId="164" fontId="24" fillId="17" borderId="2" xfId="1" applyNumberFormat="1" applyFont="1" applyFill="1" applyBorder="1" applyAlignment="1">
      <alignment horizontal="center"/>
    </xf>
    <xf numFmtId="9" fontId="24" fillId="0" borderId="0" xfId="0" applyNumberFormat="1" applyFont="1"/>
    <xf numFmtId="169" fontId="24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164" fontId="25" fillId="0" borderId="0" xfId="1" applyNumberFormat="1" applyFont="1" applyFill="1" applyBorder="1" applyAlignment="1">
      <alignment horizontal="center"/>
    </xf>
    <xf numFmtId="0" fontId="24" fillId="15" borderId="2" xfId="0" applyFont="1" applyFill="1" applyBorder="1" applyAlignment="1">
      <alignment horizontal="center"/>
    </xf>
    <xf numFmtId="9" fontId="24" fillId="15" borderId="2" xfId="1" applyFont="1" applyFill="1" applyBorder="1" applyAlignment="1">
      <alignment horizontal="center"/>
    </xf>
    <xf numFmtId="0" fontId="24" fillId="39" borderId="2" xfId="0" applyFont="1" applyFill="1" applyBorder="1" applyAlignment="1">
      <alignment horizontal="center" vertical="center"/>
    </xf>
    <xf numFmtId="0" fontId="42" fillId="37" borderId="2" xfId="0" applyFont="1" applyFill="1" applyBorder="1" applyAlignment="1">
      <alignment horizontal="center" vertical="center"/>
    </xf>
    <xf numFmtId="0" fontId="44" fillId="4" borderId="8" xfId="0" applyFont="1" applyFill="1" applyBorder="1" applyAlignment="1">
      <alignment horizontal="center" vertical="center" wrapText="1"/>
    </xf>
    <xf numFmtId="169" fontId="24" fillId="0" borderId="2" xfId="0" applyNumberFormat="1" applyFont="1" applyBorder="1" applyAlignment="1">
      <alignment horizontal="center"/>
    </xf>
    <xf numFmtId="169" fontId="24" fillId="39" borderId="2" xfId="0" applyNumberFormat="1" applyFont="1" applyFill="1" applyBorder="1" applyAlignment="1">
      <alignment horizontal="center"/>
    </xf>
    <xf numFmtId="4" fontId="24" fillId="39" borderId="2" xfId="0" applyNumberFormat="1" applyFont="1" applyFill="1" applyBorder="1" applyAlignment="1">
      <alignment horizontal="center"/>
    </xf>
    <xf numFmtId="9" fontId="24" fillId="39" borderId="2" xfId="1" applyFont="1" applyFill="1" applyBorder="1" applyAlignment="1">
      <alignment horizontal="center"/>
    </xf>
    <xf numFmtId="3" fontId="24" fillId="39" borderId="2" xfId="0" applyNumberFormat="1" applyFont="1" applyFill="1" applyBorder="1" applyAlignment="1">
      <alignment horizontal="center"/>
    </xf>
    <xf numFmtId="0" fontId="24" fillId="39" borderId="2" xfId="0" applyFont="1" applyFill="1" applyBorder="1" applyAlignment="1">
      <alignment horizontal="center"/>
    </xf>
    <xf numFmtId="3" fontId="25" fillId="0" borderId="2" xfId="0" applyNumberFormat="1" applyFont="1" applyBorder="1" applyAlignment="1">
      <alignment horizontal="center"/>
    </xf>
    <xf numFmtId="44" fontId="1" fillId="0" borderId="2" xfId="2" applyFont="1" applyBorder="1" applyAlignment="1">
      <alignment horizontal="center"/>
    </xf>
    <xf numFmtId="0" fontId="24" fillId="0" borderId="2" xfId="0" applyFont="1" applyBorder="1" applyAlignment="1">
      <alignment horizontal="center" vertical="center"/>
    </xf>
    <xf numFmtId="164" fontId="1" fillId="0" borderId="0" xfId="1" applyNumberFormat="1" applyFont="1"/>
    <xf numFmtId="170" fontId="0" fillId="0" borderId="2" xfId="0" applyNumberFormat="1" applyBorder="1" applyAlignment="1"/>
    <xf numFmtId="171" fontId="0" fillId="0" borderId="2" xfId="0" applyNumberFormat="1" applyBorder="1" applyAlignment="1">
      <alignment horizontal="center"/>
    </xf>
    <xf numFmtId="171" fontId="0" fillId="0" borderId="0" xfId="0" applyNumberFormat="1"/>
    <xf numFmtId="14" fontId="0" fillId="0" borderId="0" xfId="0" applyNumberFormat="1"/>
    <xf numFmtId="172" fontId="0" fillId="0" borderId="0" xfId="0" applyNumberFormat="1"/>
    <xf numFmtId="171" fontId="0" fillId="0" borderId="2" xfId="0" applyNumberFormat="1" applyBorder="1"/>
    <xf numFmtId="164" fontId="0" fillId="0" borderId="2" xfId="1" applyNumberFormat="1" applyFont="1" applyBorder="1"/>
    <xf numFmtId="0" fontId="0" fillId="3" borderId="38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44" fillId="4" borderId="2" xfId="0" applyFont="1" applyFill="1" applyBorder="1" applyAlignment="1">
      <alignment horizontal="center" vertical="center" wrapText="1"/>
    </xf>
    <xf numFmtId="0" fontId="44" fillId="4" borderId="8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/>
    </xf>
    <xf numFmtId="0" fontId="44" fillId="4" borderId="7" xfId="0" applyFont="1" applyFill="1" applyBorder="1" applyAlignment="1">
      <alignment horizontal="center" vertical="center"/>
    </xf>
    <xf numFmtId="0" fontId="44" fillId="4" borderId="13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/>
    </xf>
    <xf numFmtId="0" fontId="24" fillId="0" borderId="9" xfId="0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 wrapText="1"/>
    </xf>
    <xf numFmtId="0" fontId="26" fillId="4" borderId="13" xfId="0" applyFont="1" applyFill="1" applyBorder="1" applyAlignment="1">
      <alignment horizontal="center"/>
    </xf>
    <xf numFmtId="0" fontId="26" fillId="4" borderId="2" xfId="0" applyFont="1" applyFill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15" borderId="3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13" xfId="0" applyFont="1" applyFill="1" applyBorder="1" applyAlignment="1">
      <alignment horizontal="center"/>
    </xf>
    <xf numFmtId="0" fontId="24" fillId="15" borderId="2" xfId="0" applyFont="1" applyFill="1" applyBorder="1" applyAlignment="1">
      <alignment horizontal="center"/>
    </xf>
    <xf numFmtId="0" fontId="24" fillId="0" borderId="8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3" xfId="0" applyBorder="1" applyAlignment="1">
      <alignment horizontal="center"/>
    </xf>
    <xf numFmtId="0" fontId="34" fillId="4" borderId="3" xfId="0" applyFont="1" applyFill="1" applyBorder="1" applyAlignment="1">
      <alignment horizontal="left"/>
    </xf>
    <xf numFmtId="0" fontId="34" fillId="4" borderId="7" xfId="0" applyFont="1" applyFill="1" applyBorder="1" applyAlignment="1">
      <alignment horizontal="left"/>
    </xf>
    <xf numFmtId="0" fontId="34" fillId="4" borderId="13" xfId="0" applyFont="1" applyFill="1" applyBorder="1" applyAlignment="1">
      <alignment horizontal="left"/>
    </xf>
    <xf numFmtId="3" fontId="0" fillId="0" borderId="3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4" fillId="5" borderId="3" xfId="0" applyNumberFormat="1" applyFont="1" applyFill="1" applyBorder="1" applyAlignment="1">
      <alignment horizontal="center"/>
    </xf>
    <xf numFmtId="3" fontId="4" fillId="5" borderId="7" xfId="0" applyNumberFormat="1" applyFont="1" applyFill="1" applyBorder="1" applyAlignment="1">
      <alignment horizontal="center"/>
    </xf>
    <xf numFmtId="3" fontId="4" fillId="5" borderId="13" xfId="0" applyNumberFormat="1" applyFont="1" applyFill="1" applyBorder="1" applyAlignment="1">
      <alignment horizontal="center"/>
    </xf>
    <xf numFmtId="0" fontId="2" fillId="13" borderId="4" xfId="0" applyFont="1" applyFill="1" applyBorder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18" fillId="10" borderId="0" xfId="0" applyFont="1" applyFill="1" applyAlignment="1">
      <alignment horizontal="center" vertical="center"/>
    </xf>
    <xf numFmtId="0" fontId="18" fillId="10" borderId="23" xfId="0" applyFont="1" applyFill="1" applyBorder="1" applyAlignment="1">
      <alignment horizontal="center" vertical="center"/>
    </xf>
    <xf numFmtId="0" fontId="18" fillId="11" borderId="4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2" fillId="13" borderId="4" xfId="0" applyFont="1" applyFill="1" applyBorder="1" applyAlignment="1">
      <alignment horizontal="center"/>
    </xf>
    <xf numFmtId="0" fontId="2" fillId="13" borderId="0" xfId="0" applyFont="1" applyFill="1" applyAlignment="1">
      <alignment horizontal="center"/>
    </xf>
    <xf numFmtId="0" fontId="34" fillId="4" borderId="2" xfId="0" applyFont="1" applyFill="1" applyBorder="1" applyAlignment="1">
      <alignment horizontal="center"/>
    </xf>
    <xf numFmtId="168" fontId="0" fillId="0" borderId="8" xfId="0" applyNumberFormat="1" applyBorder="1" applyAlignment="1">
      <alignment horizontal="center" vertical="center"/>
    </xf>
    <xf numFmtId="168" fontId="0" fillId="0" borderId="19" xfId="0" applyNumberFormat="1" applyBorder="1" applyAlignment="1">
      <alignment horizontal="center" vertical="center"/>
    </xf>
    <xf numFmtId="168" fontId="0" fillId="0" borderId="9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7" fillId="0" borderId="27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4" fillId="5" borderId="28" xfId="0" applyFont="1" applyFill="1" applyBorder="1" applyAlignment="1">
      <alignment horizontal="center" vertical="center" wrapText="1"/>
    </xf>
    <xf numFmtId="0" fontId="4" fillId="5" borderId="29" xfId="0" applyFont="1" applyFill="1" applyBorder="1" applyAlignment="1">
      <alignment horizontal="center" vertical="center" wrapText="1"/>
    </xf>
    <xf numFmtId="0" fontId="4" fillId="5" borderId="35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4" fillId="5" borderId="30" xfId="0" applyFont="1" applyFill="1" applyBorder="1" applyAlignment="1">
      <alignment horizontal="center" vertical="center"/>
    </xf>
    <xf numFmtId="0" fontId="4" fillId="5" borderId="36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 wrapText="1"/>
    </xf>
    <xf numFmtId="0" fontId="4" fillId="5" borderId="9" xfId="0" applyFont="1" applyFill="1" applyBorder="1" applyAlignment="1">
      <alignment horizontal="center" vertical="center" wrapText="1"/>
    </xf>
    <xf numFmtId="0" fontId="39" fillId="5" borderId="33" xfId="0" applyFont="1" applyFill="1" applyBorder="1" applyAlignment="1">
      <alignment horizontal="center" vertical="center"/>
    </xf>
    <xf numFmtId="0" fontId="39" fillId="5" borderId="4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8" fillId="40" borderId="3" xfId="0" applyFont="1" applyFill="1" applyBorder="1" applyAlignment="1">
      <alignment horizontal="center"/>
    </xf>
    <xf numFmtId="0" fontId="8" fillId="40" borderId="7" xfId="0" applyFont="1" applyFill="1" applyBorder="1" applyAlignment="1">
      <alignment horizontal="center"/>
    </xf>
    <xf numFmtId="0" fontId="8" fillId="40" borderId="13" xfId="0" applyFont="1" applyFill="1" applyBorder="1" applyAlignment="1">
      <alignment horizontal="center"/>
    </xf>
    <xf numFmtId="0" fontId="8" fillId="41" borderId="2" xfId="0" applyFont="1" applyFill="1" applyBorder="1" applyAlignment="1">
      <alignment horizontal="center" vertical="center" wrapText="1"/>
    </xf>
    <xf numFmtId="0" fontId="8" fillId="0" borderId="13" xfId="0" applyFont="1" applyBorder="1"/>
    <xf numFmtId="0" fontId="45" fillId="0" borderId="0" xfId="3" applyAlignment="1">
      <alignment horizontal="center"/>
    </xf>
    <xf numFmtId="0" fontId="1" fillId="2" borderId="14" xfId="0" applyFont="1" applyFill="1" applyBorder="1" applyAlignment="1">
      <alignment horizontal="center" vertical="center" wrapText="1"/>
    </xf>
    <xf numFmtId="0" fontId="1" fillId="2" borderId="43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2" fillId="0" borderId="14" xfId="0" applyFont="1" applyBorder="1" applyAlignment="1">
      <alignment horizontal="center"/>
    </xf>
    <xf numFmtId="9" fontId="2" fillId="0" borderId="43" xfId="1" applyFont="1" applyBorder="1" applyAlignment="1">
      <alignment horizontal="center"/>
    </xf>
    <xf numFmtId="0" fontId="1" fillId="0" borderId="4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9" fontId="1" fillId="0" borderId="0" xfId="1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9" fontId="2" fillId="0" borderId="0" xfId="1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9" fontId="1" fillId="0" borderId="44" xfId="1" applyFon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3" fontId="19" fillId="5" borderId="0" xfId="0" applyNumberFormat="1" applyFont="1" applyFill="1" applyAlignment="1">
      <alignment horizontal="center"/>
    </xf>
    <xf numFmtId="0" fontId="19" fillId="5" borderId="0" xfId="0" applyFont="1" applyFill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1" applyFont="1" applyAlignment="1">
      <alignment horizontal="center"/>
    </xf>
    <xf numFmtId="10" fontId="1" fillId="0" borderId="2" xfId="1" applyNumberFormat="1" applyFont="1" applyBorder="1" applyAlignment="1">
      <alignment horizontal="center"/>
    </xf>
    <xf numFmtId="171" fontId="0" fillId="0" borderId="8" xfId="0" applyNumberFormat="1" applyBorder="1"/>
    <xf numFmtId="3" fontId="0" fillId="0" borderId="0" xfId="0" applyNumberFormat="1"/>
    <xf numFmtId="3" fontId="0" fillId="0" borderId="2" xfId="0" applyNumberFormat="1" applyBorder="1"/>
    <xf numFmtId="3" fontId="13" fillId="0" borderId="2" xfId="0" applyNumberFormat="1" applyFont="1" applyBorder="1"/>
    <xf numFmtId="10" fontId="0" fillId="0" borderId="2" xfId="0" applyNumberFormat="1" applyBorder="1"/>
    <xf numFmtId="3" fontId="1" fillId="3" borderId="2" xfId="0" applyNumberFormat="1" applyFont="1" applyFill="1" applyBorder="1" applyAlignment="1">
      <alignment horizontal="center"/>
    </xf>
    <xf numFmtId="10" fontId="1" fillId="3" borderId="2" xfId="1" applyNumberFormat="1" applyFont="1" applyFill="1" applyBorder="1" applyAlignment="1">
      <alignment horizontal="center"/>
    </xf>
    <xf numFmtId="0" fontId="0" fillId="3" borderId="0" xfId="0" applyFill="1"/>
    <xf numFmtId="3" fontId="0" fillId="3" borderId="2" xfId="0" applyNumberFormat="1" applyFill="1" applyBorder="1"/>
    <xf numFmtId="3" fontId="13" fillId="3" borderId="2" xfId="0" applyNumberFormat="1" applyFont="1" applyFill="1" applyBorder="1"/>
    <xf numFmtId="14" fontId="0" fillId="0" borderId="2" xfId="0" applyNumberFormat="1" applyBorder="1"/>
    <xf numFmtId="173" fontId="0" fillId="0" borderId="2" xfId="0" applyNumberFormat="1" applyBorder="1" applyAlignment="1">
      <alignment horizontal="center"/>
    </xf>
    <xf numFmtId="174" fontId="0" fillId="0" borderId="0" xfId="0" applyNumberFormat="1"/>
    <xf numFmtId="171" fontId="0" fillId="0" borderId="0" xfId="0" applyNumberFormat="1" applyAlignment="1">
      <alignment horizontal="center"/>
    </xf>
    <xf numFmtId="170" fontId="0" fillId="0" borderId="0" xfId="0" applyNumberFormat="1"/>
    <xf numFmtId="175" fontId="0" fillId="0" borderId="0" xfId="0" applyNumberFormat="1"/>
    <xf numFmtId="0" fontId="13" fillId="0" borderId="2" xfId="0" applyFont="1" applyBorder="1" applyAlignment="1">
      <alignment horizontal="center"/>
    </xf>
    <xf numFmtId="0" fontId="13" fillId="0" borderId="0" xfId="0" applyFont="1" applyAlignment="1">
      <alignment horizontal="center"/>
    </xf>
    <xf numFmtId="10" fontId="0" fillId="0" borderId="2" xfId="1" applyNumberFormat="1" applyFont="1" applyBorder="1"/>
    <xf numFmtId="0" fontId="0" fillId="0" borderId="8" xfId="0" applyBorder="1"/>
    <xf numFmtId="10" fontId="0" fillId="0" borderId="8" xfId="1" applyNumberFormat="1" applyFont="1" applyBorder="1"/>
    <xf numFmtId="0" fontId="13" fillId="0" borderId="8" xfId="0" applyFont="1" applyBorder="1" applyAlignment="1">
      <alignment horizontal="center"/>
    </xf>
    <xf numFmtId="3" fontId="13" fillId="0" borderId="8" xfId="0" applyNumberFormat="1" applyFont="1" applyBorder="1" applyAlignment="1">
      <alignment horizontal="center"/>
    </xf>
    <xf numFmtId="3" fontId="13" fillId="0" borderId="0" xfId="0" applyNumberFormat="1" applyFont="1" applyAlignment="1">
      <alignment horizontal="center"/>
    </xf>
    <xf numFmtId="3" fontId="13" fillId="0" borderId="2" xfId="0" applyNumberFormat="1" applyFont="1" applyBorder="1" applyAlignment="1">
      <alignment horizontal="center"/>
    </xf>
    <xf numFmtId="176" fontId="0" fillId="0" borderId="0" xfId="1" applyNumberFormat="1" applyFont="1"/>
    <xf numFmtId="0" fontId="0" fillId="0" borderId="0" xfId="0" applyAlignment="1">
      <alignment horizontal="center"/>
    </xf>
    <xf numFmtId="164" fontId="0" fillId="0" borderId="0" xfId="1" applyNumberFormat="1" applyFont="1" applyBorder="1"/>
    <xf numFmtId="9" fontId="0" fillId="0" borderId="0" xfId="1" applyFont="1" applyBorder="1"/>
    <xf numFmtId="0" fontId="46" fillId="0" borderId="0" xfId="0" applyFont="1" applyAlignment="1">
      <alignment horizontal="center"/>
    </xf>
    <xf numFmtId="0" fontId="47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9" fontId="46" fillId="0" borderId="0" xfId="0" applyNumberFormat="1" applyFont="1" applyAlignment="1">
      <alignment horizontal="center"/>
    </xf>
    <xf numFmtId="1" fontId="46" fillId="0" borderId="0" xfId="0" applyNumberFormat="1" applyFont="1" applyAlignment="1">
      <alignment horizontal="center"/>
    </xf>
    <xf numFmtId="3" fontId="46" fillId="0" borderId="0" xfId="0" applyNumberFormat="1" applyFont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3" fontId="47" fillId="0" borderId="0" xfId="0" applyNumberFormat="1" applyFont="1" applyAlignment="1">
      <alignment horizontal="center" vertical="center"/>
    </xf>
    <xf numFmtId="3" fontId="47" fillId="0" borderId="0" xfId="0" applyNumberFormat="1" applyFont="1" applyAlignment="1">
      <alignment horizontal="center"/>
    </xf>
    <xf numFmtId="3" fontId="47" fillId="0" borderId="0" xfId="0" applyNumberFormat="1" applyFont="1" applyAlignment="1">
      <alignment vertical="center"/>
    </xf>
    <xf numFmtId="3" fontId="13" fillId="0" borderId="13" xfId="0" applyNumberFormat="1" applyFont="1" applyBorder="1" applyAlignment="1">
      <alignment horizontal="center"/>
    </xf>
    <xf numFmtId="0" fontId="13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9" fontId="0" fillId="3" borderId="2" xfId="1" applyFont="1" applyFill="1" applyBorder="1" applyAlignment="1">
      <alignment horizontal="center"/>
    </xf>
    <xf numFmtId="0" fontId="46" fillId="3" borderId="2" xfId="0" applyFont="1" applyFill="1" applyBorder="1" applyAlignment="1">
      <alignment horizontal="center"/>
    </xf>
    <xf numFmtId="3" fontId="47" fillId="3" borderId="2" xfId="0" applyNumberFormat="1" applyFont="1" applyFill="1" applyBorder="1" applyAlignment="1">
      <alignment horizontal="center" vertical="center"/>
    </xf>
    <xf numFmtId="1" fontId="46" fillId="3" borderId="2" xfId="0" applyNumberFormat="1" applyFont="1" applyFill="1" applyBorder="1" applyAlignment="1">
      <alignment horizontal="center"/>
    </xf>
  </cellXfs>
  <cellStyles count="4">
    <cellStyle name="Hipervínculo 2" xfId="3" xr:uid="{B4FF05A2-969C-4F00-91D6-0C9132AAEF5B}"/>
    <cellStyle name="Moneda" xfId="2" builtinId="4"/>
    <cellStyle name="Normal" xfId="0" builtinId="0"/>
    <cellStyle name="Porcentaje" xfId="1" builtinId="5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numFmt numFmtId="0" formatCode="General"/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numFmt numFmtId="0" formatCode="General"/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numFmt numFmtId="0" formatCode="General"/>
      <alignment horizontal="center" vertical="bottom" textRotation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numFmt numFmtId="0" formatCode="General"/>
      <alignment horizontal="center" vertical="bottom" textRotation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alignment horizontal="center" vertical="bottom" textRotation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alignment horizontal="center" vertical="bottom" textRotation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72 Condensed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CCFF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42" Type="http://schemas.openxmlformats.org/officeDocument/2006/relationships/externalLink" Target="externalLinks/externalLink17.xml"/><Relationship Id="rId47" Type="http://schemas.openxmlformats.org/officeDocument/2006/relationships/externalLink" Target="externalLinks/externalLink22.xml"/><Relationship Id="rId63" Type="http://schemas.openxmlformats.org/officeDocument/2006/relationships/externalLink" Target="externalLinks/externalLink38.xml"/><Relationship Id="rId68" Type="http://schemas.openxmlformats.org/officeDocument/2006/relationships/externalLink" Target="externalLinks/externalLink43.xml"/><Relationship Id="rId84" Type="http://schemas.openxmlformats.org/officeDocument/2006/relationships/externalLink" Target="externalLinks/externalLink59.xml"/><Relationship Id="rId89" Type="http://schemas.openxmlformats.org/officeDocument/2006/relationships/externalLink" Target="externalLinks/externalLink64.xml"/><Relationship Id="rId16" Type="http://schemas.openxmlformats.org/officeDocument/2006/relationships/worksheet" Target="worksheets/sheet16.xml"/><Relationship Id="rId107" Type="http://schemas.openxmlformats.org/officeDocument/2006/relationships/customXml" Target="../customXml/item3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7.xml"/><Relationship Id="rId37" Type="http://schemas.openxmlformats.org/officeDocument/2006/relationships/externalLink" Target="externalLinks/externalLink12.xml"/><Relationship Id="rId53" Type="http://schemas.openxmlformats.org/officeDocument/2006/relationships/externalLink" Target="externalLinks/externalLink28.xml"/><Relationship Id="rId58" Type="http://schemas.openxmlformats.org/officeDocument/2006/relationships/externalLink" Target="externalLinks/externalLink33.xml"/><Relationship Id="rId74" Type="http://schemas.openxmlformats.org/officeDocument/2006/relationships/externalLink" Target="externalLinks/externalLink49.xml"/><Relationship Id="rId79" Type="http://schemas.openxmlformats.org/officeDocument/2006/relationships/externalLink" Target="externalLinks/externalLink54.xml"/><Relationship Id="rId102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65.xml"/><Relationship Id="rId95" Type="http://schemas.openxmlformats.org/officeDocument/2006/relationships/externalLink" Target="externalLinks/externalLink70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43" Type="http://schemas.openxmlformats.org/officeDocument/2006/relationships/externalLink" Target="externalLinks/externalLink18.xml"/><Relationship Id="rId48" Type="http://schemas.openxmlformats.org/officeDocument/2006/relationships/externalLink" Target="externalLinks/externalLink23.xml"/><Relationship Id="rId64" Type="http://schemas.openxmlformats.org/officeDocument/2006/relationships/externalLink" Target="externalLinks/externalLink39.xml"/><Relationship Id="rId69" Type="http://schemas.openxmlformats.org/officeDocument/2006/relationships/externalLink" Target="externalLinks/externalLink44.xml"/><Relationship Id="rId80" Type="http://schemas.openxmlformats.org/officeDocument/2006/relationships/externalLink" Target="externalLinks/externalLink55.xml"/><Relationship Id="rId85" Type="http://schemas.openxmlformats.org/officeDocument/2006/relationships/externalLink" Target="externalLinks/externalLink6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externalLink" Target="externalLinks/externalLink8.xml"/><Relationship Id="rId38" Type="http://schemas.openxmlformats.org/officeDocument/2006/relationships/externalLink" Target="externalLinks/externalLink13.xml"/><Relationship Id="rId59" Type="http://schemas.openxmlformats.org/officeDocument/2006/relationships/externalLink" Target="externalLinks/externalLink34.xml"/><Relationship Id="rId103" Type="http://schemas.microsoft.com/office/2017/10/relationships/person" Target="persons/person.xml"/><Relationship Id="rId108" Type="http://schemas.openxmlformats.org/officeDocument/2006/relationships/customXml" Target="../customXml/item4.xml"/><Relationship Id="rId54" Type="http://schemas.openxmlformats.org/officeDocument/2006/relationships/externalLink" Target="externalLinks/externalLink29.xml"/><Relationship Id="rId70" Type="http://schemas.openxmlformats.org/officeDocument/2006/relationships/externalLink" Target="externalLinks/externalLink45.xml"/><Relationship Id="rId75" Type="http://schemas.openxmlformats.org/officeDocument/2006/relationships/externalLink" Target="externalLinks/externalLink50.xml"/><Relationship Id="rId91" Type="http://schemas.openxmlformats.org/officeDocument/2006/relationships/externalLink" Target="externalLinks/externalLink66.xml"/><Relationship Id="rId96" Type="http://schemas.openxmlformats.org/officeDocument/2006/relationships/externalLink" Target="externalLinks/externalLink7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externalLink" Target="externalLinks/externalLink11.xml"/><Relationship Id="rId49" Type="http://schemas.openxmlformats.org/officeDocument/2006/relationships/externalLink" Target="externalLinks/externalLink24.xml"/><Relationship Id="rId57" Type="http://schemas.openxmlformats.org/officeDocument/2006/relationships/externalLink" Target="externalLinks/externalLink32.xml"/><Relationship Id="rId10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6.xml"/><Relationship Id="rId44" Type="http://schemas.openxmlformats.org/officeDocument/2006/relationships/externalLink" Target="externalLinks/externalLink19.xml"/><Relationship Id="rId52" Type="http://schemas.openxmlformats.org/officeDocument/2006/relationships/externalLink" Target="externalLinks/externalLink27.xml"/><Relationship Id="rId60" Type="http://schemas.openxmlformats.org/officeDocument/2006/relationships/externalLink" Target="externalLinks/externalLink35.xml"/><Relationship Id="rId65" Type="http://schemas.openxmlformats.org/officeDocument/2006/relationships/externalLink" Target="externalLinks/externalLink40.xml"/><Relationship Id="rId73" Type="http://schemas.openxmlformats.org/officeDocument/2006/relationships/externalLink" Target="externalLinks/externalLink48.xml"/><Relationship Id="rId78" Type="http://schemas.openxmlformats.org/officeDocument/2006/relationships/externalLink" Target="externalLinks/externalLink53.xml"/><Relationship Id="rId81" Type="http://schemas.openxmlformats.org/officeDocument/2006/relationships/externalLink" Target="externalLinks/externalLink56.xml"/><Relationship Id="rId86" Type="http://schemas.openxmlformats.org/officeDocument/2006/relationships/externalLink" Target="externalLinks/externalLink61.xml"/><Relationship Id="rId94" Type="http://schemas.openxmlformats.org/officeDocument/2006/relationships/externalLink" Target="externalLinks/externalLink69.xml"/><Relationship Id="rId99" Type="http://schemas.openxmlformats.org/officeDocument/2006/relationships/connections" Target="connections.xml"/><Relationship Id="rId10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14.xml"/><Relationship Id="rId109" Type="http://schemas.openxmlformats.org/officeDocument/2006/relationships/customXml" Target="../customXml/item5.xml"/><Relationship Id="rId34" Type="http://schemas.openxmlformats.org/officeDocument/2006/relationships/externalLink" Target="externalLinks/externalLink9.xml"/><Relationship Id="rId50" Type="http://schemas.openxmlformats.org/officeDocument/2006/relationships/externalLink" Target="externalLinks/externalLink25.xml"/><Relationship Id="rId55" Type="http://schemas.openxmlformats.org/officeDocument/2006/relationships/externalLink" Target="externalLinks/externalLink30.xml"/><Relationship Id="rId76" Type="http://schemas.openxmlformats.org/officeDocument/2006/relationships/externalLink" Target="externalLinks/externalLink51.xml"/><Relationship Id="rId97" Type="http://schemas.openxmlformats.org/officeDocument/2006/relationships/pivotCacheDefinition" Target="pivotCache/pivotCacheDefinition1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46.xml"/><Relationship Id="rId92" Type="http://schemas.openxmlformats.org/officeDocument/2006/relationships/externalLink" Target="externalLinks/externalLink67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4.xml"/><Relationship Id="rId24" Type="http://schemas.openxmlformats.org/officeDocument/2006/relationships/worksheet" Target="worksheets/sheet24.xml"/><Relationship Id="rId40" Type="http://schemas.openxmlformats.org/officeDocument/2006/relationships/externalLink" Target="externalLinks/externalLink15.xml"/><Relationship Id="rId45" Type="http://schemas.openxmlformats.org/officeDocument/2006/relationships/externalLink" Target="externalLinks/externalLink20.xml"/><Relationship Id="rId66" Type="http://schemas.openxmlformats.org/officeDocument/2006/relationships/externalLink" Target="externalLinks/externalLink41.xml"/><Relationship Id="rId87" Type="http://schemas.openxmlformats.org/officeDocument/2006/relationships/externalLink" Target="externalLinks/externalLink62.xml"/><Relationship Id="rId110" Type="http://schemas.microsoft.com/office/2006/relationships/vbaProject" Target="vbaProject.bin"/><Relationship Id="rId61" Type="http://schemas.openxmlformats.org/officeDocument/2006/relationships/externalLink" Target="externalLinks/externalLink36.xml"/><Relationship Id="rId82" Type="http://schemas.openxmlformats.org/officeDocument/2006/relationships/externalLink" Target="externalLinks/externalLink5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5.xml"/><Relationship Id="rId35" Type="http://schemas.openxmlformats.org/officeDocument/2006/relationships/externalLink" Target="externalLinks/externalLink10.xml"/><Relationship Id="rId56" Type="http://schemas.openxmlformats.org/officeDocument/2006/relationships/externalLink" Target="externalLinks/externalLink31.xml"/><Relationship Id="rId77" Type="http://schemas.openxmlformats.org/officeDocument/2006/relationships/externalLink" Target="externalLinks/externalLink52.xml"/><Relationship Id="rId100" Type="http://schemas.openxmlformats.org/officeDocument/2006/relationships/styles" Target="styles.xml"/><Relationship Id="rId10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6.xml"/><Relationship Id="rId72" Type="http://schemas.openxmlformats.org/officeDocument/2006/relationships/externalLink" Target="externalLinks/externalLink47.xml"/><Relationship Id="rId93" Type="http://schemas.openxmlformats.org/officeDocument/2006/relationships/externalLink" Target="externalLinks/externalLink68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externalLink" Target="externalLinks/externalLink21.xml"/><Relationship Id="rId67" Type="http://schemas.openxmlformats.org/officeDocument/2006/relationships/externalLink" Target="externalLinks/externalLink42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6.xml"/><Relationship Id="rId62" Type="http://schemas.openxmlformats.org/officeDocument/2006/relationships/externalLink" Target="externalLinks/externalLink37.xml"/><Relationship Id="rId83" Type="http://schemas.openxmlformats.org/officeDocument/2006/relationships/externalLink" Target="externalLinks/externalLink58.xml"/><Relationship Id="rId88" Type="http://schemas.openxmlformats.org/officeDocument/2006/relationships/externalLink" Target="externalLinks/externalLink6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="1"/>
              <a:t>Propuesta</a:t>
            </a:r>
            <a:r>
              <a:rPr lang="es-AR" b="1" baseline="0"/>
              <a:t> Adjudicación Integral de Area</a:t>
            </a:r>
          </a:p>
          <a:p>
            <a:pPr>
              <a:defRPr/>
            </a:pPr>
            <a:r>
              <a:rPr lang="es-AR" sz="1100" b="1">
                <a:solidFill>
                  <a:schemeClr val="bg1">
                    <a:lumMod val="50000"/>
                  </a:schemeClr>
                </a:solidFill>
              </a:rPr>
              <a:t>Total Productos Químicos: 1,330 MUSD</a:t>
            </a:r>
          </a:p>
          <a:p>
            <a:pPr>
              <a:defRPr/>
            </a:pPr>
            <a:r>
              <a:rPr lang="es-AR" sz="1100" b="1">
                <a:solidFill>
                  <a:schemeClr val="bg1">
                    <a:lumMod val="50000"/>
                  </a:schemeClr>
                </a:solidFill>
              </a:rPr>
              <a:t>Total</a:t>
            </a:r>
            <a:r>
              <a:rPr lang="es-AR" sz="1100" b="1" baseline="0">
                <a:solidFill>
                  <a:schemeClr val="bg1">
                    <a:lumMod val="50000"/>
                  </a:schemeClr>
                </a:solidFill>
              </a:rPr>
              <a:t> Servicios: 157,1 kUSD</a:t>
            </a:r>
            <a:endParaRPr lang="es-AR" sz="1100" b="1">
              <a:solidFill>
                <a:schemeClr val="bg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3461781692563277"/>
          <c:y val="0.21550796128699942"/>
          <c:w val="0.73763758975913218"/>
          <c:h val="0.619253538977322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Optimización_Estructura!$C$6</c:f>
              <c:strCache>
                <c:ptCount val="1"/>
                <c:pt idx="0">
                  <c:v>Servicio Batch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Optimización_Estructura!$D$4:$H$4</c:f>
              <c:strCache>
                <c:ptCount val="5"/>
                <c:pt idx="0">
                  <c:v>BARRANCAS</c:v>
                </c:pt>
                <c:pt idx="1">
                  <c:v>LA VENTANA</c:v>
                </c:pt>
                <c:pt idx="2">
                  <c:v>MALARGÜE</c:v>
                </c:pt>
                <c:pt idx="3">
                  <c:v>UGARTECHE</c:v>
                </c:pt>
                <c:pt idx="4">
                  <c:v>VIZCACHERAS</c:v>
                </c:pt>
              </c:strCache>
            </c:strRef>
          </c:cat>
          <c:val>
            <c:numRef>
              <c:f>Optimización_Estructura!$D$6:$H$6</c:f>
              <c:numCache>
                <c:formatCode>_-[$USD]\ * #,##0.00_-;\-[$USD]\ * #,##0.00_-;_-[$USD]\ * "-"_-;_-@_-</c:formatCode>
                <c:ptCount val="5"/>
                <c:pt idx="0">
                  <c:v>51.710737982824845</c:v>
                </c:pt>
                <c:pt idx="1">
                  <c:v>18.075165096304641</c:v>
                </c:pt>
                <c:pt idx="2">
                  <c:v>18.132066337777957</c:v>
                </c:pt>
                <c:pt idx="3">
                  <c:v>4.9795525464942454</c:v>
                </c:pt>
                <c:pt idx="4">
                  <c:v>25.647193717729557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41-47B1-A1C4-BFCC4FE5FD07}"/>
            </c:ext>
          </c:extLst>
        </c:ser>
        <c:ser>
          <c:idx val="1"/>
          <c:order val="1"/>
          <c:tx>
            <c:strRef>
              <c:f>Optimización_Estructura!$C$7</c:f>
              <c:strCache>
                <c:ptCount val="1"/>
                <c:pt idx="0">
                  <c:v>Servicio OyM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Optimización_Estructura!$D$4:$H$4</c:f>
              <c:strCache>
                <c:ptCount val="5"/>
                <c:pt idx="0">
                  <c:v>BARRANCAS</c:v>
                </c:pt>
                <c:pt idx="1">
                  <c:v>LA VENTANA</c:v>
                </c:pt>
                <c:pt idx="2">
                  <c:v>MALARGÜE</c:v>
                </c:pt>
                <c:pt idx="3">
                  <c:v>UGARTECHE</c:v>
                </c:pt>
                <c:pt idx="4">
                  <c:v>VIZCACHERAS</c:v>
                </c:pt>
              </c:strCache>
            </c:strRef>
          </c:cat>
          <c:val>
            <c:numRef>
              <c:f>Optimización_Estructura!$D$7:$H$7</c:f>
              <c:numCache>
                <c:formatCode>_-[$USD]\ * #,##0.00_-;\-[$USD]\ * #,##0.00_-;_-[$USD]\ * "-"_-;_-@_-</c:formatCode>
                <c:ptCount val="5"/>
                <c:pt idx="0">
                  <c:v>82.673882657224084</c:v>
                </c:pt>
                <c:pt idx="1">
                  <c:v>72.920222343731353</c:v>
                </c:pt>
                <c:pt idx="2">
                  <c:v>71.526842298946676</c:v>
                </c:pt>
                <c:pt idx="3">
                  <c:v>22.578560572640839</c:v>
                </c:pt>
                <c:pt idx="4">
                  <c:v>76.635902463157151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41-47B1-A1C4-BFCC4FE5FD07}"/>
            </c:ext>
          </c:extLst>
        </c:ser>
        <c:ser>
          <c:idx val="3"/>
          <c:order val="2"/>
          <c:tx>
            <c:strRef>
              <c:f>Optimización_Estructura!$C$8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Optimización_Estructura!$D$4:$H$4</c:f>
              <c:strCache>
                <c:ptCount val="5"/>
                <c:pt idx="0">
                  <c:v>BARRANCAS</c:v>
                </c:pt>
                <c:pt idx="1">
                  <c:v>LA VENTANA</c:v>
                </c:pt>
                <c:pt idx="2">
                  <c:v>MALARGÜE</c:v>
                </c:pt>
                <c:pt idx="3">
                  <c:v>UGARTECHE</c:v>
                </c:pt>
                <c:pt idx="4">
                  <c:v>VIZCACHERAS</c:v>
                </c:pt>
              </c:strCache>
            </c:strRef>
          </c:cat>
          <c:val>
            <c:numRef>
              <c:f>Optimización_Estructura!$D$8:$H$8</c:f>
              <c:numCache>
                <c:formatCode>_-[$USD]\ * #,##0_-;\-[$USD]\ * #,##0_-;_-[$USD]\ * "-"_-;_-@_-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9341-47B1-A1C4-BFCC4FE5FD07}"/>
            </c:ext>
          </c:extLst>
        </c:ser>
        <c:ser>
          <c:idx val="4"/>
          <c:order val="3"/>
          <c:tx>
            <c:strRef>
              <c:f>Optimización_Estructura!$C$9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Optimización_Estructura!$D$4:$H$4</c:f>
              <c:strCache>
                <c:ptCount val="5"/>
                <c:pt idx="0">
                  <c:v>BARRANCAS</c:v>
                </c:pt>
                <c:pt idx="1">
                  <c:v>LA VENTANA</c:v>
                </c:pt>
                <c:pt idx="2">
                  <c:v>MALARGÜE</c:v>
                </c:pt>
                <c:pt idx="3">
                  <c:v>UGARTECHE</c:v>
                </c:pt>
                <c:pt idx="4">
                  <c:v>VIZCACHERAS</c:v>
                </c:pt>
              </c:strCache>
            </c:strRef>
          </c:cat>
          <c:val>
            <c:numRef>
              <c:f>Optimización_Estructura!$D$9:$H$9</c:f>
              <c:numCache>
                <c:formatCode>[$ARS]\ #,##0;\-[$ARS]\ 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9341-47B1-A1C4-BFCC4FE5FD07}"/>
            </c:ext>
          </c:extLst>
        </c:ser>
        <c:ser>
          <c:idx val="6"/>
          <c:order val="4"/>
          <c:tx>
            <c:strRef>
              <c:f>Optimización_Estructura!$C$10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Optimización_Estructura!$D$4:$H$4</c:f>
              <c:strCache>
                <c:ptCount val="5"/>
                <c:pt idx="0">
                  <c:v>BARRANCAS</c:v>
                </c:pt>
                <c:pt idx="1">
                  <c:v>LA VENTANA</c:v>
                </c:pt>
                <c:pt idx="2">
                  <c:v>MALARGÜE</c:v>
                </c:pt>
                <c:pt idx="3">
                  <c:v>UGARTECHE</c:v>
                </c:pt>
                <c:pt idx="4">
                  <c:v>VIZCACHERAS</c:v>
                </c:pt>
              </c:strCache>
            </c:strRef>
          </c:cat>
          <c:val>
            <c:numRef>
              <c:f>Optimización_Estructura!$D$10:$H$10</c:f>
              <c:numCache>
                <c:formatCode>[$ARS]\ #,##0;\-[$ARS]\ 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4-9341-47B1-A1C4-BFCC4FE5FD07}"/>
            </c:ext>
          </c:extLst>
        </c:ser>
        <c:ser>
          <c:idx val="7"/>
          <c:order val="5"/>
          <c:tx>
            <c:strRef>
              <c:f>Optimización_Estructura!$C$11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Optimización_Estructura!$D$4:$H$4</c:f>
              <c:strCache>
                <c:ptCount val="5"/>
                <c:pt idx="0">
                  <c:v>BARRANCAS</c:v>
                </c:pt>
                <c:pt idx="1">
                  <c:v>LA VENTANA</c:v>
                </c:pt>
                <c:pt idx="2">
                  <c:v>MALARGÜE</c:v>
                </c:pt>
                <c:pt idx="3">
                  <c:v>UGARTECHE</c:v>
                </c:pt>
                <c:pt idx="4">
                  <c:v>VIZCACHERAS</c:v>
                </c:pt>
              </c:strCache>
            </c:strRef>
          </c:cat>
          <c:val>
            <c:numRef>
              <c:f>Optimización_Estructura!$D$11:$H$11</c:f>
              <c:numCache>
                <c:formatCode>[$ARS]\ #,##0;\-[$ARS]\ 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9341-47B1-A1C4-BFCC4FE5F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7"/>
        <c:axId val="964975503"/>
        <c:axId val="672325919"/>
      </c:barChart>
      <c:barChart>
        <c:barDir val="col"/>
        <c:grouping val="clustered"/>
        <c:varyColors val="0"/>
        <c:ser>
          <c:idx val="8"/>
          <c:order val="6"/>
          <c:tx>
            <c:strRef>
              <c:f>Optimización_Estructura!$C$11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Optimización_Estructura!$D$4:$H$4</c:f>
              <c:strCache>
                <c:ptCount val="5"/>
                <c:pt idx="0">
                  <c:v>BARRANCAS</c:v>
                </c:pt>
                <c:pt idx="1">
                  <c:v>LA VENTANA</c:v>
                </c:pt>
                <c:pt idx="2">
                  <c:v>MALARGÜE</c:v>
                </c:pt>
                <c:pt idx="3">
                  <c:v>UGARTECHE</c:v>
                </c:pt>
                <c:pt idx="4">
                  <c:v>VIZCACHERAS</c:v>
                </c:pt>
              </c:strCache>
            </c:strRef>
          </c:cat>
          <c:val>
            <c:numRef>
              <c:f>Optimización_Estructura!$D$11:$H$11</c:f>
              <c:numCache>
                <c:formatCode>[$ARS]\ #,##0;\-[$ARS]\ 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9341-47B1-A1C4-BFCC4FE5FD07}"/>
            </c:ext>
          </c:extLst>
        </c:ser>
        <c:ser>
          <c:idx val="2"/>
          <c:order val="7"/>
          <c:tx>
            <c:strRef>
              <c:f>Optimización_Estructura!$C$12</c:f>
              <c:strCache>
                <c:ptCount val="1"/>
                <c:pt idx="0">
                  <c:v>Producto químico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3.0307503544682431E-2"/>
                  <c:y val="3.22777775267597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41-47B1-A1C4-BFCC4FE5FD07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Optimización_Estructura!$D$4:$H$4</c:f>
              <c:strCache>
                <c:ptCount val="5"/>
                <c:pt idx="0">
                  <c:v>BARRANCAS</c:v>
                </c:pt>
                <c:pt idx="1">
                  <c:v>LA VENTANA</c:v>
                </c:pt>
                <c:pt idx="2">
                  <c:v>MALARGÜE</c:v>
                </c:pt>
                <c:pt idx="3">
                  <c:v>UGARTECHE</c:v>
                </c:pt>
                <c:pt idx="4">
                  <c:v>VIZCACHERAS</c:v>
                </c:pt>
              </c:strCache>
            </c:strRef>
          </c:cat>
          <c:val>
            <c:numRef>
              <c:f>Optimización_Estructura!$D$12:$H$12</c:f>
              <c:numCache>
                <c:formatCode>_-[$USD]\ * #,##0_-;\-[$USD]\ * #,##0_-;_-[$USD]\ * "-"_-;_-@_-</c:formatCode>
                <c:ptCount val="5"/>
                <c:pt idx="0">
                  <c:v>355.63114845999996</c:v>
                </c:pt>
                <c:pt idx="1">
                  <c:v>222.27719716999999</c:v>
                </c:pt>
                <c:pt idx="2">
                  <c:v>444.52860466086236</c:v>
                </c:pt>
                <c:pt idx="3">
                  <c:v>47.403422220000003</c:v>
                </c:pt>
                <c:pt idx="4">
                  <c:v>260.75061683999996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341-47B1-A1C4-BFCC4FE5F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6"/>
        <c:overlap val="-28"/>
        <c:axId val="926717871"/>
        <c:axId val="378974191"/>
      </c:barChart>
      <c:catAx>
        <c:axId val="964975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72325919"/>
        <c:crosses val="autoZero"/>
        <c:auto val="1"/>
        <c:lblAlgn val="ctr"/>
        <c:lblOffset val="100"/>
        <c:noMultiLvlLbl val="0"/>
      </c:catAx>
      <c:valAx>
        <c:axId val="67232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Servicios [KUSD]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_-[$USD]\ * #,##0.00_-;\-[$USD]\ * #,##0.00_-;_-[$USD]\ 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4975503"/>
        <c:crosses val="autoZero"/>
        <c:crossBetween val="between"/>
      </c:valAx>
      <c:valAx>
        <c:axId val="378974191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Productos</a:t>
                </a:r>
                <a:r>
                  <a:rPr lang="es-AR" baseline="0"/>
                  <a:t> Químicos [KUSD]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[$USD]\ #,##0;\-[$USD]\ 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26717871"/>
        <c:crosses val="max"/>
        <c:crossBetween val="between"/>
      </c:valAx>
      <c:catAx>
        <c:axId val="92671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89741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Propuesta</a:t>
            </a:r>
            <a:r>
              <a:rPr lang="en-US" sz="1200" b="1" baseline="0"/>
              <a:t> Integral  Tratamientos Químicos Mendoza</a:t>
            </a:r>
            <a:endParaRPr lang="en-US" sz="1200" b="1"/>
          </a:p>
        </c:rich>
      </c:tx>
      <c:layout>
        <c:manualLayout>
          <c:xMode val="edge"/>
          <c:yMode val="edge"/>
          <c:x val="0.14442843992057791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27012426506952758"/>
          <c:y val="0.25143308589625424"/>
          <c:w val="0.4724315789964143"/>
          <c:h val="0.5952571251730816"/>
        </c:manualLayout>
      </c:layout>
      <c:pieChart>
        <c:varyColors val="1"/>
        <c:ser>
          <c:idx val="0"/>
          <c:order val="0"/>
          <c:tx>
            <c:strRef>
              <c:f>Optimización_Estructura!$D$14:$E$14</c:f>
              <c:strCache>
                <c:ptCount val="2"/>
                <c:pt idx="0">
                  <c:v>Químicos</c:v>
                </c:pt>
                <c:pt idx="1">
                  <c:v>Servicios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41A-422E-9D58-C93153FC859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41A-422E-9D58-C93153FC859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Optimización_Estructura!$D$14:$E$14</c:f>
              <c:strCache>
                <c:ptCount val="2"/>
                <c:pt idx="0">
                  <c:v>Químicos</c:v>
                </c:pt>
                <c:pt idx="1">
                  <c:v>Servicios</c:v>
                </c:pt>
              </c:strCache>
            </c:strRef>
          </c:cat>
          <c:val>
            <c:numRef>
              <c:f>Optimización_Estructura!$D$19:$E$19</c:f>
              <c:numCache>
                <c:formatCode>_-[$USD]\ * #,##0_-;\-[$USD]\ * #,##0_-;_-[$USD]\ * "-"_-;_-@_-</c:formatCode>
                <c:ptCount val="2"/>
                <c:pt idx="0">
                  <c:v>1330590.9893508623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1A-422E-9D58-C93153FC8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="1" baseline="0"/>
              <a:t>Optimización de Recursos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0553512280613486"/>
          <c:y val="0.23597206046047259"/>
          <c:w val="0.87534669987337843"/>
          <c:h val="0.647903342135607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Optimización_Estructura!$C$56</c:f>
              <c:strCache>
                <c:ptCount val="1"/>
                <c:pt idx="0">
                  <c:v>Personas (Choferes y recorredores)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Optimización_Estructura!$D$55:$G$55</c:f>
              <c:strCache>
                <c:ptCount val="4"/>
                <c:pt idx="0">
                  <c:v>Barrancas - Ugarteche</c:v>
                </c:pt>
                <c:pt idx="1">
                  <c:v>La Ventana - Vizcacheras</c:v>
                </c:pt>
                <c:pt idx="2">
                  <c:v>Malargüe</c:v>
                </c:pt>
                <c:pt idx="3">
                  <c:v>Total</c:v>
                </c:pt>
              </c:strCache>
            </c:strRef>
          </c:cat>
          <c:val>
            <c:numRef>
              <c:f>Optimización_Estructura!$D$56:$G$56</c:f>
              <c:numCache>
                <c:formatCode>0%</c:formatCode>
                <c:ptCount val="4"/>
                <c:pt idx="0">
                  <c:v>-0.53333333333333333</c:v>
                </c:pt>
                <c:pt idx="1">
                  <c:v>-0.36363636363636365</c:v>
                </c:pt>
                <c:pt idx="2">
                  <c:v>-0.36363636363636365</c:v>
                </c:pt>
                <c:pt idx="3">
                  <c:v>-0.32432432432432434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D6-444B-9048-81E4A99267FE}"/>
            </c:ext>
          </c:extLst>
        </c:ser>
        <c:ser>
          <c:idx val="1"/>
          <c:order val="1"/>
          <c:tx>
            <c:strRef>
              <c:f>Optimización_Estructura!$C$57</c:f>
              <c:strCache>
                <c:ptCount val="1"/>
                <c:pt idx="0">
                  <c:v>Unidades pesadas (Camiones de reposición)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Optimización_Estructura!$D$55:$G$55</c:f>
              <c:strCache>
                <c:ptCount val="4"/>
                <c:pt idx="0">
                  <c:v>Barrancas - Ugarteche</c:v>
                </c:pt>
                <c:pt idx="1">
                  <c:v>La Ventana - Vizcacheras</c:v>
                </c:pt>
                <c:pt idx="2">
                  <c:v>Malargüe</c:v>
                </c:pt>
                <c:pt idx="3">
                  <c:v>Total</c:v>
                </c:pt>
              </c:strCache>
            </c:strRef>
          </c:cat>
          <c:val>
            <c:numRef>
              <c:f>Optimización_Estructura!$D$57:$G$57</c:f>
              <c:numCache>
                <c:formatCode>0%</c:formatCode>
                <c:ptCount val="4"/>
                <c:pt idx="0">
                  <c:v>-0.16666666666666663</c:v>
                </c:pt>
                <c:pt idx="1">
                  <c:v>-0.16666666666666663</c:v>
                </c:pt>
                <c:pt idx="2">
                  <c:v>0</c:v>
                </c:pt>
                <c:pt idx="3">
                  <c:v>-0.125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D6-444B-9048-81E4A99267FE}"/>
            </c:ext>
          </c:extLst>
        </c:ser>
        <c:ser>
          <c:idx val="2"/>
          <c:order val="2"/>
          <c:tx>
            <c:strRef>
              <c:f>Optimización_Estructura!$C$58</c:f>
              <c:strCache>
                <c:ptCount val="1"/>
                <c:pt idx="0">
                  <c:v>Unidades livianas (camionetas)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Optimización_Estructura!$D$55:$G$55</c:f>
              <c:strCache>
                <c:ptCount val="4"/>
                <c:pt idx="0">
                  <c:v>Barrancas - Ugarteche</c:v>
                </c:pt>
                <c:pt idx="1">
                  <c:v>La Ventana - Vizcacheras</c:v>
                </c:pt>
                <c:pt idx="2">
                  <c:v>Malargüe</c:v>
                </c:pt>
                <c:pt idx="3">
                  <c:v>Total</c:v>
                </c:pt>
              </c:strCache>
            </c:strRef>
          </c:cat>
          <c:val>
            <c:numRef>
              <c:f>Optimización_Estructura!$D$58:$G$58</c:f>
              <c:numCache>
                <c:formatCode>0%</c:formatCode>
                <c:ptCount val="4"/>
                <c:pt idx="0">
                  <c:v>-0.33333333333333337</c:v>
                </c:pt>
                <c:pt idx="1">
                  <c:v>-0.33333333333333337</c:v>
                </c:pt>
                <c:pt idx="2">
                  <c:v>-0.33333333333333337</c:v>
                </c:pt>
                <c:pt idx="3">
                  <c:v>-0.11111111111111116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D6-444B-9048-81E4A992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100"/>
        <c:axId val="964975503"/>
        <c:axId val="672325919"/>
      </c:barChart>
      <c:catAx>
        <c:axId val="96497550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b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72325919"/>
        <c:crosses val="autoZero"/>
        <c:auto val="0"/>
        <c:lblAlgn val="ctr"/>
        <c:lblOffset val="150"/>
        <c:tickLblSkip val="1"/>
        <c:tickMarkSkip val="1"/>
        <c:noMultiLvlLbl val="0"/>
      </c:catAx>
      <c:valAx>
        <c:axId val="67232591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Optimización</a:t>
                </a:r>
                <a:r>
                  <a:rPr lang="es-AR" baseline="0"/>
                  <a:t> de recursos [%]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4975503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194477287783116E-2"/>
          <c:y val="9.8286940385809027E-2"/>
          <c:w val="0.94527567440651383"/>
          <c:h val="9.51612414622560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="1"/>
              <a:t>Propuesta</a:t>
            </a:r>
            <a:r>
              <a:rPr lang="es-AR" b="1" baseline="0"/>
              <a:t> Base: Áreas Individuales</a:t>
            </a:r>
          </a:p>
          <a:p>
            <a:pPr>
              <a:defRPr/>
            </a:pPr>
            <a:r>
              <a:rPr lang="es-AR" sz="1100" b="1">
                <a:solidFill>
                  <a:schemeClr val="bg1">
                    <a:lumMod val="50000"/>
                  </a:schemeClr>
                </a:solidFill>
              </a:rPr>
              <a:t>Total Productos Químicos: 1,419 MUSD</a:t>
            </a:r>
          </a:p>
          <a:p>
            <a:pPr>
              <a:defRPr/>
            </a:pPr>
            <a:r>
              <a:rPr lang="es-AR" sz="1100" b="1">
                <a:solidFill>
                  <a:schemeClr val="bg1">
                    <a:lumMod val="50000"/>
                  </a:schemeClr>
                </a:solidFill>
              </a:rPr>
              <a:t>Total</a:t>
            </a:r>
            <a:r>
              <a:rPr lang="es-AR" sz="1100" b="1" baseline="0">
                <a:solidFill>
                  <a:schemeClr val="bg1">
                    <a:lumMod val="50000"/>
                  </a:schemeClr>
                </a:solidFill>
              </a:rPr>
              <a:t> Servicios: 336 kUSD</a:t>
            </a:r>
            <a:endParaRPr lang="es-AR" sz="1100" b="1">
              <a:solidFill>
                <a:schemeClr val="bg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3461781692563277"/>
          <c:y val="0.21550796128699942"/>
          <c:w val="0.73763758975913218"/>
          <c:h val="0.619253538977322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Hoja1!$C$4</c:f>
              <c:strCache>
                <c:ptCount val="1"/>
                <c:pt idx="0">
                  <c:v>Servicio Batch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Hoja1!$D$3:$I$3</c:f>
              <c:strCache>
                <c:ptCount val="5"/>
                <c:pt idx="0">
                  <c:v>BARRANCAS</c:v>
                </c:pt>
                <c:pt idx="1">
                  <c:v>LA VENTANA</c:v>
                </c:pt>
                <c:pt idx="2">
                  <c:v>MALARGÜE</c:v>
                </c:pt>
                <c:pt idx="3">
                  <c:v>UGARTECHE</c:v>
                </c:pt>
                <c:pt idx="4">
                  <c:v>VIZCACHERAS</c:v>
                </c:pt>
              </c:strCache>
            </c:strRef>
          </c:cat>
          <c:val>
            <c:numRef>
              <c:f>Hoja1!$D$4:$I$4</c:f>
              <c:numCache>
                <c:formatCode>_-[$USD]\ * #,##0_-;\-[$USD]\ * #,##0_-;_-[$USD]\ * "-"_-;_-@_-</c:formatCode>
                <c:ptCount val="5"/>
                <c:pt idx="0">
                  <c:v>54.466934215442258</c:v>
                </c:pt>
                <c:pt idx="1">
                  <c:v>14.92797456275084</c:v>
                </c:pt>
                <c:pt idx="2">
                  <c:v>19.668615133354145</c:v>
                </c:pt>
                <c:pt idx="3">
                  <c:v>5.2449640355611065</c:v>
                </c:pt>
                <c:pt idx="4">
                  <c:v>21.181585528227544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7-48FE-A308-6E742C94576F}"/>
            </c:ext>
          </c:extLst>
        </c:ser>
        <c:ser>
          <c:idx val="1"/>
          <c:order val="1"/>
          <c:tx>
            <c:strRef>
              <c:f>Hoja1!$C$5</c:f>
              <c:strCache>
                <c:ptCount val="1"/>
                <c:pt idx="0">
                  <c:v>Servicio OyM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Hoja1!$D$3:$I$3</c:f>
              <c:strCache>
                <c:ptCount val="5"/>
                <c:pt idx="0">
                  <c:v>BARRANCAS</c:v>
                </c:pt>
                <c:pt idx="1">
                  <c:v>LA VENTANA</c:v>
                </c:pt>
                <c:pt idx="2">
                  <c:v>MALARGÜE</c:v>
                </c:pt>
                <c:pt idx="3">
                  <c:v>UGARTECHE</c:v>
                </c:pt>
                <c:pt idx="4">
                  <c:v>VIZCACHERAS</c:v>
                </c:pt>
              </c:strCache>
            </c:strRef>
          </c:cat>
          <c:val>
            <c:numRef>
              <c:f>Hoja1!$D$5:$I$5</c:f>
              <c:numCache>
                <c:formatCode>_-[$USD]\ * #,##0_-;\-[$USD]\ * #,##0_-;_-[$USD]\ * "-"_-;_-@_-</c:formatCode>
                <c:ptCount val="5"/>
                <c:pt idx="0">
                  <c:v>42.313127613405229</c:v>
                </c:pt>
                <c:pt idx="1">
                  <c:v>56.192503797686072</c:v>
                </c:pt>
                <c:pt idx="2">
                  <c:v>55.118761686902268</c:v>
                </c:pt>
                <c:pt idx="3">
                  <c:v>17.550355443762903</c:v>
                </c:pt>
                <c:pt idx="4">
                  <c:v>49.378604311725148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C7-48FE-A308-6E742C94576F}"/>
            </c:ext>
          </c:extLst>
        </c:ser>
        <c:ser>
          <c:idx val="3"/>
          <c:order val="2"/>
          <c:tx>
            <c:strRef>
              <c:f>Hoja1!$C$6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Hoja1!$D$3:$I$3</c:f>
              <c:strCache>
                <c:ptCount val="5"/>
                <c:pt idx="0">
                  <c:v>BARRANCAS</c:v>
                </c:pt>
                <c:pt idx="1">
                  <c:v>LA VENTANA</c:v>
                </c:pt>
                <c:pt idx="2">
                  <c:v>MALARGÜE</c:v>
                </c:pt>
                <c:pt idx="3">
                  <c:v>UGARTECHE</c:v>
                </c:pt>
                <c:pt idx="4">
                  <c:v>VIZCACHERAS</c:v>
                </c:pt>
              </c:strCache>
            </c:strRef>
          </c:cat>
          <c:val>
            <c:numRef>
              <c:f>Hoja1!$D$6:$I$6</c:f>
              <c:numCache>
                <c:formatCode>_-[$USD]\ * #,##0_-;\-[$USD]\ * #,##0_-;_-[$USD]\ * "-"_-;_-@_-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4-C0C7-48FE-A308-6E742C94576F}"/>
            </c:ext>
          </c:extLst>
        </c:ser>
        <c:ser>
          <c:idx val="4"/>
          <c:order val="3"/>
          <c:tx>
            <c:strRef>
              <c:f>Hoja1!$C$7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Hoja1!$D$3:$I$3</c:f>
              <c:strCache>
                <c:ptCount val="5"/>
                <c:pt idx="0">
                  <c:v>BARRANCAS</c:v>
                </c:pt>
                <c:pt idx="1">
                  <c:v>LA VENTANA</c:v>
                </c:pt>
                <c:pt idx="2">
                  <c:v>MALARGÜE</c:v>
                </c:pt>
                <c:pt idx="3">
                  <c:v>UGARTECHE</c:v>
                </c:pt>
                <c:pt idx="4">
                  <c:v>VIZCACHERAS</c:v>
                </c:pt>
              </c:strCache>
            </c:strRef>
          </c:cat>
          <c:val>
            <c:numRef>
              <c:f>Hoja1!$D$7:$H$7</c:f>
              <c:numCache>
                <c:formatCode>[$ARS]\ #,##0;\-[$ARS]\ 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C0C7-48FE-A308-6E742C94576F}"/>
            </c:ext>
          </c:extLst>
        </c:ser>
        <c:ser>
          <c:idx val="6"/>
          <c:order val="4"/>
          <c:tx>
            <c:strRef>
              <c:f>Hoja1!$C$8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Hoja1!$D$3:$I$3</c:f>
              <c:strCache>
                <c:ptCount val="5"/>
                <c:pt idx="0">
                  <c:v>BARRANCAS</c:v>
                </c:pt>
                <c:pt idx="1">
                  <c:v>LA VENTANA</c:v>
                </c:pt>
                <c:pt idx="2">
                  <c:v>MALARGÜE</c:v>
                </c:pt>
                <c:pt idx="3">
                  <c:v>UGARTECHE</c:v>
                </c:pt>
                <c:pt idx="4">
                  <c:v>VIZCACHERAS</c:v>
                </c:pt>
              </c:strCache>
            </c:strRef>
          </c:cat>
          <c:val>
            <c:numRef>
              <c:f>Hoja1!$D$8:$H$8</c:f>
              <c:numCache>
                <c:formatCode>[$ARS]\ #,##0;\-[$ARS]\ 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8-C0C7-48FE-A308-6E742C94576F}"/>
            </c:ext>
          </c:extLst>
        </c:ser>
        <c:ser>
          <c:idx val="7"/>
          <c:order val="5"/>
          <c:tx>
            <c:strRef>
              <c:f>Hoja1!$C$9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Hoja1!$D$3:$I$3</c:f>
              <c:strCache>
                <c:ptCount val="5"/>
                <c:pt idx="0">
                  <c:v>BARRANCAS</c:v>
                </c:pt>
                <c:pt idx="1">
                  <c:v>LA VENTANA</c:v>
                </c:pt>
                <c:pt idx="2">
                  <c:v>MALARGÜE</c:v>
                </c:pt>
                <c:pt idx="3">
                  <c:v>UGARTECHE</c:v>
                </c:pt>
                <c:pt idx="4">
                  <c:v>VIZCACHERAS</c:v>
                </c:pt>
              </c:strCache>
            </c:strRef>
          </c:cat>
          <c:val>
            <c:numRef>
              <c:f>Hoja1!$D$9:$H$9</c:f>
              <c:numCache>
                <c:formatCode>[$ARS]\ #,##0;\-[$ARS]\ 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9-C0C7-48FE-A308-6E742C94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7"/>
        <c:axId val="964975503"/>
        <c:axId val="672325919"/>
      </c:barChart>
      <c:barChart>
        <c:barDir val="col"/>
        <c:grouping val="clustered"/>
        <c:varyColors val="0"/>
        <c:ser>
          <c:idx val="8"/>
          <c:order val="6"/>
          <c:tx>
            <c:strRef>
              <c:f>Hoja1!$C$9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Hoja1!$D$3:$I$3</c:f>
              <c:strCache>
                <c:ptCount val="5"/>
                <c:pt idx="0">
                  <c:v>BARRANCAS</c:v>
                </c:pt>
                <c:pt idx="1">
                  <c:v>LA VENTANA</c:v>
                </c:pt>
                <c:pt idx="2">
                  <c:v>MALARGÜE</c:v>
                </c:pt>
                <c:pt idx="3">
                  <c:v>UGARTECHE</c:v>
                </c:pt>
                <c:pt idx="4">
                  <c:v>VIZCACHERAS</c:v>
                </c:pt>
              </c:strCache>
            </c:strRef>
          </c:cat>
          <c:val>
            <c:numRef>
              <c:f>Hoja1!$D$9:$H$9</c:f>
              <c:numCache>
                <c:formatCode>[$ARS]\ #,##0;\-[$ARS]\ 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C0C7-48FE-A308-6E742C94576F}"/>
            </c:ext>
          </c:extLst>
        </c:ser>
        <c:ser>
          <c:idx val="2"/>
          <c:order val="7"/>
          <c:tx>
            <c:strRef>
              <c:f>Hoja1!$C$10</c:f>
              <c:strCache>
                <c:ptCount val="1"/>
                <c:pt idx="0">
                  <c:v>Producto químico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3.0307503544682431E-2"/>
                  <c:y val="3.22777775267597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C7-48FE-A308-6E742C94576F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Hoja1!$D$3:$I$3</c:f>
              <c:strCache>
                <c:ptCount val="5"/>
                <c:pt idx="0">
                  <c:v>BARRANCAS</c:v>
                </c:pt>
                <c:pt idx="1">
                  <c:v>LA VENTANA</c:v>
                </c:pt>
                <c:pt idx="2">
                  <c:v>MALARGÜE</c:v>
                </c:pt>
                <c:pt idx="3">
                  <c:v>UGARTECHE</c:v>
                </c:pt>
                <c:pt idx="4">
                  <c:v>VIZCACHERAS</c:v>
                </c:pt>
              </c:strCache>
            </c:strRef>
          </c:cat>
          <c:val>
            <c:numRef>
              <c:f>Hoja1!$D$10:$I$10</c:f>
              <c:numCache>
                <c:formatCode>_-[$USD]\ * #,##0_-;\-[$USD]\ * #,##0_-;_-[$USD]\ * "-"_-;_-@_-</c:formatCode>
                <c:ptCount val="5"/>
                <c:pt idx="0">
                  <c:v>376.00988000000001</c:v>
                </c:pt>
                <c:pt idx="1">
                  <c:v>220.73774</c:v>
                </c:pt>
                <c:pt idx="2">
                  <c:v>504.73489420000004</c:v>
                </c:pt>
                <c:pt idx="3">
                  <c:v>54.929569999999991</c:v>
                </c:pt>
                <c:pt idx="4">
                  <c:v>262.65411999999998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C7-48FE-A308-6E742C94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6"/>
        <c:overlap val="-28"/>
        <c:axId val="926717871"/>
        <c:axId val="378974191"/>
      </c:barChart>
      <c:catAx>
        <c:axId val="964975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72325919"/>
        <c:crosses val="autoZero"/>
        <c:auto val="1"/>
        <c:lblAlgn val="ctr"/>
        <c:lblOffset val="100"/>
        <c:noMultiLvlLbl val="0"/>
      </c:catAx>
      <c:valAx>
        <c:axId val="67232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Servicios [KUSD]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_-[$USD]\ * #,##0_-;\-[$USD]\ * #,##0_-;_-[$USD]\ 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4975503"/>
        <c:crosses val="autoZero"/>
        <c:crossBetween val="between"/>
      </c:valAx>
      <c:valAx>
        <c:axId val="378974191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Productos</a:t>
                </a:r>
                <a:r>
                  <a:rPr lang="es-AR" baseline="0"/>
                  <a:t> Químicos [KUSD]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[$USD]\ #,##0;\-[$USD]\ 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26717871"/>
        <c:crosses val="max"/>
        <c:crossBetween val="between"/>
      </c:valAx>
      <c:catAx>
        <c:axId val="92671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89741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Propuesta</a:t>
            </a:r>
            <a:r>
              <a:rPr lang="en-US" sz="1200" b="1" baseline="0"/>
              <a:t> Integral  Tratamientos Químicos Mendoza</a:t>
            </a:r>
            <a:endParaRPr lang="en-US" sz="1200" b="1"/>
          </a:p>
        </c:rich>
      </c:tx>
      <c:layout>
        <c:manualLayout>
          <c:xMode val="edge"/>
          <c:yMode val="edge"/>
          <c:x val="0.14442843992057791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27012426506952758"/>
          <c:y val="0.25143308589625424"/>
          <c:w val="0.4724315789964143"/>
          <c:h val="0.5952571251730816"/>
        </c:manualLayout>
      </c:layout>
      <c:pieChart>
        <c:varyColors val="1"/>
        <c:ser>
          <c:idx val="0"/>
          <c:order val="0"/>
          <c:tx>
            <c:strRef>
              <c:f>Hoja1!$C$32:$C$33</c:f>
              <c:strCache>
                <c:ptCount val="2"/>
                <c:pt idx="0">
                  <c:v>Servicios</c:v>
                </c:pt>
                <c:pt idx="1">
                  <c:v>Productos Químicos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BC8-45F1-BC55-EDB99097EDB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C8-45F1-BC55-EDB99097EDB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Hoja1!$C$32:$C$33</c:f>
              <c:strCache>
                <c:ptCount val="2"/>
                <c:pt idx="0">
                  <c:v>Servicios</c:v>
                </c:pt>
                <c:pt idx="1">
                  <c:v>Productos Químicos</c:v>
                </c:pt>
              </c:strCache>
            </c:strRef>
          </c:cat>
          <c:val>
            <c:numRef>
              <c:f>Hoja1!$D$32:$D$33</c:f>
              <c:numCache>
                <c:formatCode>_-[$USD]\ * #,##0_-;\-[$USD]\ * #,##0_-;_-[$USD]\ * "-"_-;_-@_-</c:formatCode>
                <c:ptCount val="2"/>
                <c:pt idx="0">
                  <c:v>336043.42632881756</c:v>
                </c:pt>
                <c:pt idx="1">
                  <c:v>1419066.2041999998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3B-426A-ADF9-55259FAEB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Variación de costo de servicio </a:t>
            </a:r>
          </a:p>
          <a:p>
            <a:pPr>
              <a:defRPr/>
            </a:pPr>
            <a:r>
              <a:rPr lang="es-AR" sz="1200" b="1"/>
              <a:t>Optimización</a:t>
            </a:r>
            <a:r>
              <a:rPr lang="es-AR" sz="1200" b="1" baseline="0"/>
              <a:t> de servicio: -8,7% respecto de oferta base</a:t>
            </a:r>
            <a:endParaRPr lang="es-AR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2084149168853893"/>
          <c:y val="0.24537037037037038"/>
          <c:w val="0.7138073053368329"/>
          <c:h val="0.57778579760863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Hoja1!$C$36:$C$37</c:f>
              <c:strCache>
                <c:ptCount val="2"/>
                <c:pt idx="0">
                  <c:v>Oferta Base</c:v>
                </c:pt>
                <c:pt idx="1">
                  <c:v>Optimización de servicio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0DC-4663-81E8-C304A8E13D7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Hoja1!$C$36:$C$37</c:f>
              <c:strCache>
                <c:ptCount val="2"/>
                <c:pt idx="0">
                  <c:v>Oferta Base</c:v>
                </c:pt>
                <c:pt idx="1">
                  <c:v>Optimización de servicio</c:v>
                </c:pt>
              </c:strCache>
            </c:strRef>
          </c:cat>
          <c:val>
            <c:numRef>
              <c:f>Hoja1!$E$36:$E$37</c:f>
              <c:numCache>
                <c:formatCode>_-[$USD]\ * #,##0_-;\-[$USD]\ * #,##0_-;_-[$USD]\ * "-"_-;_-@_-</c:formatCode>
                <c:ptCount val="2"/>
                <c:pt idx="0">
                  <c:v>336043.42632881756</c:v>
                </c:pt>
                <c:pt idx="1">
                  <c:v>306905.63381741574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E9-4D47-B2A1-BE352B445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1198399"/>
        <c:axId val="1535369951"/>
      </c:barChart>
      <c:catAx>
        <c:axId val="1561198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535369951"/>
        <c:crosses val="autoZero"/>
        <c:auto val="1"/>
        <c:lblAlgn val="ctr"/>
        <c:lblOffset val="100"/>
        <c:noMultiLvlLbl val="0"/>
      </c:catAx>
      <c:valAx>
        <c:axId val="1535369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Costo</a:t>
                </a:r>
                <a:r>
                  <a:rPr lang="es-AR" baseline="0"/>
                  <a:t> servicio [USD/mes]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_-[$USD]\ * #,##0_-;\-[$USD]\ * #,##0_-;_-[$USD]\ 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56119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="1" baseline="0"/>
              <a:t>Optimización de Recursos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0553512280613486"/>
          <c:y val="0.23597206046047259"/>
          <c:w val="0.87534669987337843"/>
          <c:h val="0.647903342135607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'Optimización de Estructura'!$B$16</c:f>
              <c:strCache>
                <c:ptCount val="1"/>
                <c:pt idx="0">
                  <c:v>Personas (Choferes y recorredores)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'Optimización de Estructura'!$C$15:$F$15</c:f>
              <c:strCache>
                <c:ptCount val="4"/>
                <c:pt idx="0">
                  <c:v>Barrancas - Ugarteche</c:v>
                </c:pt>
                <c:pt idx="1">
                  <c:v>La Ventana - Vizcacheras</c:v>
                </c:pt>
                <c:pt idx="2">
                  <c:v>Malargüe</c:v>
                </c:pt>
                <c:pt idx="3">
                  <c:v>Total</c:v>
                </c:pt>
              </c:strCache>
            </c:strRef>
          </c:cat>
          <c:val>
            <c:numRef>
              <c:f>'Optimización de Estructura'!$C$16:$F$16</c:f>
              <c:numCache>
                <c:formatCode>0%</c:formatCode>
                <c:ptCount val="4"/>
                <c:pt idx="0">
                  <c:v>-0.6</c:v>
                </c:pt>
                <c:pt idx="1">
                  <c:v>-0.45454545454545459</c:v>
                </c:pt>
                <c:pt idx="2">
                  <c:v>-0.45454545454545459</c:v>
                </c:pt>
                <c:pt idx="3">
                  <c:v>-0.40540540540540537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A-4D47-B3F2-480C3659C98C}"/>
            </c:ext>
          </c:extLst>
        </c:ser>
        <c:ser>
          <c:idx val="1"/>
          <c:order val="1"/>
          <c:tx>
            <c:strRef>
              <c:f>'Optimización de Estructura'!$B$17</c:f>
              <c:strCache>
                <c:ptCount val="1"/>
                <c:pt idx="0">
                  <c:v>Unidades pesadas (Camiones de reposición)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'Optimización de Estructura'!$C$15:$F$15</c:f>
              <c:strCache>
                <c:ptCount val="4"/>
                <c:pt idx="0">
                  <c:v>Barrancas - Ugarteche</c:v>
                </c:pt>
                <c:pt idx="1">
                  <c:v>La Ventana - Vizcacheras</c:v>
                </c:pt>
                <c:pt idx="2">
                  <c:v>Malargüe</c:v>
                </c:pt>
                <c:pt idx="3">
                  <c:v>Total</c:v>
                </c:pt>
              </c:strCache>
            </c:strRef>
          </c:cat>
          <c:val>
            <c:numRef>
              <c:f>'Optimización de Estructura'!$C$17:$F$17</c:f>
              <c:numCache>
                <c:formatCode>0%</c:formatCode>
                <c:ptCount val="4"/>
                <c:pt idx="0">
                  <c:v>-0.33333333333333337</c:v>
                </c:pt>
                <c:pt idx="1">
                  <c:v>-0.33333333333333337</c:v>
                </c:pt>
                <c:pt idx="2">
                  <c:v>0</c:v>
                </c:pt>
                <c:pt idx="3">
                  <c:v>-0.25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A-4D47-B3F2-480C3659C98C}"/>
            </c:ext>
          </c:extLst>
        </c:ser>
        <c:ser>
          <c:idx val="2"/>
          <c:order val="2"/>
          <c:tx>
            <c:strRef>
              <c:f>'Optimización de Estructura'!$B$18</c:f>
              <c:strCache>
                <c:ptCount val="1"/>
                <c:pt idx="0">
                  <c:v>Unidades livianas (camionetas)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'Optimización de Estructura'!$C$15:$F$15</c:f>
              <c:strCache>
                <c:ptCount val="4"/>
                <c:pt idx="0">
                  <c:v>Barrancas - Ugarteche</c:v>
                </c:pt>
                <c:pt idx="1">
                  <c:v>La Ventana - Vizcacheras</c:v>
                </c:pt>
                <c:pt idx="2">
                  <c:v>Malargüe</c:v>
                </c:pt>
                <c:pt idx="3">
                  <c:v>Total</c:v>
                </c:pt>
              </c:strCache>
            </c:strRef>
          </c:cat>
          <c:val>
            <c:numRef>
              <c:f>'Optimización de Estructura'!$C$18:$F$18</c:f>
              <c:numCache>
                <c:formatCode>0%</c:formatCode>
                <c:ptCount val="4"/>
                <c:pt idx="0">
                  <c:v>-0.33333333333333337</c:v>
                </c:pt>
                <c:pt idx="1">
                  <c:v>-0.33333333333333337</c:v>
                </c:pt>
                <c:pt idx="2">
                  <c:v>-0.33333333333333337</c:v>
                </c:pt>
                <c:pt idx="3">
                  <c:v>-0.11111111111111116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A-4D47-B3F2-480C3659C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100"/>
        <c:axId val="964975503"/>
        <c:axId val="672325919"/>
      </c:barChart>
      <c:catAx>
        <c:axId val="96497550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b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72325919"/>
        <c:crosses val="autoZero"/>
        <c:auto val="0"/>
        <c:lblAlgn val="ctr"/>
        <c:lblOffset val="150"/>
        <c:tickLblSkip val="1"/>
        <c:tickMarkSkip val="1"/>
        <c:noMultiLvlLbl val="0"/>
      </c:catAx>
      <c:valAx>
        <c:axId val="67232591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Optimización</a:t>
                </a:r>
                <a:r>
                  <a:rPr lang="es-AR" baseline="0"/>
                  <a:t> de recursos [%]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4975503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194477287783116E-2"/>
          <c:y val="9.8286940385809027E-2"/>
          <c:w val="0.94527567440651383"/>
          <c:h val="9.51612414622560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682336</xdr:colOff>
      <xdr:row>21</xdr:row>
      <xdr:rowOff>162358</xdr:rowOff>
    </xdr:from>
    <xdr:to>
      <xdr:col>6</xdr:col>
      <xdr:colOff>1110961</xdr:colOff>
      <xdr:row>40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FCCAC0-414E-481C-BF74-2A7496FBC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192232</xdr:colOff>
      <xdr:row>21</xdr:row>
      <xdr:rowOff>92652</xdr:rowOff>
    </xdr:from>
    <xdr:to>
      <xdr:col>10</xdr:col>
      <xdr:colOff>606138</xdr:colOff>
      <xdr:row>34</xdr:row>
      <xdr:rowOff>866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36DC0D3-FC5C-42EC-8E42-26413ECC5D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452437</xdr:colOff>
      <xdr:row>41</xdr:row>
      <xdr:rowOff>47625</xdr:rowOff>
    </xdr:from>
    <xdr:to>
      <xdr:col>19</xdr:col>
      <xdr:colOff>459581</xdr:colOff>
      <xdr:row>53</xdr:row>
      <xdr:rowOff>169286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B253C82-338A-4ECD-B233-30D227651D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22</xdr:row>
          <xdr:rowOff>38100</xdr:rowOff>
        </xdr:from>
        <xdr:to>
          <xdr:col>12</xdr:col>
          <xdr:colOff>438150</xdr:colOff>
          <xdr:row>26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COMPLETAR TABLA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463261</xdr:colOff>
      <xdr:row>11</xdr:row>
      <xdr:rowOff>433</xdr:rowOff>
    </xdr:from>
    <xdr:to>
      <xdr:col>7</xdr:col>
      <xdr:colOff>510886</xdr:colOff>
      <xdr:row>29</xdr:row>
      <xdr:rowOff>112569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839932</xdr:colOff>
      <xdr:row>15</xdr:row>
      <xdr:rowOff>25977</xdr:rowOff>
    </xdr:from>
    <xdr:to>
      <xdr:col>12</xdr:col>
      <xdr:colOff>415638</xdr:colOff>
      <xdr:row>27</xdr:row>
      <xdr:rowOff>124691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510887</xdr:colOff>
      <xdr:row>39</xdr:row>
      <xdr:rowOff>102115</xdr:rowOff>
    </xdr:from>
    <xdr:to>
      <xdr:col>16</xdr:col>
      <xdr:colOff>5543</xdr:colOff>
      <xdr:row>56</xdr:row>
      <xdr:rowOff>13480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0887" y="7531615"/>
          <a:ext cx="13315431" cy="3149865"/>
        </a:xfrm>
        <a:prstGeom prst="rect">
          <a:avLst/>
        </a:prstGeom>
      </xdr:spPr>
    </xdr:pic>
    <xdr:clientData/>
  </xdr:twoCellAnchor>
  <xdr:twoCellAnchor>
    <xdr:from>
      <xdr:col>5</xdr:col>
      <xdr:colOff>542925</xdr:colOff>
      <xdr:row>22</xdr:row>
      <xdr:rowOff>185737</xdr:rowOff>
    </xdr:from>
    <xdr:to>
      <xdr:col>11</xdr:col>
      <xdr:colOff>161925</xdr:colOff>
      <xdr:row>37</xdr:row>
      <xdr:rowOff>71437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971550</xdr:colOff>
      <xdr:row>13</xdr:row>
      <xdr:rowOff>161925</xdr:rowOff>
    </xdr:from>
    <xdr:to>
      <xdr:col>9</xdr:col>
      <xdr:colOff>581278</xdr:colOff>
      <xdr:row>21</xdr:row>
      <xdr:rowOff>28769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4875" y="3438525"/>
          <a:ext cx="1810003" cy="1390844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36</xdr:row>
      <xdr:rowOff>57150</xdr:rowOff>
    </xdr:from>
    <xdr:to>
      <xdr:col>9</xdr:col>
      <xdr:colOff>390944</xdr:colOff>
      <xdr:row>44</xdr:row>
      <xdr:rowOff>95468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43750" y="6381750"/>
          <a:ext cx="3000794" cy="1562318"/>
        </a:xfrm>
        <a:prstGeom prst="rect">
          <a:avLst/>
        </a:prstGeom>
      </xdr:spPr>
    </xdr:pic>
    <xdr:clientData/>
  </xdr:twoCellAnchor>
  <xdr:twoCellAnchor editAs="oneCell">
    <xdr:from>
      <xdr:col>8</xdr:col>
      <xdr:colOff>400049</xdr:colOff>
      <xdr:row>48</xdr:row>
      <xdr:rowOff>8623</xdr:rowOff>
    </xdr:from>
    <xdr:to>
      <xdr:col>14</xdr:col>
      <xdr:colOff>584083</xdr:colOff>
      <xdr:row>61</xdr:row>
      <xdr:rowOff>123824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86874" y="8619223"/>
          <a:ext cx="6441959" cy="2591701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62</xdr:row>
      <xdr:rowOff>28575</xdr:rowOff>
    </xdr:from>
    <xdr:to>
      <xdr:col>10</xdr:col>
      <xdr:colOff>372481</xdr:colOff>
      <xdr:row>68</xdr:row>
      <xdr:rowOff>156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81425" y="11306175"/>
          <a:ext cx="7211431" cy="11145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2</xdr:row>
      <xdr:rowOff>247649</xdr:rowOff>
    </xdr:from>
    <xdr:to>
      <xdr:col>15</xdr:col>
      <xdr:colOff>142875</xdr:colOff>
      <xdr:row>14</xdr:row>
      <xdr:rowOff>312160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AB22B5F-1F9B-43B2-96D2-7D12DE5240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371475</xdr:colOff>
      <xdr:row>1</xdr:row>
      <xdr:rowOff>514350</xdr:rowOff>
    </xdr:from>
    <xdr:to>
      <xdr:col>17</xdr:col>
      <xdr:colOff>467802</xdr:colOff>
      <xdr:row>23</xdr:row>
      <xdr:rowOff>124409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05475" y="704850"/>
          <a:ext cx="7716327" cy="4182059"/>
        </a:xfrm>
        <a:prstGeom prst="rect">
          <a:avLst/>
        </a:prstGeom>
      </xdr:spPr>
    </xdr:pic>
    <xdr:clientData/>
  </xdr:twoCellAnchor>
  <xdr:twoCellAnchor editAs="oneCell">
    <xdr:from>
      <xdr:col>7</xdr:col>
      <xdr:colOff>371475</xdr:colOff>
      <xdr:row>24</xdr:row>
      <xdr:rowOff>76200</xdr:rowOff>
    </xdr:from>
    <xdr:to>
      <xdr:col>17</xdr:col>
      <xdr:colOff>467802</xdr:colOff>
      <xdr:row>29</xdr:row>
      <xdr:rowOff>143017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05475" y="5029200"/>
          <a:ext cx="7716327" cy="101931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21</xdr:row>
      <xdr:rowOff>85334</xdr:rowOff>
    </xdr:from>
    <xdr:to>
      <xdr:col>16</xdr:col>
      <xdr:colOff>629557</xdr:colOff>
      <xdr:row>27</xdr:row>
      <xdr:rowOff>85916</xdr:rowOff>
    </xdr:to>
    <xdr:pic>
      <xdr:nvPicPr>
        <xdr:cNvPr id="10" name="Imagen 1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6675" y="4133459"/>
          <a:ext cx="5506357" cy="116263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457200</xdr:colOff>
      <xdr:row>0</xdr:row>
      <xdr:rowOff>173708</xdr:rowOff>
    </xdr:from>
    <xdr:to>
      <xdr:col>22</xdr:col>
      <xdr:colOff>697007</xdr:colOff>
      <xdr:row>18</xdr:row>
      <xdr:rowOff>507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01200" y="173708"/>
          <a:ext cx="10907807" cy="32938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Secundaria\Porvenir\C&#225;lculo%20Qi.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7933\Cementaci&#243;n\Hern&#225;n\Trabajos%20de%20Campo\Informes%20de%20Operaciones\Chevron%20San%20Jorge%20SRL\ET-598\Aislaci&#243;n\aisl%20ET-59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indows\TEMP\AFES\PTER110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ocal%20Data\back%20AF%20%20recuperado\My%20Documents\Carpeta%20de%20Control%20de%20Pozos\Resumen%20y%20an&#225;lisis%2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2MIS001\Users\VictorErnesto\Propuesta\Soportes\Estadisticas%20Perf%2097%2098%2099%2000%2001%2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rguevara\LOCALS~1\Temp\notes8DDD21\CE1134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_FS01\VOL1\NEUQUEN\Contabilidad\Budget\1999\Definitivo\BUDGET%201999%20(Definitivo%2015-3-99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102378\C\access\LOYOLA\basic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costan\Configuraci&#243;n%20local\Temp\Apertura%20de%20Costos%20Tipo%20PAE%20-%20vfinal%201.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personal/ana_cevnia_pecomenergia_com_ar/Documents/ESCRITORIO/SALARIOS/01-Reportes%20Mensuales%20Completos/02.%20Febrero%202021/Copia%20de%20COTIZACI&#211;N%20MO%20PAE-%20Asan%20con%20incremento%201225%25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dirocco\AppData\Local\Microsoft\Windows\Temporary%20Internet%20Files\Content.Outlook\8ZMJZ5EL\BNDAL-18150-YPFAR%20-%20Montaje%20Controladores%20de%20Pozo%20(rev.A)%20SANTA%20CRUZ%20(003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DM-PLANILLA%20COMEDOR-AFES%20ACTUALIZADOS\AFES\Afes%20Centenario%202008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foProd%202.0\Porvenir\Mensual\2002\Mensual%20del%20%20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WINDOWS\TEMP\CURVA-MEDJDM-Prod-2001-Total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API1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Bill\Configuraci&#243;n%20local\Archivos%20temporales%20de%20Internet\Content.IE5\1R4XPPCF\Planta%20de%20Inyeccion%20-%20Cerro%20Dragon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Ejercicio%202002\Abril\Informe%20Asignados%20Internacionale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4\Versi&#243;n%2023-01-04%20Con%203%20Perfora%20Gas%20Centenario\Produc%20Vtas%20Precios%20Budget%202004%20(NP)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reyandr\My%20Documents\2004%20files\Finance%202004\Repsol%20YPF%20analysis%20-%20December%202004%20II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09\EE_AFES\WO&amp;CONV\EE_Ce-1038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cmontiel\LOCALS~1\Temp\notes8DDD21\CE1052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earntmulti5\general$\Ingenieria\Tratamiento%20Qu&#237;mico\EL%20TRAPIAL\NALCO\Tratamiento%20Quimico\Inhibidor%20de%20Incrustaciones\Pozos%20criticos\Copia%20de%20SPEF-ETm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miculi\Mis%20documentos\Miculian%20Pablo\Bolland%20&amp;%20Cia\Costeo%20preliminar%203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Sectores\Ing.%20Prod\PULLING\SEGUIMIENTO\Pulling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~005267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traprod.pan-energy.com/Documents%20and%20Settings/usuario/Mis%20documentos/AA%20Cutover/PEPS/PEPS%20PLANTAS%20TODAS%20LAS%20AREAS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ecoronad\LOCALS~1\Temp\notes8DDD21\AFE%20&amp;%20WO\AFE-2004\EPO\AFE&amp;WO%20NA-18\AFE%20WO&amp;PEM%20NA-18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0\Definitivo\BUDGET%202000%20(Definitivo%2001.02.00)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quanima\Proyectos\Chile\Banco%20Santander\6041%20-%20Servicio%20Apoyo%20de%20Vigilancia\3%20Inteligencia%20Mercado\RFI_6041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Vrubio\Mis%20documentos\2008\Casos\D&amp;S\ASEO\RFI\RFI%20Recibidos\analisis\RFI%20Recibidos\Limoci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TOTAUSTR\INS\BASICA\INSTRUM\PSV'S\CALCULO\10D110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Vrubio\Mis%20documentos\2009\Casos\TOTTUS\RFI\Recepci&#243;n%20RFI\Floor_Crew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WINDOWS\Temp\Estudio%202525%20ver%2022deMayo%20con%20zona%20y%20modif%20CC%20JP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7\Budget%202007%20Inversiones%20501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ectores\Producci&#243;n\DARIO\PRESUP%202004\CONSOLIDADO%20FINAL%20MEDANITO%20CS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Ejercicio%202002\Enero\Informe%20Asignados%20Internacionales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ecorder\Mis%20documentos\evangelina\Yacimiento\YPF\Informe%20varios\Informes%20T&#233;cnicos\Intervenci&#243;n-fotos-tendencia-croma-bsr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fdirocco/Documents/BND%20-%20Gesti&#243;n%20de%20Personas%20MZA/Cotizaciones/TRAZADORES/201801%20Pablo%20Mu&#241;oz/Cotizaci&#243;n%20MO%20201801%20rev.A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i05\biblioteca\Biblioteca\Piping\Soporte%20de%20C&#225;lculo\Espesor\Caner&#237;as%20PEAD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fsnas01\Depart\COMPENSACIONES\INFORMES%20SOLICITADOS\2009\R&amp;P\Ejercicio%20Octubre%202008\Recibidos\10-08_ANALISIS%20EJERCICIO%20DE%20NOV%20v3.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gomegabd\My%20Documents\Maria%20Ines\REPORTES\PP%2016\03%20Pulling%20PP%2016%20(02-04-04)\RI%20PP16%20(05-04-04)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SuarNic\My%20Documents\A%20RIO%20GALLEGOS\Alianza%20Petrobras\Contrato\Copy%20of%20Petrobras%20%20Agosto%20%202006%20con%20Bombas%20Centurion%20a%20Presentar%20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TPO0197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LBERTO\Formularios%20Servicios\PPTO.%20PETROANDINA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SuarNic\Local%20Settings\Temporary%20Internet%20Files\OLK10\WINDOWS\Temporary%20Internet%20Files\Content.IE5\9GNO1ELY\Certificado%2003-02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costan\Configuraci&#243;n%20local\Temp\CATRIEL_JUL13.xlsx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Simulaci&#243;n%20aumentos\Simulaci&#243;n%20condiciones\Informe%20Asignados%20Internacionales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mhuench\Mis%20documentos\PQB%20NEUQUEN\CUENTAS\DISCRIMINACION%20DE%20PRECIOS%20Y%20RECURSOS%20YPF\FINAL%20FINAL\ANEXO%20III%204944903%20u$s_912$_%20%20Ajustada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miculi.ARGENTINA\AppData\Local\Microsoft\Windows\Temporary%20Internet%20Files\Content.Outlook\PEZDPPGF\Cotizaci&#243;n%20PM-FS.xlsx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odelo%20Unificado%20V2.8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PETREVEN\BSC-FIN\BILANCIO\2014\SA\Petreven%20S.A.%20BCA%20Menu%20Administrador.xlsm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lientes_doc\BOLLAND\0034_1st%20Iny%20Trapial\piping\c&#243;mputo%20el%20trapial%202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Documents%20and%20Settings\jose-h\Mis%20documentos\AA\CONTRATO%20O&amp;M%20YPF\Estudio%20Econ&#243;mico\Tarifa%20WO%20O&amp;M%20%20%20incremental\REE%20EPASA%20TARIFA%20Incremental%20WO%20UNAO%20ene2008%20rev%202%20YPF-EPASA%2019may08%20DTM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otizaciones\PEREZ%20COMPANC\PLANILLAYPF5645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oter\ARCHI\UGA%20S%20A\906\PIPING\Computo\BASEDAT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_A.B.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NogueraL\AppData\Roaming\Microsoft\Excel\OXYPOARG_R_Service_Order_Contract_Details%20(cancel)%20(version%201)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Mant.Junio-Julio%202009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O&amp;M%20-%20Paro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Ingenier&#237;a%20Extracci&#243;n%20Junio%20Rev1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gomegabd\My%20Documents\Maria%20Ines\REPORTES\PP%2028\01%20Pulling%20PP%2028%20(11-05-04)\RP%20PP28%20(11-05-04)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svera\Local%20Settings\Temporary%20Internet%20Files\Content.Outlook\RTB1BOIN\EQUIPOS\Cinco%20Saltos\PRo.x-1\Programa\Coversion%20Programas%20Finales%20Ce\CE23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qnbua-dc\respaldo$\Documents%20and%20Settings\Victoria.Maes\Configuraci&#243;n%20local\Archivos%20temporales%20de%20Internet\OLK88\RFI_6041%20(2)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elizon\AppData\Local\Temp\Temp9_Archivos%20adjuntos%20comprimidos%20de%20WinZip%20(2).zip\Planilla%20Certificaci&#243;n%20Enero%202016-Catriel-Zona%20I%20II%20y%20VAM-.xlsm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elizon\AppData\Local\Temp\Temp12_Archivos%20adjuntos%20comprimidos%20de%20WinZip%20(2).zip\Planilla%20Certificaci&#243;n%20Abril%202016-Catriel-Zona%20I%20II%20y%20VAM.xlsm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mhuench\Configuraci&#243;n%20local\Temp\Copia%20de%20NUEVO%20ANEXO%20III%20V7%2049_%20AJ_CCT%2053-6346-12%20mh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(3)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bidart\Mis%20documentos\Pamela\Banco%20Santander\Cheques\Estadisticas%20Cheques%20y%20Dctos.Valorados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MPA_02\Centrilift\Mis%20documentos\Puesto%20Hern&#225;ndez\Disco%20Q\Ingenieria%20de%20Produccion\Pulling%20-%20Parte%20diario\Pulling-Intervenciones\PULL98.xls" TargetMode="External"/></Relationships>
</file>

<file path=xl/externalLinks/_rels/externalLink70.xml.rels><?xml version="1.0" encoding="UTF-8" standalone="yes"?>
<Relationships xmlns="http://schemas.openxmlformats.org/package/2006/relationships"><Relationship Id="rId2" Type="http://schemas.microsoft.com/office/2019/04/relationships/externalLinkLongPath" Target="2.%20Info%20Mgue/An&#225;lisis%20Mercado%20Nalco%20YPF/Mercado%20Actual%20YPF%20MGUE.xlsx?FB3AE778" TargetMode="External"/><Relationship Id="rId1" Type="http://schemas.openxmlformats.org/officeDocument/2006/relationships/externalLinkPath" Target="file:///\\FB3AE778\Mercado%20Actual%20YPF%20MGUE.xlsx" TargetMode="External"/></Relationships>
</file>

<file path=xl/externalLinks/_rels/externalLink7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pecom.sharepoint.com/sites/CotizacionessucursalOESTE/Documentos%20compartidos/General/04%20-%202024/1-Cotizaciones%20y%20licitaciones/37.%20YPF.%20TQ_Pta_Int_%20Ttos_Mendoza/6.%20PPT/EJERCICIO-OPEX-OOSS.ppt.xlsx" TargetMode="External"/><Relationship Id="rId1" Type="http://schemas.openxmlformats.org/officeDocument/2006/relationships/externalLinkPath" Target="6.%20PPT/EJERCICIO-OPEX-OOSS.pp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cope"/>
      <sheetName val="costo"/>
      <sheetName val="programa"/>
      <sheetName val="estatica"/>
      <sheetName val="FMT y DP"/>
      <sheetName val="Call Sheet"/>
      <sheetName val="costo con N2"/>
      <sheetName val="costo 13.9# + Flow Check"/>
      <sheetName val="FMT_y_DP"/>
      <sheetName val="Call_Sheet"/>
      <sheetName val="costo_con_N2"/>
      <sheetName val="costo_13_9#_+_Flow_Check"/>
      <sheetName val="Gradientes Programa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rm."/>
      <sheetName val="INFREP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afico SCADA"/>
      <sheetName val="S-102"/>
      <sheetName val="SCADA"/>
      <sheetName val="Correcciones"/>
      <sheetName val="Novedades"/>
      <sheetName val="Curvas"/>
      <sheetName val="MiniDB"/>
      <sheetName val="DB_declinacion"/>
      <sheetName val="Impres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>
        <row r="1">
          <cell r="D1" t="str">
            <v>R-15</v>
          </cell>
        </row>
        <row r="2">
          <cell r="D2">
            <v>37765</v>
          </cell>
        </row>
        <row r="3">
          <cell r="D3">
            <v>1237</v>
          </cell>
        </row>
        <row r="4">
          <cell r="D4">
            <v>485888</v>
          </cell>
        </row>
        <row r="5">
          <cell r="D5" t="str">
            <v>128/64 2R</v>
          </cell>
        </row>
        <row r="6">
          <cell r="D6" t="str">
            <v>Standard</v>
          </cell>
        </row>
        <row r="7">
          <cell r="D7">
            <v>37753</v>
          </cell>
        </row>
        <row r="8">
          <cell r="D8">
            <v>1244</v>
          </cell>
        </row>
        <row r="9">
          <cell r="D9">
            <v>522625</v>
          </cell>
        </row>
        <row r="10">
          <cell r="D10">
            <v>37638</v>
          </cell>
        </row>
        <row r="11">
          <cell r="D11">
            <v>1341</v>
          </cell>
        </row>
        <row r="12">
          <cell r="D12">
            <v>504162</v>
          </cell>
        </row>
        <row r="13">
          <cell r="D13">
            <v>1230</v>
          </cell>
        </row>
        <row r="14">
          <cell r="D14">
            <v>1237</v>
          </cell>
        </row>
        <row r="15">
          <cell r="D15">
            <v>1330</v>
          </cell>
        </row>
        <row r="16">
          <cell r="D16">
            <v>1119</v>
          </cell>
        </row>
        <row r="17">
          <cell r="D17">
            <v>1130</v>
          </cell>
        </row>
        <row r="18">
          <cell r="D18">
            <v>1115.2</v>
          </cell>
        </row>
        <row r="19">
          <cell r="D19">
            <v>0.6</v>
          </cell>
        </row>
        <row r="20">
          <cell r="D20">
            <v>0.43</v>
          </cell>
        </row>
        <row r="22">
          <cell r="D22">
            <v>25.911000000000001</v>
          </cell>
        </row>
        <row r="24">
          <cell r="D24">
            <v>27.558</v>
          </cell>
        </row>
        <row r="25">
          <cell r="D25">
            <v>2.6259999999999999</v>
          </cell>
        </row>
        <row r="27">
          <cell r="D27">
            <v>3.3319999999999999</v>
          </cell>
        </row>
        <row r="28">
          <cell r="D28">
            <v>59</v>
          </cell>
        </row>
        <row r="29">
          <cell r="D29">
            <v>60</v>
          </cell>
        </row>
        <row r="30">
          <cell r="D30">
            <v>60</v>
          </cell>
        </row>
        <row r="31">
          <cell r="D31">
            <v>33.799999999999997</v>
          </cell>
        </row>
        <row r="32">
          <cell r="D32">
            <v>32.799999999999997</v>
          </cell>
        </row>
        <row r="33">
          <cell r="D33">
            <v>25.14</v>
          </cell>
        </row>
        <row r="34">
          <cell r="D34" t="str">
            <v xml:space="preserve">Control Std. realizado con la surgencia de las dos ramas, para ello se cerro el R1001. </v>
          </cell>
        </row>
        <row r="35">
          <cell r="D35">
            <v>4315.7700000000004</v>
          </cell>
        </row>
        <row r="36">
          <cell r="D36">
            <v>3.8260000000000001</v>
          </cell>
        </row>
        <row r="37">
          <cell r="D37" t="str">
            <v>Control por 12 horas, se tomó cloruros de Bdp. En producción estable toda la semana con variaciones el dia 28 de mayo y  02 de junio por la compresora Chango Norte</v>
          </cell>
        </row>
        <row r="38">
          <cell r="D38">
            <v>1407.81</v>
          </cell>
        </row>
        <row r="39">
          <cell r="D39">
            <v>-0.54663074</v>
          </cell>
        </row>
        <row r="40">
          <cell r="D40">
            <v>382.56658055999998</v>
          </cell>
        </row>
        <row r="41">
          <cell r="D41">
            <v>1004566.3479349</v>
          </cell>
        </row>
        <row r="42">
          <cell r="D42">
            <v>-155475.79529256001</v>
          </cell>
        </row>
        <row r="44">
          <cell r="D44">
            <v>1254</v>
          </cell>
        </row>
        <row r="45">
          <cell r="D45">
            <v>1245</v>
          </cell>
        </row>
        <row r="46">
          <cell r="D46">
            <v>1249.4613037109375</v>
          </cell>
        </row>
        <row r="47">
          <cell r="D47">
            <v>1252</v>
          </cell>
        </row>
        <row r="48">
          <cell r="D48">
            <v>1254.9107360839844</v>
          </cell>
        </row>
        <row r="49">
          <cell r="D49">
            <v>1268</v>
          </cell>
        </row>
        <row r="50">
          <cell r="D50">
            <v>5.75</v>
          </cell>
        </row>
        <row r="51">
          <cell r="D51">
            <v>0</v>
          </cell>
        </row>
        <row r="52">
          <cell r="D52">
            <v>1204</v>
          </cell>
        </row>
        <row r="53">
          <cell r="D53">
            <v>1254</v>
          </cell>
        </row>
        <row r="54">
          <cell r="D54">
            <v>1304</v>
          </cell>
        </row>
        <row r="55">
          <cell r="D55">
            <v>1354</v>
          </cell>
        </row>
        <row r="56">
          <cell r="D56">
            <v>1404</v>
          </cell>
        </row>
        <row r="57">
          <cell r="D57">
            <v>0</v>
          </cell>
        </row>
        <row r="58">
          <cell r="D58">
            <v>0</v>
          </cell>
        </row>
        <row r="59">
          <cell r="D59">
            <v>113</v>
          </cell>
        </row>
        <row r="60">
          <cell r="D60">
            <v>55</v>
          </cell>
        </row>
        <row r="61">
          <cell r="D61">
            <v>0</v>
          </cell>
        </row>
        <row r="62">
          <cell r="D62">
            <v>0</v>
          </cell>
        </row>
        <row r="63">
          <cell r="D63">
            <v>0</v>
          </cell>
        </row>
        <row r="64">
          <cell r="D64">
            <v>0</v>
          </cell>
        </row>
        <row r="65">
          <cell r="D65">
            <v>0.67261904761904767</v>
          </cell>
        </row>
        <row r="66">
          <cell r="D66">
            <v>0.32738095238095238</v>
          </cell>
        </row>
        <row r="67">
          <cell r="D67">
            <v>0</v>
          </cell>
        </row>
        <row r="68">
          <cell r="D68">
            <v>0</v>
          </cell>
        </row>
        <row r="69">
          <cell r="D69" t="str">
            <v>0 % de la semana entre 0 - 1204 psi</v>
          </cell>
        </row>
        <row r="70">
          <cell r="D70" t="str">
            <v>67.26 % de la semana entre 1205 - 1254 psi</v>
          </cell>
        </row>
        <row r="71">
          <cell r="D71" t="str">
            <v>32.74 % de la semana entre 1255 - 1304 psi</v>
          </cell>
        </row>
        <row r="72">
          <cell r="D72" t="str">
            <v>0 % de la semana entre 1305 - 1354 psi</v>
          </cell>
        </row>
        <row r="73">
          <cell r="D73" t="str">
            <v>0 % de la semana entre 1355 - 1404 psi</v>
          </cell>
        </row>
      </sheetData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zonas c rc"/>
      <sheetName val="Mejores vs Piloto"/>
      <sheetName val="Piloto"/>
      <sheetName val="zonas 97 a 01 7"/>
      <sheetName val="97 a 2001 7"/>
      <sheetName val="% Varios"/>
      <sheetName val="2001 7"/>
      <sheetName val="2000"/>
      <sheetName val="99"/>
      <sheetName val="98"/>
      <sheetName val="97"/>
      <sheetName val="PC97 98"/>
      <sheetName val="RC 102 00 01 1"/>
      <sheetName val="RC136 00 01 1"/>
      <sheetName val="RC Downtime"/>
      <sheetName val="zonas_c_rc"/>
      <sheetName val="Mejores_vs_Piloto"/>
      <sheetName val="zonas_97_a_01_7"/>
      <sheetName val="97_a_2001_7"/>
      <sheetName val="%_Varios"/>
      <sheetName val="2001_7"/>
      <sheetName val="PC97_98"/>
      <sheetName val="RC_102_00_01_1"/>
      <sheetName val="RC136_00_01_1"/>
      <sheetName val="RC_Down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7">
          <cell r="A7">
            <v>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rm 1"/>
      <sheetName val="Term 2"/>
      <sheetName val="Term 3"/>
      <sheetName val="K"/>
      <sheetName val="costos"/>
      <sheetName val="Informe Term. (2)"/>
      <sheetName val="Informe Term. (3)"/>
      <sheetName val="AFE00Caratula"/>
      <sheetName val="AFE Costos"/>
      <sheetName val="Rep 08-2003 "/>
      <sheetName val="InfRep.11_200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RESUMEN INV EXPLO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507 Exp"/>
      <sheetName val="507 Exp Aclara"/>
      <sheetName val="Budget 99 Vs. Fct 6+6 "/>
      <sheetName val="RESUMEN"/>
      <sheetName val="PROD DIA Y MES"/>
      <sheetName val="PROD TOTAL"/>
      <sheetName val="PRECIOS"/>
      <sheetName val="PRECIOS GAS"/>
      <sheetName val="CASHFLOW"/>
      <sheetName val="Sheet1"/>
      <sheetName val="Datos"/>
      <sheetName val="Chart2"/>
      <sheetName val="Reservoirs Evolution"/>
      <sheetName val="BUDGET 1999 (Definitivo 15-3-9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N1" t="str">
            <v>U$S 000</v>
          </cell>
        </row>
        <row r="2">
          <cell r="A2" t="str">
            <v>INVESTMENT AND DEVELOPMENT PLAN YEAR 1999</v>
          </cell>
        </row>
        <row r="3">
          <cell r="A3" t="str">
            <v>NEUQUEN OFFICE - BUDGET 1999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N14">
            <v>0</v>
          </cell>
        </row>
        <row r="15">
          <cell r="A15" t="str">
            <v xml:space="preserve">        Battery</v>
          </cell>
          <cell r="N15">
            <v>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Gasolinoducto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20">
          <cell r="A20" t="str">
            <v>Gas Proyect</v>
          </cell>
          <cell r="N20">
            <v>0</v>
          </cell>
        </row>
        <row r="22">
          <cell r="A22" t="str">
            <v>Gas Lift / Plunger Lift</v>
          </cell>
          <cell r="N22">
            <v>0</v>
          </cell>
        </row>
        <row r="23">
          <cell r="N23">
            <v>0</v>
          </cell>
        </row>
        <row r="25">
          <cell r="A25" t="str">
            <v>Vehicles</v>
          </cell>
          <cell r="D25">
            <v>17</v>
          </cell>
          <cell r="N25">
            <v>17</v>
          </cell>
        </row>
        <row r="26">
          <cell r="D26">
            <v>1</v>
          </cell>
          <cell r="N26">
            <v>1</v>
          </cell>
        </row>
        <row r="28">
          <cell r="A28" t="str">
            <v>Miscellaneous</v>
          </cell>
          <cell r="B28">
            <v>20</v>
          </cell>
          <cell r="C28">
            <v>16</v>
          </cell>
          <cell r="D28">
            <v>20</v>
          </cell>
          <cell r="G28">
            <v>14</v>
          </cell>
          <cell r="N28">
            <v>70</v>
          </cell>
        </row>
        <row r="29">
          <cell r="N29">
            <v>0</v>
          </cell>
        </row>
        <row r="30">
          <cell r="A30" t="str">
            <v>Total Capitalized</v>
          </cell>
          <cell r="B30">
            <v>20</v>
          </cell>
          <cell r="C30">
            <v>16</v>
          </cell>
          <cell r="D30">
            <v>37</v>
          </cell>
          <cell r="E30">
            <v>0</v>
          </cell>
          <cell r="F30">
            <v>0</v>
          </cell>
          <cell r="G30">
            <v>14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87</v>
          </cell>
        </row>
        <row r="32">
          <cell r="A32" t="str">
            <v>Workovers</v>
          </cell>
          <cell r="N32">
            <v>0</v>
          </cell>
        </row>
        <row r="33">
          <cell r="N33">
            <v>0</v>
          </cell>
        </row>
        <row r="35">
          <cell r="A35" t="str">
            <v>Conversions &amp; Sel. Inyec.</v>
          </cell>
          <cell r="N35">
            <v>0</v>
          </cell>
        </row>
        <row r="36">
          <cell r="N36">
            <v>0</v>
          </cell>
        </row>
        <row r="38">
          <cell r="A38" t="str">
            <v>Water Disposal System</v>
          </cell>
          <cell r="N38">
            <v>0</v>
          </cell>
        </row>
        <row r="39">
          <cell r="N39">
            <v>0</v>
          </cell>
        </row>
        <row r="41">
          <cell r="A41" t="str">
            <v>Repair Oil &amp; Gas Line</v>
          </cell>
          <cell r="N41">
            <v>0</v>
          </cell>
        </row>
        <row r="43">
          <cell r="A43" t="str">
            <v>Core Analysis</v>
          </cell>
          <cell r="N43">
            <v>0</v>
          </cell>
        </row>
        <row r="45">
          <cell r="A45" t="str">
            <v>Testing</v>
          </cell>
          <cell r="N45">
            <v>0</v>
          </cell>
        </row>
        <row r="48">
          <cell r="A48" t="str">
            <v>Enviroment</v>
          </cell>
          <cell r="N48">
            <v>0</v>
          </cell>
        </row>
        <row r="51">
          <cell r="A51" t="str">
            <v>Road &amp; Dirt Works</v>
          </cell>
          <cell r="N51">
            <v>0</v>
          </cell>
        </row>
        <row r="53">
          <cell r="A53" t="str">
            <v>Miscellaneous Studies</v>
          </cell>
          <cell r="N53">
            <v>0</v>
          </cell>
        </row>
        <row r="55">
          <cell r="A55" t="str">
            <v>Miscellaneous</v>
          </cell>
          <cell r="N55">
            <v>0</v>
          </cell>
        </row>
        <row r="57">
          <cell r="A57" t="str">
            <v>Abandono Pozo</v>
          </cell>
          <cell r="N57">
            <v>0</v>
          </cell>
        </row>
        <row r="59">
          <cell r="A59" t="str">
            <v>Total Non Capitalized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Total Investiments</v>
          </cell>
          <cell r="B60">
            <v>20</v>
          </cell>
          <cell r="C60">
            <v>16</v>
          </cell>
          <cell r="D60">
            <v>37</v>
          </cell>
          <cell r="E60">
            <v>0</v>
          </cell>
          <cell r="F60">
            <v>0</v>
          </cell>
          <cell r="G60">
            <v>14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87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>
        <row r="2">
          <cell r="A2" t="str">
            <v>PRODUCTION &amp; SALES VOLUMES</v>
          </cell>
        </row>
        <row r="3">
          <cell r="A3" t="str">
            <v>NEUQUEN DISTRICT - BUDGET 1999</v>
          </cell>
        </row>
        <row r="7">
          <cell r="B7" t="str">
            <v>DAILY OIL PRODUCTION VOLUMES SCHEDULE</v>
          </cell>
        </row>
        <row r="8">
          <cell r="B8" t="str">
            <v>m3/d</v>
          </cell>
        </row>
        <row r="10">
          <cell r="C10" t="str">
            <v>Jan</v>
          </cell>
          <cell r="D10" t="str">
            <v>Feb</v>
          </cell>
          <cell r="E10" t="str">
            <v>Mar</v>
          </cell>
          <cell r="F10" t="str">
            <v>Apr</v>
          </cell>
          <cell r="G10" t="str">
            <v>May</v>
          </cell>
          <cell r="H10" t="str">
            <v>Jun</v>
          </cell>
          <cell r="I10" t="str">
            <v>Jul</v>
          </cell>
          <cell r="J10" t="str">
            <v>Aug</v>
          </cell>
          <cell r="K10" t="str">
            <v>Sep</v>
          </cell>
          <cell r="L10" t="str">
            <v>Oct</v>
          </cell>
          <cell r="M10" t="str">
            <v>Nov</v>
          </cell>
          <cell r="N10" t="str">
            <v>Dec</v>
          </cell>
          <cell r="O10" t="str">
            <v>Avg</v>
          </cell>
        </row>
        <row r="11">
          <cell r="B11" t="str">
            <v xml:space="preserve">  Centenario (1)</v>
          </cell>
          <cell r="C11">
            <v>456</v>
          </cell>
          <cell r="D11">
            <v>425</v>
          </cell>
          <cell r="E11">
            <v>424</v>
          </cell>
          <cell r="F11">
            <v>429</v>
          </cell>
          <cell r="G11">
            <v>432</v>
          </cell>
          <cell r="H11">
            <v>430</v>
          </cell>
          <cell r="I11">
            <v>457</v>
          </cell>
          <cell r="J11">
            <v>462</v>
          </cell>
          <cell r="K11">
            <v>460</v>
          </cell>
          <cell r="L11">
            <v>426</v>
          </cell>
          <cell r="M11">
            <v>448</v>
          </cell>
          <cell r="N11">
            <v>443</v>
          </cell>
          <cell r="O11">
            <v>441</v>
          </cell>
        </row>
        <row r="12">
          <cell r="B12" t="str">
            <v xml:space="preserve">  El Porvenir</v>
          </cell>
          <cell r="C12">
            <v>448</v>
          </cell>
          <cell r="D12">
            <v>460</v>
          </cell>
          <cell r="E12">
            <v>480</v>
          </cell>
          <cell r="F12">
            <v>489</v>
          </cell>
          <cell r="G12">
            <v>497</v>
          </cell>
          <cell r="H12">
            <v>506</v>
          </cell>
          <cell r="I12">
            <v>503</v>
          </cell>
          <cell r="J12">
            <v>507</v>
          </cell>
          <cell r="K12">
            <v>513</v>
          </cell>
          <cell r="L12">
            <v>510</v>
          </cell>
          <cell r="M12">
            <v>506</v>
          </cell>
          <cell r="N12">
            <v>501</v>
          </cell>
          <cell r="O12">
            <v>493.33333333333331</v>
          </cell>
        </row>
        <row r="13">
          <cell r="B13" t="str">
            <v xml:space="preserve">  Aguada Baguales</v>
          </cell>
          <cell r="C13">
            <v>209</v>
          </cell>
          <cell r="D13">
            <v>218</v>
          </cell>
          <cell r="E13">
            <v>203</v>
          </cell>
          <cell r="F13">
            <v>197</v>
          </cell>
          <cell r="G13">
            <v>203</v>
          </cell>
          <cell r="H13">
            <v>207</v>
          </cell>
          <cell r="I13">
            <v>206</v>
          </cell>
          <cell r="J13">
            <v>205</v>
          </cell>
          <cell r="K13">
            <v>199</v>
          </cell>
          <cell r="L13">
            <v>194</v>
          </cell>
          <cell r="M13">
            <v>189</v>
          </cell>
          <cell r="N13">
            <v>185</v>
          </cell>
          <cell r="O13">
            <v>201.25</v>
          </cell>
        </row>
        <row r="14">
          <cell r="B14" t="str">
            <v xml:space="preserve">  Puesto Touquet (1)</v>
          </cell>
          <cell r="C14">
            <v>1.4667741935483871</v>
          </cell>
          <cell r="D14">
            <v>1.5106000000000002</v>
          </cell>
          <cell r="E14">
            <v>1.4086899354838709</v>
          </cell>
          <cell r="F14">
            <v>1.5223760800000001</v>
          </cell>
          <cell r="G14">
            <v>1.4655509753290323</v>
          </cell>
          <cell r="H14">
            <v>1.4597499872320001</v>
          </cell>
          <cell r="I14">
            <v>1.4053185760608413</v>
          </cell>
          <cell r="J14">
            <v>1.3761523262170436</v>
          </cell>
          <cell r="K14">
            <v>1.3706849867308604</v>
          </cell>
          <cell r="L14">
            <v>1.3196519342516873</v>
          </cell>
          <cell r="M14">
            <v>1.31439642363618</v>
          </cell>
          <cell r="N14">
            <v>1.2655074391151264</v>
          </cell>
          <cell r="O14">
            <v>1.4071210714670859</v>
          </cell>
        </row>
        <row r="15">
          <cell r="B15" t="str">
            <v xml:space="preserve">  (1) Includes Gasoline &amp; Cond.</v>
          </cell>
        </row>
        <row r="16">
          <cell r="B16" t="str">
            <v>DAILY GAS SALES VOLUMES SCHEDULE</v>
          </cell>
        </row>
        <row r="17">
          <cell r="B17" t="str">
            <v>Mm3/d</v>
          </cell>
        </row>
        <row r="19">
          <cell r="C19" t="str">
            <v>Jan</v>
          </cell>
          <cell r="D19" t="str">
            <v>Feb</v>
          </cell>
          <cell r="E19" t="str">
            <v>Mar</v>
          </cell>
          <cell r="F19" t="str">
            <v>Apr</v>
          </cell>
          <cell r="G19" t="str">
            <v>May</v>
          </cell>
          <cell r="H19" t="str">
            <v>Jun</v>
          </cell>
          <cell r="I19" t="str">
            <v>Jul</v>
          </cell>
          <cell r="J19" t="str">
            <v>Aug</v>
          </cell>
          <cell r="K19" t="str">
            <v>Sep</v>
          </cell>
          <cell r="L19" t="str">
            <v>Oct</v>
          </cell>
          <cell r="M19" t="str">
            <v>Nov</v>
          </cell>
          <cell r="N19" t="str">
            <v>Dec</v>
          </cell>
          <cell r="O19" t="str">
            <v>Avg</v>
          </cell>
        </row>
        <row r="20">
          <cell r="B20" t="str">
            <v xml:space="preserve">  Centenario</v>
          </cell>
          <cell r="C20">
            <v>1240</v>
          </cell>
          <cell r="D20">
            <v>1238</v>
          </cell>
          <cell r="E20">
            <v>1350</v>
          </cell>
          <cell r="F20">
            <v>1500</v>
          </cell>
          <cell r="G20">
            <v>1500</v>
          </cell>
          <cell r="H20">
            <v>1500</v>
          </cell>
          <cell r="I20">
            <v>1900</v>
          </cell>
          <cell r="J20">
            <v>1950</v>
          </cell>
          <cell r="K20">
            <v>1950</v>
          </cell>
          <cell r="L20">
            <v>1635</v>
          </cell>
          <cell r="M20">
            <v>1950</v>
          </cell>
          <cell r="N20">
            <v>1949.8</v>
          </cell>
          <cell r="O20">
            <v>1638.5666666666666</v>
          </cell>
        </row>
        <row r="21">
          <cell r="B21" t="str">
            <v xml:space="preserve">  Aguada Baguales</v>
          </cell>
          <cell r="C21">
            <v>0</v>
          </cell>
          <cell r="D21">
            <v>0</v>
          </cell>
          <cell r="E21">
            <v>25</v>
          </cell>
          <cell r="F21">
            <v>25</v>
          </cell>
          <cell r="G21">
            <v>25</v>
          </cell>
          <cell r="H21">
            <v>25</v>
          </cell>
          <cell r="I21">
            <v>25</v>
          </cell>
          <cell r="J21">
            <v>25</v>
          </cell>
          <cell r="K21">
            <v>25</v>
          </cell>
          <cell r="L21">
            <v>25</v>
          </cell>
          <cell r="M21">
            <v>25</v>
          </cell>
          <cell r="N21">
            <v>25</v>
          </cell>
          <cell r="O21">
            <v>20.833333333333332</v>
          </cell>
        </row>
        <row r="22">
          <cell r="B22" t="str">
            <v xml:space="preserve">  Puesto Touquet</v>
          </cell>
          <cell r="C22">
            <v>201</v>
          </cell>
          <cell r="D22">
            <v>190</v>
          </cell>
          <cell r="E22">
            <v>190</v>
          </cell>
          <cell r="F22">
            <v>190</v>
          </cell>
          <cell r="G22">
            <v>190</v>
          </cell>
          <cell r="H22">
            <v>190</v>
          </cell>
          <cell r="I22">
            <v>190</v>
          </cell>
          <cell r="J22">
            <v>190</v>
          </cell>
          <cell r="K22">
            <v>190</v>
          </cell>
          <cell r="L22">
            <v>190</v>
          </cell>
          <cell r="M22">
            <v>190</v>
          </cell>
          <cell r="N22">
            <v>190</v>
          </cell>
          <cell r="O22">
            <v>190.91666666666666</v>
          </cell>
        </row>
        <row r="23">
          <cell r="B23" t="str">
            <v xml:space="preserve">  Puesto Silva</v>
          </cell>
          <cell r="C23">
            <v>122</v>
          </cell>
          <cell r="D23">
            <v>120</v>
          </cell>
          <cell r="E23">
            <v>116</v>
          </cell>
          <cell r="F23">
            <v>104</v>
          </cell>
          <cell r="G23">
            <v>108</v>
          </cell>
          <cell r="H23">
            <v>97</v>
          </cell>
          <cell r="I23">
            <v>135</v>
          </cell>
          <cell r="J23">
            <v>132</v>
          </cell>
          <cell r="K23">
            <v>122</v>
          </cell>
          <cell r="L23">
            <v>124</v>
          </cell>
          <cell r="M23">
            <v>115</v>
          </cell>
          <cell r="N23">
            <v>114.5</v>
          </cell>
          <cell r="O23">
            <v>117.45833333333333</v>
          </cell>
        </row>
        <row r="25">
          <cell r="B25" t="str">
            <v>DAILY PROPANE - BUTANE SALES VOLUMES SCHEDULE</v>
          </cell>
        </row>
        <row r="26">
          <cell r="B26" t="str">
            <v>Tn/d</v>
          </cell>
        </row>
        <row r="28">
          <cell r="C28" t="str">
            <v>Jan</v>
          </cell>
          <cell r="D28" t="str">
            <v>Feb</v>
          </cell>
          <cell r="E28" t="str">
            <v>Mar</v>
          </cell>
          <cell r="F28" t="str">
            <v>Apr</v>
          </cell>
          <cell r="G28" t="str">
            <v>May</v>
          </cell>
          <cell r="H28" t="str">
            <v>Jun</v>
          </cell>
          <cell r="I28" t="str">
            <v>Jul</v>
          </cell>
          <cell r="J28" t="str">
            <v>Aug</v>
          </cell>
          <cell r="K28" t="str">
            <v>Sep</v>
          </cell>
          <cell r="L28" t="str">
            <v>Oct</v>
          </cell>
          <cell r="M28" t="str">
            <v>Nov</v>
          </cell>
          <cell r="N28" t="str">
            <v>Dec</v>
          </cell>
          <cell r="O28" t="str">
            <v>Avg</v>
          </cell>
        </row>
        <row r="29">
          <cell r="B29" t="str">
            <v xml:space="preserve">  Centenario</v>
          </cell>
          <cell r="C29">
            <v>85</v>
          </cell>
          <cell r="D29">
            <v>82.035714285714292</v>
          </cell>
          <cell r="E29">
            <v>80</v>
          </cell>
          <cell r="F29">
            <v>96.666666666666671</v>
          </cell>
          <cell r="G29">
            <v>96.677419354838705</v>
          </cell>
          <cell r="H29">
            <v>96.666666666666671</v>
          </cell>
          <cell r="I29">
            <v>108.6774193548387</v>
          </cell>
          <cell r="J29">
            <v>108.6774193548387</v>
          </cell>
          <cell r="K29">
            <v>108.66666666666667</v>
          </cell>
          <cell r="L29">
            <v>94.645161290322577</v>
          </cell>
          <cell r="M29">
            <v>108.66666666666667</v>
          </cell>
          <cell r="N29">
            <v>108.6774193548387</v>
          </cell>
          <cell r="O29">
            <v>97.921434971838195</v>
          </cell>
        </row>
        <row r="32">
          <cell r="B32" t="str">
            <v>MONTHLY OIL PRODUCTION VOLUMES SCHEDULE</v>
          </cell>
        </row>
        <row r="33">
          <cell r="B33" t="str">
            <v>m3</v>
          </cell>
        </row>
        <row r="35">
          <cell r="C35" t="str">
            <v>Jan</v>
          </cell>
          <cell r="D35" t="str">
            <v>Feb</v>
          </cell>
          <cell r="E35" t="str">
            <v>Mar</v>
          </cell>
          <cell r="F35" t="str">
            <v>Apr</v>
          </cell>
          <cell r="G35" t="str">
            <v>May</v>
          </cell>
          <cell r="H35" t="str">
            <v>Jun</v>
          </cell>
          <cell r="I35" t="str">
            <v>Jul</v>
          </cell>
          <cell r="J35" t="str">
            <v>Aug</v>
          </cell>
          <cell r="K35" t="str">
            <v>Sep</v>
          </cell>
          <cell r="L35" t="str">
            <v>Oct</v>
          </cell>
          <cell r="M35" t="str">
            <v>Nov</v>
          </cell>
          <cell r="N35" t="str">
            <v>Dec</v>
          </cell>
          <cell r="O35" t="str">
            <v>Total</v>
          </cell>
        </row>
        <row r="36">
          <cell r="B36" t="str">
            <v xml:space="preserve">  Centenario (1)</v>
          </cell>
          <cell r="C36">
            <v>14136</v>
          </cell>
          <cell r="D36">
            <v>11900</v>
          </cell>
          <cell r="E36">
            <v>13144</v>
          </cell>
          <cell r="F36">
            <v>12870</v>
          </cell>
          <cell r="G36">
            <v>13392</v>
          </cell>
          <cell r="H36">
            <v>12900</v>
          </cell>
          <cell r="I36">
            <v>14167</v>
          </cell>
          <cell r="J36">
            <v>14322</v>
          </cell>
          <cell r="K36">
            <v>13800</v>
          </cell>
          <cell r="L36">
            <v>13206</v>
          </cell>
          <cell r="M36">
            <v>13440</v>
          </cell>
          <cell r="N36">
            <v>13733</v>
          </cell>
          <cell r="O36">
            <v>161010</v>
          </cell>
        </row>
        <row r="37">
          <cell r="B37" t="str">
            <v xml:space="preserve">  El Porvenir</v>
          </cell>
          <cell r="C37">
            <v>13888</v>
          </cell>
          <cell r="D37">
            <v>12880</v>
          </cell>
          <cell r="E37">
            <v>14880</v>
          </cell>
          <cell r="F37">
            <v>14670</v>
          </cell>
          <cell r="G37">
            <v>15407</v>
          </cell>
          <cell r="H37">
            <v>15180</v>
          </cell>
          <cell r="I37">
            <v>15593</v>
          </cell>
          <cell r="J37">
            <v>15717</v>
          </cell>
          <cell r="K37">
            <v>15390</v>
          </cell>
          <cell r="L37">
            <v>15810</v>
          </cell>
          <cell r="M37">
            <v>15180</v>
          </cell>
          <cell r="N37">
            <v>15531</v>
          </cell>
          <cell r="O37">
            <v>180126</v>
          </cell>
        </row>
        <row r="38">
          <cell r="B38" t="str">
            <v xml:space="preserve">  Aguada Baguales</v>
          </cell>
          <cell r="C38">
            <v>6479</v>
          </cell>
          <cell r="D38">
            <v>6104</v>
          </cell>
          <cell r="E38">
            <v>6293</v>
          </cell>
          <cell r="F38">
            <v>5910</v>
          </cell>
          <cell r="G38">
            <v>6293</v>
          </cell>
          <cell r="H38">
            <v>6210</v>
          </cell>
          <cell r="I38">
            <v>6386</v>
          </cell>
          <cell r="J38">
            <v>6355</v>
          </cell>
          <cell r="K38">
            <v>5970</v>
          </cell>
          <cell r="L38">
            <v>6014</v>
          </cell>
          <cell r="M38">
            <v>5670</v>
          </cell>
          <cell r="N38">
            <v>5735</v>
          </cell>
          <cell r="O38">
            <v>73419</v>
          </cell>
        </row>
        <row r="39">
          <cell r="B39" t="str">
            <v xml:space="preserve">  Puesto Touquet (1)</v>
          </cell>
          <cell r="C39">
            <v>45.47</v>
          </cell>
          <cell r="D39">
            <v>42.296800000000005</v>
          </cell>
          <cell r="E39">
            <v>43.669387999999998</v>
          </cell>
          <cell r="F39">
            <v>45.671282400000003</v>
          </cell>
          <cell r="G39">
            <v>45.432080235200004</v>
          </cell>
          <cell r="H39">
            <v>43.792499616960001</v>
          </cell>
          <cell r="I39">
            <v>43.564875857886079</v>
          </cell>
          <cell r="J39">
            <v>42.660722112728351</v>
          </cell>
          <cell r="K39">
            <v>41.120549601925809</v>
          </cell>
          <cell r="L39">
            <v>40.909209961802304</v>
          </cell>
          <cell r="M39">
            <v>39.431892709085403</v>
          </cell>
          <cell r="N39">
            <v>39.230730612568919</v>
          </cell>
          <cell r="O39">
            <v>513.25003110815692</v>
          </cell>
        </row>
        <row r="40">
          <cell r="B40" t="str">
            <v xml:space="preserve">  (1) Includes Gasoline &amp; Cond.</v>
          </cell>
        </row>
        <row r="41">
          <cell r="B41" t="str">
            <v>MONTHLY GAS SALES VOLUMES SCHEDULE</v>
          </cell>
        </row>
        <row r="42">
          <cell r="B42" t="str">
            <v>Mm3</v>
          </cell>
        </row>
        <row r="44">
          <cell r="C44" t="str">
            <v>Jan</v>
          </cell>
          <cell r="D44" t="str">
            <v>Feb</v>
          </cell>
          <cell r="E44" t="str">
            <v>Mar</v>
          </cell>
          <cell r="F44" t="str">
            <v>Apr</v>
          </cell>
          <cell r="G44" t="str">
            <v>May</v>
          </cell>
          <cell r="H44" t="str">
            <v>Jun</v>
          </cell>
          <cell r="I44" t="str">
            <v>Jul</v>
          </cell>
          <cell r="J44" t="str">
            <v>Aug</v>
          </cell>
          <cell r="K44" t="str">
            <v>Sep</v>
          </cell>
          <cell r="L44" t="str">
            <v>Oct</v>
          </cell>
          <cell r="M44" t="str">
            <v>Nov</v>
          </cell>
          <cell r="N44" t="str">
            <v>Dec</v>
          </cell>
          <cell r="O44" t="str">
            <v>Total</v>
          </cell>
        </row>
        <row r="45">
          <cell r="B45" t="str">
            <v xml:space="preserve">  Centenario</v>
          </cell>
          <cell r="C45">
            <v>38440</v>
          </cell>
          <cell r="D45">
            <v>34664</v>
          </cell>
          <cell r="E45">
            <v>41850</v>
          </cell>
          <cell r="F45">
            <v>45000</v>
          </cell>
          <cell r="G45">
            <v>46500</v>
          </cell>
          <cell r="H45">
            <v>45000</v>
          </cell>
          <cell r="I45">
            <v>58900</v>
          </cell>
          <cell r="J45">
            <v>60450</v>
          </cell>
          <cell r="K45">
            <v>58500</v>
          </cell>
          <cell r="L45">
            <v>50685</v>
          </cell>
          <cell r="M45">
            <v>58500</v>
          </cell>
          <cell r="N45">
            <v>60443.799999999996</v>
          </cell>
          <cell r="O45">
            <v>598932.80000000005</v>
          </cell>
        </row>
        <row r="46">
          <cell r="B46" t="str">
            <v xml:space="preserve">  Aguada Baguales</v>
          </cell>
          <cell r="C46">
            <v>0</v>
          </cell>
          <cell r="D46">
            <v>0</v>
          </cell>
          <cell r="E46">
            <v>775</v>
          </cell>
          <cell r="F46">
            <v>750</v>
          </cell>
          <cell r="G46">
            <v>775</v>
          </cell>
          <cell r="H46">
            <v>750</v>
          </cell>
          <cell r="I46">
            <v>775</v>
          </cell>
          <cell r="J46">
            <v>775</v>
          </cell>
          <cell r="K46">
            <v>750</v>
          </cell>
          <cell r="L46">
            <v>775</v>
          </cell>
          <cell r="M46">
            <v>750</v>
          </cell>
          <cell r="N46">
            <v>775</v>
          </cell>
          <cell r="O46">
            <v>7650</v>
          </cell>
        </row>
        <row r="47">
          <cell r="B47" t="str">
            <v xml:space="preserve">  Puesto Touquet</v>
          </cell>
          <cell r="C47">
            <v>6231</v>
          </cell>
          <cell r="D47">
            <v>5320</v>
          </cell>
          <cell r="E47">
            <v>5890</v>
          </cell>
          <cell r="F47">
            <v>5700</v>
          </cell>
          <cell r="G47">
            <v>5890</v>
          </cell>
          <cell r="H47">
            <v>5700</v>
          </cell>
          <cell r="I47">
            <v>5890</v>
          </cell>
          <cell r="J47">
            <v>5890</v>
          </cell>
          <cell r="K47">
            <v>5700</v>
          </cell>
          <cell r="L47">
            <v>5890</v>
          </cell>
          <cell r="M47">
            <v>5700</v>
          </cell>
          <cell r="N47">
            <v>5890</v>
          </cell>
          <cell r="O47">
            <v>69691</v>
          </cell>
        </row>
        <row r="48">
          <cell r="B48" t="str">
            <v xml:space="preserve">  Puesto Silva</v>
          </cell>
          <cell r="C48">
            <v>3782</v>
          </cell>
          <cell r="D48">
            <v>3360</v>
          </cell>
          <cell r="E48">
            <v>3596</v>
          </cell>
          <cell r="F48">
            <v>3120</v>
          </cell>
          <cell r="G48">
            <v>3348</v>
          </cell>
          <cell r="H48">
            <v>2910</v>
          </cell>
          <cell r="I48">
            <v>4185</v>
          </cell>
          <cell r="J48">
            <v>4092</v>
          </cell>
          <cell r="K48">
            <v>3660</v>
          </cell>
          <cell r="L48">
            <v>3844</v>
          </cell>
          <cell r="M48">
            <v>3450</v>
          </cell>
          <cell r="N48">
            <v>3549.5</v>
          </cell>
          <cell r="O48">
            <v>42896.5</v>
          </cell>
        </row>
        <row r="50">
          <cell r="B50" t="str">
            <v>MONTHLY PROPANE - BUTANE SALES VOLUMES SCHEDULE</v>
          </cell>
        </row>
        <row r="51">
          <cell r="B51" t="str">
            <v>Tn</v>
          </cell>
        </row>
        <row r="53">
          <cell r="C53" t="str">
            <v>Jan</v>
          </cell>
          <cell r="D53" t="str">
            <v>Feb</v>
          </cell>
          <cell r="E53" t="str">
            <v>Mar</v>
          </cell>
          <cell r="F53" t="str">
            <v>Apr</v>
          </cell>
          <cell r="G53" t="str">
            <v>May</v>
          </cell>
          <cell r="H53" t="str">
            <v>Jun</v>
          </cell>
          <cell r="I53" t="str">
            <v>Jul</v>
          </cell>
          <cell r="J53" t="str">
            <v>Aug</v>
          </cell>
          <cell r="K53" t="str">
            <v>Sep</v>
          </cell>
          <cell r="L53" t="str">
            <v>Oct</v>
          </cell>
          <cell r="M53" t="str">
            <v>Nov</v>
          </cell>
          <cell r="N53" t="str">
            <v>Dec</v>
          </cell>
          <cell r="O53" t="str">
            <v>Total</v>
          </cell>
        </row>
        <row r="54">
          <cell r="B54" t="str">
            <v xml:space="preserve">  Centenario</v>
          </cell>
          <cell r="C54">
            <v>2635</v>
          </cell>
          <cell r="D54">
            <v>2297</v>
          </cell>
          <cell r="E54">
            <v>2480</v>
          </cell>
          <cell r="F54">
            <v>2900</v>
          </cell>
          <cell r="G54">
            <v>2997</v>
          </cell>
          <cell r="H54">
            <v>2900</v>
          </cell>
          <cell r="I54">
            <v>3369</v>
          </cell>
          <cell r="J54">
            <v>3369</v>
          </cell>
          <cell r="K54">
            <v>3260</v>
          </cell>
          <cell r="L54">
            <v>2934</v>
          </cell>
          <cell r="M54">
            <v>3260</v>
          </cell>
          <cell r="N54">
            <v>3369</v>
          </cell>
          <cell r="O54">
            <v>35770</v>
          </cell>
        </row>
      </sheetData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"/>
    </sheetNames>
    <definedNames>
      <definedName name="AbrirImprimir"/>
      <definedName name="BorrarHoja"/>
      <definedName name="GrabarCambios"/>
      <definedName name="Macro4"/>
      <definedName name="Módulo3.Sector2"/>
      <definedName name="Módulo4.Sector3"/>
      <definedName name="Módulo5.Sector4"/>
      <definedName name="Módulo6.Sector5"/>
      <definedName name="Sector1"/>
      <definedName name="SectorTanque1"/>
      <definedName name="Tanque2"/>
      <definedName name="Tanque3"/>
      <definedName name="Tanque4"/>
      <definedName name="Tanque5"/>
      <definedName name="Tanque6"/>
    </defined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 "/>
      <sheetName val="MO"/>
      <sheetName val="CS"/>
      <sheetName val="GdP"/>
      <sheetName val="Veh"/>
      <sheetName val="Maq"/>
      <sheetName val="Mat"/>
      <sheetName val="Otros"/>
      <sheetName val="GE"/>
      <sheetName val="INSTRUCTIVO DE CARGA"/>
    </sheetNames>
    <sheetDataSet>
      <sheetData sheetId="0"/>
      <sheetData sheetId="1">
        <row r="3">
          <cell r="A3" t="str">
            <v>Fuera de Convenio</v>
          </cell>
        </row>
        <row r="4">
          <cell r="A4" t="str">
            <v>Nombre y Apellido</v>
          </cell>
        </row>
        <row r="24">
          <cell r="A24" t="str">
            <v>UOCRA</v>
          </cell>
        </row>
        <row r="25">
          <cell r="A25" t="str">
            <v>Nombre y Apellido</v>
          </cell>
        </row>
        <row r="54">
          <cell r="A54" t="str">
            <v>Petroleros</v>
          </cell>
        </row>
        <row r="55">
          <cell r="A55" t="str">
            <v>Nombre y Apellido</v>
          </cell>
        </row>
        <row r="56">
          <cell r="A56" t="str">
            <v>SOLDADURA</v>
          </cell>
        </row>
        <row r="65">
          <cell r="A65" t="str">
            <v>CAÑISTAS</v>
          </cell>
        </row>
        <row r="71">
          <cell r="A71" t="str">
            <v>RETROEXCAVADORA</v>
          </cell>
        </row>
        <row r="74">
          <cell r="A74" t="str">
            <v>LABORATORISTAS</v>
          </cell>
        </row>
        <row r="79">
          <cell r="A79" t="str">
            <v>OPERADORES DE PLANTA</v>
          </cell>
        </row>
        <row r="88">
          <cell r="A88" t="str">
            <v>OPERADORES DE PRODUCCIÓN</v>
          </cell>
        </row>
        <row r="97">
          <cell r="A97" t="str">
            <v>SOPORTES DE PRODUCCIÓN</v>
          </cell>
        </row>
        <row r="106">
          <cell r="A106" t="str">
            <v>OTROS SUELDOS DIRECTOS</v>
          </cell>
        </row>
      </sheetData>
      <sheetData sheetId="2"/>
      <sheetData sheetId="3">
        <row r="5">
          <cell r="F5" t="str">
            <v>Op</v>
          </cell>
          <cell r="G5" t="str">
            <v>Adm</v>
          </cell>
          <cell r="H5" t="str">
            <v>Sup</v>
          </cell>
        </row>
        <row r="61">
          <cell r="F61" t="str">
            <v>Op</v>
          </cell>
          <cell r="G61" t="str">
            <v>Adm</v>
          </cell>
        </row>
      </sheetData>
      <sheetData sheetId="4"/>
      <sheetData sheetId="5"/>
      <sheetData sheetId="6"/>
      <sheetData sheetId="7"/>
      <sheetData sheetId="8">
        <row r="5">
          <cell r="I5" t="str">
            <v>SOLDADORES</v>
          </cell>
        </row>
        <row r="6">
          <cell r="I6" t="str">
            <v>CAÑISTAS</v>
          </cell>
        </row>
        <row r="7">
          <cell r="I7" t="str">
            <v>RETROEXCAVADORA</v>
          </cell>
        </row>
        <row r="8">
          <cell r="I8" t="str">
            <v>LABORATORISTAS</v>
          </cell>
        </row>
        <row r="9">
          <cell r="I9" t="str">
            <v>OPERADORES DE PLANTA KK</v>
          </cell>
        </row>
        <row r="10">
          <cell r="I10" t="str">
            <v>OPERADORES DE PLANTA PC</v>
          </cell>
        </row>
        <row r="11">
          <cell r="I11" t="str">
            <v>OPERADORES DE PRODUCCION</v>
          </cell>
        </row>
        <row r="12">
          <cell r="I12" t="str">
            <v>SOPORTES DE PRODUCCIÓN</v>
          </cell>
        </row>
      </sheetData>
      <sheetData sheetId="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grama de trabajo"/>
      <sheetName val="FUERA DE CONVENIO"/>
      <sheetName val="UOCRA"/>
      <sheetName val="ASAN- P. PRIVADO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43739</v>
          </cell>
        </row>
      </sheetData>
      <sheetData sheetId="2">
        <row r="8">
          <cell r="D8">
            <v>43374</v>
          </cell>
        </row>
        <row r="9">
          <cell r="D9" t="str">
            <v>Zona 2</v>
          </cell>
        </row>
      </sheetData>
      <sheetData sheetId="3"/>
      <sheetData sheetId="4">
        <row r="7"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  <cell r="CE7" t="str">
            <v>PETROLERO CHUBUT (605/10)</v>
          </cell>
          <cell r="CF7" t="str">
            <v>PETROLERO CHUBUT (605/10)</v>
          </cell>
          <cell r="CG7" t="str">
            <v>PETROLERO FASP (643/12)</v>
          </cell>
          <cell r="CH7" t="str">
            <v>PETROLERO FASP (643/12)</v>
          </cell>
          <cell r="CI7" t="str">
            <v>PETROLERO FASP (643/12)</v>
          </cell>
          <cell r="CJ7" t="str">
            <v>PETROLERO FASP (643/12)</v>
          </cell>
          <cell r="CK7" t="str">
            <v>PETROLERO FASP (643/12)</v>
          </cell>
          <cell r="CL7" t="str">
            <v>PETROLERO RN, NQN Y LP (644/12)</v>
          </cell>
          <cell r="CM7" t="str">
            <v>PETROLERO RN, NQN Y LP (644/12)</v>
          </cell>
          <cell r="CN7" t="str">
            <v>PETROLERO RN, NQN Y LP (644/12)</v>
          </cell>
        </row>
        <row r="8"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  <cell r="CE8" t="str">
            <v>BASICA</v>
          </cell>
          <cell r="CF8">
            <v>1</v>
          </cell>
          <cell r="CG8" t="str">
            <v>BASICA</v>
          </cell>
          <cell r="CH8">
            <v>3</v>
          </cell>
          <cell r="CI8">
            <v>2</v>
          </cell>
          <cell r="CJ8">
            <v>1</v>
          </cell>
          <cell r="CK8" t="str">
            <v>CUENCA AUSTRAL</v>
          </cell>
          <cell r="CL8" t="str">
            <v>BASICA</v>
          </cell>
          <cell r="CM8">
            <v>3</v>
          </cell>
          <cell r="CN8">
            <v>2</v>
          </cell>
        </row>
        <row r="9">
          <cell r="BH9">
            <v>43862</v>
          </cell>
          <cell r="BI9">
            <v>43862</v>
          </cell>
          <cell r="BJ9">
            <v>43862</v>
          </cell>
          <cell r="BQ9">
            <v>43739</v>
          </cell>
          <cell r="BR9">
            <v>43739</v>
          </cell>
          <cell r="BS9">
            <v>43739</v>
          </cell>
          <cell r="BT9">
            <v>43739</v>
          </cell>
          <cell r="BX9">
            <v>43739</v>
          </cell>
          <cell r="BY9">
            <v>43739</v>
          </cell>
          <cell r="BZ9">
            <v>43739</v>
          </cell>
          <cell r="CA9">
            <v>43862</v>
          </cell>
          <cell r="CB9">
            <v>43862</v>
          </cell>
          <cell r="CC9">
            <v>43862</v>
          </cell>
          <cell r="CD9">
            <v>43862</v>
          </cell>
          <cell r="CE9">
            <v>43862</v>
          </cell>
          <cell r="CF9">
            <v>43862</v>
          </cell>
          <cell r="CG9">
            <v>43862</v>
          </cell>
          <cell r="CH9">
            <v>43862</v>
          </cell>
          <cell r="CI9">
            <v>43862</v>
          </cell>
          <cell r="CJ9">
            <v>43862</v>
          </cell>
        </row>
        <row r="10">
          <cell r="A10" t="str">
            <v>INGRESANTE</v>
          </cell>
          <cell r="B10" t="str">
            <v>D</v>
          </cell>
          <cell r="BH10">
            <v>14439</v>
          </cell>
          <cell r="BI10">
            <v>20503</v>
          </cell>
          <cell r="BJ10">
            <v>23536</v>
          </cell>
          <cell r="BR10">
            <v>13456</v>
          </cell>
          <cell r="BS10">
            <v>19108</v>
          </cell>
          <cell r="BT10">
            <v>21933</v>
          </cell>
          <cell r="BX10">
            <v>13456</v>
          </cell>
          <cell r="BY10">
            <v>19108</v>
          </cell>
          <cell r="BZ10">
            <v>21933</v>
          </cell>
          <cell r="CH10">
            <v>14439</v>
          </cell>
          <cell r="CI10">
            <v>20503</v>
          </cell>
          <cell r="CJ10">
            <v>23536</v>
          </cell>
        </row>
        <row r="11">
          <cell r="A11" t="str">
            <v>INGRESANTE</v>
          </cell>
          <cell r="B11" t="str">
            <v>A</v>
          </cell>
          <cell r="BH11">
            <v>19204</v>
          </cell>
          <cell r="BI11">
            <v>27269</v>
          </cell>
          <cell r="BJ11">
            <v>31303</v>
          </cell>
          <cell r="BR11">
            <v>17896</v>
          </cell>
          <cell r="BS11">
            <v>25414</v>
          </cell>
          <cell r="BT11">
            <v>29171</v>
          </cell>
          <cell r="BX11">
            <v>17896</v>
          </cell>
          <cell r="BY11">
            <v>25414</v>
          </cell>
          <cell r="BZ11">
            <v>29171</v>
          </cell>
          <cell r="CH11">
            <v>19204</v>
          </cell>
          <cell r="CI11">
            <v>27269</v>
          </cell>
          <cell r="CJ11">
            <v>31303</v>
          </cell>
        </row>
        <row r="12">
          <cell r="A12" t="str">
            <v>INGRESANTE</v>
          </cell>
          <cell r="B12" t="str">
            <v>B</v>
          </cell>
          <cell r="BH12">
            <v>17616</v>
          </cell>
          <cell r="BI12">
            <v>25014</v>
          </cell>
          <cell r="BJ12">
            <v>28714</v>
          </cell>
          <cell r="BR12">
            <v>16416</v>
          </cell>
          <cell r="BS12">
            <v>23312</v>
          </cell>
          <cell r="BT12">
            <v>26758</v>
          </cell>
          <cell r="BX12">
            <v>16416</v>
          </cell>
          <cell r="BY12">
            <v>23312</v>
          </cell>
          <cell r="BZ12">
            <v>26758</v>
          </cell>
          <cell r="CH12">
            <v>17616</v>
          </cell>
          <cell r="CI12">
            <v>25014</v>
          </cell>
          <cell r="CJ12">
            <v>28714</v>
          </cell>
        </row>
        <row r="13">
          <cell r="A13" t="str">
            <v>INGRESANTE</v>
          </cell>
          <cell r="B13" t="str">
            <v>Y</v>
          </cell>
          <cell r="BH13">
            <v>15161</v>
          </cell>
          <cell r="BI13">
            <v>21528</v>
          </cell>
          <cell r="BJ13">
            <v>24713</v>
          </cell>
          <cell r="BR13">
            <v>14129</v>
          </cell>
          <cell r="BS13">
            <v>20063</v>
          </cell>
          <cell r="BT13">
            <v>23030</v>
          </cell>
          <cell r="BX13">
            <v>14129</v>
          </cell>
          <cell r="BY13">
            <v>20063</v>
          </cell>
          <cell r="BZ13">
            <v>23030</v>
          </cell>
          <cell r="CH13">
            <v>15161</v>
          </cell>
          <cell r="CI13">
            <v>21528</v>
          </cell>
          <cell r="CJ13">
            <v>24713</v>
          </cell>
        </row>
        <row r="14">
          <cell r="A14" t="str">
            <v>A</v>
          </cell>
          <cell r="B14" t="str">
            <v>D</v>
          </cell>
          <cell r="BH14">
            <v>14731</v>
          </cell>
          <cell r="BI14">
            <v>20918</v>
          </cell>
          <cell r="BJ14">
            <v>24012</v>
          </cell>
          <cell r="BR14">
            <v>13728</v>
          </cell>
          <cell r="BS14">
            <v>19494</v>
          </cell>
          <cell r="BT14">
            <v>22377</v>
          </cell>
          <cell r="BX14">
            <v>13728</v>
          </cell>
          <cell r="BY14">
            <v>19494</v>
          </cell>
          <cell r="BZ14">
            <v>22377</v>
          </cell>
          <cell r="CH14">
            <v>14731</v>
          </cell>
          <cell r="CI14">
            <v>20918</v>
          </cell>
          <cell r="CJ14">
            <v>24012</v>
          </cell>
        </row>
        <row r="15">
          <cell r="A15" t="str">
            <v>A</v>
          </cell>
          <cell r="B15" t="str">
            <v>A</v>
          </cell>
          <cell r="BH15">
            <v>19592</v>
          </cell>
          <cell r="BI15">
            <v>27821</v>
          </cell>
          <cell r="BJ15">
            <v>31936</v>
          </cell>
          <cell r="BR15">
            <v>18258</v>
          </cell>
          <cell r="BS15">
            <v>25927</v>
          </cell>
          <cell r="BT15">
            <v>29761</v>
          </cell>
          <cell r="BX15">
            <v>18258</v>
          </cell>
          <cell r="BY15">
            <v>25927</v>
          </cell>
          <cell r="BZ15">
            <v>29761</v>
          </cell>
          <cell r="CH15">
            <v>19592</v>
          </cell>
          <cell r="CI15">
            <v>27821</v>
          </cell>
          <cell r="CJ15">
            <v>31936</v>
          </cell>
        </row>
        <row r="16">
          <cell r="A16" t="str">
            <v>A</v>
          </cell>
          <cell r="B16" t="str">
            <v>B</v>
          </cell>
          <cell r="BH16">
            <v>17972</v>
          </cell>
          <cell r="BI16">
            <v>25520</v>
          </cell>
          <cell r="BJ16">
            <v>29295</v>
          </cell>
          <cell r="BR16">
            <v>16748</v>
          </cell>
          <cell r="BS16">
            <v>23783</v>
          </cell>
          <cell r="BT16">
            <v>27300</v>
          </cell>
          <cell r="BX16">
            <v>16748</v>
          </cell>
          <cell r="BY16">
            <v>23783</v>
          </cell>
          <cell r="BZ16">
            <v>27300</v>
          </cell>
          <cell r="CH16">
            <v>17972</v>
          </cell>
          <cell r="CI16">
            <v>25520</v>
          </cell>
          <cell r="CJ16">
            <v>29295</v>
          </cell>
        </row>
        <row r="17">
          <cell r="A17" t="str">
            <v>A</v>
          </cell>
          <cell r="B17" t="str">
            <v>Y</v>
          </cell>
          <cell r="BH17">
            <v>15468</v>
          </cell>
          <cell r="BI17">
            <v>21964</v>
          </cell>
          <cell r="BJ17">
            <v>25213</v>
          </cell>
          <cell r="BR17">
            <v>14414</v>
          </cell>
          <cell r="BS17">
            <v>20469</v>
          </cell>
          <cell r="BT17">
            <v>23496</v>
          </cell>
          <cell r="BX17">
            <v>14414</v>
          </cell>
          <cell r="BY17">
            <v>20469</v>
          </cell>
          <cell r="BZ17">
            <v>23496</v>
          </cell>
          <cell r="CH17">
            <v>15468</v>
          </cell>
          <cell r="CI17">
            <v>21964</v>
          </cell>
          <cell r="CJ17">
            <v>25213</v>
          </cell>
        </row>
        <row r="18">
          <cell r="A18" t="str">
            <v>B</v>
          </cell>
          <cell r="B18" t="str">
            <v>D</v>
          </cell>
          <cell r="BH18">
            <v>15039</v>
          </cell>
          <cell r="BI18">
            <v>21355</v>
          </cell>
          <cell r="BJ18">
            <v>24514</v>
          </cell>
          <cell r="BR18">
            <v>14015</v>
          </cell>
          <cell r="BS18">
            <v>19901</v>
          </cell>
          <cell r="BT18">
            <v>22844</v>
          </cell>
          <cell r="BX18">
            <v>14015</v>
          </cell>
          <cell r="BY18">
            <v>19901</v>
          </cell>
          <cell r="BZ18">
            <v>22844</v>
          </cell>
          <cell r="CH18">
            <v>15039</v>
          </cell>
          <cell r="CI18">
            <v>21355</v>
          </cell>
          <cell r="CJ18">
            <v>24514</v>
          </cell>
        </row>
        <row r="19">
          <cell r="A19" t="str">
            <v>B</v>
          </cell>
          <cell r="B19" t="str">
            <v>A</v>
          </cell>
          <cell r="BH19">
            <v>20002</v>
          </cell>
          <cell r="BI19">
            <v>28402</v>
          </cell>
          <cell r="BJ19">
            <v>32604</v>
          </cell>
          <cell r="BR19">
            <v>18640</v>
          </cell>
          <cell r="BS19">
            <v>26468</v>
          </cell>
          <cell r="BT19">
            <v>30383</v>
          </cell>
          <cell r="BX19">
            <v>18640</v>
          </cell>
          <cell r="BY19">
            <v>26468</v>
          </cell>
          <cell r="BZ19">
            <v>30383</v>
          </cell>
          <cell r="CH19">
            <v>20002</v>
          </cell>
          <cell r="CI19">
            <v>28402</v>
          </cell>
          <cell r="CJ19">
            <v>32604</v>
          </cell>
        </row>
        <row r="20">
          <cell r="A20" t="str">
            <v>B</v>
          </cell>
          <cell r="B20" t="str">
            <v>B</v>
          </cell>
          <cell r="BH20">
            <v>18348</v>
          </cell>
          <cell r="BI20">
            <v>26053</v>
          </cell>
          <cell r="BJ20">
            <v>29907</v>
          </cell>
          <cell r="BR20">
            <v>17098</v>
          </cell>
          <cell r="BS20">
            <v>24279</v>
          </cell>
          <cell r="BT20">
            <v>27870</v>
          </cell>
          <cell r="BX20">
            <v>17098</v>
          </cell>
          <cell r="BY20">
            <v>24279</v>
          </cell>
          <cell r="BZ20">
            <v>27870</v>
          </cell>
          <cell r="CH20">
            <v>18348</v>
          </cell>
          <cell r="CI20">
            <v>26053</v>
          </cell>
          <cell r="CJ20">
            <v>29907</v>
          </cell>
        </row>
        <row r="21">
          <cell r="A21" t="str">
            <v>B</v>
          </cell>
          <cell r="B21" t="str">
            <v>Y</v>
          </cell>
          <cell r="BH21">
            <v>15791</v>
          </cell>
          <cell r="BI21">
            <v>22423</v>
          </cell>
          <cell r="BJ21">
            <v>25740</v>
          </cell>
          <cell r="BR21">
            <v>14716</v>
          </cell>
          <cell r="BS21">
            <v>20896</v>
          </cell>
          <cell r="BT21">
            <v>23986</v>
          </cell>
          <cell r="BX21">
            <v>14716</v>
          </cell>
          <cell r="BY21">
            <v>20896</v>
          </cell>
          <cell r="BZ21">
            <v>23986</v>
          </cell>
          <cell r="CH21">
            <v>15791</v>
          </cell>
          <cell r="CI21">
            <v>22423</v>
          </cell>
          <cell r="CJ21">
            <v>25740</v>
          </cell>
        </row>
        <row r="22">
          <cell r="A22" t="str">
            <v>C</v>
          </cell>
          <cell r="B22" t="str">
            <v>D</v>
          </cell>
          <cell r="BH22">
            <v>15364</v>
          </cell>
          <cell r="BI22">
            <v>21817</v>
          </cell>
          <cell r="BJ22">
            <v>25043</v>
          </cell>
          <cell r="BR22">
            <v>14318</v>
          </cell>
          <cell r="BS22">
            <v>20332</v>
          </cell>
          <cell r="BT22">
            <v>23338</v>
          </cell>
          <cell r="BX22">
            <v>14318</v>
          </cell>
          <cell r="BY22">
            <v>20332</v>
          </cell>
          <cell r="BZ22">
            <v>23338</v>
          </cell>
          <cell r="CH22">
            <v>15364</v>
          </cell>
          <cell r="CI22">
            <v>21817</v>
          </cell>
          <cell r="CJ22">
            <v>25043</v>
          </cell>
        </row>
        <row r="23">
          <cell r="A23" t="str">
            <v>C</v>
          </cell>
          <cell r="B23" t="str">
            <v>A</v>
          </cell>
          <cell r="BH23">
            <v>20434</v>
          </cell>
          <cell r="BI23">
            <v>29017</v>
          </cell>
          <cell r="BJ23">
            <v>33307</v>
          </cell>
          <cell r="BR23">
            <v>19043</v>
          </cell>
          <cell r="BS23">
            <v>27042</v>
          </cell>
          <cell r="BT23">
            <v>31040</v>
          </cell>
          <cell r="BX23">
            <v>19043</v>
          </cell>
          <cell r="BY23">
            <v>27042</v>
          </cell>
          <cell r="BZ23">
            <v>31040</v>
          </cell>
          <cell r="CH23">
            <v>20434</v>
          </cell>
          <cell r="CI23">
            <v>29017</v>
          </cell>
          <cell r="CJ23">
            <v>33307</v>
          </cell>
        </row>
        <row r="24">
          <cell r="A24" t="str">
            <v>C</v>
          </cell>
          <cell r="B24" t="str">
            <v>B</v>
          </cell>
          <cell r="BH24">
            <v>18744</v>
          </cell>
          <cell r="BI24">
            <v>26617</v>
          </cell>
          <cell r="BJ24">
            <v>30552</v>
          </cell>
          <cell r="BR24">
            <v>17468</v>
          </cell>
          <cell r="BS24">
            <v>24805</v>
          </cell>
          <cell r="BT24">
            <v>28472</v>
          </cell>
          <cell r="BX24">
            <v>17468</v>
          </cell>
          <cell r="BY24">
            <v>24805</v>
          </cell>
          <cell r="BZ24">
            <v>28472</v>
          </cell>
          <cell r="CH24">
            <v>18744</v>
          </cell>
          <cell r="CI24">
            <v>26617</v>
          </cell>
          <cell r="CJ24">
            <v>30552</v>
          </cell>
        </row>
        <row r="25">
          <cell r="A25" t="str">
            <v>C</v>
          </cell>
          <cell r="B25" t="str">
            <v>Y</v>
          </cell>
          <cell r="BH25">
            <v>16132</v>
          </cell>
          <cell r="BI25">
            <v>22908</v>
          </cell>
          <cell r="BJ25">
            <v>26295</v>
          </cell>
          <cell r="BR25">
            <v>15034</v>
          </cell>
          <cell r="BS25">
            <v>21349</v>
          </cell>
          <cell r="BT25">
            <v>24505</v>
          </cell>
          <cell r="BX25">
            <v>15034</v>
          </cell>
          <cell r="BY25">
            <v>21349</v>
          </cell>
          <cell r="BZ25">
            <v>24505</v>
          </cell>
          <cell r="CH25">
            <v>16132</v>
          </cell>
          <cell r="CI25">
            <v>22908</v>
          </cell>
          <cell r="CJ25">
            <v>26295</v>
          </cell>
        </row>
        <row r="26">
          <cell r="A26" t="str">
            <v>D</v>
          </cell>
          <cell r="B26" t="str">
            <v>D</v>
          </cell>
          <cell r="BH26">
            <v>15785</v>
          </cell>
          <cell r="BI26">
            <v>22415</v>
          </cell>
          <cell r="BJ26">
            <v>25730</v>
          </cell>
          <cell r="BR26">
            <v>14710</v>
          </cell>
          <cell r="BS26">
            <v>20888</v>
          </cell>
          <cell r="BT26">
            <v>23977</v>
          </cell>
          <cell r="BX26">
            <v>14710</v>
          </cell>
          <cell r="BY26">
            <v>20888</v>
          </cell>
          <cell r="BZ26">
            <v>23977</v>
          </cell>
          <cell r="CH26">
            <v>15785</v>
          </cell>
          <cell r="CI26">
            <v>22415</v>
          </cell>
          <cell r="CJ26">
            <v>25730</v>
          </cell>
        </row>
        <row r="27">
          <cell r="A27" t="str">
            <v>D</v>
          </cell>
          <cell r="B27" t="str">
            <v>A</v>
          </cell>
          <cell r="BH27">
            <v>20994</v>
          </cell>
          <cell r="BI27">
            <v>29812</v>
          </cell>
          <cell r="BJ27">
            <v>34221</v>
          </cell>
          <cell r="BR27">
            <v>19564</v>
          </cell>
          <cell r="BS27">
            <v>27781</v>
          </cell>
          <cell r="BT27">
            <v>31889</v>
          </cell>
          <cell r="BX27">
            <v>19564</v>
          </cell>
          <cell r="BY27">
            <v>27781</v>
          </cell>
          <cell r="BZ27">
            <v>31889</v>
          </cell>
          <cell r="CH27">
            <v>20994</v>
          </cell>
          <cell r="CI27">
            <v>29812</v>
          </cell>
          <cell r="CJ27">
            <v>34221</v>
          </cell>
        </row>
        <row r="28">
          <cell r="A28" t="str">
            <v>D</v>
          </cell>
          <cell r="B28" t="str">
            <v>B</v>
          </cell>
          <cell r="BH28">
            <v>19258</v>
          </cell>
          <cell r="BI28">
            <v>27346</v>
          </cell>
          <cell r="BJ28">
            <v>31391</v>
          </cell>
          <cell r="BR28">
            <v>17946</v>
          </cell>
          <cell r="BS28">
            <v>25483</v>
          </cell>
          <cell r="BT28">
            <v>29252</v>
          </cell>
          <cell r="BX28">
            <v>17946</v>
          </cell>
          <cell r="BY28">
            <v>25483</v>
          </cell>
          <cell r="BZ28">
            <v>29252</v>
          </cell>
          <cell r="CH28">
            <v>19258</v>
          </cell>
          <cell r="CI28">
            <v>27346</v>
          </cell>
          <cell r="CJ28">
            <v>31391</v>
          </cell>
        </row>
        <row r="29">
          <cell r="A29" t="str">
            <v>D</v>
          </cell>
          <cell r="B29" t="str">
            <v>Y</v>
          </cell>
          <cell r="BH29">
            <v>16574</v>
          </cell>
          <cell r="BI29">
            <v>23536</v>
          </cell>
          <cell r="BJ29">
            <v>27017</v>
          </cell>
          <cell r="BR29">
            <v>15446</v>
          </cell>
          <cell r="BS29">
            <v>21932</v>
          </cell>
          <cell r="BT29">
            <v>25176</v>
          </cell>
          <cell r="BX29">
            <v>15446</v>
          </cell>
          <cell r="BY29">
            <v>21932</v>
          </cell>
          <cell r="BZ29">
            <v>25176</v>
          </cell>
          <cell r="CH29">
            <v>16574</v>
          </cell>
          <cell r="CI29">
            <v>23536</v>
          </cell>
          <cell r="CJ29">
            <v>27017</v>
          </cell>
        </row>
        <row r="30">
          <cell r="A30" t="str">
            <v>E</v>
          </cell>
          <cell r="B30" t="str">
            <v>D</v>
          </cell>
          <cell r="BH30">
            <v>16180</v>
          </cell>
          <cell r="BI30">
            <v>22976</v>
          </cell>
          <cell r="BJ30">
            <v>26373</v>
          </cell>
          <cell r="BR30">
            <v>15078</v>
          </cell>
          <cell r="BS30">
            <v>21411</v>
          </cell>
          <cell r="BT30">
            <v>24577</v>
          </cell>
          <cell r="BX30">
            <v>15078</v>
          </cell>
          <cell r="BY30">
            <v>21411</v>
          </cell>
          <cell r="BZ30">
            <v>24577</v>
          </cell>
          <cell r="CH30">
            <v>16180</v>
          </cell>
          <cell r="CI30">
            <v>22976</v>
          </cell>
          <cell r="CJ30">
            <v>26373</v>
          </cell>
        </row>
        <row r="31">
          <cell r="A31" t="str">
            <v>E</v>
          </cell>
          <cell r="B31" t="str">
            <v>A</v>
          </cell>
          <cell r="BH31">
            <v>21519</v>
          </cell>
          <cell r="BI31">
            <v>30558</v>
          </cell>
          <cell r="BJ31">
            <v>35076</v>
          </cell>
          <cell r="BR31">
            <v>20054</v>
          </cell>
          <cell r="BS31">
            <v>28477</v>
          </cell>
          <cell r="BT31">
            <v>32687</v>
          </cell>
          <cell r="BX31">
            <v>20054</v>
          </cell>
          <cell r="BY31">
            <v>28477</v>
          </cell>
          <cell r="BZ31">
            <v>32687</v>
          </cell>
          <cell r="CH31">
            <v>21519</v>
          </cell>
          <cell r="CI31">
            <v>30558</v>
          </cell>
          <cell r="CJ31">
            <v>35076</v>
          </cell>
        </row>
        <row r="32">
          <cell r="A32" t="str">
            <v>E</v>
          </cell>
          <cell r="B32" t="str">
            <v>B</v>
          </cell>
          <cell r="BH32">
            <v>19740</v>
          </cell>
          <cell r="BI32">
            <v>28031</v>
          </cell>
          <cell r="BJ32">
            <v>32175</v>
          </cell>
          <cell r="BR32">
            <v>18395</v>
          </cell>
          <cell r="BS32">
            <v>26121</v>
          </cell>
          <cell r="BT32">
            <v>29984</v>
          </cell>
          <cell r="BX32">
            <v>18395</v>
          </cell>
          <cell r="BY32">
            <v>26121</v>
          </cell>
          <cell r="BZ32">
            <v>29984</v>
          </cell>
          <cell r="CH32">
            <v>19740</v>
          </cell>
          <cell r="CI32">
            <v>28031</v>
          </cell>
          <cell r="CJ32">
            <v>32175</v>
          </cell>
        </row>
        <row r="33">
          <cell r="A33" t="str">
            <v>E</v>
          </cell>
          <cell r="B33" t="str">
            <v>Y</v>
          </cell>
          <cell r="BH33">
            <v>16989</v>
          </cell>
          <cell r="BI33">
            <v>24125</v>
          </cell>
          <cell r="BJ33">
            <v>27692</v>
          </cell>
          <cell r="BR33">
            <v>15832</v>
          </cell>
          <cell r="BS33">
            <v>22482</v>
          </cell>
          <cell r="BT33">
            <v>25806</v>
          </cell>
          <cell r="BX33">
            <v>15832</v>
          </cell>
          <cell r="BY33">
            <v>22482</v>
          </cell>
          <cell r="BZ33">
            <v>25806</v>
          </cell>
          <cell r="CH33">
            <v>16989</v>
          </cell>
          <cell r="CI33">
            <v>24125</v>
          </cell>
          <cell r="CJ33">
            <v>27692</v>
          </cell>
        </row>
        <row r="34">
          <cell r="A34" t="str">
            <v>F</v>
          </cell>
          <cell r="B34" t="str">
            <v>D</v>
          </cell>
          <cell r="BH34">
            <v>16647</v>
          </cell>
          <cell r="BI34">
            <v>23639</v>
          </cell>
          <cell r="BJ34">
            <v>27135</v>
          </cell>
          <cell r="BR34">
            <v>15513</v>
          </cell>
          <cell r="BS34">
            <v>22028</v>
          </cell>
          <cell r="BT34">
            <v>25286</v>
          </cell>
          <cell r="BX34">
            <v>15513</v>
          </cell>
          <cell r="BY34">
            <v>22028</v>
          </cell>
          <cell r="BZ34">
            <v>25286</v>
          </cell>
          <cell r="CH34">
            <v>16647</v>
          </cell>
          <cell r="CI34">
            <v>23639</v>
          </cell>
          <cell r="CJ34">
            <v>27135</v>
          </cell>
        </row>
        <row r="35">
          <cell r="A35" t="str">
            <v>F</v>
          </cell>
          <cell r="B35" t="str">
            <v>A</v>
          </cell>
          <cell r="BH35">
            <v>22141</v>
          </cell>
          <cell r="BI35">
            <v>31440</v>
          </cell>
          <cell r="BJ35">
            <v>36090</v>
          </cell>
          <cell r="BR35">
            <v>20632</v>
          </cell>
          <cell r="BS35">
            <v>29297</v>
          </cell>
          <cell r="BT35">
            <v>33630</v>
          </cell>
          <cell r="BX35">
            <v>20632</v>
          </cell>
          <cell r="BY35">
            <v>29297</v>
          </cell>
          <cell r="BZ35">
            <v>33630</v>
          </cell>
          <cell r="CH35">
            <v>22141</v>
          </cell>
          <cell r="CI35">
            <v>31440</v>
          </cell>
          <cell r="CJ35">
            <v>36090</v>
          </cell>
        </row>
        <row r="36">
          <cell r="A36" t="str">
            <v>F</v>
          </cell>
          <cell r="B36" t="str">
            <v>B</v>
          </cell>
          <cell r="BH36">
            <v>20309</v>
          </cell>
          <cell r="BI36">
            <v>28840</v>
          </cell>
          <cell r="BJ36">
            <v>33105</v>
          </cell>
          <cell r="BR36">
            <v>18926</v>
          </cell>
          <cell r="BS36">
            <v>26874</v>
          </cell>
          <cell r="BT36">
            <v>30849</v>
          </cell>
          <cell r="BX36">
            <v>18926</v>
          </cell>
          <cell r="BY36">
            <v>26874</v>
          </cell>
          <cell r="BZ36">
            <v>30849</v>
          </cell>
          <cell r="CH36">
            <v>20309</v>
          </cell>
          <cell r="CI36">
            <v>28840</v>
          </cell>
          <cell r="CJ36">
            <v>33105</v>
          </cell>
        </row>
        <row r="37">
          <cell r="A37" t="str">
            <v>F</v>
          </cell>
          <cell r="B37" t="str">
            <v>Y</v>
          </cell>
          <cell r="BH37">
            <v>17479</v>
          </cell>
          <cell r="BI37">
            <v>24821</v>
          </cell>
          <cell r="BJ37">
            <v>28492</v>
          </cell>
          <cell r="BR37">
            <v>16289</v>
          </cell>
          <cell r="BS37">
            <v>23129</v>
          </cell>
          <cell r="BT37">
            <v>26550</v>
          </cell>
          <cell r="BX37">
            <v>16289</v>
          </cell>
          <cell r="BY37">
            <v>23129</v>
          </cell>
          <cell r="BZ37">
            <v>26550</v>
          </cell>
          <cell r="CH37">
            <v>17479</v>
          </cell>
          <cell r="CI37">
            <v>24821</v>
          </cell>
          <cell r="CJ37">
            <v>28492</v>
          </cell>
        </row>
        <row r="38">
          <cell r="A38" t="str">
            <v>G</v>
          </cell>
          <cell r="B38" t="str">
            <v>D</v>
          </cell>
          <cell r="BH38">
            <v>17294</v>
          </cell>
          <cell r="BI38">
            <v>24557</v>
          </cell>
          <cell r="BJ38">
            <v>28189</v>
          </cell>
          <cell r="BR38">
            <v>16117</v>
          </cell>
          <cell r="BS38">
            <v>22886</v>
          </cell>
          <cell r="BT38">
            <v>26271</v>
          </cell>
          <cell r="BX38">
            <v>16117</v>
          </cell>
          <cell r="BY38">
            <v>22886</v>
          </cell>
          <cell r="BZ38">
            <v>26271</v>
          </cell>
          <cell r="CH38">
            <v>17294</v>
          </cell>
          <cell r="CI38">
            <v>24557</v>
          </cell>
          <cell r="CJ38">
            <v>28189</v>
          </cell>
        </row>
        <row r="39">
          <cell r="A39" t="str">
            <v>G</v>
          </cell>
          <cell r="B39" t="str">
            <v>A</v>
          </cell>
          <cell r="BH39">
            <v>23001</v>
          </cell>
          <cell r="BI39">
            <v>32661</v>
          </cell>
          <cell r="BJ39">
            <v>37491</v>
          </cell>
          <cell r="BR39">
            <v>21436</v>
          </cell>
          <cell r="BS39">
            <v>30438</v>
          </cell>
          <cell r="BT39">
            <v>34940</v>
          </cell>
          <cell r="BX39">
            <v>21436</v>
          </cell>
          <cell r="BY39">
            <v>30438</v>
          </cell>
          <cell r="BZ39">
            <v>34940</v>
          </cell>
          <cell r="CH39">
            <v>23001</v>
          </cell>
          <cell r="CI39">
            <v>32661</v>
          </cell>
          <cell r="CJ39">
            <v>37491</v>
          </cell>
        </row>
        <row r="40">
          <cell r="A40" t="str">
            <v>G</v>
          </cell>
          <cell r="B40" t="str">
            <v>B</v>
          </cell>
          <cell r="BH40">
            <v>21099</v>
          </cell>
          <cell r="BI40">
            <v>29960</v>
          </cell>
          <cell r="BJ40">
            <v>34391</v>
          </cell>
          <cell r="BR40">
            <v>19663</v>
          </cell>
          <cell r="BS40">
            <v>27921</v>
          </cell>
          <cell r="BT40">
            <v>32051</v>
          </cell>
          <cell r="BX40">
            <v>19663</v>
          </cell>
          <cell r="BY40">
            <v>27921</v>
          </cell>
          <cell r="BZ40">
            <v>32051</v>
          </cell>
          <cell r="CH40">
            <v>21099</v>
          </cell>
          <cell r="CI40">
            <v>29960</v>
          </cell>
          <cell r="CJ40">
            <v>34391</v>
          </cell>
        </row>
        <row r="41">
          <cell r="A41" t="str">
            <v>G</v>
          </cell>
          <cell r="B41" t="str">
            <v>Y</v>
          </cell>
          <cell r="BH41">
            <v>18159</v>
          </cell>
          <cell r="BI41">
            <v>25785</v>
          </cell>
          <cell r="BJ41">
            <v>29598</v>
          </cell>
          <cell r="BR41">
            <v>16923</v>
          </cell>
          <cell r="BS41">
            <v>24030</v>
          </cell>
          <cell r="BT41">
            <v>27585</v>
          </cell>
          <cell r="BX41">
            <v>16923</v>
          </cell>
          <cell r="BY41">
            <v>24030</v>
          </cell>
          <cell r="BZ41">
            <v>27585</v>
          </cell>
          <cell r="CH41">
            <v>18159</v>
          </cell>
          <cell r="CI41">
            <v>25785</v>
          </cell>
          <cell r="CJ41">
            <v>29598</v>
          </cell>
        </row>
        <row r="42">
          <cell r="A42" t="str">
            <v>H</v>
          </cell>
          <cell r="B42" t="str">
            <v>D</v>
          </cell>
          <cell r="BH42">
            <v>18008</v>
          </cell>
          <cell r="BI42">
            <v>25571</v>
          </cell>
          <cell r="BJ42">
            <v>29353</v>
          </cell>
          <cell r="BR42">
            <v>16782</v>
          </cell>
          <cell r="BS42">
            <v>23830</v>
          </cell>
          <cell r="BT42">
            <v>27355</v>
          </cell>
          <cell r="BX42">
            <v>16782</v>
          </cell>
          <cell r="BY42">
            <v>23830</v>
          </cell>
          <cell r="BZ42">
            <v>27355</v>
          </cell>
          <cell r="CH42">
            <v>18008</v>
          </cell>
          <cell r="CI42">
            <v>25571</v>
          </cell>
          <cell r="CJ42">
            <v>29353</v>
          </cell>
        </row>
        <row r="43">
          <cell r="A43" t="str">
            <v>H</v>
          </cell>
          <cell r="B43" t="str">
            <v>A</v>
          </cell>
          <cell r="BH43">
            <v>23951</v>
          </cell>
          <cell r="BI43">
            <v>34009</v>
          </cell>
          <cell r="BJ43">
            <v>39039</v>
          </cell>
          <cell r="BR43">
            <v>22320</v>
          </cell>
          <cell r="BS43">
            <v>31694</v>
          </cell>
          <cell r="BT43">
            <v>36382</v>
          </cell>
          <cell r="BX43">
            <v>22320</v>
          </cell>
          <cell r="BY43">
            <v>31694</v>
          </cell>
          <cell r="BZ43">
            <v>36382</v>
          </cell>
          <cell r="CH43">
            <v>23951</v>
          </cell>
          <cell r="CI43">
            <v>34009</v>
          </cell>
          <cell r="CJ43">
            <v>39039</v>
          </cell>
        </row>
        <row r="44">
          <cell r="A44" t="str">
            <v>H</v>
          </cell>
          <cell r="B44" t="str">
            <v>B</v>
          </cell>
          <cell r="BH44">
            <v>21970</v>
          </cell>
          <cell r="BI44">
            <v>31197</v>
          </cell>
          <cell r="BJ44">
            <v>35811</v>
          </cell>
          <cell r="BR44">
            <v>20474</v>
          </cell>
          <cell r="BS44">
            <v>29073</v>
          </cell>
          <cell r="BT44">
            <v>33373</v>
          </cell>
          <cell r="BX44">
            <v>20474</v>
          </cell>
          <cell r="BY44">
            <v>29073</v>
          </cell>
          <cell r="BZ44">
            <v>33373</v>
          </cell>
          <cell r="CH44">
            <v>21970</v>
          </cell>
          <cell r="CI44">
            <v>31197</v>
          </cell>
          <cell r="CJ44">
            <v>35811</v>
          </cell>
        </row>
        <row r="45">
          <cell r="A45" t="str">
            <v>H</v>
          </cell>
          <cell r="B45" t="str">
            <v>Y</v>
          </cell>
          <cell r="BH45">
            <v>18908</v>
          </cell>
          <cell r="BI45">
            <v>26850</v>
          </cell>
          <cell r="BJ45">
            <v>30821</v>
          </cell>
          <cell r="BR45">
            <v>17621</v>
          </cell>
          <cell r="BS45">
            <v>25022</v>
          </cell>
          <cell r="BT45">
            <v>28723</v>
          </cell>
          <cell r="BX45">
            <v>17621</v>
          </cell>
          <cell r="BY45">
            <v>25022</v>
          </cell>
          <cell r="BZ45">
            <v>28723</v>
          </cell>
          <cell r="CH45">
            <v>18908</v>
          </cell>
          <cell r="CI45">
            <v>26850</v>
          </cell>
          <cell r="CJ45">
            <v>30821</v>
          </cell>
        </row>
        <row r="46">
          <cell r="A46" t="str">
            <v>I</v>
          </cell>
          <cell r="B46" t="str">
            <v>D</v>
          </cell>
          <cell r="BH46">
            <v>19014</v>
          </cell>
          <cell r="BI46">
            <v>27000</v>
          </cell>
          <cell r="BJ46">
            <v>30993</v>
          </cell>
          <cell r="BR46">
            <v>17720</v>
          </cell>
          <cell r="BS46">
            <v>25162</v>
          </cell>
          <cell r="BT46">
            <v>28884</v>
          </cell>
          <cell r="BX46">
            <v>17720</v>
          </cell>
          <cell r="BY46">
            <v>25162</v>
          </cell>
          <cell r="BZ46">
            <v>28884</v>
          </cell>
          <cell r="CH46">
            <v>19014</v>
          </cell>
          <cell r="CI46">
            <v>27000</v>
          </cell>
          <cell r="CJ46">
            <v>30993</v>
          </cell>
        </row>
        <row r="47">
          <cell r="A47" t="str">
            <v>I</v>
          </cell>
          <cell r="B47" t="str">
            <v>A</v>
          </cell>
          <cell r="BH47">
            <v>25289</v>
          </cell>
          <cell r="BI47">
            <v>35910</v>
          </cell>
          <cell r="BJ47">
            <v>41221</v>
          </cell>
          <cell r="BR47">
            <v>23568</v>
          </cell>
          <cell r="BS47">
            <v>33465</v>
          </cell>
          <cell r="BT47">
            <v>38416</v>
          </cell>
          <cell r="BX47">
            <v>23568</v>
          </cell>
          <cell r="BY47">
            <v>33465</v>
          </cell>
          <cell r="BZ47">
            <v>38416</v>
          </cell>
          <cell r="CH47">
            <v>25289</v>
          </cell>
          <cell r="CI47">
            <v>35910</v>
          </cell>
          <cell r="CJ47">
            <v>41221</v>
          </cell>
        </row>
        <row r="48">
          <cell r="A48" t="str">
            <v>I</v>
          </cell>
          <cell r="B48" t="str">
            <v>B</v>
          </cell>
          <cell r="BH48">
            <v>23197</v>
          </cell>
          <cell r="BI48">
            <v>32940</v>
          </cell>
          <cell r="BJ48">
            <v>37811</v>
          </cell>
          <cell r="BR48">
            <v>21618</v>
          </cell>
          <cell r="BS48">
            <v>30698</v>
          </cell>
          <cell r="BT48">
            <v>35238</v>
          </cell>
          <cell r="BX48">
            <v>21618</v>
          </cell>
          <cell r="BY48">
            <v>30698</v>
          </cell>
          <cell r="BZ48">
            <v>35238</v>
          </cell>
          <cell r="CH48">
            <v>23197</v>
          </cell>
          <cell r="CI48">
            <v>32940</v>
          </cell>
          <cell r="CJ48">
            <v>37811</v>
          </cell>
        </row>
        <row r="49">
          <cell r="A49" t="str">
            <v>I</v>
          </cell>
          <cell r="B49" t="str">
            <v>Y</v>
          </cell>
          <cell r="BH49">
            <v>19965</v>
          </cell>
          <cell r="BI49">
            <v>28350</v>
          </cell>
          <cell r="BJ49">
            <v>32543</v>
          </cell>
          <cell r="BR49">
            <v>18606</v>
          </cell>
          <cell r="BS49">
            <v>26420</v>
          </cell>
          <cell r="BT49">
            <v>30328</v>
          </cell>
          <cell r="BX49">
            <v>18606</v>
          </cell>
          <cell r="BY49">
            <v>26420</v>
          </cell>
          <cell r="BZ49">
            <v>30328</v>
          </cell>
          <cell r="CH49">
            <v>19965</v>
          </cell>
          <cell r="CI49">
            <v>28350</v>
          </cell>
          <cell r="CJ49">
            <v>32543</v>
          </cell>
        </row>
        <row r="50">
          <cell r="A50" t="str">
            <v>J</v>
          </cell>
          <cell r="B50" t="str">
            <v>D</v>
          </cell>
          <cell r="BH50">
            <v>20442</v>
          </cell>
          <cell r="BI50">
            <v>29028</v>
          </cell>
          <cell r="BJ50">
            <v>33320</v>
          </cell>
          <cell r="BR50">
            <v>19050</v>
          </cell>
          <cell r="BS50">
            <v>27051</v>
          </cell>
          <cell r="BT50">
            <v>31052</v>
          </cell>
          <cell r="BX50">
            <v>19050</v>
          </cell>
          <cell r="BY50">
            <v>27051</v>
          </cell>
          <cell r="BZ50">
            <v>31052</v>
          </cell>
          <cell r="CH50">
            <v>20442</v>
          </cell>
          <cell r="CI50">
            <v>29028</v>
          </cell>
          <cell r="CJ50">
            <v>33320</v>
          </cell>
        </row>
        <row r="51">
          <cell r="A51" t="str">
            <v>J</v>
          </cell>
          <cell r="B51" t="str">
            <v>A</v>
          </cell>
          <cell r="BH51">
            <v>27188</v>
          </cell>
          <cell r="BI51">
            <v>38607</v>
          </cell>
          <cell r="BJ51">
            <v>44316</v>
          </cell>
          <cell r="BR51">
            <v>25337</v>
          </cell>
          <cell r="BS51">
            <v>35978</v>
          </cell>
          <cell r="BT51">
            <v>41299</v>
          </cell>
          <cell r="BX51">
            <v>25337</v>
          </cell>
          <cell r="BY51">
            <v>35978</v>
          </cell>
          <cell r="BZ51">
            <v>41299</v>
          </cell>
          <cell r="CH51">
            <v>27188</v>
          </cell>
          <cell r="CI51">
            <v>38607</v>
          </cell>
          <cell r="CJ51">
            <v>44316</v>
          </cell>
        </row>
        <row r="52">
          <cell r="A52" t="str">
            <v>J</v>
          </cell>
          <cell r="B52" t="str">
            <v>B</v>
          </cell>
          <cell r="BH52">
            <v>24939</v>
          </cell>
          <cell r="BI52">
            <v>35414</v>
          </cell>
          <cell r="BJ52">
            <v>40650</v>
          </cell>
          <cell r="BR52">
            <v>23241</v>
          </cell>
          <cell r="BS52">
            <v>33002</v>
          </cell>
          <cell r="BT52">
            <v>37883</v>
          </cell>
          <cell r="BX52">
            <v>23241</v>
          </cell>
          <cell r="BY52">
            <v>33002</v>
          </cell>
          <cell r="BZ52">
            <v>37883</v>
          </cell>
          <cell r="CH52">
            <v>24939</v>
          </cell>
          <cell r="CI52">
            <v>35414</v>
          </cell>
          <cell r="CJ52">
            <v>40650</v>
          </cell>
        </row>
        <row r="53">
          <cell r="A53" t="str">
            <v>J</v>
          </cell>
          <cell r="B53" t="str">
            <v>Y</v>
          </cell>
          <cell r="BH53">
            <v>21464</v>
          </cell>
          <cell r="BI53">
            <v>30479</v>
          </cell>
          <cell r="BJ53">
            <v>34986</v>
          </cell>
          <cell r="BR53">
            <v>20003</v>
          </cell>
          <cell r="BS53">
            <v>28404</v>
          </cell>
          <cell r="BT53">
            <v>32605</v>
          </cell>
          <cell r="BX53">
            <v>20003</v>
          </cell>
          <cell r="BY53">
            <v>28404</v>
          </cell>
          <cell r="BZ53">
            <v>32605</v>
          </cell>
          <cell r="CH53">
            <v>21464</v>
          </cell>
          <cell r="CI53">
            <v>30479</v>
          </cell>
          <cell r="CJ53">
            <v>34986</v>
          </cell>
        </row>
        <row r="54">
          <cell r="A54" t="str">
            <v>K</v>
          </cell>
          <cell r="B54" t="str">
            <v>D</v>
          </cell>
          <cell r="BH54">
            <v>21686</v>
          </cell>
          <cell r="BI54">
            <v>30794</v>
          </cell>
          <cell r="BJ54">
            <v>35348</v>
          </cell>
          <cell r="BR54">
            <v>20210</v>
          </cell>
          <cell r="BS54">
            <v>28698</v>
          </cell>
          <cell r="BT54">
            <v>32942</v>
          </cell>
          <cell r="BX54">
            <v>20210</v>
          </cell>
          <cell r="BY54">
            <v>28698</v>
          </cell>
          <cell r="BZ54">
            <v>32942</v>
          </cell>
          <cell r="CH54">
            <v>21686</v>
          </cell>
          <cell r="CI54">
            <v>30794</v>
          </cell>
          <cell r="CJ54">
            <v>35348</v>
          </cell>
        </row>
        <row r="55">
          <cell r="A55" t="str">
            <v>K</v>
          </cell>
          <cell r="B55" t="str">
            <v>A</v>
          </cell>
          <cell r="BH55">
            <v>28842</v>
          </cell>
          <cell r="BI55">
            <v>40956</v>
          </cell>
          <cell r="BJ55">
            <v>47013</v>
          </cell>
          <cell r="BR55">
            <v>26879</v>
          </cell>
          <cell r="BS55">
            <v>38168</v>
          </cell>
          <cell r="BT55">
            <v>43813</v>
          </cell>
          <cell r="BX55">
            <v>26879</v>
          </cell>
          <cell r="BY55">
            <v>38168</v>
          </cell>
          <cell r="BZ55">
            <v>43813</v>
          </cell>
          <cell r="CH55">
            <v>28842</v>
          </cell>
          <cell r="CI55">
            <v>40956</v>
          </cell>
          <cell r="CJ55">
            <v>47013</v>
          </cell>
        </row>
        <row r="56">
          <cell r="A56" t="str">
            <v>K</v>
          </cell>
          <cell r="B56" t="str">
            <v>B</v>
          </cell>
          <cell r="BH56">
            <v>26457</v>
          </cell>
          <cell r="BI56">
            <v>37569</v>
          </cell>
          <cell r="BJ56">
            <v>43125</v>
          </cell>
          <cell r="BR56">
            <v>24656</v>
          </cell>
          <cell r="BS56">
            <v>35012</v>
          </cell>
          <cell r="BT56">
            <v>40189</v>
          </cell>
          <cell r="BX56">
            <v>24656</v>
          </cell>
          <cell r="BY56">
            <v>35012</v>
          </cell>
          <cell r="BZ56">
            <v>40189</v>
          </cell>
          <cell r="CH56">
            <v>26457</v>
          </cell>
          <cell r="CI56">
            <v>37569</v>
          </cell>
          <cell r="CJ56">
            <v>43125</v>
          </cell>
        </row>
        <row r="57">
          <cell r="A57" t="str">
            <v>K</v>
          </cell>
          <cell r="B57" t="str">
            <v>Y</v>
          </cell>
          <cell r="BH57">
            <v>22770</v>
          </cell>
          <cell r="BI57">
            <v>32334</v>
          </cell>
          <cell r="BJ57">
            <v>37115</v>
          </cell>
          <cell r="BR57">
            <v>21221</v>
          </cell>
          <cell r="BS57">
            <v>30133</v>
          </cell>
          <cell r="BT57">
            <v>34589</v>
          </cell>
          <cell r="BX57">
            <v>21221</v>
          </cell>
          <cell r="BY57">
            <v>30133</v>
          </cell>
          <cell r="BZ57">
            <v>34589</v>
          </cell>
          <cell r="CH57">
            <v>22770</v>
          </cell>
          <cell r="CI57">
            <v>32334</v>
          </cell>
          <cell r="CJ57">
            <v>37115</v>
          </cell>
        </row>
        <row r="58">
          <cell r="A58" t="str">
            <v>L</v>
          </cell>
          <cell r="B58" t="str">
            <v>D</v>
          </cell>
          <cell r="BH58">
            <v>22897</v>
          </cell>
          <cell r="BI58">
            <v>32514</v>
          </cell>
          <cell r="BJ58">
            <v>37322</v>
          </cell>
          <cell r="BR58">
            <v>21338</v>
          </cell>
          <cell r="BS58">
            <v>30300</v>
          </cell>
          <cell r="BT58">
            <v>34781</v>
          </cell>
          <cell r="BX58">
            <v>21338</v>
          </cell>
          <cell r="BY58">
            <v>30300</v>
          </cell>
          <cell r="BZ58">
            <v>34781</v>
          </cell>
          <cell r="CH58">
            <v>22897</v>
          </cell>
          <cell r="CI58">
            <v>32514</v>
          </cell>
          <cell r="CJ58">
            <v>37322</v>
          </cell>
        </row>
        <row r="59">
          <cell r="A59" t="str">
            <v>L</v>
          </cell>
          <cell r="B59" t="str">
            <v>A</v>
          </cell>
          <cell r="BH59">
            <v>30453</v>
          </cell>
          <cell r="BI59">
            <v>43244</v>
          </cell>
          <cell r="BJ59">
            <v>49638</v>
          </cell>
          <cell r="BR59">
            <v>28380</v>
          </cell>
          <cell r="BS59">
            <v>40299</v>
          </cell>
          <cell r="BT59">
            <v>46259</v>
          </cell>
          <cell r="BX59">
            <v>28380</v>
          </cell>
          <cell r="BY59">
            <v>40299</v>
          </cell>
          <cell r="BZ59">
            <v>46259</v>
          </cell>
          <cell r="CH59">
            <v>30453</v>
          </cell>
          <cell r="CI59">
            <v>43244</v>
          </cell>
          <cell r="CJ59">
            <v>49638</v>
          </cell>
        </row>
        <row r="60">
          <cell r="A60" t="str">
            <v>L</v>
          </cell>
          <cell r="B60" t="str">
            <v>B</v>
          </cell>
          <cell r="BH60">
            <v>27934</v>
          </cell>
          <cell r="BI60">
            <v>39667</v>
          </cell>
          <cell r="BJ60">
            <v>45533</v>
          </cell>
          <cell r="BR60">
            <v>26032</v>
          </cell>
          <cell r="BS60">
            <v>36966</v>
          </cell>
          <cell r="BT60">
            <v>42433</v>
          </cell>
          <cell r="BX60">
            <v>26032</v>
          </cell>
          <cell r="BY60">
            <v>36966</v>
          </cell>
          <cell r="BZ60">
            <v>42433</v>
          </cell>
          <cell r="CH60">
            <v>27934</v>
          </cell>
          <cell r="CI60">
            <v>39667</v>
          </cell>
          <cell r="CJ60">
            <v>45533</v>
          </cell>
        </row>
        <row r="61">
          <cell r="A61" t="str">
            <v>L</v>
          </cell>
          <cell r="B61" t="str">
            <v>Y</v>
          </cell>
          <cell r="BH61">
            <v>24042</v>
          </cell>
          <cell r="BI61">
            <v>34140</v>
          </cell>
          <cell r="BJ61">
            <v>39188</v>
          </cell>
          <cell r="BR61">
            <v>22405</v>
          </cell>
          <cell r="BS61">
            <v>31815</v>
          </cell>
          <cell r="BT61">
            <v>36520</v>
          </cell>
          <cell r="BX61">
            <v>22405</v>
          </cell>
          <cell r="BY61">
            <v>31815</v>
          </cell>
          <cell r="BZ61">
            <v>36520</v>
          </cell>
          <cell r="CH61">
            <v>24042</v>
          </cell>
          <cell r="CI61">
            <v>34140</v>
          </cell>
          <cell r="CJ61">
            <v>39188</v>
          </cell>
        </row>
        <row r="62">
          <cell r="A62" t="str">
            <v>M</v>
          </cell>
          <cell r="B62" t="str">
            <v>D</v>
          </cell>
          <cell r="BH62">
            <v>24033</v>
          </cell>
          <cell r="BI62">
            <v>34127</v>
          </cell>
          <cell r="BJ62">
            <v>39174</v>
          </cell>
          <cell r="BR62">
            <v>22397</v>
          </cell>
          <cell r="BS62">
            <v>31804</v>
          </cell>
          <cell r="BT62">
            <v>36507</v>
          </cell>
          <cell r="BX62">
            <v>22397</v>
          </cell>
          <cell r="BY62">
            <v>31804</v>
          </cell>
          <cell r="BZ62">
            <v>36507</v>
          </cell>
          <cell r="CH62">
            <v>24033</v>
          </cell>
          <cell r="CI62">
            <v>34127</v>
          </cell>
          <cell r="CJ62">
            <v>39174</v>
          </cell>
        </row>
        <row r="63">
          <cell r="A63" t="str">
            <v>M</v>
          </cell>
          <cell r="B63" t="str">
            <v>A</v>
          </cell>
          <cell r="BH63">
            <v>31964</v>
          </cell>
          <cell r="BI63">
            <v>45389</v>
          </cell>
          <cell r="BJ63">
            <v>52101</v>
          </cell>
          <cell r="BR63">
            <v>29788</v>
          </cell>
          <cell r="BS63">
            <v>42299</v>
          </cell>
          <cell r="BT63">
            <v>48554</v>
          </cell>
          <cell r="BX63">
            <v>29788</v>
          </cell>
          <cell r="BY63">
            <v>42299</v>
          </cell>
          <cell r="BZ63">
            <v>48554</v>
          </cell>
          <cell r="CH63">
            <v>31964</v>
          </cell>
          <cell r="CI63">
            <v>45389</v>
          </cell>
          <cell r="CJ63">
            <v>52101</v>
          </cell>
        </row>
        <row r="64">
          <cell r="A64" t="str">
            <v>M</v>
          </cell>
          <cell r="B64" t="str">
            <v>B</v>
          </cell>
          <cell r="BH64">
            <v>29320</v>
          </cell>
          <cell r="BI64">
            <v>41635</v>
          </cell>
          <cell r="BJ64">
            <v>47792</v>
          </cell>
          <cell r="BR64">
            <v>27324</v>
          </cell>
          <cell r="BS64">
            <v>38801</v>
          </cell>
          <cell r="BT64">
            <v>44539</v>
          </cell>
          <cell r="BX64">
            <v>27324</v>
          </cell>
          <cell r="BY64">
            <v>38801</v>
          </cell>
          <cell r="BZ64">
            <v>44539</v>
          </cell>
          <cell r="CH64">
            <v>29320</v>
          </cell>
          <cell r="CI64">
            <v>41635</v>
          </cell>
          <cell r="CJ64">
            <v>47792</v>
          </cell>
        </row>
        <row r="65">
          <cell r="A65" t="str">
            <v>M</v>
          </cell>
          <cell r="B65" t="str">
            <v>Y</v>
          </cell>
          <cell r="BH65">
            <v>25235</v>
          </cell>
          <cell r="BI65">
            <v>35833</v>
          </cell>
          <cell r="BJ65">
            <v>41133</v>
          </cell>
          <cell r="BR65">
            <v>23517</v>
          </cell>
          <cell r="BS65">
            <v>33394</v>
          </cell>
          <cell r="BT65">
            <v>38332</v>
          </cell>
          <cell r="BX65">
            <v>23517</v>
          </cell>
          <cell r="BY65">
            <v>33394</v>
          </cell>
          <cell r="BZ65">
            <v>38332</v>
          </cell>
          <cell r="CH65">
            <v>25235</v>
          </cell>
          <cell r="CI65">
            <v>35833</v>
          </cell>
          <cell r="CJ65">
            <v>41133</v>
          </cell>
        </row>
        <row r="66">
          <cell r="A66" t="str">
            <v>N</v>
          </cell>
          <cell r="B66" t="str">
            <v>D</v>
          </cell>
        </row>
        <row r="67">
          <cell r="A67" t="str">
            <v>N</v>
          </cell>
          <cell r="B67" t="str">
            <v>A</v>
          </cell>
        </row>
        <row r="68">
          <cell r="A68" t="str">
            <v>N</v>
          </cell>
          <cell r="B68" t="str">
            <v>B</v>
          </cell>
        </row>
        <row r="69">
          <cell r="A69" t="str">
            <v>N</v>
          </cell>
          <cell r="B69" t="str">
            <v>Y</v>
          </cell>
        </row>
        <row r="70">
          <cell r="A70" t="str">
            <v>I</v>
          </cell>
          <cell r="B70" t="str">
            <v>D</v>
          </cell>
          <cell r="BH70">
            <v>12152</v>
          </cell>
          <cell r="BI70">
            <v>17256</v>
          </cell>
          <cell r="BJ70">
            <v>19808</v>
          </cell>
          <cell r="BR70">
            <v>11325</v>
          </cell>
          <cell r="BS70">
            <v>16082</v>
          </cell>
          <cell r="BT70">
            <v>18460</v>
          </cell>
          <cell r="BX70">
            <v>11325</v>
          </cell>
          <cell r="BY70">
            <v>16082</v>
          </cell>
          <cell r="BZ70">
            <v>18460</v>
          </cell>
          <cell r="CH70">
            <v>12152</v>
          </cell>
          <cell r="CI70">
            <v>17256</v>
          </cell>
          <cell r="CJ70">
            <v>19808</v>
          </cell>
        </row>
        <row r="71">
          <cell r="A71" t="str">
            <v>I</v>
          </cell>
          <cell r="B71" t="str">
            <v>B</v>
          </cell>
          <cell r="BH71">
            <v>14825</v>
          </cell>
          <cell r="BI71">
            <v>21052</v>
          </cell>
          <cell r="BJ71">
            <v>24166</v>
          </cell>
          <cell r="BR71">
            <v>13817</v>
          </cell>
          <cell r="BS71">
            <v>19620</v>
          </cell>
          <cell r="BT71">
            <v>22521</v>
          </cell>
          <cell r="BX71">
            <v>13817</v>
          </cell>
          <cell r="BY71">
            <v>19620</v>
          </cell>
          <cell r="BZ71">
            <v>22521</v>
          </cell>
          <cell r="CH71">
            <v>14825</v>
          </cell>
          <cell r="CI71">
            <v>21052</v>
          </cell>
          <cell r="CJ71">
            <v>24166</v>
          </cell>
        </row>
        <row r="72">
          <cell r="A72" t="str">
            <v>I</v>
          </cell>
          <cell r="B72" t="str">
            <v>A-S</v>
          </cell>
          <cell r="BH72">
            <v>16162</v>
          </cell>
          <cell r="BI72">
            <v>22950</v>
          </cell>
          <cell r="BJ72">
            <v>26345</v>
          </cell>
          <cell r="BR72">
            <v>15062</v>
          </cell>
          <cell r="BS72">
            <v>21389</v>
          </cell>
          <cell r="BT72">
            <v>24552</v>
          </cell>
          <cell r="BX72">
            <v>15062</v>
          </cell>
          <cell r="BY72">
            <v>21389</v>
          </cell>
          <cell r="BZ72">
            <v>24552</v>
          </cell>
          <cell r="CH72">
            <v>16162</v>
          </cell>
          <cell r="CI72">
            <v>22950</v>
          </cell>
          <cell r="CJ72">
            <v>26345</v>
          </cell>
        </row>
        <row r="73">
          <cell r="A73" t="str">
            <v>II</v>
          </cell>
          <cell r="B73" t="str">
            <v>D</v>
          </cell>
          <cell r="BH73">
            <v>12616</v>
          </cell>
          <cell r="BI73">
            <v>17915</v>
          </cell>
          <cell r="BJ73">
            <v>20564</v>
          </cell>
          <cell r="BR73">
            <v>11757</v>
          </cell>
          <cell r="BS73">
            <v>16695</v>
          </cell>
          <cell r="BT73">
            <v>19164</v>
          </cell>
          <cell r="BX73">
            <v>11757</v>
          </cell>
          <cell r="BY73">
            <v>16695</v>
          </cell>
          <cell r="BZ73">
            <v>19164</v>
          </cell>
          <cell r="CH73">
            <v>12616</v>
          </cell>
          <cell r="CI73">
            <v>17915</v>
          </cell>
          <cell r="CJ73">
            <v>20564</v>
          </cell>
        </row>
        <row r="74">
          <cell r="A74" t="str">
            <v>II</v>
          </cell>
          <cell r="B74" t="str">
            <v>B</v>
          </cell>
          <cell r="BH74">
            <v>15392</v>
          </cell>
          <cell r="BI74">
            <v>21856</v>
          </cell>
          <cell r="BJ74">
            <v>25088</v>
          </cell>
          <cell r="BR74">
            <v>14344</v>
          </cell>
          <cell r="BS74">
            <v>20368</v>
          </cell>
          <cell r="BT74">
            <v>23380</v>
          </cell>
          <cell r="BX74">
            <v>14344</v>
          </cell>
          <cell r="BY74">
            <v>20368</v>
          </cell>
          <cell r="BZ74">
            <v>23380</v>
          </cell>
          <cell r="CH74">
            <v>15392</v>
          </cell>
          <cell r="CI74">
            <v>21856</v>
          </cell>
          <cell r="CJ74">
            <v>25088</v>
          </cell>
        </row>
        <row r="75">
          <cell r="A75" t="str">
            <v>II</v>
          </cell>
          <cell r="B75" t="str">
            <v>A-S</v>
          </cell>
          <cell r="BH75">
            <v>16779</v>
          </cell>
          <cell r="BI75">
            <v>23827</v>
          </cell>
          <cell r="BJ75">
            <v>27350</v>
          </cell>
          <cell r="BR75">
            <v>15637</v>
          </cell>
          <cell r="BS75">
            <v>22204</v>
          </cell>
          <cell r="BT75">
            <v>25488</v>
          </cell>
          <cell r="BX75">
            <v>15637</v>
          </cell>
          <cell r="BY75">
            <v>22204</v>
          </cell>
          <cell r="BZ75">
            <v>25488</v>
          </cell>
          <cell r="CH75">
            <v>16779</v>
          </cell>
          <cell r="CI75">
            <v>23827</v>
          </cell>
          <cell r="CJ75">
            <v>27350</v>
          </cell>
        </row>
        <row r="76">
          <cell r="A76" t="str">
            <v>III</v>
          </cell>
          <cell r="B76" t="str">
            <v>D</v>
          </cell>
          <cell r="BH76">
            <v>13142</v>
          </cell>
          <cell r="BI76">
            <v>18662</v>
          </cell>
          <cell r="BJ76">
            <v>21421</v>
          </cell>
          <cell r="BR76">
            <v>12247</v>
          </cell>
          <cell r="BS76">
            <v>17391</v>
          </cell>
          <cell r="BT76">
            <v>19963</v>
          </cell>
          <cell r="BX76">
            <v>12247</v>
          </cell>
          <cell r="BY76">
            <v>17391</v>
          </cell>
          <cell r="BZ76">
            <v>19963</v>
          </cell>
          <cell r="CH76">
            <v>13142</v>
          </cell>
          <cell r="CI76">
            <v>18662</v>
          </cell>
          <cell r="CJ76">
            <v>21421</v>
          </cell>
        </row>
        <row r="77">
          <cell r="A77" t="str">
            <v>III</v>
          </cell>
          <cell r="B77" t="str">
            <v>B</v>
          </cell>
          <cell r="BH77">
            <v>16033</v>
          </cell>
          <cell r="BI77">
            <v>22768</v>
          </cell>
          <cell r="BJ77">
            <v>26134</v>
          </cell>
          <cell r="BR77">
            <v>14941</v>
          </cell>
          <cell r="BS77">
            <v>21217</v>
          </cell>
          <cell r="BT77">
            <v>24355</v>
          </cell>
          <cell r="BX77">
            <v>14941</v>
          </cell>
          <cell r="BY77">
            <v>21217</v>
          </cell>
          <cell r="BZ77">
            <v>24355</v>
          </cell>
          <cell r="CH77">
            <v>16033</v>
          </cell>
          <cell r="CI77">
            <v>22768</v>
          </cell>
          <cell r="CJ77">
            <v>26134</v>
          </cell>
        </row>
        <row r="78">
          <cell r="A78" t="str">
            <v>III</v>
          </cell>
          <cell r="B78" t="str">
            <v>A-S</v>
          </cell>
          <cell r="BH78">
            <v>17479</v>
          </cell>
          <cell r="BI78">
            <v>24820</v>
          </cell>
          <cell r="BJ78">
            <v>28490</v>
          </cell>
          <cell r="BR78">
            <v>16289</v>
          </cell>
          <cell r="BS78">
            <v>23130</v>
          </cell>
          <cell r="BT78">
            <v>26551</v>
          </cell>
          <cell r="BX78">
            <v>16289</v>
          </cell>
          <cell r="BY78">
            <v>23130</v>
          </cell>
          <cell r="BZ78">
            <v>26551</v>
          </cell>
          <cell r="CH78">
            <v>17479</v>
          </cell>
          <cell r="CI78">
            <v>24820</v>
          </cell>
          <cell r="CJ78">
            <v>28490</v>
          </cell>
        </row>
        <row r="79">
          <cell r="A79" t="str">
            <v>IV</v>
          </cell>
          <cell r="B79" t="str">
            <v>D</v>
          </cell>
          <cell r="BH79">
            <v>13784</v>
          </cell>
          <cell r="BI79">
            <v>19573</v>
          </cell>
          <cell r="BJ79">
            <v>22468</v>
          </cell>
          <cell r="BR79">
            <v>12846</v>
          </cell>
          <cell r="BS79">
            <v>18241</v>
          </cell>
          <cell r="BT79">
            <v>20939</v>
          </cell>
          <cell r="BX79">
            <v>12846</v>
          </cell>
          <cell r="BY79">
            <v>18241</v>
          </cell>
          <cell r="BZ79">
            <v>20939</v>
          </cell>
          <cell r="CH79">
            <v>13784</v>
          </cell>
          <cell r="CI79">
            <v>19573</v>
          </cell>
          <cell r="CJ79">
            <v>22468</v>
          </cell>
        </row>
        <row r="80">
          <cell r="A80" t="str">
            <v>IV</v>
          </cell>
          <cell r="B80" t="str">
            <v>B</v>
          </cell>
          <cell r="BH80">
            <v>16816</v>
          </cell>
          <cell r="BI80">
            <v>23879</v>
          </cell>
          <cell r="BJ80">
            <v>27411</v>
          </cell>
          <cell r="BR80">
            <v>15672</v>
          </cell>
          <cell r="BS80">
            <v>22254</v>
          </cell>
          <cell r="BT80">
            <v>25546</v>
          </cell>
          <cell r="BX80">
            <v>15672</v>
          </cell>
          <cell r="BY80">
            <v>22254</v>
          </cell>
          <cell r="BZ80">
            <v>25546</v>
          </cell>
          <cell r="CH80">
            <v>16816</v>
          </cell>
          <cell r="CI80">
            <v>23879</v>
          </cell>
          <cell r="CJ80">
            <v>27411</v>
          </cell>
        </row>
        <row r="81">
          <cell r="A81" t="str">
            <v>IV</v>
          </cell>
          <cell r="B81" t="str">
            <v>A-S</v>
          </cell>
          <cell r="BH81">
            <v>18333</v>
          </cell>
          <cell r="BI81">
            <v>26032</v>
          </cell>
          <cell r="BJ81">
            <v>29882</v>
          </cell>
          <cell r="BR81">
            <v>17085</v>
          </cell>
          <cell r="BS81">
            <v>24261</v>
          </cell>
          <cell r="BT81">
            <v>27849</v>
          </cell>
          <cell r="BX81">
            <v>17085</v>
          </cell>
          <cell r="BY81">
            <v>24261</v>
          </cell>
          <cell r="BZ81">
            <v>27849</v>
          </cell>
          <cell r="CH81">
            <v>18333</v>
          </cell>
          <cell r="CI81">
            <v>26032</v>
          </cell>
          <cell r="CJ81">
            <v>29882</v>
          </cell>
        </row>
        <row r="82">
          <cell r="A82" t="str">
            <v>V</v>
          </cell>
          <cell r="B82" t="str">
            <v>D</v>
          </cell>
          <cell r="BH82">
            <v>14533</v>
          </cell>
          <cell r="BI82">
            <v>20637</v>
          </cell>
          <cell r="BJ82">
            <v>23689</v>
          </cell>
          <cell r="BR82">
            <v>13543</v>
          </cell>
          <cell r="BS82">
            <v>19231</v>
          </cell>
          <cell r="BT82">
            <v>22075</v>
          </cell>
          <cell r="BX82">
            <v>13543</v>
          </cell>
          <cell r="BY82">
            <v>19231</v>
          </cell>
          <cell r="BZ82">
            <v>22075</v>
          </cell>
          <cell r="CH82">
            <v>14533</v>
          </cell>
          <cell r="CI82">
            <v>20637</v>
          </cell>
          <cell r="CJ82">
            <v>23689</v>
          </cell>
        </row>
        <row r="83">
          <cell r="A83" t="str">
            <v>V</v>
          </cell>
          <cell r="B83" t="str">
            <v>B</v>
          </cell>
          <cell r="BH83">
            <v>17730</v>
          </cell>
          <cell r="BI83">
            <v>25177</v>
          </cell>
          <cell r="BJ83">
            <v>28901</v>
          </cell>
          <cell r="BR83">
            <v>16522</v>
          </cell>
          <cell r="BS83">
            <v>23462</v>
          </cell>
          <cell r="BT83">
            <v>26932</v>
          </cell>
          <cell r="BX83">
            <v>16522</v>
          </cell>
          <cell r="BY83">
            <v>23462</v>
          </cell>
          <cell r="BZ83">
            <v>26932</v>
          </cell>
          <cell r="CH83">
            <v>17730</v>
          </cell>
          <cell r="CI83">
            <v>25177</v>
          </cell>
          <cell r="CJ83">
            <v>28901</v>
          </cell>
        </row>
        <row r="84">
          <cell r="A84" t="str">
            <v>V</v>
          </cell>
          <cell r="B84" t="str">
            <v>A-S</v>
          </cell>
          <cell r="BH84">
            <v>19329</v>
          </cell>
          <cell r="BI84">
            <v>27447</v>
          </cell>
          <cell r="BJ84">
            <v>31506</v>
          </cell>
          <cell r="BR84">
            <v>18012</v>
          </cell>
          <cell r="BS84">
            <v>25577</v>
          </cell>
          <cell r="BT84">
            <v>29360</v>
          </cell>
          <cell r="BX84">
            <v>18012</v>
          </cell>
          <cell r="BY84">
            <v>25577</v>
          </cell>
          <cell r="BZ84">
            <v>29360</v>
          </cell>
          <cell r="CH84">
            <v>19329</v>
          </cell>
          <cell r="CI84">
            <v>27447</v>
          </cell>
          <cell r="CJ84">
            <v>31506</v>
          </cell>
        </row>
        <row r="85">
          <cell r="A85" t="str">
            <v>VI</v>
          </cell>
          <cell r="B85" t="str">
            <v>D</v>
          </cell>
          <cell r="BH85">
            <v>15309</v>
          </cell>
          <cell r="BI85">
            <v>21739</v>
          </cell>
          <cell r="BJ85">
            <v>24954</v>
          </cell>
          <cell r="BR85">
            <v>14267</v>
          </cell>
          <cell r="BS85">
            <v>20259</v>
          </cell>
          <cell r="BT85">
            <v>23255</v>
          </cell>
          <cell r="BX85">
            <v>14267</v>
          </cell>
          <cell r="BY85">
            <v>20259</v>
          </cell>
          <cell r="BZ85">
            <v>23255</v>
          </cell>
          <cell r="CH85">
            <v>15309</v>
          </cell>
          <cell r="CI85">
            <v>21739</v>
          </cell>
          <cell r="CJ85">
            <v>24954</v>
          </cell>
        </row>
        <row r="86">
          <cell r="A86" t="str">
            <v>VI</v>
          </cell>
          <cell r="B86" t="str">
            <v>B</v>
          </cell>
          <cell r="BH86">
            <v>18677</v>
          </cell>
          <cell r="BI86">
            <v>26522</v>
          </cell>
          <cell r="BJ86">
            <v>30444</v>
          </cell>
          <cell r="BR86">
            <v>17406</v>
          </cell>
          <cell r="BS86">
            <v>24716</v>
          </cell>
          <cell r="BT86">
            <v>28371</v>
          </cell>
          <cell r="BX86">
            <v>17406</v>
          </cell>
          <cell r="BY86">
            <v>24716</v>
          </cell>
          <cell r="BZ86">
            <v>28371</v>
          </cell>
          <cell r="CH86">
            <v>18677</v>
          </cell>
          <cell r="CI86">
            <v>26522</v>
          </cell>
          <cell r="CJ86">
            <v>30444</v>
          </cell>
        </row>
        <row r="87">
          <cell r="A87" t="str">
            <v>VI</v>
          </cell>
          <cell r="B87" t="str">
            <v>A-S</v>
          </cell>
          <cell r="BH87">
            <v>20361</v>
          </cell>
          <cell r="BI87">
            <v>28913</v>
          </cell>
          <cell r="BJ87">
            <v>33189</v>
          </cell>
          <cell r="BR87">
            <v>18975</v>
          </cell>
          <cell r="BS87">
            <v>26944</v>
          </cell>
          <cell r="BT87">
            <v>30929</v>
          </cell>
          <cell r="BX87">
            <v>18975</v>
          </cell>
          <cell r="BY87">
            <v>26944</v>
          </cell>
          <cell r="BZ87">
            <v>30929</v>
          </cell>
          <cell r="CH87">
            <v>20361</v>
          </cell>
          <cell r="CI87">
            <v>28913</v>
          </cell>
          <cell r="CJ87">
            <v>33189</v>
          </cell>
        </row>
        <row r="88">
          <cell r="A88" t="str">
            <v>VII</v>
          </cell>
          <cell r="B88" t="str">
            <v>D</v>
          </cell>
          <cell r="BH88">
            <v>16710</v>
          </cell>
          <cell r="BI88">
            <v>23728</v>
          </cell>
          <cell r="BJ88">
            <v>27237</v>
          </cell>
          <cell r="BR88">
            <v>15572</v>
          </cell>
          <cell r="BS88">
            <v>22112</v>
          </cell>
          <cell r="BT88">
            <v>25382</v>
          </cell>
          <cell r="BX88">
            <v>15572</v>
          </cell>
          <cell r="BY88">
            <v>22112</v>
          </cell>
          <cell r="BZ88">
            <v>25382</v>
          </cell>
          <cell r="CH88">
            <v>16710</v>
          </cell>
          <cell r="CI88">
            <v>23728</v>
          </cell>
          <cell r="CJ88">
            <v>27237</v>
          </cell>
        </row>
        <row r="89">
          <cell r="A89" t="str">
            <v>VII</v>
          </cell>
          <cell r="B89" t="str">
            <v>B</v>
          </cell>
          <cell r="BH89">
            <v>20386</v>
          </cell>
          <cell r="BI89">
            <v>28948</v>
          </cell>
          <cell r="BJ89">
            <v>33229</v>
          </cell>
          <cell r="BR89">
            <v>18998</v>
          </cell>
          <cell r="BS89">
            <v>26977</v>
          </cell>
          <cell r="BT89">
            <v>30966</v>
          </cell>
          <cell r="BX89">
            <v>18998</v>
          </cell>
          <cell r="BY89">
            <v>26977</v>
          </cell>
          <cell r="BZ89">
            <v>30966</v>
          </cell>
          <cell r="CH89">
            <v>20386</v>
          </cell>
          <cell r="CI89">
            <v>28948</v>
          </cell>
          <cell r="CJ89">
            <v>33229</v>
          </cell>
        </row>
        <row r="90">
          <cell r="A90" t="str">
            <v>VII</v>
          </cell>
          <cell r="B90" t="str">
            <v>A-S</v>
          </cell>
          <cell r="BH90">
            <v>22224</v>
          </cell>
          <cell r="BI90">
            <v>31558</v>
          </cell>
          <cell r="BJ90">
            <v>36225</v>
          </cell>
          <cell r="BR90">
            <v>20711</v>
          </cell>
          <cell r="BS90">
            <v>29409</v>
          </cell>
          <cell r="BT90">
            <v>33758</v>
          </cell>
          <cell r="BX90">
            <v>20711</v>
          </cell>
          <cell r="BY90">
            <v>29409</v>
          </cell>
          <cell r="BZ90">
            <v>33758</v>
          </cell>
          <cell r="CH90">
            <v>22224</v>
          </cell>
          <cell r="CI90">
            <v>31558</v>
          </cell>
          <cell r="CJ90">
            <v>36225</v>
          </cell>
        </row>
        <row r="91">
          <cell r="A91" t="str">
            <v>VIII</v>
          </cell>
          <cell r="B91" t="str">
            <v>D</v>
          </cell>
          <cell r="BH91">
            <v>18343</v>
          </cell>
          <cell r="BI91">
            <v>26047</v>
          </cell>
          <cell r="BJ91">
            <v>29899</v>
          </cell>
          <cell r="BR91">
            <v>17094</v>
          </cell>
          <cell r="BS91">
            <v>24273</v>
          </cell>
          <cell r="BT91">
            <v>27863</v>
          </cell>
          <cell r="BX91">
            <v>17094</v>
          </cell>
          <cell r="BY91">
            <v>24273</v>
          </cell>
          <cell r="BZ91">
            <v>27863</v>
          </cell>
          <cell r="CH91">
            <v>18343</v>
          </cell>
          <cell r="CI91">
            <v>26047</v>
          </cell>
          <cell r="CJ91">
            <v>29899</v>
          </cell>
        </row>
        <row r="92">
          <cell r="A92" t="str">
            <v>VIII</v>
          </cell>
          <cell r="B92" t="str">
            <v>B</v>
          </cell>
          <cell r="BH92">
            <v>22378</v>
          </cell>
          <cell r="BI92">
            <v>31777</v>
          </cell>
          <cell r="BJ92">
            <v>36477</v>
          </cell>
          <cell r="BR92">
            <v>20855</v>
          </cell>
          <cell r="BS92">
            <v>29613</v>
          </cell>
          <cell r="BT92">
            <v>33993</v>
          </cell>
          <cell r="BX92">
            <v>20855</v>
          </cell>
          <cell r="BY92">
            <v>29613</v>
          </cell>
          <cell r="BZ92">
            <v>33993</v>
          </cell>
          <cell r="CH92">
            <v>22378</v>
          </cell>
          <cell r="CI92">
            <v>31777</v>
          </cell>
          <cell r="CJ92">
            <v>36477</v>
          </cell>
        </row>
        <row r="93">
          <cell r="A93" t="str">
            <v>VIII</v>
          </cell>
          <cell r="B93" t="str">
            <v>A-S</v>
          </cell>
          <cell r="BH93">
            <v>24396</v>
          </cell>
          <cell r="BI93">
            <v>34643</v>
          </cell>
          <cell r="BJ93">
            <v>39766</v>
          </cell>
          <cell r="BR93">
            <v>22735</v>
          </cell>
          <cell r="BS93">
            <v>32283</v>
          </cell>
          <cell r="BT93">
            <v>37058</v>
          </cell>
          <cell r="BX93">
            <v>22735</v>
          </cell>
          <cell r="BY93">
            <v>32283</v>
          </cell>
          <cell r="BZ93">
            <v>37058</v>
          </cell>
          <cell r="CH93">
            <v>24396</v>
          </cell>
          <cell r="CI93">
            <v>34643</v>
          </cell>
          <cell r="CJ93">
            <v>39766</v>
          </cell>
        </row>
        <row r="94">
          <cell r="A94" t="str">
            <v>IX</v>
          </cell>
          <cell r="B94" t="str">
            <v>D</v>
          </cell>
          <cell r="BH94">
            <v>20064</v>
          </cell>
          <cell r="BI94">
            <v>28491</v>
          </cell>
          <cell r="BJ94">
            <v>32704</v>
          </cell>
          <cell r="BR94">
            <v>18698</v>
          </cell>
          <cell r="BS94">
            <v>26551</v>
          </cell>
          <cell r="BT94">
            <v>30478</v>
          </cell>
          <cell r="BX94">
            <v>18698</v>
          </cell>
          <cell r="BY94">
            <v>26551</v>
          </cell>
          <cell r="BZ94">
            <v>30478</v>
          </cell>
          <cell r="CH94">
            <v>20064</v>
          </cell>
          <cell r="CI94">
            <v>28491</v>
          </cell>
          <cell r="CJ94">
            <v>32704</v>
          </cell>
        </row>
        <row r="95">
          <cell r="A95" t="str">
            <v>IX</v>
          </cell>
          <cell r="B95" t="str">
            <v>B</v>
          </cell>
          <cell r="BH95">
            <v>24478</v>
          </cell>
          <cell r="BI95">
            <v>34759</v>
          </cell>
          <cell r="BJ95">
            <v>39899</v>
          </cell>
          <cell r="BR95">
            <v>22812</v>
          </cell>
          <cell r="BS95">
            <v>32392</v>
          </cell>
          <cell r="BT95">
            <v>37183</v>
          </cell>
          <cell r="BX95">
            <v>22812</v>
          </cell>
          <cell r="BY95">
            <v>32392</v>
          </cell>
          <cell r="BZ95">
            <v>37183</v>
          </cell>
          <cell r="CH95">
            <v>24478</v>
          </cell>
          <cell r="CI95">
            <v>34759</v>
          </cell>
          <cell r="CJ95">
            <v>39899</v>
          </cell>
        </row>
        <row r="96">
          <cell r="A96" t="str">
            <v>IX</v>
          </cell>
          <cell r="B96" t="str">
            <v>A-S</v>
          </cell>
          <cell r="BH96">
            <v>26685</v>
          </cell>
          <cell r="BI96">
            <v>37893</v>
          </cell>
          <cell r="BJ96">
            <v>43496</v>
          </cell>
          <cell r="BR96">
            <v>24868</v>
          </cell>
          <cell r="BS96">
            <v>35313</v>
          </cell>
          <cell r="BT96">
            <v>40536</v>
          </cell>
          <cell r="BX96">
            <v>24868</v>
          </cell>
          <cell r="BY96">
            <v>35313</v>
          </cell>
          <cell r="BZ96">
            <v>40536</v>
          </cell>
          <cell r="CH96">
            <v>26685</v>
          </cell>
          <cell r="CI96">
            <v>37893</v>
          </cell>
          <cell r="CJ96">
            <v>43496</v>
          </cell>
        </row>
        <row r="97">
          <cell r="A97" t="str">
            <v>X</v>
          </cell>
          <cell r="B97" t="str">
            <v>D</v>
          </cell>
          <cell r="BH97">
            <v>21805</v>
          </cell>
          <cell r="BI97">
            <v>30963</v>
          </cell>
          <cell r="BJ97">
            <v>35542</v>
          </cell>
          <cell r="BR97">
            <v>20321</v>
          </cell>
          <cell r="BS97">
            <v>28856</v>
          </cell>
          <cell r="BT97">
            <v>33123</v>
          </cell>
          <cell r="BX97">
            <v>20321</v>
          </cell>
          <cell r="BY97">
            <v>28856</v>
          </cell>
          <cell r="BZ97">
            <v>33123</v>
          </cell>
          <cell r="CH97">
            <v>21805</v>
          </cell>
          <cell r="CI97">
            <v>30963</v>
          </cell>
          <cell r="CJ97">
            <v>35542</v>
          </cell>
        </row>
        <row r="98">
          <cell r="A98" t="str">
            <v>X</v>
          </cell>
          <cell r="B98" t="str">
            <v>B</v>
          </cell>
          <cell r="BH98">
            <v>26602</v>
          </cell>
          <cell r="BI98">
            <v>37775</v>
          </cell>
          <cell r="BJ98">
            <v>43361</v>
          </cell>
          <cell r="BR98">
            <v>24792</v>
          </cell>
          <cell r="BS98">
            <v>35204</v>
          </cell>
          <cell r="BT98">
            <v>40410</v>
          </cell>
          <cell r="BX98">
            <v>24792</v>
          </cell>
          <cell r="BY98">
            <v>35204</v>
          </cell>
          <cell r="BZ98">
            <v>40410</v>
          </cell>
          <cell r="CH98">
            <v>26602</v>
          </cell>
          <cell r="CI98">
            <v>37775</v>
          </cell>
          <cell r="CJ98">
            <v>43361</v>
          </cell>
        </row>
        <row r="99">
          <cell r="A99" t="str">
            <v>X</v>
          </cell>
          <cell r="B99" t="str">
            <v>A-S</v>
          </cell>
          <cell r="BH99">
            <v>29001</v>
          </cell>
          <cell r="BI99">
            <v>41181</v>
          </cell>
          <cell r="BJ99">
            <v>47271</v>
          </cell>
          <cell r="BR99">
            <v>27027</v>
          </cell>
          <cell r="BS99">
            <v>38378</v>
          </cell>
          <cell r="BT99">
            <v>44054</v>
          </cell>
          <cell r="BX99">
            <v>27027</v>
          </cell>
          <cell r="BY99">
            <v>38378</v>
          </cell>
          <cell r="BZ99">
            <v>44054</v>
          </cell>
          <cell r="CH99">
            <v>29001</v>
          </cell>
          <cell r="CI99">
            <v>41181</v>
          </cell>
          <cell r="CJ99">
            <v>47271</v>
          </cell>
        </row>
        <row r="100">
          <cell r="A100" t="str">
            <v>XI</v>
          </cell>
          <cell r="B100" t="str">
            <v>D</v>
          </cell>
          <cell r="BH100">
            <v>23545</v>
          </cell>
          <cell r="BI100">
            <v>33434</v>
          </cell>
          <cell r="BJ100">
            <v>38378</v>
          </cell>
          <cell r="BR100">
            <v>21942</v>
          </cell>
          <cell r="BS100">
            <v>31158</v>
          </cell>
          <cell r="BT100">
            <v>35765</v>
          </cell>
          <cell r="BX100">
            <v>21942</v>
          </cell>
          <cell r="BY100">
            <v>31158</v>
          </cell>
          <cell r="BZ100">
            <v>35765</v>
          </cell>
          <cell r="CH100">
            <v>23545</v>
          </cell>
          <cell r="CI100">
            <v>33434</v>
          </cell>
          <cell r="CJ100">
            <v>38378</v>
          </cell>
        </row>
        <row r="101">
          <cell r="A101" t="str">
            <v>XI</v>
          </cell>
          <cell r="B101" t="str">
            <v>B</v>
          </cell>
          <cell r="BH101">
            <v>28725</v>
          </cell>
          <cell r="BI101">
            <v>40789</v>
          </cell>
          <cell r="BJ101">
            <v>46821</v>
          </cell>
          <cell r="BR101">
            <v>26769</v>
          </cell>
          <cell r="BS101">
            <v>38013</v>
          </cell>
          <cell r="BT101">
            <v>43633</v>
          </cell>
          <cell r="BX101">
            <v>26769</v>
          </cell>
          <cell r="BY101">
            <v>38013</v>
          </cell>
          <cell r="BZ101">
            <v>43633</v>
          </cell>
          <cell r="CH101">
            <v>28725</v>
          </cell>
          <cell r="CI101">
            <v>40789</v>
          </cell>
          <cell r="CJ101">
            <v>46821</v>
          </cell>
        </row>
        <row r="102">
          <cell r="A102" t="str">
            <v>XI</v>
          </cell>
          <cell r="B102" t="str">
            <v>A-S</v>
          </cell>
          <cell r="BH102">
            <v>31315</v>
          </cell>
          <cell r="BI102">
            <v>44467</v>
          </cell>
          <cell r="BJ102">
            <v>51043</v>
          </cell>
          <cell r="BR102">
            <v>29183</v>
          </cell>
          <cell r="BS102">
            <v>41440</v>
          </cell>
          <cell r="BT102">
            <v>47567</v>
          </cell>
          <cell r="BX102">
            <v>29183</v>
          </cell>
          <cell r="BY102">
            <v>41440</v>
          </cell>
          <cell r="BZ102">
            <v>47567</v>
          </cell>
          <cell r="CH102">
            <v>31315</v>
          </cell>
          <cell r="CI102">
            <v>44467</v>
          </cell>
          <cell r="CJ102">
            <v>51043</v>
          </cell>
        </row>
        <row r="103">
          <cell r="A103" t="str">
            <v>XII</v>
          </cell>
          <cell r="B103" t="str">
            <v>D</v>
          </cell>
          <cell r="BH103">
            <v>25430</v>
          </cell>
          <cell r="BI103">
            <v>36111</v>
          </cell>
          <cell r="BJ103">
            <v>41451</v>
          </cell>
          <cell r="BR103">
            <v>23699</v>
          </cell>
          <cell r="BS103">
            <v>33653</v>
          </cell>
          <cell r="BT103">
            <v>38629</v>
          </cell>
          <cell r="BX103">
            <v>23699</v>
          </cell>
          <cell r="BY103">
            <v>33653</v>
          </cell>
          <cell r="BZ103">
            <v>38629</v>
          </cell>
          <cell r="CH103">
            <v>25430</v>
          </cell>
          <cell r="CI103">
            <v>36111</v>
          </cell>
          <cell r="CJ103">
            <v>41451</v>
          </cell>
        </row>
        <row r="104">
          <cell r="A104" t="str">
            <v>XII</v>
          </cell>
          <cell r="B104" t="str">
            <v>B</v>
          </cell>
          <cell r="BH104">
            <v>31025</v>
          </cell>
          <cell r="BI104">
            <v>44055</v>
          </cell>
          <cell r="BJ104">
            <v>50570</v>
          </cell>
          <cell r="BR104">
            <v>28913</v>
          </cell>
          <cell r="BS104">
            <v>41057</v>
          </cell>
          <cell r="BT104">
            <v>47127</v>
          </cell>
          <cell r="BX104">
            <v>28913</v>
          </cell>
          <cell r="BY104">
            <v>41057</v>
          </cell>
          <cell r="BZ104">
            <v>47127</v>
          </cell>
          <cell r="CH104">
            <v>31025</v>
          </cell>
          <cell r="CI104">
            <v>44055</v>
          </cell>
          <cell r="CJ104">
            <v>50570</v>
          </cell>
        </row>
        <row r="105">
          <cell r="A105" t="str">
            <v>XII</v>
          </cell>
          <cell r="B105" t="str">
            <v>A-S</v>
          </cell>
          <cell r="BH105">
            <v>33822</v>
          </cell>
          <cell r="BI105">
            <v>48028</v>
          </cell>
          <cell r="BJ105">
            <v>55130</v>
          </cell>
          <cell r="BR105">
            <v>31520</v>
          </cell>
          <cell r="BS105">
            <v>44758</v>
          </cell>
          <cell r="BT105">
            <v>51377</v>
          </cell>
          <cell r="BX105">
            <v>31520</v>
          </cell>
          <cell r="BY105">
            <v>44758</v>
          </cell>
          <cell r="BZ105">
            <v>51377</v>
          </cell>
          <cell r="CH105">
            <v>33822</v>
          </cell>
          <cell r="CI105">
            <v>48028</v>
          </cell>
          <cell r="CJ105">
            <v>55130</v>
          </cell>
        </row>
      </sheetData>
      <sheetData sheetId="5">
        <row r="6">
          <cell r="BE6" t="str">
            <v>ASIG. VIANDA COMP. NO REM.</v>
          </cell>
          <cell r="BF6" t="str">
            <v>BONO PAZ SOCIAL</v>
          </cell>
          <cell r="BG6" t="str">
            <v>VIANDA AYUDA ALIMENTARIA</v>
          </cell>
          <cell r="BH6" t="str">
            <v>VIANDA DESAYUNO</v>
          </cell>
          <cell r="BI6" t="str">
            <v>VIANDA MERIENDA</v>
          </cell>
          <cell r="BJ6" t="str">
            <v>VIANDA EXPEDIENTE</v>
          </cell>
          <cell r="BK6" t="str">
            <v>VIANDA ALIMENTACIÓN DIARIA</v>
          </cell>
          <cell r="BL6" t="str">
            <v>Hora de Viaje</v>
          </cell>
          <cell r="BM6" t="str">
            <v>ADIC. ESPERA TRANSPORTE</v>
          </cell>
          <cell r="BN6" t="str">
            <v>Adic. Torre (Título II)</v>
          </cell>
          <cell r="BO6" t="str">
            <v>Adic. Torre (Título III)</v>
          </cell>
          <cell r="BP6" t="str">
            <v>Adic. Torre SPJ</v>
          </cell>
          <cell r="BQ6" t="str">
            <v>ADIC. TRABAJO EN ALTURA</v>
          </cell>
          <cell r="BR6" t="str">
            <v>Adic. Yacimiento/Prod.</v>
          </cell>
          <cell r="BS6" t="str">
            <v>ADIC. DISPONIBILIDAD</v>
          </cell>
          <cell r="BT6" t="str">
            <v>ADIC. ESPECIAL</v>
          </cell>
          <cell r="BU6" t="str">
            <v>ADIC. CHOFER TRANS. PERSONAL</v>
          </cell>
          <cell r="BV6" t="str">
            <v>Antigüedad</v>
          </cell>
          <cell r="BW6" t="str">
            <v>PP - Guardia Pasiva</v>
          </cell>
          <cell r="BX6" t="str">
            <v>PJ - Guardia Pasiva Lunes a Viernes</v>
          </cell>
          <cell r="BY6" t="str">
            <v>PJ - Guardia Pasiva Sábado, Domingo y Feriado</v>
          </cell>
          <cell r="BZ6" t="str">
            <v>Presentismo y Puntualidad</v>
          </cell>
          <cell r="CA6" t="str">
            <v>COMPLEM. PRESENTISMO    (1)</v>
          </cell>
          <cell r="CB6" t="str">
            <v>COMPLEM. PRESENTISMO    (2)</v>
          </cell>
          <cell r="CC6" t="str">
            <v>COMPLEM. PRESENTISMO    (3)</v>
          </cell>
          <cell r="CD6" t="str">
            <v>COMPLEM. PRESENTISMO    (4)</v>
          </cell>
          <cell r="CE6" t="str">
            <v>Suplemento Presentismo</v>
          </cell>
          <cell r="CF6" t="str">
            <v>SUBSIDIO FALLECIMIENTO</v>
          </cell>
          <cell r="CG6" t="str">
            <v>ASIG. VIANDA COMP. NO REM.</v>
          </cell>
          <cell r="CH6" t="str">
            <v>BONO PAZ SOCIAL</v>
          </cell>
          <cell r="CI6" t="str">
            <v>VIANDA AYUDA ALIMENTARIA</v>
          </cell>
          <cell r="CJ6" t="str">
            <v>VIANDA DESAYUNO</v>
          </cell>
          <cell r="CK6" t="str">
            <v>VIANDA MERIENDA</v>
          </cell>
          <cell r="CL6" t="str">
            <v>VIANDA EXPEDIENTE</v>
          </cell>
          <cell r="CM6" t="str">
            <v>VIANDA ALIMENTACIÓN DIARIA</v>
          </cell>
          <cell r="CN6" t="str">
            <v>Hora de Viaje</v>
          </cell>
          <cell r="CO6" t="str">
            <v>ADIC. ESPERA TRANSPORTE</v>
          </cell>
          <cell r="CP6" t="str">
            <v>Adic. Torre (Título II)</v>
          </cell>
          <cell r="CQ6" t="str">
            <v>Adic. Torre (Título III)</v>
          </cell>
          <cell r="CR6" t="str">
            <v>Adic. Torre SPJ</v>
          </cell>
          <cell r="CS6" t="str">
            <v>ADIC. TRABAJO EN ALTURA</v>
          </cell>
          <cell r="CT6" t="str">
            <v>Adic. Yacimiento/Prod.</v>
          </cell>
          <cell r="CU6" t="str">
            <v>ADIC. DISPONIBILIDAD</v>
          </cell>
          <cell r="CV6" t="str">
            <v>ADIC. ESPECIAL</v>
          </cell>
          <cell r="CW6" t="str">
            <v>ADIC. CHOFER TRANS. PERSONAL</v>
          </cell>
          <cell r="CX6" t="str">
            <v>Antigüedad</v>
          </cell>
          <cell r="CY6" t="str">
            <v>PP - Guardia Pasiva</v>
          </cell>
          <cell r="CZ6" t="str">
            <v>PJ - Guardia Pasiva Lunes a Viernes</v>
          </cell>
          <cell r="DA6" t="str">
            <v>PJ - Guardia Pasiva Sábado, Domingo y Feriado</v>
          </cell>
          <cell r="DB6" t="str">
            <v>Presentismo y Puntualidad</v>
          </cell>
          <cell r="DC6" t="str">
            <v>COMPLEM. PRESENTISMO    (1)</v>
          </cell>
          <cell r="DD6" t="str">
            <v>COMPLEM. PRESENTISMO    (2)</v>
          </cell>
          <cell r="DE6" t="str">
            <v>COMPLEM. PRESENTISMO    (3)</v>
          </cell>
          <cell r="DF6" t="str">
            <v>COMPLEM. PRESENTISMO    (4)</v>
          </cell>
          <cell r="DG6" t="str">
            <v>Suplemento Presentismo</v>
          </cell>
          <cell r="DH6" t="str">
            <v>SUBSIDIO FALLECIMIENTO</v>
          </cell>
          <cell r="DI6" t="str">
            <v>ASIG. VIANDA COMP. NO REM.</v>
          </cell>
          <cell r="DJ6" t="str">
            <v>BONO PAZ SOCIAL</v>
          </cell>
          <cell r="DK6" t="str">
            <v>VIANDA AYUDA ALIMENTARIA</v>
          </cell>
          <cell r="DL6" t="str">
            <v>VIANDA DESAYUNO</v>
          </cell>
          <cell r="DM6" t="str">
            <v>VIANDA MERIENDA</v>
          </cell>
          <cell r="DN6" t="str">
            <v>VIANDA EXPEDIENTE</v>
          </cell>
          <cell r="DO6" t="str">
            <v>VIANDA ALIMENTACIÓN DIARIA</v>
          </cell>
          <cell r="DP6" t="str">
            <v>Hora de Viaje</v>
          </cell>
          <cell r="DQ6" t="str">
            <v>ADIC. ESPERA TRANSPORTE</v>
          </cell>
          <cell r="DR6" t="str">
            <v>Adic. Torre (Título II)</v>
          </cell>
          <cell r="DS6" t="str">
            <v>Adic. Torre (Título III)</v>
          </cell>
          <cell r="DT6" t="str">
            <v>Adic. Torre SPJ</v>
          </cell>
          <cell r="DU6" t="str">
            <v>ADIC. TRABAJO EN ALTURA</v>
          </cell>
          <cell r="DV6" t="str">
            <v>Adic. Yacimiento/Prod.</v>
          </cell>
          <cell r="DW6" t="str">
            <v>ADIC. DISPONIBILIDAD</v>
          </cell>
          <cell r="DX6" t="str">
            <v>ADIC. ESPECIAL</v>
          </cell>
          <cell r="DY6" t="str">
            <v>ADIC. CHOFER TRANS. PERSONAL</v>
          </cell>
          <cell r="DZ6" t="str">
            <v>Antigüedad</v>
          </cell>
          <cell r="EA6" t="str">
            <v>PP - Guardia Pasiva</v>
          </cell>
          <cell r="EB6" t="str">
            <v>PJ - Guardia Pasiva Lunes a Viernes</v>
          </cell>
          <cell r="EC6" t="str">
            <v>PJ - Guardia Pasiva Sábado, Domingo y Feriado</v>
          </cell>
          <cell r="ED6" t="str">
            <v>Presentismo y Puntualidad</v>
          </cell>
          <cell r="EE6" t="str">
            <v>COMPLEM. PRESENTISMO    (1)</v>
          </cell>
          <cell r="EF6" t="str">
            <v>COMPLEM. PRESENTISMO    (2)</v>
          </cell>
          <cell r="EG6" t="str">
            <v>COMPLEM. PRESENTISMO    (3)</v>
          </cell>
          <cell r="EH6" t="str">
            <v>COMPLEM. PRESENTISMO    (4)</v>
          </cell>
          <cell r="EI6" t="str">
            <v>Suplemento Presentismo</v>
          </cell>
          <cell r="EJ6" t="str">
            <v>SUBSIDIO FALLECIMIENTO</v>
          </cell>
          <cell r="EK6" t="str">
            <v>ASIG. VIANDA COMP. NO REM.</v>
          </cell>
          <cell r="EL6" t="str">
            <v>BONO PAZ SOCIAL</v>
          </cell>
          <cell r="EM6" t="str">
            <v>VIANDA AYUDA ALIMENTARIA</v>
          </cell>
          <cell r="EN6" t="str">
            <v>VIANDA DESAYUNO</v>
          </cell>
          <cell r="EO6" t="str">
            <v>VIANDA MERIENDA</v>
          </cell>
          <cell r="EP6" t="str">
            <v>VIANDA EXPEDIENTE</v>
          </cell>
          <cell r="EQ6" t="str">
            <v>VIANDA ALIMENTACIÓN DIARIA</v>
          </cell>
          <cell r="ER6" t="str">
            <v>Hora de Viaje</v>
          </cell>
          <cell r="ES6" t="str">
            <v>ADIC. ESPERA TRANSPORTE</v>
          </cell>
          <cell r="ET6" t="str">
            <v>Adic. Torre (Título II)</v>
          </cell>
          <cell r="EU6" t="str">
            <v>Adic. Torre (Título III)</v>
          </cell>
          <cell r="EV6" t="str">
            <v>Adic. Torre SPJ</v>
          </cell>
          <cell r="EW6" t="str">
            <v>ADIC. TRABAJO EN ALTURA</v>
          </cell>
          <cell r="EX6" t="str">
            <v>Adic. Yacimiento/Prod.</v>
          </cell>
          <cell r="EY6" t="str">
            <v>ADIC. DISPONIBILIDAD</v>
          </cell>
          <cell r="EZ6" t="str">
            <v>ADIC. ESPECIAL</v>
          </cell>
          <cell r="FA6" t="str">
            <v>ADIC. CHOFER TRANS. PERSONAL</v>
          </cell>
          <cell r="FB6" t="str">
            <v>Antigüedad</v>
          </cell>
          <cell r="FC6" t="str">
            <v>PP - Guardia Pasiva</v>
          </cell>
          <cell r="FD6" t="str">
            <v>PJ - Guardia Pasiva Lunes a Viernes</v>
          </cell>
          <cell r="FE6" t="str">
            <v>PJ - Guardia Pasiva Sábado, Domingo y Feriado</v>
          </cell>
          <cell r="FF6" t="str">
            <v>Presentismo y Puntualidad</v>
          </cell>
          <cell r="FG6" t="str">
            <v>COMPLEM. PRESENTISMO    (1)</v>
          </cell>
          <cell r="FH6" t="str">
            <v>COMPLEM. PRESENTISMO    (2)</v>
          </cell>
          <cell r="FI6" t="str">
            <v>COMPLEM. PRESENTISMO    (3)</v>
          </cell>
          <cell r="FJ6" t="str">
            <v>COMPLEM. PRESENTISMO    (4)</v>
          </cell>
          <cell r="FK6" t="str">
            <v>Suplemento Presentismo</v>
          </cell>
          <cell r="FL6" t="str">
            <v>SUBSIDIO FALLECIMIENTO</v>
          </cell>
        </row>
        <row r="7">
          <cell r="BE7">
            <v>43525</v>
          </cell>
          <cell r="BF7">
            <v>43525</v>
          </cell>
          <cell r="BG7">
            <v>43525</v>
          </cell>
          <cell r="BH7">
            <v>43525</v>
          </cell>
          <cell r="BI7">
            <v>43525</v>
          </cell>
          <cell r="BJ7">
            <v>43525</v>
          </cell>
          <cell r="BK7">
            <v>43525</v>
          </cell>
          <cell r="BL7">
            <v>43525</v>
          </cell>
          <cell r="BM7">
            <v>43525</v>
          </cell>
          <cell r="BN7">
            <v>43525</v>
          </cell>
          <cell r="BO7">
            <v>43525</v>
          </cell>
          <cell r="BP7">
            <v>43525</v>
          </cell>
          <cell r="BQ7">
            <v>43525</v>
          </cell>
          <cell r="BR7">
            <v>43525</v>
          </cell>
          <cell r="BS7">
            <v>43525</v>
          </cell>
          <cell r="BT7">
            <v>43525</v>
          </cell>
          <cell r="BU7">
            <v>43525</v>
          </cell>
          <cell r="BV7">
            <v>43525</v>
          </cell>
          <cell r="BW7">
            <v>43525</v>
          </cell>
          <cell r="BX7">
            <v>43525</v>
          </cell>
          <cell r="BY7">
            <v>43525</v>
          </cell>
          <cell r="BZ7">
            <v>43525</v>
          </cell>
          <cell r="CA7">
            <v>43525</v>
          </cell>
          <cell r="CB7">
            <v>43525</v>
          </cell>
          <cell r="CC7">
            <v>43525</v>
          </cell>
          <cell r="CD7">
            <v>43525</v>
          </cell>
          <cell r="CE7">
            <v>43525</v>
          </cell>
          <cell r="CF7">
            <v>43525</v>
          </cell>
          <cell r="CG7">
            <v>43617</v>
          </cell>
          <cell r="CH7">
            <v>43617</v>
          </cell>
          <cell r="CI7">
            <v>43617</v>
          </cell>
          <cell r="CJ7">
            <v>43617</v>
          </cell>
          <cell r="CK7">
            <v>43617</v>
          </cell>
          <cell r="CL7">
            <v>43617</v>
          </cell>
          <cell r="CM7">
            <v>43617</v>
          </cell>
          <cell r="CN7">
            <v>43617</v>
          </cell>
          <cell r="CO7">
            <v>43617</v>
          </cell>
          <cell r="CP7">
            <v>43617</v>
          </cell>
          <cell r="CQ7">
            <v>43617</v>
          </cell>
          <cell r="CR7">
            <v>43617</v>
          </cell>
          <cell r="CS7">
            <v>43617</v>
          </cell>
          <cell r="CT7">
            <v>43617</v>
          </cell>
          <cell r="CU7">
            <v>43617</v>
          </cell>
          <cell r="CV7">
            <v>43617</v>
          </cell>
          <cell r="CW7">
            <v>43617</v>
          </cell>
          <cell r="CX7">
            <v>43617</v>
          </cell>
          <cell r="CY7">
            <v>43617</v>
          </cell>
          <cell r="CZ7">
            <v>43617</v>
          </cell>
          <cell r="DA7">
            <v>43617</v>
          </cell>
          <cell r="DB7">
            <v>43617</v>
          </cell>
          <cell r="DC7">
            <v>43617</v>
          </cell>
          <cell r="DD7">
            <v>43617</v>
          </cell>
          <cell r="DE7">
            <v>43617</v>
          </cell>
          <cell r="DF7">
            <v>43617</v>
          </cell>
          <cell r="DG7">
            <v>43617</v>
          </cell>
          <cell r="DH7">
            <v>43617</v>
          </cell>
          <cell r="DI7">
            <v>43739</v>
          </cell>
          <cell r="DJ7">
            <v>43739</v>
          </cell>
          <cell r="DK7">
            <v>43739</v>
          </cell>
          <cell r="DL7">
            <v>43739</v>
          </cell>
          <cell r="DM7">
            <v>43739</v>
          </cell>
          <cell r="DN7">
            <v>43739</v>
          </cell>
          <cell r="DO7">
            <v>43739</v>
          </cell>
          <cell r="DP7">
            <v>43739</v>
          </cell>
          <cell r="DQ7">
            <v>43739</v>
          </cell>
          <cell r="DR7">
            <v>43739</v>
          </cell>
          <cell r="DS7">
            <v>43739</v>
          </cell>
          <cell r="DT7">
            <v>43739</v>
          </cell>
          <cell r="DU7">
            <v>43739</v>
          </cell>
          <cell r="DV7">
            <v>43739</v>
          </cell>
          <cell r="DW7">
            <v>43739</v>
          </cell>
          <cell r="DX7">
            <v>43739</v>
          </cell>
          <cell r="DY7">
            <v>43739</v>
          </cell>
          <cell r="DZ7">
            <v>43739</v>
          </cell>
          <cell r="EA7">
            <v>43739</v>
          </cell>
          <cell r="EB7">
            <v>43739</v>
          </cell>
          <cell r="EC7">
            <v>43739</v>
          </cell>
          <cell r="ED7">
            <v>43739</v>
          </cell>
          <cell r="EE7">
            <v>43739</v>
          </cell>
          <cell r="EF7">
            <v>43739</v>
          </cell>
          <cell r="EG7">
            <v>43739</v>
          </cell>
          <cell r="EH7">
            <v>43739</v>
          </cell>
          <cell r="EI7">
            <v>43739</v>
          </cell>
          <cell r="EJ7">
            <v>43739</v>
          </cell>
          <cell r="EK7">
            <v>43862</v>
          </cell>
          <cell r="EL7">
            <v>43862</v>
          </cell>
          <cell r="EM7">
            <v>43862</v>
          </cell>
          <cell r="EN7">
            <v>43862</v>
          </cell>
          <cell r="EO7">
            <v>43862</v>
          </cell>
          <cell r="EP7">
            <v>43862</v>
          </cell>
          <cell r="EQ7">
            <v>43862</v>
          </cell>
          <cell r="ER7">
            <v>43862</v>
          </cell>
          <cell r="ES7">
            <v>43862</v>
          </cell>
          <cell r="ET7">
            <v>43862</v>
          </cell>
          <cell r="EU7">
            <v>43862</v>
          </cell>
          <cell r="EV7">
            <v>43862</v>
          </cell>
          <cell r="EW7">
            <v>43862</v>
          </cell>
          <cell r="EX7">
            <v>43862</v>
          </cell>
          <cell r="EY7">
            <v>43862</v>
          </cell>
          <cell r="EZ7">
            <v>43862</v>
          </cell>
          <cell r="FA7">
            <v>43862</v>
          </cell>
          <cell r="FB7">
            <v>43862</v>
          </cell>
          <cell r="FC7">
            <v>43862</v>
          </cell>
          <cell r="FD7">
            <v>43862</v>
          </cell>
          <cell r="FE7">
            <v>43862</v>
          </cell>
          <cell r="FF7">
            <v>43862</v>
          </cell>
          <cell r="FG7">
            <v>43862</v>
          </cell>
          <cell r="FH7">
            <v>43862</v>
          </cell>
          <cell r="FI7">
            <v>43862</v>
          </cell>
          <cell r="FJ7">
            <v>43862</v>
          </cell>
          <cell r="FK7">
            <v>43862</v>
          </cell>
          <cell r="FL7">
            <v>43862</v>
          </cell>
        </row>
        <row r="8">
          <cell r="A8" t="str">
            <v>PETROLERO RN, NQN Y LP (644/12)</v>
          </cell>
          <cell r="BE8">
            <v>1846</v>
          </cell>
          <cell r="BF8">
            <v>6214</v>
          </cell>
          <cell r="BG8">
            <v>462</v>
          </cell>
          <cell r="BH8">
            <v>129</v>
          </cell>
          <cell r="BI8">
            <v>129</v>
          </cell>
          <cell r="BJ8">
            <v>462</v>
          </cell>
          <cell r="BK8">
            <v>924</v>
          </cell>
          <cell r="BL8">
            <v>149</v>
          </cell>
          <cell r="BM8" t="str">
            <v>1 Hr Ext + 100%</v>
          </cell>
          <cell r="BN8">
            <v>9939</v>
          </cell>
          <cell r="BO8">
            <v>9939</v>
          </cell>
          <cell r="BR8">
            <v>3481</v>
          </cell>
          <cell r="BS8">
            <v>3481</v>
          </cell>
          <cell r="BT8">
            <v>3481</v>
          </cell>
          <cell r="BU8">
            <v>3481</v>
          </cell>
          <cell r="BV8">
            <v>149</v>
          </cell>
          <cell r="BW8">
            <v>543</v>
          </cell>
          <cell r="BZ8">
            <v>0.06</v>
          </cell>
          <cell r="CA8">
            <v>2121</v>
          </cell>
          <cell r="CB8">
            <v>3180</v>
          </cell>
          <cell r="CC8">
            <v>6357</v>
          </cell>
          <cell r="CD8">
            <v>7420</v>
          </cell>
          <cell r="CE8">
            <v>19078</v>
          </cell>
          <cell r="CF8">
            <v>25759</v>
          </cell>
          <cell r="CG8">
            <v>1846</v>
          </cell>
          <cell r="CH8">
            <v>6835</v>
          </cell>
          <cell r="CI8">
            <v>508</v>
          </cell>
          <cell r="CJ8">
            <v>142</v>
          </cell>
          <cell r="CK8">
            <v>142</v>
          </cell>
          <cell r="CL8">
            <v>508</v>
          </cell>
          <cell r="CM8">
            <v>1016</v>
          </cell>
          <cell r="CN8">
            <v>164</v>
          </cell>
          <cell r="CO8" t="str">
            <v>1 Hr Ext + 100%</v>
          </cell>
          <cell r="CP8">
            <v>10933</v>
          </cell>
          <cell r="CQ8">
            <v>10933</v>
          </cell>
          <cell r="CT8">
            <v>3829</v>
          </cell>
          <cell r="CU8">
            <v>3829</v>
          </cell>
          <cell r="CW8">
            <v>3829</v>
          </cell>
          <cell r="CX8">
            <v>164</v>
          </cell>
          <cell r="CY8">
            <v>597</v>
          </cell>
          <cell r="DB8">
            <v>0.06</v>
          </cell>
          <cell r="DC8">
            <v>2333</v>
          </cell>
          <cell r="DD8">
            <v>3498</v>
          </cell>
          <cell r="DE8">
            <v>6993</v>
          </cell>
          <cell r="DF8">
            <v>8162</v>
          </cell>
          <cell r="DG8">
            <v>20986</v>
          </cell>
          <cell r="DH8">
            <v>28335</v>
          </cell>
          <cell r="DI8">
            <v>1846</v>
          </cell>
          <cell r="DJ8">
            <v>7656</v>
          </cell>
          <cell r="DK8">
            <v>569</v>
          </cell>
          <cell r="DL8">
            <v>159</v>
          </cell>
          <cell r="DM8">
            <v>159</v>
          </cell>
          <cell r="DN8">
            <v>569</v>
          </cell>
          <cell r="DO8">
            <v>1138</v>
          </cell>
          <cell r="DP8">
            <v>184</v>
          </cell>
          <cell r="DQ8" t="str">
            <v>1 HS EXT. + 100%</v>
          </cell>
          <cell r="DR8">
            <v>12245</v>
          </cell>
          <cell r="DS8">
            <v>12245</v>
          </cell>
          <cell r="DV8">
            <v>4289</v>
          </cell>
          <cell r="DW8">
            <v>4289</v>
          </cell>
          <cell r="DY8">
            <v>4289</v>
          </cell>
          <cell r="DZ8">
            <v>184</v>
          </cell>
          <cell r="EA8">
            <v>669</v>
          </cell>
          <cell r="ED8">
            <v>0.06</v>
          </cell>
          <cell r="EE8">
            <v>2613</v>
          </cell>
          <cell r="EF8">
            <v>3918</v>
          </cell>
          <cell r="EG8">
            <v>7832</v>
          </cell>
          <cell r="EH8">
            <v>9141</v>
          </cell>
          <cell r="EI8">
            <v>23504</v>
          </cell>
          <cell r="EJ8">
            <v>31735</v>
          </cell>
          <cell r="EK8">
            <v>1946</v>
          </cell>
          <cell r="EL8">
            <v>8215</v>
          </cell>
          <cell r="EM8">
            <v>611</v>
          </cell>
          <cell r="EN8">
            <v>171</v>
          </cell>
          <cell r="EO8">
            <v>171</v>
          </cell>
          <cell r="EP8">
            <v>611</v>
          </cell>
          <cell r="EQ8">
            <v>1222</v>
          </cell>
          <cell r="ER8">
            <v>197</v>
          </cell>
          <cell r="ES8" t="str">
            <v>1 HS EXT +100%</v>
          </cell>
          <cell r="ET8">
            <v>13139</v>
          </cell>
          <cell r="EU8">
            <v>13139</v>
          </cell>
          <cell r="EX8">
            <v>4602</v>
          </cell>
          <cell r="EY8">
            <v>4602</v>
          </cell>
          <cell r="FA8">
            <v>4602</v>
          </cell>
          <cell r="FB8">
            <v>197</v>
          </cell>
          <cell r="FC8">
            <v>718</v>
          </cell>
          <cell r="FF8">
            <v>0.06</v>
          </cell>
          <cell r="FG8">
            <v>2804</v>
          </cell>
          <cell r="FH8">
            <v>4204</v>
          </cell>
          <cell r="FI8">
            <v>8404</v>
          </cell>
          <cell r="FJ8">
            <v>9809</v>
          </cell>
          <cell r="FK8">
            <v>25221</v>
          </cell>
          <cell r="FL8">
            <v>34053</v>
          </cell>
        </row>
        <row r="9">
          <cell r="A9" t="str">
            <v>PETROLERO FASP (643/12)</v>
          </cell>
          <cell r="BE9">
            <v>1846</v>
          </cell>
          <cell r="BF9">
            <v>6214</v>
          </cell>
          <cell r="BG9">
            <v>462</v>
          </cell>
          <cell r="BH9">
            <v>129</v>
          </cell>
          <cell r="BI9">
            <v>129</v>
          </cell>
          <cell r="BJ9">
            <v>462</v>
          </cell>
          <cell r="BK9">
            <v>924</v>
          </cell>
          <cell r="BL9">
            <v>149</v>
          </cell>
          <cell r="BM9" t="str">
            <v>1 Hr Ext + 100%</v>
          </cell>
          <cell r="BN9">
            <v>9939</v>
          </cell>
          <cell r="BO9">
            <v>9939</v>
          </cell>
          <cell r="BP9">
            <v>0</v>
          </cell>
          <cell r="BQ9">
            <v>3481</v>
          </cell>
          <cell r="BR9">
            <v>3481</v>
          </cell>
          <cell r="BS9">
            <v>3481</v>
          </cell>
          <cell r="BT9">
            <v>3481</v>
          </cell>
          <cell r="BU9">
            <v>3481</v>
          </cell>
          <cell r="BV9">
            <v>149</v>
          </cell>
          <cell r="BW9">
            <v>543</v>
          </cell>
          <cell r="BX9">
            <v>0</v>
          </cell>
          <cell r="BY9">
            <v>0</v>
          </cell>
          <cell r="BZ9">
            <v>0.06</v>
          </cell>
          <cell r="CA9">
            <v>2121</v>
          </cell>
          <cell r="CB9">
            <v>3180</v>
          </cell>
          <cell r="CC9">
            <v>6357</v>
          </cell>
          <cell r="CD9">
            <v>7420</v>
          </cell>
          <cell r="CE9">
            <v>19078</v>
          </cell>
          <cell r="CG9">
            <v>1846</v>
          </cell>
          <cell r="CH9">
            <v>6835</v>
          </cell>
          <cell r="CI9">
            <v>508</v>
          </cell>
          <cell r="CJ9">
            <v>142</v>
          </cell>
          <cell r="CK9">
            <v>142</v>
          </cell>
          <cell r="CL9">
            <v>508</v>
          </cell>
          <cell r="CM9">
            <v>1016</v>
          </cell>
          <cell r="CN9">
            <v>164</v>
          </cell>
          <cell r="CO9" t="str">
            <v>1 Hr Ext + 100%</v>
          </cell>
          <cell r="CP9">
            <v>10933</v>
          </cell>
          <cell r="CQ9">
            <v>10933</v>
          </cell>
          <cell r="CR9">
            <v>0</v>
          </cell>
          <cell r="CS9">
            <v>3829</v>
          </cell>
          <cell r="CT9">
            <v>3829</v>
          </cell>
          <cell r="CU9">
            <v>3829</v>
          </cell>
          <cell r="CV9">
            <v>0</v>
          </cell>
          <cell r="CW9">
            <v>3829</v>
          </cell>
          <cell r="CX9">
            <v>164</v>
          </cell>
          <cell r="CY9">
            <v>597</v>
          </cell>
          <cell r="CZ9">
            <v>0</v>
          </cell>
          <cell r="DA9">
            <v>0</v>
          </cell>
          <cell r="DB9">
            <v>0.06</v>
          </cell>
          <cell r="DC9">
            <v>2333</v>
          </cell>
          <cell r="DD9">
            <v>3498</v>
          </cell>
          <cell r="DE9">
            <v>6993</v>
          </cell>
          <cell r="DF9">
            <v>8162</v>
          </cell>
          <cell r="DG9">
            <v>20986</v>
          </cell>
        </row>
        <row r="10">
          <cell r="A10" t="str">
            <v>PETROLERO CHUBUT (605/10)</v>
          </cell>
          <cell r="BE10">
            <v>1846</v>
          </cell>
          <cell r="BF10">
            <v>6214</v>
          </cell>
          <cell r="BG10">
            <v>462</v>
          </cell>
          <cell r="BH10">
            <v>129</v>
          </cell>
          <cell r="BI10">
            <v>129</v>
          </cell>
          <cell r="BJ10">
            <v>462</v>
          </cell>
          <cell r="BK10">
            <v>924</v>
          </cell>
          <cell r="BL10">
            <v>149</v>
          </cell>
          <cell r="BM10" t="str">
            <v>1 Hr Ext + 100%</v>
          </cell>
          <cell r="BN10">
            <v>9939</v>
          </cell>
          <cell r="BO10">
            <v>9939</v>
          </cell>
          <cell r="BP10">
            <v>0</v>
          </cell>
          <cell r="BQ10">
            <v>3481</v>
          </cell>
          <cell r="BR10">
            <v>3481</v>
          </cell>
          <cell r="BS10">
            <v>3481</v>
          </cell>
          <cell r="BT10">
            <v>3481</v>
          </cell>
          <cell r="BU10">
            <v>3481</v>
          </cell>
          <cell r="BV10">
            <v>149</v>
          </cell>
          <cell r="BW10">
            <v>543</v>
          </cell>
          <cell r="BX10">
            <v>0</v>
          </cell>
          <cell r="BY10">
            <v>0</v>
          </cell>
          <cell r="BZ10">
            <v>0.06</v>
          </cell>
          <cell r="CA10">
            <v>2121</v>
          </cell>
          <cell r="CB10">
            <v>3180</v>
          </cell>
          <cell r="CC10">
            <v>6357</v>
          </cell>
          <cell r="CD10">
            <v>7420</v>
          </cell>
          <cell r="CE10">
            <v>19078</v>
          </cell>
          <cell r="CF10">
            <v>10305</v>
          </cell>
          <cell r="CG10">
            <v>1846</v>
          </cell>
          <cell r="CH10">
            <v>6835</v>
          </cell>
          <cell r="CI10">
            <v>508</v>
          </cell>
          <cell r="CJ10">
            <v>142</v>
          </cell>
          <cell r="CK10">
            <v>142</v>
          </cell>
          <cell r="CL10">
            <v>508</v>
          </cell>
          <cell r="CM10">
            <v>1016</v>
          </cell>
          <cell r="CN10">
            <v>164</v>
          </cell>
          <cell r="CO10" t="str">
            <v>1 Hr Ext + 100%</v>
          </cell>
          <cell r="CP10">
            <v>10933</v>
          </cell>
          <cell r="CQ10">
            <v>10933</v>
          </cell>
          <cell r="CR10">
            <v>0</v>
          </cell>
          <cell r="CS10">
            <v>3829</v>
          </cell>
          <cell r="CT10">
            <v>3829</v>
          </cell>
          <cell r="CU10">
            <v>3829</v>
          </cell>
          <cell r="CV10">
            <v>0</v>
          </cell>
          <cell r="CW10">
            <v>3829</v>
          </cell>
          <cell r="CX10">
            <v>164</v>
          </cell>
          <cell r="CY10">
            <v>597</v>
          </cell>
          <cell r="CZ10">
            <v>0</v>
          </cell>
          <cell r="DA10">
            <v>0</v>
          </cell>
          <cell r="DB10">
            <v>0.06</v>
          </cell>
          <cell r="DC10">
            <v>2333</v>
          </cell>
          <cell r="DD10">
            <v>3498</v>
          </cell>
          <cell r="DE10">
            <v>6993</v>
          </cell>
          <cell r="DF10">
            <v>8162</v>
          </cell>
          <cell r="DG10">
            <v>20986</v>
          </cell>
          <cell r="DH10">
            <v>11385</v>
          </cell>
        </row>
        <row r="11">
          <cell r="A11" t="str">
            <v>JERARQUICO NQN (637/11)</v>
          </cell>
          <cell r="BE11">
            <v>1846</v>
          </cell>
          <cell r="BF11">
            <v>6221</v>
          </cell>
          <cell r="BG11">
            <v>462</v>
          </cell>
          <cell r="BH11">
            <v>129</v>
          </cell>
          <cell r="BI11">
            <v>129</v>
          </cell>
          <cell r="BJ11">
            <v>462</v>
          </cell>
          <cell r="BK11">
            <v>924</v>
          </cell>
          <cell r="BL11">
            <v>149</v>
          </cell>
          <cell r="BM11">
            <v>398</v>
          </cell>
          <cell r="BP11">
            <v>9939</v>
          </cell>
          <cell r="BQ11">
            <v>0</v>
          </cell>
          <cell r="BR11">
            <v>3481</v>
          </cell>
          <cell r="BS11">
            <v>3481</v>
          </cell>
          <cell r="BT11">
            <v>3481</v>
          </cell>
          <cell r="BV11">
            <v>149</v>
          </cell>
          <cell r="BX11">
            <v>477</v>
          </cell>
          <cell r="BY11">
            <v>740</v>
          </cell>
          <cell r="BZ11">
            <v>2918</v>
          </cell>
          <cell r="CA11">
            <v>2918</v>
          </cell>
          <cell r="CB11">
            <v>2918</v>
          </cell>
          <cell r="CC11">
            <v>2918</v>
          </cell>
          <cell r="CD11">
            <v>2918</v>
          </cell>
          <cell r="CE11">
            <v>11672</v>
          </cell>
          <cell r="CG11">
            <v>1846</v>
          </cell>
          <cell r="CH11">
            <v>6843</v>
          </cell>
          <cell r="CI11">
            <v>508</v>
          </cell>
          <cell r="CJ11">
            <v>142</v>
          </cell>
          <cell r="CK11">
            <v>142</v>
          </cell>
          <cell r="CL11">
            <v>508</v>
          </cell>
          <cell r="CM11">
            <v>1016</v>
          </cell>
          <cell r="CN11">
            <v>164</v>
          </cell>
          <cell r="CO11">
            <v>438</v>
          </cell>
          <cell r="CR11">
            <v>10933</v>
          </cell>
          <cell r="CT11">
            <v>3829</v>
          </cell>
          <cell r="CU11">
            <v>3829</v>
          </cell>
          <cell r="CV11">
            <v>3829</v>
          </cell>
          <cell r="CX11">
            <v>164</v>
          </cell>
          <cell r="CZ11">
            <v>525</v>
          </cell>
          <cell r="DA11">
            <v>814</v>
          </cell>
          <cell r="DB11">
            <v>3210</v>
          </cell>
          <cell r="DC11">
            <v>3210</v>
          </cell>
          <cell r="DD11">
            <v>3210</v>
          </cell>
          <cell r="DE11">
            <v>3210</v>
          </cell>
          <cell r="DF11">
            <v>3210</v>
          </cell>
          <cell r="DG11">
            <v>12840</v>
          </cell>
          <cell r="DI11">
            <v>1846</v>
          </cell>
          <cell r="DJ11">
            <v>7664</v>
          </cell>
          <cell r="DK11">
            <v>569</v>
          </cell>
          <cell r="DL11">
            <v>159</v>
          </cell>
          <cell r="DM11">
            <v>159</v>
          </cell>
          <cell r="DN11">
            <v>569</v>
          </cell>
          <cell r="DO11">
            <v>1138</v>
          </cell>
          <cell r="DP11">
            <v>184</v>
          </cell>
          <cell r="DQ11">
            <v>490</v>
          </cell>
          <cell r="DT11">
            <v>12245</v>
          </cell>
          <cell r="DV11">
            <v>4289</v>
          </cell>
          <cell r="DW11">
            <v>4289</v>
          </cell>
          <cell r="DX11">
            <v>4289</v>
          </cell>
          <cell r="DZ11">
            <v>184</v>
          </cell>
          <cell r="EB11">
            <v>588</v>
          </cell>
          <cell r="EC11">
            <v>912</v>
          </cell>
          <cell r="ED11">
            <v>3595</v>
          </cell>
          <cell r="EK11">
            <v>1846</v>
          </cell>
          <cell r="EL11">
            <v>8224</v>
          </cell>
          <cell r="EM11">
            <v>611</v>
          </cell>
          <cell r="EN11">
            <v>171</v>
          </cell>
          <cell r="EO11">
            <v>171</v>
          </cell>
          <cell r="EP11">
            <v>611</v>
          </cell>
          <cell r="EQ11">
            <v>1222</v>
          </cell>
          <cell r="ER11">
            <v>197</v>
          </cell>
          <cell r="ES11">
            <v>526</v>
          </cell>
          <cell r="EV11">
            <v>13139</v>
          </cell>
          <cell r="EX11">
            <v>4602</v>
          </cell>
          <cell r="EY11">
            <v>4602</v>
          </cell>
          <cell r="EZ11">
            <v>4602</v>
          </cell>
          <cell r="FB11">
            <v>191</v>
          </cell>
          <cell r="FD11">
            <v>631</v>
          </cell>
          <cell r="FE11">
            <v>978</v>
          </cell>
          <cell r="FF11">
            <v>3858</v>
          </cell>
        </row>
        <row r="12">
          <cell r="A12" t="str">
            <v>JERARQUICO CUYO (641/11)</v>
          </cell>
          <cell r="BE12">
            <v>1846</v>
          </cell>
          <cell r="BF12">
            <v>6221</v>
          </cell>
          <cell r="BG12">
            <v>462</v>
          </cell>
          <cell r="BH12">
            <v>129</v>
          </cell>
          <cell r="BI12">
            <v>129</v>
          </cell>
          <cell r="BJ12">
            <v>462</v>
          </cell>
          <cell r="BK12">
            <v>924</v>
          </cell>
          <cell r="BL12">
            <v>149</v>
          </cell>
          <cell r="BP12">
            <v>9939</v>
          </cell>
          <cell r="BR12">
            <v>3481</v>
          </cell>
          <cell r="BS12">
            <v>3481</v>
          </cell>
          <cell r="BV12">
            <v>149</v>
          </cell>
          <cell r="BW12">
            <v>0</v>
          </cell>
          <cell r="BX12">
            <v>477</v>
          </cell>
          <cell r="BY12">
            <v>740</v>
          </cell>
          <cell r="BZ12">
            <v>2918</v>
          </cell>
          <cell r="CA12">
            <v>2918</v>
          </cell>
          <cell r="CB12">
            <v>2918</v>
          </cell>
          <cell r="CC12">
            <v>2918</v>
          </cell>
          <cell r="CD12">
            <v>2918</v>
          </cell>
          <cell r="CE12">
            <v>11672</v>
          </cell>
          <cell r="CG12">
            <v>1846</v>
          </cell>
          <cell r="CH12">
            <v>6843</v>
          </cell>
          <cell r="CI12">
            <v>508</v>
          </cell>
          <cell r="CJ12">
            <v>142</v>
          </cell>
          <cell r="CK12">
            <v>142</v>
          </cell>
          <cell r="CL12">
            <v>508</v>
          </cell>
          <cell r="CM12">
            <v>1016</v>
          </cell>
          <cell r="CN12">
            <v>164</v>
          </cell>
          <cell r="CR12">
            <v>10933</v>
          </cell>
          <cell r="CT12">
            <v>3829</v>
          </cell>
          <cell r="CU12">
            <v>3829</v>
          </cell>
          <cell r="CX12">
            <v>164</v>
          </cell>
          <cell r="CY12">
            <v>0</v>
          </cell>
          <cell r="CZ12">
            <v>525</v>
          </cell>
          <cell r="DA12">
            <v>814</v>
          </cell>
          <cell r="DB12">
            <v>3210</v>
          </cell>
          <cell r="DC12">
            <v>3210</v>
          </cell>
          <cell r="DD12">
            <v>3210</v>
          </cell>
          <cell r="DE12">
            <v>3210</v>
          </cell>
          <cell r="DF12">
            <v>3210</v>
          </cell>
          <cell r="DG12">
            <v>12840</v>
          </cell>
        </row>
        <row r="13">
          <cell r="A13" t="str">
            <v>JERARQUICO PAT. AUSTRAL (611/10)</v>
          </cell>
        </row>
        <row r="14">
          <cell r="A14" t="str">
            <v>JERARQUICO STA Y JUJUY</v>
          </cell>
          <cell r="BE14">
            <v>1846</v>
          </cell>
          <cell r="BF14">
            <v>6214</v>
          </cell>
          <cell r="BG14">
            <v>462</v>
          </cell>
          <cell r="BH14">
            <v>129</v>
          </cell>
          <cell r="BI14">
            <v>129</v>
          </cell>
          <cell r="BJ14">
            <v>462</v>
          </cell>
          <cell r="BK14">
            <v>924</v>
          </cell>
          <cell r="BL14">
            <v>0</v>
          </cell>
          <cell r="BM14">
            <v>0</v>
          </cell>
          <cell r="BP14">
            <v>9939</v>
          </cell>
          <cell r="BR14">
            <v>3481</v>
          </cell>
          <cell r="BV14">
            <v>149</v>
          </cell>
          <cell r="BZ14">
            <v>2918</v>
          </cell>
          <cell r="CA14">
            <v>2918</v>
          </cell>
          <cell r="CB14">
            <v>2918</v>
          </cell>
          <cell r="CC14">
            <v>2918</v>
          </cell>
          <cell r="CD14">
            <v>2918</v>
          </cell>
          <cell r="CE14">
            <v>11672</v>
          </cell>
          <cell r="CG14">
            <v>1846</v>
          </cell>
          <cell r="CH14">
            <v>6835</v>
          </cell>
          <cell r="CI14">
            <v>508</v>
          </cell>
          <cell r="CJ14">
            <v>142</v>
          </cell>
          <cell r="CK14">
            <v>142</v>
          </cell>
          <cell r="CL14">
            <v>508</v>
          </cell>
          <cell r="CM14">
            <v>1016</v>
          </cell>
          <cell r="CR14">
            <v>10933</v>
          </cell>
          <cell r="CT14">
            <v>3829</v>
          </cell>
          <cell r="CX14">
            <v>164</v>
          </cell>
          <cell r="DB14">
            <v>3210</v>
          </cell>
          <cell r="DC14">
            <v>3210</v>
          </cell>
          <cell r="DD14">
            <v>3210</v>
          </cell>
          <cell r="DE14">
            <v>3210</v>
          </cell>
          <cell r="DF14">
            <v>3210</v>
          </cell>
          <cell r="DG14">
            <v>12840</v>
          </cell>
        </row>
      </sheetData>
      <sheetData sheetId="6">
        <row r="127">
          <cell r="B127" t="str">
            <v>AYUDANTE</v>
          </cell>
          <cell r="C127">
            <v>42736</v>
          </cell>
          <cell r="D127" t="str">
            <v>Zona 1</v>
          </cell>
          <cell r="E127">
            <v>39.01</v>
          </cell>
          <cell r="F127">
            <v>0</v>
          </cell>
          <cell r="G127">
            <v>68.12</v>
          </cell>
          <cell r="H127">
            <v>179.4</v>
          </cell>
          <cell r="I127">
            <v>0</v>
          </cell>
          <cell r="J127">
            <v>226.58</v>
          </cell>
          <cell r="K127">
            <v>3206.15</v>
          </cell>
        </row>
        <row r="128">
          <cell r="B128" t="str">
            <v>MEDIO OFICIAL</v>
          </cell>
          <cell r="C128">
            <v>42736</v>
          </cell>
          <cell r="D128" t="str">
            <v>Zona 1</v>
          </cell>
          <cell r="E128">
            <v>42.39</v>
          </cell>
          <cell r="F128">
            <v>0</v>
          </cell>
          <cell r="G128">
            <v>68.12</v>
          </cell>
          <cell r="H128">
            <v>179.4</v>
          </cell>
          <cell r="I128">
            <v>0</v>
          </cell>
          <cell r="J128">
            <v>226.58</v>
          </cell>
          <cell r="K128">
            <v>3206.15</v>
          </cell>
        </row>
        <row r="129">
          <cell r="B129" t="str">
            <v>OFICIAL</v>
          </cell>
          <cell r="C129">
            <v>42736</v>
          </cell>
          <cell r="D129" t="str">
            <v>Zona 1</v>
          </cell>
          <cell r="E129">
            <v>45.99</v>
          </cell>
          <cell r="F129">
            <v>0</v>
          </cell>
          <cell r="G129">
            <v>68.12</v>
          </cell>
          <cell r="H129">
            <v>179.4</v>
          </cell>
          <cell r="I129">
            <v>0</v>
          </cell>
          <cell r="J129">
            <v>226.58</v>
          </cell>
          <cell r="K129">
            <v>3206.15</v>
          </cell>
        </row>
        <row r="130">
          <cell r="B130" t="str">
            <v>OFICIAL BOLLAND</v>
          </cell>
          <cell r="C130">
            <v>42736</v>
          </cell>
          <cell r="D130" t="str">
            <v>Zona 1</v>
          </cell>
          <cell r="E130">
            <v>54</v>
          </cell>
          <cell r="F130">
            <v>0</v>
          </cell>
          <cell r="G130">
            <v>68.12</v>
          </cell>
          <cell r="H130">
            <v>179.4</v>
          </cell>
          <cell r="I130">
            <v>0</v>
          </cell>
          <cell r="J130">
            <v>226.58</v>
          </cell>
          <cell r="K130">
            <v>3206.15</v>
          </cell>
        </row>
        <row r="131">
          <cell r="B131" t="str">
            <v>OFICIAL ESPECIALIZADO</v>
          </cell>
          <cell r="C131">
            <v>42736</v>
          </cell>
          <cell r="D131" t="str">
            <v>Zona 1</v>
          </cell>
          <cell r="E131">
            <v>54</v>
          </cell>
          <cell r="F131">
            <v>0</v>
          </cell>
          <cell r="G131">
            <v>68.12</v>
          </cell>
          <cell r="H131">
            <v>179.4</v>
          </cell>
          <cell r="I131">
            <v>0</v>
          </cell>
          <cell r="J131">
            <v>226.58</v>
          </cell>
          <cell r="K131">
            <v>3206.15</v>
          </cell>
        </row>
        <row r="132">
          <cell r="B132" t="str">
            <v>AYUDANTE</v>
          </cell>
          <cell r="C132">
            <v>42736</v>
          </cell>
          <cell r="D132" t="str">
            <v>Zona 2</v>
          </cell>
          <cell r="E132">
            <v>39.01</v>
          </cell>
          <cell r="F132">
            <v>6.63</v>
          </cell>
          <cell r="G132">
            <v>76.430000000000007</v>
          </cell>
          <cell r="H132">
            <v>179.4</v>
          </cell>
          <cell r="I132">
            <v>74.75</v>
          </cell>
          <cell r="J132">
            <v>226.58</v>
          </cell>
          <cell r="K132">
            <v>3206.15</v>
          </cell>
        </row>
        <row r="133">
          <cell r="B133" t="str">
            <v>MEDIO OFICIAL</v>
          </cell>
          <cell r="C133">
            <v>42736</v>
          </cell>
          <cell r="D133" t="str">
            <v>Zona 2</v>
          </cell>
          <cell r="E133">
            <v>42.39</v>
          </cell>
          <cell r="F133">
            <v>7.22</v>
          </cell>
          <cell r="G133">
            <v>76.430000000000007</v>
          </cell>
          <cell r="H133">
            <v>179.4</v>
          </cell>
          <cell r="I133">
            <v>74.75</v>
          </cell>
          <cell r="J133">
            <v>226.58</v>
          </cell>
          <cell r="K133">
            <v>3206.15</v>
          </cell>
        </row>
        <row r="134">
          <cell r="B134" t="str">
            <v>OFICIAL</v>
          </cell>
          <cell r="C134">
            <v>42736</v>
          </cell>
          <cell r="D134" t="str">
            <v>Zona 2</v>
          </cell>
          <cell r="E134">
            <v>45.99</v>
          </cell>
          <cell r="F134">
            <v>7.83</v>
          </cell>
          <cell r="G134">
            <v>76.430000000000007</v>
          </cell>
          <cell r="H134">
            <v>179.4</v>
          </cell>
          <cell r="I134">
            <v>74.75</v>
          </cell>
          <cell r="J134">
            <v>226.58</v>
          </cell>
          <cell r="K134">
            <v>3206.15</v>
          </cell>
        </row>
        <row r="135">
          <cell r="B135" t="str">
            <v>OFICIAL BOLLAND</v>
          </cell>
          <cell r="C135">
            <v>42736</v>
          </cell>
          <cell r="D135" t="str">
            <v>Zona 2</v>
          </cell>
          <cell r="E135">
            <v>54</v>
          </cell>
          <cell r="F135">
            <v>9.19</v>
          </cell>
          <cell r="G135">
            <v>76.430000000000007</v>
          </cell>
          <cell r="H135">
            <v>179.4</v>
          </cell>
          <cell r="I135">
            <v>74.75</v>
          </cell>
          <cell r="J135">
            <v>226.58</v>
          </cell>
          <cell r="K135">
            <v>3206.15</v>
          </cell>
        </row>
        <row r="136">
          <cell r="B136" t="str">
            <v>OFICIAL ESPECIALIZADO</v>
          </cell>
          <cell r="C136">
            <v>42736</v>
          </cell>
          <cell r="D136" t="str">
            <v>Zona 2</v>
          </cell>
          <cell r="E136">
            <v>54</v>
          </cell>
          <cell r="F136">
            <v>9.19</v>
          </cell>
          <cell r="G136">
            <v>76.430000000000007</v>
          </cell>
          <cell r="H136">
            <v>179.4</v>
          </cell>
          <cell r="I136">
            <v>74.75</v>
          </cell>
          <cell r="J136">
            <v>226.58</v>
          </cell>
          <cell r="K136">
            <v>3206.15</v>
          </cell>
        </row>
        <row r="137">
          <cell r="B137" t="str">
            <v>AYUDANTE</v>
          </cell>
          <cell r="C137">
            <v>42736</v>
          </cell>
          <cell r="D137" t="str">
            <v>Zona 3</v>
          </cell>
          <cell r="E137">
            <v>39.01</v>
          </cell>
          <cell r="F137">
            <v>31.98</v>
          </cell>
          <cell r="G137">
            <v>76.430000000000007</v>
          </cell>
          <cell r="H137">
            <v>179.4</v>
          </cell>
          <cell r="I137">
            <v>74.75</v>
          </cell>
          <cell r="J137">
            <v>320.63</v>
          </cell>
          <cell r="K137">
            <v>3206.15</v>
          </cell>
        </row>
        <row r="138">
          <cell r="B138" t="str">
            <v>MEDIO OFICIAL</v>
          </cell>
          <cell r="C138">
            <v>42736</v>
          </cell>
          <cell r="D138" t="str">
            <v>Zona 3</v>
          </cell>
          <cell r="E138">
            <v>42.39</v>
          </cell>
          <cell r="F138">
            <v>34.76</v>
          </cell>
          <cell r="G138">
            <v>76.430000000000007</v>
          </cell>
          <cell r="H138">
            <v>179.4</v>
          </cell>
          <cell r="I138">
            <v>74.75</v>
          </cell>
          <cell r="J138">
            <v>320.63</v>
          </cell>
          <cell r="K138">
            <v>3206.15</v>
          </cell>
        </row>
        <row r="139">
          <cell r="B139" t="str">
            <v>OFICIAL</v>
          </cell>
          <cell r="C139">
            <v>42736</v>
          </cell>
          <cell r="D139" t="str">
            <v>Zona 3</v>
          </cell>
          <cell r="E139">
            <v>45.99</v>
          </cell>
          <cell r="F139">
            <v>37.71</v>
          </cell>
          <cell r="G139">
            <v>76.430000000000007</v>
          </cell>
          <cell r="H139">
            <v>179.4</v>
          </cell>
          <cell r="I139">
            <v>74.75</v>
          </cell>
          <cell r="J139">
            <v>320.63</v>
          </cell>
          <cell r="K139">
            <v>3206.15</v>
          </cell>
        </row>
        <row r="140">
          <cell r="B140" t="str">
            <v>OFICIAL BOLLAND</v>
          </cell>
          <cell r="C140">
            <v>42736</v>
          </cell>
          <cell r="D140" t="str">
            <v>Zona 3</v>
          </cell>
          <cell r="E140">
            <v>54</v>
          </cell>
          <cell r="F140">
            <v>44.28</v>
          </cell>
          <cell r="G140">
            <v>76.430000000000007</v>
          </cell>
          <cell r="H140">
            <v>179.4</v>
          </cell>
          <cell r="I140">
            <v>74.75</v>
          </cell>
          <cell r="J140">
            <v>320.63</v>
          </cell>
          <cell r="K140">
            <v>3206.15</v>
          </cell>
        </row>
        <row r="141">
          <cell r="B141" t="str">
            <v>OFICIAL ESPECIALIZADO</v>
          </cell>
          <cell r="C141">
            <v>42736</v>
          </cell>
          <cell r="D141" t="str">
            <v>Zona 3</v>
          </cell>
          <cell r="E141">
            <v>54</v>
          </cell>
          <cell r="F141">
            <v>44.28</v>
          </cell>
          <cell r="G141">
            <v>76.430000000000007</v>
          </cell>
          <cell r="H141">
            <v>179.4</v>
          </cell>
          <cell r="I141">
            <v>74.75</v>
          </cell>
          <cell r="J141">
            <v>320.63</v>
          </cell>
          <cell r="K141">
            <v>3206.15</v>
          </cell>
        </row>
        <row r="142">
          <cell r="B142" t="str">
            <v>AYUDANTE</v>
          </cell>
          <cell r="C142">
            <v>42736</v>
          </cell>
          <cell r="D142" t="str">
            <v>Zona 4</v>
          </cell>
          <cell r="E142">
            <v>39.01</v>
          </cell>
          <cell r="F142">
            <v>39.01</v>
          </cell>
          <cell r="G142">
            <v>76.430000000000007</v>
          </cell>
          <cell r="H142">
            <v>179.4</v>
          </cell>
          <cell r="I142">
            <v>74.75</v>
          </cell>
          <cell r="J142">
            <v>270.14</v>
          </cell>
          <cell r="K142">
            <v>3206.15</v>
          </cell>
        </row>
        <row r="143">
          <cell r="B143" t="str">
            <v>MEDIO OFICIAL</v>
          </cell>
          <cell r="C143">
            <v>42736</v>
          </cell>
          <cell r="D143" t="str">
            <v>Zona 4</v>
          </cell>
          <cell r="E143">
            <v>42.39</v>
          </cell>
          <cell r="F143">
            <v>42.39</v>
          </cell>
          <cell r="G143">
            <v>76.430000000000007</v>
          </cell>
          <cell r="H143">
            <v>179.4</v>
          </cell>
          <cell r="I143">
            <v>74.75</v>
          </cell>
          <cell r="J143">
            <v>270.14</v>
          </cell>
          <cell r="K143">
            <v>3206.15</v>
          </cell>
        </row>
        <row r="144">
          <cell r="B144" t="str">
            <v>OFICIAL</v>
          </cell>
          <cell r="C144">
            <v>42736</v>
          </cell>
          <cell r="D144" t="str">
            <v>Zona 4</v>
          </cell>
          <cell r="E144">
            <v>45.99</v>
          </cell>
          <cell r="F144">
            <v>45.99</v>
          </cell>
          <cell r="G144">
            <v>76.430000000000007</v>
          </cell>
          <cell r="H144">
            <v>179.4</v>
          </cell>
          <cell r="I144">
            <v>74.75</v>
          </cell>
          <cell r="J144">
            <v>270.14</v>
          </cell>
          <cell r="K144">
            <v>3206.15</v>
          </cell>
        </row>
        <row r="145">
          <cell r="B145" t="str">
            <v>OFICIAL BOLLAND</v>
          </cell>
          <cell r="C145">
            <v>42736</v>
          </cell>
          <cell r="D145" t="str">
            <v>Zona 4</v>
          </cell>
          <cell r="E145">
            <v>54</v>
          </cell>
          <cell r="F145">
            <v>54</v>
          </cell>
          <cell r="G145">
            <v>76.430000000000007</v>
          </cell>
          <cell r="H145">
            <v>179.4</v>
          </cell>
          <cell r="I145">
            <v>74.75</v>
          </cell>
          <cell r="J145">
            <v>270.14</v>
          </cell>
          <cell r="K145">
            <v>3206.15</v>
          </cell>
        </row>
        <row r="146">
          <cell r="B146" t="str">
            <v>OFICIAL ESPECIALIZADO</v>
          </cell>
          <cell r="C146">
            <v>42736</v>
          </cell>
          <cell r="D146" t="str">
            <v>Zona 4</v>
          </cell>
          <cell r="E146">
            <v>54</v>
          </cell>
          <cell r="F146">
            <v>54</v>
          </cell>
          <cell r="G146">
            <v>76.430000000000007</v>
          </cell>
          <cell r="H146">
            <v>179.4</v>
          </cell>
          <cell r="I146">
            <v>74.75</v>
          </cell>
          <cell r="J146">
            <v>270.14</v>
          </cell>
          <cell r="K146">
            <v>3206.15</v>
          </cell>
        </row>
        <row r="147">
          <cell r="B147" t="str">
            <v>AYUDANTE</v>
          </cell>
          <cell r="C147">
            <v>42917</v>
          </cell>
          <cell r="D147" t="str">
            <v>Zona 1</v>
          </cell>
          <cell r="E147">
            <v>42.91</v>
          </cell>
          <cell r="F147">
            <v>0</v>
          </cell>
          <cell r="G147">
            <v>74.930000000000007</v>
          </cell>
          <cell r="H147">
            <v>197.34</v>
          </cell>
          <cell r="I147">
            <v>0</v>
          </cell>
          <cell r="J147">
            <v>249.24</v>
          </cell>
          <cell r="K147">
            <v>3526.77</v>
          </cell>
        </row>
        <row r="148">
          <cell r="B148" t="str">
            <v>MEDIO OFICIAL</v>
          </cell>
          <cell r="C148">
            <v>42917</v>
          </cell>
          <cell r="D148" t="str">
            <v>Zona 1</v>
          </cell>
          <cell r="E148">
            <v>46.63</v>
          </cell>
          <cell r="F148">
            <v>0</v>
          </cell>
          <cell r="G148">
            <v>74.930000000000007</v>
          </cell>
          <cell r="H148">
            <v>197.34</v>
          </cell>
          <cell r="I148">
            <v>0</v>
          </cell>
          <cell r="J148">
            <v>249.24</v>
          </cell>
          <cell r="K148">
            <v>3526.77</v>
          </cell>
        </row>
        <row r="149">
          <cell r="B149" t="str">
            <v>OFICIAL</v>
          </cell>
          <cell r="C149">
            <v>42917</v>
          </cell>
          <cell r="D149" t="str">
            <v>Zona 1</v>
          </cell>
          <cell r="E149">
            <v>50.59</v>
          </cell>
          <cell r="F149">
            <v>0</v>
          </cell>
          <cell r="G149">
            <v>74.930000000000007</v>
          </cell>
          <cell r="H149">
            <v>197.34</v>
          </cell>
          <cell r="I149">
            <v>0</v>
          </cell>
          <cell r="J149">
            <v>249.24</v>
          </cell>
          <cell r="K149">
            <v>3526.77</v>
          </cell>
        </row>
        <row r="150">
          <cell r="B150" t="str">
            <v>OFICIAL BOLLAND</v>
          </cell>
          <cell r="C150">
            <v>42917</v>
          </cell>
          <cell r="D150" t="str">
            <v>Zona 1</v>
          </cell>
          <cell r="E150">
            <v>59.4</v>
          </cell>
          <cell r="F150">
            <v>0</v>
          </cell>
          <cell r="G150">
            <v>74.930000000000007</v>
          </cell>
          <cell r="H150">
            <v>197.34</v>
          </cell>
          <cell r="I150">
            <v>0</v>
          </cell>
          <cell r="J150">
            <v>249.24</v>
          </cell>
          <cell r="K150">
            <v>3526.77</v>
          </cell>
        </row>
        <row r="151">
          <cell r="B151" t="str">
            <v>OFICIAL ESPECIALIZADO</v>
          </cell>
          <cell r="C151">
            <v>42917</v>
          </cell>
          <cell r="D151" t="str">
            <v>Zona 1</v>
          </cell>
          <cell r="E151">
            <v>59.4</v>
          </cell>
          <cell r="F151">
            <v>0</v>
          </cell>
          <cell r="G151">
            <v>74.930000000000007</v>
          </cell>
          <cell r="H151">
            <v>197.34</v>
          </cell>
          <cell r="I151">
            <v>0</v>
          </cell>
          <cell r="J151">
            <v>249.24</v>
          </cell>
          <cell r="K151">
            <v>3526.77</v>
          </cell>
        </row>
        <row r="152">
          <cell r="B152" t="str">
            <v>AYUDANTE</v>
          </cell>
          <cell r="C152">
            <v>42917</v>
          </cell>
          <cell r="D152" t="str">
            <v>Zona 2</v>
          </cell>
          <cell r="E152">
            <v>42.91</v>
          </cell>
          <cell r="F152">
            <v>7.29</v>
          </cell>
          <cell r="G152">
            <v>84.07</v>
          </cell>
          <cell r="H152">
            <v>197.34</v>
          </cell>
          <cell r="I152">
            <v>82.23</v>
          </cell>
          <cell r="J152">
            <v>249.24</v>
          </cell>
          <cell r="K152">
            <v>3526.77</v>
          </cell>
        </row>
        <row r="153">
          <cell r="B153" t="str">
            <v>MEDIO OFICIAL</v>
          </cell>
          <cell r="C153">
            <v>42917</v>
          </cell>
          <cell r="D153" t="str">
            <v>Zona 2</v>
          </cell>
          <cell r="E153">
            <v>46.63</v>
          </cell>
          <cell r="F153">
            <v>7.94</v>
          </cell>
          <cell r="G153">
            <v>84.07</v>
          </cell>
          <cell r="H153">
            <v>197.34</v>
          </cell>
          <cell r="I153">
            <v>82.23</v>
          </cell>
          <cell r="J153">
            <v>249.24</v>
          </cell>
          <cell r="K153">
            <v>3526.77</v>
          </cell>
        </row>
        <row r="154">
          <cell r="B154" t="str">
            <v>OFICIAL</v>
          </cell>
          <cell r="C154">
            <v>42917</v>
          </cell>
          <cell r="D154" t="str">
            <v>Zona 2</v>
          </cell>
          <cell r="E154">
            <v>50.59</v>
          </cell>
          <cell r="F154">
            <v>8.61</v>
          </cell>
          <cell r="G154">
            <v>84.07</v>
          </cell>
          <cell r="H154">
            <v>197.34</v>
          </cell>
          <cell r="I154">
            <v>82.23</v>
          </cell>
          <cell r="J154">
            <v>249.24</v>
          </cell>
          <cell r="K154">
            <v>3526.77</v>
          </cell>
        </row>
        <row r="155">
          <cell r="B155" t="str">
            <v>OFICIAL BOLLAND</v>
          </cell>
          <cell r="C155">
            <v>42917</v>
          </cell>
          <cell r="D155" t="str">
            <v>Zona 2</v>
          </cell>
          <cell r="E155">
            <v>59.4</v>
          </cell>
          <cell r="F155">
            <v>10.11</v>
          </cell>
          <cell r="G155">
            <v>84.07</v>
          </cell>
          <cell r="H155">
            <v>197.34</v>
          </cell>
          <cell r="I155">
            <v>82.23</v>
          </cell>
          <cell r="J155">
            <v>249.24</v>
          </cell>
          <cell r="K155">
            <v>3526.77</v>
          </cell>
        </row>
        <row r="156">
          <cell r="B156" t="str">
            <v>OFICIAL ESPECIALIZADO</v>
          </cell>
          <cell r="C156">
            <v>42917</v>
          </cell>
          <cell r="D156" t="str">
            <v>Zona 2</v>
          </cell>
          <cell r="E156">
            <v>59.4</v>
          </cell>
          <cell r="F156">
            <v>10.11</v>
          </cell>
          <cell r="G156">
            <v>84.07</v>
          </cell>
          <cell r="H156">
            <v>197.34</v>
          </cell>
          <cell r="I156">
            <v>82.23</v>
          </cell>
          <cell r="J156">
            <v>249.24</v>
          </cell>
          <cell r="K156">
            <v>3526.77</v>
          </cell>
        </row>
        <row r="157">
          <cell r="B157" t="str">
            <v>AYUDANTE</v>
          </cell>
          <cell r="C157">
            <v>42917</v>
          </cell>
          <cell r="D157" t="str">
            <v>Zona 3</v>
          </cell>
          <cell r="E157">
            <v>42.91</v>
          </cell>
          <cell r="F157">
            <v>35.18</v>
          </cell>
          <cell r="G157">
            <v>84.07</v>
          </cell>
          <cell r="H157">
            <v>197.34</v>
          </cell>
          <cell r="I157">
            <v>82.23</v>
          </cell>
          <cell r="J157">
            <v>352.69</v>
          </cell>
          <cell r="K157">
            <v>3526.77</v>
          </cell>
        </row>
        <row r="158">
          <cell r="B158" t="str">
            <v>MEDIO OFICIAL</v>
          </cell>
          <cell r="C158">
            <v>42917</v>
          </cell>
          <cell r="D158" t="str">
            <v>Zona 3</v>
          </cell>
          <cell r="E158">
            <v>46.63</v>
          </cell>
          <cell r="F158">
            <v>38.24</v>
          </cell>
          <cell r="G158">
            <v>84.07</v>
          </cell>
          <cell r="H158">
            <v>197.34</v>
          </cell>
          <cell r="I158">
            <v>82.23</v>
          </cell>
          <cell r="J158">
            <v>352.69</v>
          </cell>
          <cell r="K158">
            <v>3526.77</v>
          </cell>
        </row>
        <row r="159">
          <cell r="B159" t="str">
            <v>OFICIAL</v>
          </cell>
          <cell r="C159">
            <v>42917</v>
          </cell>
          <cell r="D159" t="str">
            <v>Zona 3</v>
          </cell>
          <cell r="E159">
            <v>50.59</v>
          </cell>
          <cell r="F159">
            <v>41.48</v>
          </cell>
          <cell r="G159">
            <v>84.07</v>
          </cell>
          <cell r="H159">
            <v>197.34</v>
          </cell>
          <cell r="I159">
            <v>82.23</v>
          </cell>
          <cell r="J159">
            <v>352.69</v>
          </cell>
          <cell r="K159">
            <v>3526.77</v>
          </cell>
        </row>
        <row r="160">
          <cell r="B160" t="str">
            <v>OFICIAL BOLLAND</v>
          </cell>
          <cell r="C160">
            <v>42917</v>
          </cell>
          <cell r="D160" t="str">
            <v>Zona 3</v>
          </cell>
          <cell r="E160">
            <v>59.4</v>
          </cell>
          <cell r="F160">
            <v>48.71</v>
          </cell>
          <cell r="G160">
            <v>84.07</v>
          </cell>
          <cell r="H160">
            <v>197.34</v>
          </cell>
          <cell r="I160">
            <v>82.23</v>
          </cell>
          <cell r="J160">
            <v>352.69</v>
          </cell>
          <cell r="K160">
            <v>3526.77</v>
          </cell>
        </row>
        <row r="161">
          <cell r="B161" t="str">
            <v>OFICIAL ESPECIALIZADO</v>
          </cell>
          <cell r="C161">
            <v>42917</v>
          </cell>
          <cell r="D161" t="str">
            <v>Zona 3</v>
          </cell>
          <cell r="E161">
            <v>59.4</v>
          </cell>
          <cell r="F161">
            <v>48.71</v>
          </cell>
          <cell r="G161">
            <v>84.07</v>
          </cell>
          <cell r="H161">
            <v>197.34</v>
          </cell>
          <cell r="I161">
            <v>82.23</v>
          </cell>
          <cell r="J161">
            <v>352.69</v>
          </cell>
          <cell r="K161">
            <v>3526.77</v>
          </cell>
        </row>
        <row r="162">
          <cell r="B162" t="str">
            <v>AYUDANTE</v>
          </cell>
          <cell r="C162">
            <v>42917</v>
          </cell>
          <cell r="D162" t="str">
            <v>Zona 4</v>
          </cell>
          <cell r="E162">
            <v>42.91</v>
          </cell>
          <cell r="F162">
            <v>42.91</v>
          </cell>
          <cell r="G162">
            <v>84.07</v>
          </cell>
          <cell r="H162">
            <v>197.34</v>
          </cell>
          <cell r="I162">
            <v>82.23</v>
          </cell>
          <cell r="J162">
            <v>297.14999999999998</v>
          </cell>
          <cell r="K162">
            <v>3526.77</v>
          </cell>
        </row>
        <row r="163">
          <cell r="B163" t="str">
            <v>MEDIO OFICIAL</v>
          </cell>
          <cell r="C163">
            <v>42917</v>
          </cell>
          <cell r="D163" t="str">
            <v>Zona 4</v>
          </cell>
          <cell r="E163">
            <v>46.63</v>
          </cell>
          <cell r="F163">
            <v>46.63</v>
          </cell>
          <cell r="G163">
            <v>84.07</v>
          </cell>
          <cell r="H163">
            <v>197.34</v>
          </cell>
          <cell r="I163">
            <v>82.23</v>
          </cell>
          <cell r="J163">
            <v>297.14999999999998</v>
          </cell>
          <cell r="K163">
            <v>3526.77</v>
          </cell>
        </row>
        <row r="164">
          <cell r="B164" t="str">
            <v>OFICIAL</v>
          </cell>
          <cell r="C164">
            <v>42917</v>
          </cell>
          <cell r="D164" t="str">
            <v>Zona 4</v>
          </cell>
          <cell r="E164">
            <v>50.59</v>
          </cell>
          <cell r="F164">
            <v>50.59</v>
          </cell>
          <cell r="G164">
            <v>84.07</v>
          </cell>
          <cell r="H164">
            <v>197.34</v>
          </cell>
          <cell r="I164">
            <v>82.23</v>
          </cell>
          <cell r="J164">
            <v>297.14999999999998</v>
          </cell>
          <cell r="K164">
            <v>3526.77</v>
          </cell>
        </row>
        <row r="165">
          <cell r="B165" t="str">
            <v>OFICIAL BOLLAND</v>
          </cell>
          <cell r="C165">
            <v>42917</v>
          </cell>
          <cell r="D165" t="str">
            <v>Zona 4</v>
          </cell>
          <cell r="E165">
            <v>59.4</v>
          </cell>
          <cell r="F165">
            <v>59.4</v>
          </cell>
          <cell r="G165">
            <v>84.07</v>
          </cell>
          <cell r="H165">
            <v>197.34</v>
          </cell>
          <cell r="I165">
            <v>82.23</v>
          </cell>
          <cell r="J165">
            <v>297.14999999999998</v>
          </cell>
          <cell r="K165">
            <v>3526.77</v>
          </cell>
        </row>
        <row r="166">
          <cell r="B166" t="str">
            <v>OFICIAL ESPECIALIZADO</v>
          </cell>
          <cell r="C166">
            <v>42917</v>
          </cell>
          <cell r="D166" t="str">
            <v>Zona 4</v>
          </cell>
          <cell r="E166">
            <v>59.4</v>
          </cell>
          <cell r="F166">
            <v>59.4</v>
          </cell>
          <cell r="G166">
            <v>84.07</v>
          </cell>
          <cell r="H166">
            <v>197.34</v>
          </cell>
          <cell r="I166">
            <v>82.23</v>
          </cell>
          <cell r="J166">
            <v>297.14999999999998</v>
          </cell>
          <cell r="K166">
            <v>3526.77</v>
          </cell>
        </row>
        <row r="167">
          <cell r="B167" t="str">
            <v>AYUDANTE</v>
          </cell>
          <cell r="C167">
            <v>43009</v>
          </cell>
          <cell r="D167" t="str">
            <v>Zona 1</v>
          </cell>
          <cell r="E167">
            <v>46.81</v>
          </cell>
          <cell r="F167">
            <v>0</v>
          </cell>
          <cell r="G167">
            <v>81.739999999999995</v>
          </cell>
          <cell r="H167">
            <v>215.28</v>
          </cell>
          <cell r="I167">
            <v>0</v>
          </cell>
          <cell r="J167">
            <v>271.89999999999998</v>
          </cell>
          <cell r="K167">
            <v>3847.38</v>
          </cell>
        </row>
        <row r="168">
          <cell r="B168" t="str">
            <v>MEDIO OFICIAL</v>
          </cell>
          <cell r="C168">
            <v>43009</v>
          </cell>
          <cell r="D168" t="str">
            <v>Zona 1</v>
          </cell>
          <cell r="E168">
            <v>50.87</v>
          </cell>
          <cell r="F168">
            <v>0</v>
          </cell>
          <cell r="G168">
            <v>81.739999999999995</v>
          </cell>
          <cell r="H168">
            <v>215.28</v>
          </cell>
          <cell r="I168">
            <v>0</v>
          </cell>
          <cell r="J168">
            <v>271.89999999999998</v>
          </cell>
          <cell r="K168">
            <v>3847.38</v>
          </cell>
        </row>
        <row r="169">
          <cell r="B169" t="str">
            <v>OFICIAL</v>
          </cell>
          <cell r="C169">
            <v>43009</v>
          </cell>
          <cell r="D169" t="str">
            <v>Zona 1</v>
          </cell>
          <cell r="E169">
            <v>55.19</v>
          </cell>
          <cell r="F169">
            <v>0</v>
          </cell>
          <cell r="G169">
            <v>81.739999999999995</v>
          </cell>
          <cell r="H169">
            <v>215.28</v>
          </cell>
          <cell r="I169">
            <v>0</v>
          </cell>
          <cell r="J169">
            <v>271.89999999999998</v>
          </cell>
          <cell r="K169">
            <v>3847.38</v>
          </cell>
        </row>
        <row r="170">
          <cell r="B170" t="str">
            <v>OFICIAL BOLLAND</v>
          </cell>
          <cell r="C170">
            <v>43009</v>
          </cell>
          <cell r="D170" t="str">
            <v>Zona 1</v>
          </cell>
          <cell r="E170">
            <v>64.8</v>
          </cell>
          <cell r="F170">
            <v>0</v>
          </cell>
          <cell r="G170">
            <v>81.739999999999995</v>
          </cell>
          <cell r="H170">
            <v>215.28</v>
          </cell>
          <cell r="I170">
            <v>0</v>
          </cell>
          <cell r="J170">
            <v>271.89999999999998</v>
          </cell>
          <cell r="K170">
            <v>3847.38</v>
          </cell>
        </row>
        <row r="171">
          <cell r="B171" t="str">
            <v>OFICIAL ESPECIALIZADO</v>
          </cell>
          <cell r="C171">
            <v>43009</v>
          </cell>
          <cell r="D171" t="str">
            <v>Zona 1</v>
          </cell>
          <cell r="E171">
            <v>64.8</v>
          </cell>
          <cell r="F171">
            <v>0</v>
          </cell>
          <cell r="G171">
            <v>81.739999999999995</v>
          </cell>
          <cell r="H171">
            <v>215.28</v>
          </cell>
          <cell r="I171">
            <v>0</v>
          </cell>
          <cell r="J171">
            <v>271.89999999999998</v>
          </cell>
          <cell r="K171">
            <v>3847.38</v>
          </cell>
        </row>
        <row r="172">
          <cell r="B172" t="str">
            <v>SERENO</v>
          </cell>
          <cell r="C172">
            <v>43009</v>
          </cell>
          <cell r="D172" t="str">
            <v>Zona 1</v>
          </cell>
          <cell r="E172">
            <v>8521.5499999999993</v>
          </cell>
          <cell r="G172">
            <v>81.739999999999995</v>
          </cell>
          <cell r="H172">
            <v>215.28</v>
          </cell>
          <cell r="I172">
            <v>0</v>
          </cell>
          <cell r="J172">
            <v>271.89999999999998</v>
          </cell>
          <cell r="K172">
            <v>3847.38</v>
          </cell>
        </row>
        <row r="173">
          <cell r="B173" t="str">
            <v>AYUDANTE</v>
          </cell>
          <cell r="C173">
            <v>43009</v>
          </cell>
          <cell r="D173" t="str">
            <v>Zona 2</v>
          </cell>
          <cell r="E173">
            <v>46.81</v>
          </cell>
          <cell r="F173">
            <v>7.96</v>
          </cell>
          <cell r="G173">
            <v>91.72</v>
          </cell>
          <cell r="H173">
            <v>215.28</v>
          </cell>
          <cell r="I173">
            <v>89.7</v>
          </cell>
          <cell r="J173">
            <v>271.89999999999998</v>
          </cell>
          <cell r="K173">
            <v>3847.38</v>
          </cell>
        </row>
        <row r="174">
          <cell r="B174" t="str">
            <v>MEDIO OFICIAL</v>
          </cell>
          <cell r="C174">
            <v>43009</v>
          </cell>
          <cell r="D174" t="str">
            <v>Zona 2</v>
          </cell>
          <cell r="E174">
            <v>50.87</v>
          </cell>
          <cell r="F174">
            <v>8.66</v>
          </cell>
          <cell r="G174">
            <v>91.72</v>
          </cell>
          <cell r="H174">
            <v>215.28</v>
          </cell>
          <cell r="I174">
            <v>89.7</v>
          </cell>
          <cell r="J174">
            <v>271.89999999999998</v>
          </cell>
          <cell r="K174">
            <v>3847.38</v>
          </cell>
        </row>
        <row r="175">
          <cell r="B175" t="str">
            <v>OFICIAL</v>
          </cell>
          <cell r="C175">
            <v>43009</v>
          </cell>
          <cell r="D175" t="str">
            <v>Zona 2</v>
          </cell>
          <cell r="E175">
            <v>55.19</v>
          </cell>
          <cell r="F175">
            <v>9.4</v>
          </cell>
          <cell r="G175">
            <v>91.72</v>
          </cell>
          <cell r="H175">
            <v>215.28</v>
          </cell>
          <cell r="I175">
            <v>89.7</v>
          </cell>
          <cell r="J175">
            <v>271.89999999999998</v>
          </cell>
          <cell r="K175">
            <v>3847.38</v>
          </cell>
        </row>
        <row r="176">
          <cell r="B176" t="str">
            <v>OFICIAL BOLLAND</v>
          </cell>
          <cell r="C176">
            <v>43009</v>
          </cell>
          <cell r="D176" t="str">
            <v>Zona 2</v>
          </cell>
          <cell r="E176">
            <v>64.8</v>
          </cell>
          <cell r="F176">
            <v>11.03</v>
          </cell>
          <cell r="G176">
            <v>91.72</v>
          </cell>
          <cell r="H176">
            <v>215.28</v>
          </cell>
          <cell r="I176">
            <v>89.7</v>
          </cell>
          <cell r="J176">
            <v>271.89999999999998</v>
          </cell>
          <cell r="K176">
            <v>3847.38</v>
          </cell>
        </row>
        <row r="177">
          <cell r="B177" t="str">
            <v>OFICIAL ESPECIALIZADO</v>
          </cell>
          <cell r="C177">
            <v>43009</v>
          </cell>
          <cell r="D177" t="str">
            <v>Zona 2</v>
          </cell>
          <cell r="E177">
            <v>64.8</v>
          </cell>
          <cell r="F177">
            <v>11.03</v>
          </cell>
          <cell r="G177">
            <v>91.72</v>
          </cell>
          <cell r="H177">
            <v>215.28</v>
          </cell>
          <cell r="I177">
            <v>89.7</v>
          </cell>
          <cell r="J177">
            <v>271.89999999999998</v>
          </cell>
          <cell r="K177">
            <v>3847.38</v>
          </cell>
        </row>
        <row r="178">
          <cell r="B178" t="str">
            <v>SERENO</v>
          </cell>
          <cell r="C178">
            <v>43009</v>
          </cell>
          <cell r="D178" t="str">
            <v>Zona 2</v>
          </cell>
          <cell r="E178">
            <v>8521.5499999999993</v>
          </cell>
          <cell r="F178">
            <v>1448.7</v>
          </cell>
          <cell r="G178">
            <v>91.72</v>
          </cell>
          <cell r="H178">
            <v>215.28</v>
          </cell>
          <cell r="I178">
            <v>89.7</v>
          </cell>
          <cell r="J178">
            <v>271.89999999999998</v>
          </cell>
          <cell r="K178">
            <v>3847.38</v>
          </cell>
        </row>
        <row r="179">
          <cell r="B179" t="str">
            <v>AYUDANTE</v>
          </cell>
          <cell r="C179">
            <v>43009</v>
          </cell>
          <cell r="D179" t="str">
            <v>Zona 3</v>
          </cell>
          <cell r="E179">
            <v>46.81</v>
          </cell>
          <cell r="F179">
            <v>38.380000000000003</v>
          </cell>
          <cell r="G179">
            <v>91.72</v>
          </cell>
          <cell r="H179">
            <v>215.28</v>
          </cell>
          <cell r="I179">
            <v>89.7</v>
          </cell>
          <cell r="J179">
            <v>384.76</v>
          </cell>
          <cell r="K179">
            <v>3847.38</v>
          </cell>
        </row>
        <row r="180">
          <cell r="B180" t="str">
            <v>MEDIO OFICIAL</v>
          </cell>
          <cell r="C180">
            <v>43009</v>
          </cell>
          <cell r="D180" t="str">
            <v>Zona 3</v>
          </cell>
          <cell r="E180">
            <v>50.87</v>
          </cell>
          <cell r="F180">
            <v>41.71</v>
          </cell>
          <cell r="G180">
            <v>91.72</v>
          </cell>
          <cell r="H180">
            <v>215.28</v>
          </cell>
          <cell r="I180">
            <v>89.7</v>
          </cell>
          <cell r="J180">
            <v>384.76</v>
          </cell>
          <cell r="K180">
            <v>3847.38</v>
          </cell>
        </row>
        <row r="181">
          <cell r="B181" t="str">
            <v>OFICIAL</v>
          </cell>
          <cell r="C181">
            <v>43009</v>
          </cell>
          <cell r="D181" t="str">
            <v>Zona 3</v>
          </cell>
          <cell r="E181">
            <v>55.19</v>
          </cell>
          <cell r="F181">
            <v>45.25</v>
          </cell>
          <cell r="G181">
            <v>91.72</v>
          </cell>
          <cell r="H181">
            <v>215.28</v>
          </cell>
          <cell r="I181">
            <v>89.7</v>
          </cell>
          <cell r="J181">
            <v>384.76</v>
          </cell>
          <cell r="K181">
            <v>3847.38</v>
          </cell>
        </row>
        <row r="182">
          <cell r="B182" t="str">
            <v>OFICIAL BOLLAND</v>
          </cell>
          <cell r="C182">
            <v>43009</v>
          </cell>
          <cell r="D182" t="str">
            <v>Zona 3</v>
          </cell>
          <cell r="E182">
            <v>64.8</v>
          </cell>
          <cell r="F182">
            <v>53.14</v>
          </cell>
          <cell r="G182">
            <v>91.72</v>
          </cell>
          <cell r="H182">
            <v>215.28</v>
          </cell>
          <cell r="I182">
            <v>89.7</v>
          </cell>
          <cell r="J182">
            <v>384.76</v>
          </cell>
          <cell r="K182">
            <v>3847.38</v>
          </cell>
        </row>
        <row r="183">
          <cell r="B183" t="str">
            <v>OFICIAL ESPECIALIZADO</v>
          </cell>
          <cell r="C183">
            <v>43009</v>
          </cell>
          <cell r="D183" t="str">
            <v>Zona 3</v>
          </cell>
          <cell r="E183">
            <v>64.8</v>
          </cell>
          <cell r="F183">
            <v>53.14</v>
          </cell>
          <cell r="G183">
            <v>91.72</v>
          </cell>
          <cell r="H183">
            <v>215.28</v>
          </cell>
          <cell r="I183">
            <v>89.7</v>
          </cell>
          <cell r="J183">
            <v>384.76</v>
          </cell>
          <cell r="K183">
            <v>3847.38</v>
          </cell>
        </row>
        <row r="184">
          <cell r="B184" t="str">
            <v>SERENO</v>
          </cell>
          <cell r="C184">
            <v>43009</v>
          </cell>
          <cell r="D184" t="str">
            <v>Zona 3</v>
          </cell>
          <cell r="E184">
            <v>8521.5499999999993</v>
          </cell>
          <cell r="F184">
            <v>6987.7</v>
          </cell>
          <cell r="G184">
            <v>91.72</v>
          </cell>
          <cell r="H184">
            <v>215.28</v>
          </cell>
          <cell r="I184">
            <v>89.7</v>
          </cell>
          <cell r="J184">
            <v>384.76</v>
          </cell>
          <cell r="K184">
            <v>3847.38</v>
          </cell>
        </row>
        <row r="185">
          <cell r="B185" t="str">
            <v>AYUDANTE</v>
          </cell>
          <cell r="C185">
            <v>43009</v>
          </cell>
          <cell r="D185" t="str">
            <v>Zona 4</v>
          </cell>
          <cell r="E185">
            <v>46.81</v>
          </cell>
          <cell r="F185">
            <v>46.81</v>
          </cell>
          <cell r="G185">
            <v>91.72</v>
          </cell>
          <cell r="H185">
            <v>215.28</v>
          </cell>
          <cell r="I185">
            <v>89.7</v>
          </cell>
          <cell r="J185">
            <v>324.17</v>
          </cell>
          <cell r="K185">
            <v>3847.38</v>
          </cell>
        </row>
        <row r="186">
          <cell r="B186" t="str">
            <v>MEDIO OFICIAL</v>
          </cell>
          <cell r="C186">
            <v>43009</v>
          </cell>
          <cell r="D186" t="str">
            <v>Zona 4</v>
          </cell>
          <cell r="E186">
            <v>50.87</v>
          </cell>
          <cell r="F186">
            <v>50.87</v>
          </cell>
          <cell r="G186">
            <v>91.72</v>
          </cell>
          <cell r="H186">
            <v>215.28</v>
          </cell>
          <cell r="I186">
            <v>89.7</v>
          </cell>
          <cell r="J186">
            <v>324.17</v>
          </cell>
          <cell r="K186">
            <v>3847.38</v>
          </cell>
        </row>
        <row r="187">
          <cell r="B187" t="str">
            <v>OFICIAL</v>
          </cell>
          <cell r="C187">
            <v>43009</v>
          </cell>
          <cell r="D187" t="str">
            <v>Zona 4</v>
          </cell>
          <cell r="E187">
            <v>55.19</v>
          </cell>
          <cell r="F187">
            <v>55.19</v>
          </cell>
          <cell r="G187">
            <v>91.72</v>
          </cell>
          <cell r="H187">
            <v>215.28</v>
          </cell>
          <cell r="I187">
            <v>89.7</v>
          </cell>
          <cell r="J187">
            <v>324.17</v>
          </cell>
          <cell r="K187">
            <v>3847.38</v>
          </cell>
        </row>
        <row r="188">
          <cell r="B188" t="str">
            <v>OFICIAL BOLLAND</v>
          </cell>
          <cell r="C188">
            <v>43009</v>
          </cell>
          <cell r="D188" t="str">
            <v>Zona 4</v>
          </cell>
          <cell r="E188">
            <v>64.8</v>
          </cell>
          <cell r="F188">
            <v>64.8</v>
          </cell>
          <cell r="G188">
            <v>91.72</v>
          </cell>
          <cell r="H188">
            <v>215.28</v>
          </cell>
          <cell r="I188">
            <v>89.7</v>
          </cell>
          <cell r="J188">
            <v>324.17</v>
          </cell>
          <cell r="K188">
            <v>3847.38</v>
          </cell>
        </row>
        <row r="189">
          <cell r="B189" t="str">
            <v>OFICIAL ESPECIALIZADO</v>
          </cell>
          <cell r="C189">
            <v>43009</v>
          </cell>
          <cell r="D189" t="str">
            <v>Zona 4</v>
          </cell>
          <cell r="E189">
            <v>64.8</v>
          </cell>
          <cell r="F189">
            <v>64.8</v>
          </cell>
          <cell r="G189">
            <v>91.72</v>
          </cell>
          <cell r="H189">
            <v>215.28</v>
          </cell>
          <cell r="I189">
            <v>89.7</v>
          </cell>
          <cell r="J189">
            <v>324.17</v>
          </cell>
          <cell r="K189">
            <v>3847.38</v>
          </cell>
        </row>
        <row r="190">
          <cell r="B190" t="str">
            <v>SERENO</v>
          </cell>
          <cell r="C190">
            <v>43009</v>
          </cell>
          <cell r="D190" t="str">
            <v>Zona 4</v>
          </cell>
          <cell r="E190">
            <v>8521.5499999999993</v>
          </cell>
          <cell r="F190">
            <v>8521.5499999999993</v>
          </cell>
          <cell r="G190">
            <v>91.72</v>
          </cell>
          <cell r="H190">
            <v>215.28</v>
          </cell>
          <cell r="I190">
            <v>89.7</v>
          </cell>
          <cell r="J190">
            <v>324.17</v>
          </cell>
          <cell r="K190">
            <v>3847.38</v>
          </cell>
        </row>
        <row r="191">
          <cell r="B191" t="str">
            <v>AYUDANTE</v>
          </cell>
          <cell r="C191">
            <v>43160</v>
          </cell>
          <cell r="D191" t="str">
            <v>Zona 1</v>
          </cell>
          <cell r="E191">
            <v>48.92</v>
          </cell>
          <cell r="F191">
            <v>0</v>
          </cell>
          <cell r="G191">
            <v>85.42</v>
          </cell>
          <cell r="H191">
            <v>224.97</v>
          </cell>
          <cell r="I191">
            <v>0</v>
          </cell>
          <cell r="J191">
            <v>284.14</v>
          </cell>
          <cell r="K191">
            <v>4020.5</v>
          </cell>
        </row>
        <row r="192">
          <cell r="B192" t="str">
            <v>MEDIO OFICIAL</v>
          </cell>
          <cell r="C192">
            <v>43160</v>
          </cell>
          <cell r="D192" t="str">
            <v>Zona 1</v>
          </cell>
          <cell r="E192">
            <v>53.17</v>
          </cell>
          <cell r="F192">
            <v>0</v>
          </cell>
          <cell r="G192">
            <v>85.42</v>
          </cell>
          <cell r="H192">
            <v>224.97</v>
          </cell>
          <cell r="I192">
            <v>0</v>
          </cell>
          <cell r="J192">
            <v>284.14</v>
          </cell>
          <cell r="K192">
            <v>4020.5</v>
          </cell>
        </row>
        <row r="193">
          <cell r="B193" t="str">
            <v>OFICIAL</v>
          </cell>
          <cell r="C193">
            <v>43160</v>
          </cell>
          <cell r="D193" t="str">
            <v>Zona 1</v>
          </cell>
          <cell r="E193">
            <v>57.66</v>
          </cell>
          <cell r="F193">
            <v>0</v>
          </cell>
          <cell r="G193">
            <v>85.42</v>
          </cell>
          <cell r="H193">
            <v>224.97</v>
          </cell>
          <cell r="I193">
            <v>0</v>
          </cell>
          <cell r="J193">
            <v>284.14</v>
          </cell>
          <cell r="K193">
            <v>4020.5</v>
          </cell>
        </row>
        <row r="194">
          <cell r="B194" t="str">
            <v>OFICIAL BOLLAND</v>
          </cell>
          <cell r="C194">
            <v>43160</v>
          </cell>
          <cell r="D194" t="str">
            <v>Zona 1</v>
          </cell>
          <cell r="E194">
            <v>67.72</v>
          </cell>
          <cell r="F194">
            <v>0</v>
          </cell>
          <cell r="G194">
            <v>85.42</v>
          </cell>
          <cell r="H194">
            <v>224.97</v>
          </cell>
          <cell r="I194">
            <v>0</v>
          </cell>
          <cell r="J194">
            <v>284.14</v>
          </cell>
          <cell r="K194">
            <v>4020.5</v>
          </cell>
        </row>
        <row r="195">
          <cell r="B195" t="str">
            <v>OFICIAL ESPECIALIZADO</v>
          </cell>
          <cell r="C195">
            <v>43160</v>
          </cell>
          <cell r="D195" t="str">
            <v>Zona 1</v>
          </cell>
          <cell r="E195">
            <v>67.72</v>
          </cell>
          <cell r="F195">
            <v>0</v>
          </cell>
          <cell r="G195">
            <v>85.42</v>
          </cell>
          <cell r="H195">
            <v>224.97</v>
          </cell>
          <cell r="I195">
            <v>0</v>
          </cell>
          <cell r="J195">
            <v>284.14</v>
          </cell>
          <cell r="K195">
            <v>4020.5</v>
          </cell>
        </row>
        <row r="196">
          <cell r="B196" t="str">
            <v>SERENO</v>
          </cell>
          <cell r="C196">
            <v>43160</v>
          </cell>
          <cell r="D196" t="str">
            <v>Zona 1</v>
          </cell>
          <cell r="E196">
            <v>8905.02</v>
          </cell>
          <cell r="F196">
            <v>0</v>
          </cell>
          <cell r="G196">
            <v>85.42</v>
          </cell>
          <cell r="H196">
            <v>224.97</v>
          </cell>
          <cell r="I196">
            <v>0</v>
          </cell>
          <cell r="J196">
            <v>284.14</v>
          </cell>
          <cell r="K196">
            <v>4020.5</v>
          </cell>
        </row>
        <row r="197">
          <cell r="B197" t="str">
            <v>AYUDANTE</v>
          </cell>
          <cell r="C197">
            <v>43160</v>
          </cell>
          <cell r="D197" t="str">
            <v>Zona 2</v>
          </cell>
          <cell r="E197">
            <v>48.92</v>
          </cell>
          <cell r="F197">
            <v>8.31</v>
          </cell>
          <cell r="G197">
            <v>95.83</v>
          </cell>
          <cell r="H197">
            <v>224.97</v>
          </cell>
          <cell r="I197">
            <v>93.74</v>
          </cell>
          <cell r="J197">
            <v>284.14</v>
          </cell>
          <cell r="K197">
            <v>4020.5</v>
          </cell>
        </row>
        <row r="198">
          <cell r="B198" t="str">
            <v>MEDIO OFICIAL</v>
          </cell>
          <cell r="C198">
            <v>43160</v>
          </cell>
          <cell r="D198" t="str">
            <v>Zona 2</v>
          </cell>
          <cell r="E198">
            <v>53.17</v>
          </cell>
          <cell r="F198">
            <v>9.0399999999999991</v>
          </cell>
          <cell r="G198">
            <v>95.83</v>
          </cell>
          <cell r="H198">
            <v>224.97</v>
          </cell>
          <cell r="I198">
            <v>93.74</v>
          </cell>
          <cell r="J198">
            <v>284.14</v>
          </cell>
          <cell r="K198">
            <v>4020.5</v>
          </cell>
        </row>
        <row r="199">
          <cell r="B199" t="str">
            <v>OFICIAL</v>
          </cell>
          <cell r="C199">
            <v>43160</v>
          </cell>
          <cell r="D199" t="str">
            <v>Zona 2</v>
          </cell>
          <cell r="E199">
            <v>57.66</v>
          </cell>
          <cell r="F199">
            <v>9.81</v>
          </cell>
          <cell r="G199">
            <v>95.83</v>
          </cell>
          <cell r="H199">
            <v>224.97</v>
          </cell>
          <cell r="I199">
            <v>93.74</v>
          </cell>
          <cell r="J199">
            <v>284.14</v>
          </cell>
          <cell r="K199">
            <v>4020.5</v>
          </cell>
        </row>
        <row r="200">
          <cell r="B200" t="str">
            <v>OFICIAL BOLLAND</v>
          </cell>
          <cell r="C200">
            <v>43160</v>
          </cell>
          <cell r="D200" t="str">
            <v>Zona 2</v>
          </cell>
          <cell r="E200">
            <v>67.72</v>
          </cell>
          <cell r="F200">
            <v>11.51</v>
          </cell>
          <cell r="G200">
            <v>95.83</v>
          </cell>
          <cell r="H200">
            <v>224.97</v>
          </cell>
          <cell r="I200">
            <v>93.74</v>
          </cell>
          <cell r="J200">
            <v>284.14</v>
          </cell>
          <cell r="K200">
            <v>4020.5</v>
          </cell>
        </row>
        <row r="201">
          <cell r="B201" t="str">
            <v>OFICIAL ESPECIALIZADO</v>
          </cell>
          <cell r="C201">
            <v>43160</v>
          </cell>
          <cell r="D201" t="str">
            <v>Zona 2</v>
          </cell>
          <cell r="E201">
            <v>67.72</v>
          </cell>
          <cell r="F201">
            <v>11.51</v>
          </cell>
          <cell r="G201">
            <v>95.83</v>
          </cell>
          <cell r="H201">
            <v>224.97</v>
          </cell>
          <cell r="I201">
            <v>93.74</v>
          </cell>
          <cell r="J201">
            <v>284.14</v>
          </cell>
          <cell r="K201">
            <v>4020.5</v>
          </cell>
        </row>
        <row r="202">
          <cell r="B202" t="str">
            <v>SERENO</v>
          </cell>
          <cell r="C202">
            <v>43160</v>
          </cell>
          <cell r="D202" t="str">
            <v>Zona 2</v>
          </cell>
          <cell r="E202">
            <v>8905.02</v>
          </cell>
          <cell r="F202">
            <v>1513.87</v>
          </cell>
          <cell r="G202">
            <v>95.83</v>
          </cell>
          <cell r="H202">
            <v>224.97</v>
          </cell>
          <cell r="I202">
            <v>93.74</v>
          </cell>
          <cell r="J202">
            <v>284.14</v>
          </cell>
          <cell r="K202">
            <v>4020.5</v>
          </cell>
        </row>
        <row r="203">
          <cell r="B203" t="str">
            <v>AYUDANTE</v>
          </cell>
          <cell r="C203">
            <v>43160</v>
          </cell>
          <cell r="D203" t="str">
            <v>Zona 3</v>
          </cell>
          <cell r="E203">
            <v>48.92</v>
          </cell>
          <cell r="F203">
            <v>40.119999999999997</v>
          </cell>
          <cell r="G203">
            <v>95.83</v>
          </cell>
          <cell r="H203">
            <v>224.97</v>
          </cell>
          <cell r="I203">
            <v>93.74</v>
          </cell>
          <cell r="J203">
            <v>402.07</v>
          </cell>
          <cell r="K203">
            <v>4020.5</v>
          </cell>
        </row>
        <row r="204">
          <cell r="B204" t="str">
            <v>MEDIO OFICIAL</v>
          </cell>
          <cell r="C204">
            <v>43160</v>
          </cell>
          <cell r="D204" t="str">
            <v>Zona 3</v>
          </cell>
          <cell r="E204">
            <v>53.17</v>
          </cell>
          <cell r="F204">
            <v>43.58</v>
          </cell>
          <cell r="G204">
            <v>95.83</v>
          </cell>
          <cell r="H204">
            <v>224.97</v>
          </cell>
          <cell r="I204">
            <v>93.74</v>
          </cell>
          <cell r="J204">
            <v>402.07</v>
          </cell>
          <cell r="K204">
            <v>4020.5</v>
          </cell>
        </row>
        <row r="205">
          <cell r="B205" t="str">
            <v>OFICIAL</v>
          </cell>
          <cell r="C205">
            <v>43160</v>
          </cell>
          <cell r="D205" t="str">
            <v>Zona 3</v>
          </cell>
          <cell r="E205">
            <v>57.66</v>
          </cell>
          <cell r="F205">
            <v>47.29</v>
          </cell>
          <cell r="G205">
            <v>95.83</v>
          </cell>
          <cell r="H205">
            <v>224.97</v>
          </cell>
          <cell r="I205">
            <v>93.74</v>
          </cell>
          <cell r="J205">
            <v>402.07</v>
          </cell>
          <cell r="K205">
            <v>4020.5</v>
          </cell>
        </row>
        <row r="206">
          <cell r="B206" t="str">
            <v>OFICIAL BOLLAND</v>
          </cell>
          <cell r="C206">
            <v>43160</v>
          </cell>
          <cell r="D206" t="str">
            <v>Zona 3</v>
          </cell>
          <cell r="E206">
            <v>67.72</v>
          </cell>
          <cell r="F206">
            <v>55.53</v>
          </cell>
          <cell r="G206">
            <v>95.83</v>
          </cell>
          <cell r="H206">
            <v>224.97</v>
          </cell>
          <cell r="I206">
            <v>93.74</v>
          </cell>
          <cell r="J206">
            <v>402.07</v>
          </cell>
          <cell r="K206">
            <v>4020.5</v>
          </cell>
        </row>
        <row r="207">
          <cell r="B207" t="str">
            <v>OFICIAL ESPECIALIZADO</v>
          </cell>
          <cell r="C207">
            <v>43160</v>
          </cell>
          <cell r="D207" t="str">
            <v>Zona 3</v>
          </cell>
          <cell r="E207">
            <v>67.72</v>
          </cell>
          <cell r="F207">
            <v>55.53</v>
          </cell>
          <cell r="G207">
            <v>95.83</v>
          </cell>
          <cell r="H207">
            <v>224.97</v>
          </cell>
          <cell r="I207">
            <v>93.74</v>
          </cell>
          <cell r="J207">
            <v>402.07</v>
          </cell>
          <cell r="K207">
            <v>4020.5</v>
          </cell>
        </row>
        <row r="208">
          <cell r="B208" t="str">
            <v>SERENO</v>
          </cell>
          <cell r="C208">
            <v>43160</v>
          </cell>
          <cell r="D208" t="str">
            <v>Zona 3</v>
          </cell>
          <cell r="E208">
            <v>8905.02</v>
          </cell>
          <cell r="F208">
            <v>7302.13</v>
          </cell>
          <cell r="G208">
            <v>95.83</v>
          </cell>
          <cell r="H208">
            <v>224.97</v>
          </cell>
          <cell r="I208">
            <v>93.74</v>
          </cell>
          <cell r="J208">
            <v>402.07</v>
          </cell>
          <cell r="K208">
            <v>4020.5</v>
          </cell>
        </row>
        <row r="209">
          <cell r="B209" t="str">
            <v>AYUDANTE</v>
          </cell>
          <cell r="C209">
            <v>43160</v>
          </cell>
          <cell r="D209" t="str">
            <v>Zona 4</v>
          </cell>
          <cell r="E209">
            <v>48.92</v>
          </cell>
          <cell r="F209">
            <v>48.92</v>
          </cell>
          <cell r="G209">
            <v>95.83</v>
          </cell>
          <cell r="H209">
            <v>224.97</v>
          </cell>
          <cell r="I209">
            <v>93.74</v>
          </cell>
          <cell r="J209">
            <v>338.77</v>
          </cell>
          <cell r="K209">
            <v>4020.5</v>
          </cell>
        </row>
        <row r="210">
          <cell r="B210" t="str">
            <v>MEDIO OFICIAL</v>
          </cell>
          <cell r="C210">
            <v>43160</v>
          </cell>
          <cell r="D210" t="str">
            <v>Zona 4</v>
          </cell>
          <cell r="E210">
            <v>53.17</v>
          </cell>
          <cell r="F210">
            <v>53.17</v>
          </cell>
          <cell r="G210">
            <v>95.83</v>
          </cell>
          <cell r="H210">
            <v>224.97</v>
          </cell>
          <cell r="I210">
            <v>93.74</v>
          </cell>
          <cell r="J210">
            <v>338.77</v>
          </cell>
          <cell r="K210">
            <v>4020.5</v>
          </cell>
        </row>
        <row r="211">
          <cell r="B211" t="str">
            <v>OFICIAL</v>
          </cell>
          <cell r="C211">
            <v>43160</v>
          </cell>
          <cell r="D211" t="str">
            <v>Zona 4</v>
          </cell>
          <cell r="E211">
            <v>57.66</v>
          </cell>
          <cell r="F211">
            <v>57.66</v>
          </cell>
          <cell r="G211">
            <v>95.83</v>
          </cell>
          <cell r="H211">
            <v>224.97</v>
          </cell>
          <cell r="I211">
            <v>93.74</v>
          </cell>
          <cell r="J211">
            <v>338.77</v>
          </cell>
          <cell r="K211">
            <v>4020.5</v>
          </cell>
        </row>
        <row r="212">
          <cell r="B212" t="str">
            <v>OFICIAL BOLLAND</v>
          </cell>
          <cell r="C212">
            <v>43160</v>
          </cell>
          <cell r="D212" t="str">
            <v>Zona 4</v>
          </cell>
          <cell r="E212">
            <v>67.72</v>
          </cell>
          <cell r="F212">
            <v>67.72</v>
          </cell>
          <cell r="G212">
            <v>95.83</v>
          </cell>
          <cell r="H212">
            <v>224.97</v>
          </cell>
          <cell r="I212">
            <v>93.74</v>
          </cell>
          <cell r="J212">
            <v>338.77</v>
          </cell>
          <cell r="K212">
            <v>4020.5</v>
          </cell>
        </row>
        <row r="213">
          <cell r="B213" t="str">
            <v>OFICIAL ESPECIALIZADO</v>
          </cell>
          <cell r="C213">
            <v>43160</v>
          </cell>
          <cell r="D213" t="str">
            <v>Zona 4</v>
          </cell>
          <cell r="E213">
            <v>67.72</v>
          </cell>
          <cell r="F213">
            <v>67.72</v>
          </cell>
          <cell r="G213">
            <v>95.83</v>
          </cell>
          <cell r="H213">
            <v>224.97</v>
          </cell>
          <cell r="I213">
            <v>93.74</v>
          </cell>
          <cell r="J213">
            <v>338.77</v>
          </cell>
          <cell r="K213">
            <v>4020.5</v>
          </cell>
        </row>
        <row r="214">
          <cell r="B214" t="str">
            <v>SERENO</v>
          </cell>
          <cell r="C214">
            <v>43160</v>
          </cell>
          <cell r="D214" t="str">
            <v>Zona 4</v>
          </cell>
          <cell r="E214">
            <v>8905.02</v>
          </cell>
          <cell r="F214">
            <v>8905.02</v>
          </cell>
          <cell r="G214">
            <v>95.83</v>
          </cell>
          <cell r="H214">
            <v>224.97</v>
          </cell>
          <cell r="I214">
            <v>93.74</v>
          </cell>
          <cell r="J214">
            <v>338.77</v>
          </cell>
          <cell r="K214">
            <v>4020.5</v>
          </cell>
        </row>
        <row r="215">
          <cell r="B215" t="str">
            <v>AYUDANTE</v>
          </cell>
          <cell r="C215">
            <v>43374</v>
          </cell>
          <cell r="D215" t="str">
            <v>Zona 1</v>
          </cell>
          <cell r="E215">
            <v>58.7</v>
          </cell>
          <cell r="F215">
            <v>0</v>
          </cell>
          <cell r="G215">
            <v>102.5</v>
          </cell>
          <cell r="H215">
            <v>269.95999999999998</v>
          </cell>
          <cell r="I215">
            <v>0</v>
          </cell>
          <cell r="J215">
            <v>340.97</v>
          </cell>
          <cell r="K215">
            <v>4824.6000000000004</v>
          </cell>
        </row>
        <row r="216">
          <cell r="B216" t="str">
            <v>MEDIO OFICIAL</v>
          </cell>
          <cell r="C216">
            <v>43374</v>
          </cell>
          <cell r="D216" t="str">
            <v>Zona 1</v>
          </cell>
          <cell r="E216">
            <v>63.8</v>
          </cell>
          <cell r="F216">
            <v>0</v>
          </cell>
          <cell r="G216">
            <v>102.5</v>
          </cell>
          <cell r="H216">
            <v>269.95999999999998</v>
          </cell>
          <cell r="I216">
            <v>0</v>
          </cell>
          <cell r="J216">
            <v>340.97</v>
          </cell>
          <cell r="K216">
            <v>4824.6000000000004</v>
          </cell>
        </row>
        <row r="217">
          <cell r="B217" t="str">
            <v>OFICIAL</v>
          </cell>
          <cell r="C217">
            <v>43374</v>
          </cell>
          <cell r="D217" t="str">
            <v>Zona 1</v>
          </cell>
          <cell r="E217">
            <v>69.19</v>
          </cell>
          <cell r="F217">
            <v>0</v>
          </cell>
          <cell r="G217">
            <v>102.5</v>
          </cell>
          <cell r="H217">
            <v>269.95999999999998</v>
          </cell>
          <cell r="I217">
            <v>0</v>
          </cell>
          <cell r="J217">
            <v>340.97</v>
          </cell>
          <cell r="K217">
            <v>4824.6000000000004</v>
          </cell>
        </row>
        <row r="218">
          <cell r="B218" t="str">
            <v>OFICIAL BOLLAND</v>
          </cell>
          <cell r="C218">
            <v>43374</v>
          </cell>
          <cell r="D218" t="str">
            <v>Zona 1</v>
          </cell>
          <cell r="E218">
            <v>69.19</v>
          </cell>
          <cell r="F218">
            <v>0</v>
          </cell>
          <cell r="G218">
            <v>102.5</v>
          </cell>
          <cell r="H218">
            <v>269.95999999999998</v>
          </cell>
          <cell r="I218">
            <v>0</v>
          </cell>
          <cell r="J218">
            <v>340.97</v>
          </cell>
          <cell r="K218">
            <v>4824.6000000000004</v>
          </cell>
        </row>
        <row r="219">
          <cell r="B219" t="str">
            <v>OFICIAL ESPECIALIZADO</v>
          </cell>
          <cell r="C219">
            <v>43374</v>
          </cell>
          <cell r="D219" t="str">
            <v>Zona 1</v>
          </cell>
          <cell r="E219">
            <v>81.260000000000005</v>
          </cell>
          <cell r="F219">
            <v>0</v>
          </cell>
          <cell r="G219">
            <v>102.5</v>
          </cell>
          <cell r="H219">
            <v>269.95999999999998</v>
          </cell>
          <cell r="I219">
            <v>0</v>
          </cell>
          <cell r="J219">
            <v>340.97</v>
          </cell>
          <cell r="K219">
            <v>4824.6000000000004</v>
          </cell>
        </row>
        <row r="220">
          <cell r="B220" t="str">
            <v>SERENO</v>
          </cell>
          <cell r="C220">
            <v>43374</v>
          </cell>
          <cell r="D220" t="str">
            <v>Zona 1</v>
          </cell>
          <cell r="E220">
            <v>10686.02</v>
          </cell>
          <cell r="F220">
            <v>0</v>
          </cell>
          <cell r="G220">
            <v>102.5</v>
          </cell>
          <cell r="H220">
            <v>269.95999999999998</v>
          </cell>
          <cell r="I220">
            <v>0</v>
          </cell>
          <cell r="J220">
            <v>340.97</v>
          </cell>
          <cell r="K220">
            <v>4824.6000000000004</v>
          </cell>
        </row>
        <row r="221">
          <cell r="B221" t="str">
            <v>AYUDANTE</v>
          </cell>
          <cell r="C221">
            <v>43374</v>
          </cell>
          <cell r="D221" t="str">
            <v>Zona 2</v>
          </cell>
          <cell r="E221">
            <v>58.7</v>
          </cell>
          <cell r="F221">
            <v>9.9700000000000006</v>
          </cell>
          <cell r="G221">
            <v>115</v>
          </cell>
          <cell r="H221">
            <v>269.95999999999998</v>
          </cell>
          <cell r="I221">
            <v>112.49</v>
          </cell>
          <cell r="J221">
            <v>340.97</v>
          </cell>
          <cell r="K221">
            <v>4824.6000000000004</v>
          </cell>
        </row>
        <row r="222">
          <cell r="B222" t="str">
            <v>MEDIO OFICIAL</v>
          </cell>
          <cell r="C222">
            <v>43374</v>
          </cell>
          <cell r="D222" t="str">
            <v>Zona 2</v>
          </cell>
          <cell r="E222">
            <v>63.8</v>
          </cell>
          <cell r="F222">
            <v>10.85</v>
          </cell>
          <cell r="G222">
            <v>115</v>
          </cell>
          <cell r="H222">
            <v>269.95999999999998</v>
          </cell>
          <cell r="I222">
            <v>112.49</v>
          </cell>
          <cell r="J222">
            <v>340.97</v>
          </cell>
          <cell r="K222">
            <v>4824.6000000000004</v>
          </cell>
        </row>
        <row r="223">
          <cell r="B223" t="str">
            <v>OFICIAL</v>
          </cell>
          <cell r="C223">
            <v>43374</v>
          </cell>
          <cell r="D223" t="str">
            <v>Zona 2</v>
          </cell>
          <cell r="E223">
            <v>69.19</v>
          </cell>
          <cell r="F223">
            <v>11.77</v>
          </cell>
          <cell r="G223">
            <v>115</v>
          </cell>
          <cell r="H223">
            <v>269.95999999999998</v>
          </cell>
          <cell r="I223">
            <v>112.49</v>
          </cell>
          <cell r="J223">
            <v>340.97</v>
          </cell>
          <cell r="K223">
            <v>4824.6000000000004</v>
          </cell>
        </row>
        <row r="224">
          <cell r="B224" t="str">
            <v>OFICIAL BOLLAND</v>
          </cell>
          <cell r="C224">
            <v>43374</v>
          </cell>
          <cell r="D224" t="str">
            <v>Zona 2</v>
          </cell>
          <cell r="E224">
            <v>69.19</v>
          </cell>
          <cell r="F224">
            <v>11.77</v>
          </cell>
          <cell r="G224">
            <v>115</v>
          </cell>
          <cell r="H224">
            <v>269.95999999999998</v>
          </cell>
          <cell r="I224">
            <v>112.49</v>
          </cell>
          <cell r="J224">
            <v>340.97</v>
          </cell>
          <cell r="K224">
            <v>4824.6000000000004</v>
          </cell>
        </row>
        <row r="225">
          <cell r="B225" t="str">
            <v>OFICIAL ESPECIALIZADO</v>
          </cell>
          <cell r="C225">
            <v>43374</v>
          </cell>
          <cell r="D225" t="str">
            <v>Zona 2</v>
          </cell>
          <cell r="E225">
            <v>81.260000000000005</v>
          </cell>
          <cell r="F225">
            <v>13.81</v>
          </cell>
          <cell r="G225">
            <v>115</v>
          </cell>
          <cell r="H225">
            <v>269.95999999999998</v>
          </cell>
          <cell r="I225">
            <v>112.49</v>
          </cell>
          <cell r="J225">
            <v>340.97</v>
          </cell>
          <cell r="K225">
            <v>4824.6000000000004</v>
          </cell>
        </row>
        <row r="226">
          <cell r="B226" t="str">
            <v>SERENO</v>
          </cell>
          <cell r="C226">
            <v>43374</v>
          </cell>
          <cell r="D226" t="str">
            <v>Zona 2</v>
          </cell>
          <cell r="E226">
            <v>10686.02</v>
          </cell>
          <cell r="F226">
            <v>1816.64</v>
          </cell>
          <cell r="G226">
            <v>115</v>
          </cell>
          <cell r="H226">
            <v>269.95999999999998</v>
          </cell>
          <cell r="I226">
            <v>112.49</v>
          </cell>
          <cell r="J226">
            <v>340.97</v>
          </cell>
          <cell r="K226">
            <v>4824.6000000000004</v>
          </cell>
        </row>
        <row r="227">
          <cell r="B227" t="str">
            <v>AYUDANTE</v>
          </cell>
          <cell r="C227">
            <v>43374</v>
          </cell>
          <cell r="D227" t="str">
            <v>Zona 3</v>
          </cell>
          <cell r="E227">
            <v>58.7</v>
          </cell>
          <cell r="F227">
            <v>48.14</v>
          </cell>
          <cell r="G227">
            <v>115</v>
          </cell>
          <cell r="H227">
            <v>269.95999999999998</v>
          </cell>
          <cell r="I227">
            <v>112.49</v>
          </cell>
          <cell r="J227">
            <v>482.48</v>
          </cell>
          <cell r="K227">
            <v>4824.6000000000004</v>
          </cell>
        </row>
        <row r="228">
          <cell r="B228" t="str">
            <v>MEDIO OFICIAL</v>
          </cell>
          <cell r="C228">
            <v>43374</v>
          </cell>
          <cell r="D228" t="str">
            <v>Zona 3</v>
          </cell>
          <cell r="E228">
            <v>63.8</v>
          </cell>
          <cell r="F228">
            <v>52.3</v>
          </cell>
          <cell r="G228">
            <v>115</v>
          </cell>
          <cell r="H228">
            <v>269.95999999999998</v>
          </cell>
          <cell r="I228">
            <v>112.49</v>
          </cell>
          <cell r="J228">
            <v>482.48</v>
          </cell>
          <cell r="K228">
            <v>4824.6000000000004</v>
          </cell>
        </row>
        <row r="229">
          <cell r="B229" t="str">
            <v>OFICIAL</v>
          </cell>
          <cell r="C229">
            <v>43374</v>
          </cell>
          <cell r="D229" t="str">
            <v>Zona 3</v>
          </cell>
          <cell r="E229">
            <v>69.19</v>
          </cell>
          <cell r="F229">
            <v>56.75</v>
          </cell>
          <cell r="G229">
            <v>115</v>
          </cell>
          <cell r="H229">
            <v>269.95999999999998</v>
          </cell>
          <cell r="I229">
            <v>112.49</v>
          </cell>
          <cell r="J229">
            <v>482.48</v>
          </cell>
          <cell r="K229">
            <v>4824.6000000000004</v>
          </cell>
        </row>
        <row r="230">
          <cell r="B230" t="str">
            <v>OFICIAL BOLLAND</v>
          </cell>
          <cell r="C230">
            <v>43374</v>
          </cell>
          <cell r="D230" t="str">
            <v>Zona 3</v>
          </cell>
          <cell r="E230">
            <v>69.19</v>
          </cell>
          <cell r="F230">
            <v>56.75</v>
          </cell>
          <cell r="G230">
            <v>115</v>
          </cell>
          <cell r="H230">
            <v>269.95999999999998</v>
          </cell>
          <cell r="I230">
            <v>112.49</v>
          </cell>
          <cell r="J230">
            <v>482.48</v>
          </cell>
          <cell r="K230">
            <v>4824.6000000000004</v>
          </cell>
        </row>
        <row r="231">
          <cell r="B231" t="str">
            <v>OFICIAL ESPECIALIZADO</v>
          </cell>
          <cell r="C231">
            <v>43374</v>
          </cell>
          <cell r="D231" t="str">
            <v>Zona 3</v>
          </cell>
          <cell r="E231">
            <v>81.260000000000005</v>
          </cell>
          <cell r="F231">
            <v>66.64</v>
          </cell>
          <cell r="G231">
            <v>115</v>
          </cell>
          <cell r="H231">
            <v>269.95999999999998</v>
          </cell>
          <cell r="I231">
            <v>112.49</v>
          </cell>
          <cell r="J231">
            <v>482.48</v>
          </cell>
          <cell r="K231">
            <v>4824.6000000000004</v>
          </cell>
        </row>
        <row r="232">
          <cell r="B232" t="str">
            <v>SERENO</v>
          </cell>
          <cell r="C232">
            <v>43374</v>
          </cell>
          <cell r="D232" t="str">
            <v>Zona 3</v>
          </cell>
          <cell r="E232">
            <v>10686.02</v>
          </cell>
          <cell r="F232">
            <v>8762.56</v>
          </cell>
          <cell r="G232">
            <v>115</v>
          </cell>
          <cell r="H232">
            <v>269.95999999999998</v>
          </cell>
          <cell r="I232">
            <v>112.49</v>
          </cell>
          <cell r="J232">
            <v>482.48</v>
          </cell>
          <cell r="K232">
            <v>4824.6000000000004</v>
          </cell>
        </row>
        <row r="233">
          <cell r="B233" t="str">
            <v>AYUDANTE</v>
          </cell>
          <cell r="C233">
            <v>43374</v>
          </cell>
          <cell r="D233" t="str">
            <v>Zona 4</v>
          </cell>
          <cell r="E233">
            <v>58.7</v>
          </cell>
          <cell r="F233">
            <v>58.7</v>
          </cell>
          <cell r="G233">
            <v>115</v>
          </cell>
          <cell r="H233">
            <v>269.95999999999998</v>
          </cell>
          <cell r="I233">
            <v>112.49</v>
          </cell>
          <cell r="J233">
            <v>406.52</v>
          </cell>
          <cell r="K233">
            <v>4824.6000000000004</v>
          </cell>
        </row>
        <row r="234">
          <cell r="B234" t="str">
            <v>MEDIO OFICIAL</v>
          </cell>
          <cell r="C234">
            <v>43374</v>
          </cell>
          <cell r="D234" t="str">
            <v>Zona 4</v>
          </cell>
          <cell r="E234">
            <v>63.8</v>
          </cell>
          <cell r="F234">
            <v>52.3</v>
          </cell>
          <cell r="G234">
            <v>115</v>
          </cell>
          <cell r="H234">
            <v>269.95999999999998</v>
          </cell>
          <cell r="I234">
            <v>112.49</v>
          </cell>
          <cell r="J234">
            <v>406.52</v>
          </cell>
          <cell r="K234">
            <v>4824.6000000000004</v>
          </cell>
        </row>
        <row r="235">
          <cell r="B235" t="str">
            <v>OFICIAL</v>
          </cell>
          <cell r="C235">
            <v>43374</v>
          </cell>
          <cell r="D235" t="str">
            <v>Zona 4</v>
          </cell>
          <cell r="E235">
            <v>69.19</v>
          </cell>
          <cell r="F235">
            <v>69.19</v>
          </cell>
          <cell r="G235">
            <v>115</v>
          </cell>
          <cell r="H235">
            <v>269.95999999999998</v>
          </cell>
          <cell r="I235">
            <v>112.49</v>
          </cell>
          <cell r="J235">
            <v>406.52</v>
          </cell>
          <cell r="K235">
            <v>4824.6000000000004</v>
          </cell>
        </row>
        <row r="236">
          <cell r="B236" t="str">
            <v>OFICIAL BOLLAND</v>
          </cell>
          <cell r="C236">
            <v>43374</v>
          </cell>
          <cell r="D236" t="str">
            <v>Zona 4</v>
          </cell>
          <cell r="E236">
            <v>69.19</v>
          </cell>
          <cell r="F236">
            <v>69.19</v>
          </cell>
          <cell r="G236">
            <v>115</v>
          </cell>
          <cell r="H236">
            <v>269.95999999999998</v>
          </cell>
          <cell r="I236">
            <v>112.49</v>
          </cell>
          <cell r="J236">
            <v>406.52</v>
          </cell>
          <cell r="K236">
            <v>4824.6000000000004</v>
          </cell>
        </row>
        <row r="237">
          <cell r="B237" t="str">
            <v>OFICIAL ESPECIALIZADO</v>
          </cell>
          <cell r="C237">
            <v>43374</v>
          </cell>
          <cell r="D237" t="str">
            <v>Zona 4</v>
          </cell>
          <cell r="E237">
            <v>81.260000000000005</v>
          </cell>
          <cell r="F237">
            <v>81.260000000000005</v>
          </cell>
          <cell r="G237">
            <v>115</v>
          </cell>
          <cell r="H237">
            <v>269.95999999999998</v>
          </cell>
          <cell r="I237">
            <v>112.49</v>
          </cell>
          <cell r="J237">
            <v>406.52</v>
          </cell>
          <cell r="K237">
            <v>4824.6000000000004</v>
          </cell>
        </row>
        <row r="238">
          <cell r="B238" t="str">
            <v>SERENO</v>
          </cell>
          <cell r="C238">
            <v>43374</v>
          </cell>
          <cell r="D238" t="str">
            <v>Zona 4</v>
          </cell>
          <cell r="E238">
            <v>10686.02</v>
          </cell>
          <cell r="F238">
            <v>10686.02</v>
          </cell>
          <cell r="G238">
            <v>115</v>
          </cell>
          <cell r="H238">
            <v>269.95999999999998</v>
          </cell>
          <cell r="I238">
            <v>112.49</v>
          </cell>
          <cell r="J238">
            <v>406.52</v>
          </cell>
          <cell r="K238">
            <v>4824.6000000000004</v>
          </cell>
        </row>
        <row r="239">
          <cell r="B239" t="str">
            <v>AYUDANTE</v>
          </cell>
          <cell r="C239">
            <v>43405</v>
          </cell>
          <cell r="D239" t="str">
            <v>Zona 1</v>
          </cell>
          <cell r="E239">
            <v>63.59</v>
          </cell>
          <cell r="G239">
            <v>111.05</v>
          </cell>
          <cell r="H239">
            <v>292.45999999999998</v>
          </cell>
          <cell r="J239">
            <v>369.39</v>
          </cell>
          <cell r="K239">
            <v>5226.6499999999996</v>
          </cell>
        </row>
        <row r="240">
          <cell r="B240" t="str">
            <v>MEDIO OFICIAL</v>
          </cell>
          <cell r="C240">
            <v>43405</v>
          </cell>
          <cell r="D240" t="str">
            <v>Zona 1</v>
          </cell>
          <cell r="E240">
            <v>74.959999999999994</v>
          </cell>
          <cell r="G240">
            <v>111.05</v>
          </cell>
          <cell r="H240">
            <v>292.45999999999998</v>
          </cell>
          <cell r="J240">
            <v>369.39</v>
          </cell>
          <cell r="K240">
            <v>5226.6499999999996</v>
          </cell>
        </row>
        <row r="241">
          <cell r="B241" t="str">
            <v>OFICIAL</v>
          </cell>
          <cell r="C241">
            <v>43405</v>
          </cell>
          <cell r="D241" t="str">
            <v>Zona 1</v>
          </cell>
          <cell r="E241">
            <v>74.959999999999994</v>
          </cell>
          <cell r="G241">
            <v>111.05</v>
          </cell>
          <cell r="H241">
            <v>292.45999999999998</v>
          </cell>
          <cell r="J241">
            <v>369.39</v>
          </cell>
          <cell r="K241">
            <v>5226.6499999999996</v>
          </cell>
        </row>
        <row r="242">
          <cell r="B242" t="str">
            <v>OFICIAL BOLLAND</v>
          </cell>
          <cell r="C242">
            <v>43405</v>
          </cell>
          <cell r="D242" t="str">
            <v>Zona 1</v>
          </cell>
          <cell r="E242">
            <v>88.03</v>
          </cell>
          <cell r="G242">
            <v>111.05</v>
          </cell>
          <cell r="H242">
            <v>292.45999999999998</v>
          </cell>
          <cell r="J242">
            <v>369.39</v>
          </cell>
          <cell r="K242">
            <v>5226.6499999999996</v>
          </cell>
        </row>
        <row r="243">
          <cell r="B243" t="str">
            <v>OFICIAL ESPECIALIZADO</v>
          </cell>
          <cell r="C243">
            <v>43405</v>
          </cell>
          <cell r="D243" t="str">
            <v>Zona 1</v>
          </cell>
          <cell r="E243">
            <v>88.03</v>
          </cell>
          <cell r="G243">
            <v>111.05</v>
          </cell>
          <cell r="H243">
            <v>292.45999999999998</v>
          </cell>
          <cell r="J243">
            <v>369.39</v>
          </cell>
          <cell r="K243">
            <v>5226.6499999999996</v>
          </cell>
        </row>
        <row r="244">
          <cell r="B244" t="str">
            <v>SERENO</v>
          </cell>
          <cell r="C244">
            <v>43405</v>
          </cell>
          <cell r="D244" t="str">
            <v>Zona 1</v>
          </cell>
          <cell r="E244">
            <v>11576.52</v>
          </cell>
          <cell r="G244">
            <v>111.05</v>
          </cell>
          <cell r="H244">
            <v>292.45999999999998</v>
          </cell>
          <cell r="J244">
            <v>369.39</v>
          </cell>
          <cell r="K244">
            <v>5226.6499999999996</v>
          </cell>
        </row>
        <row r="245">
          <cell r="B245" t="str">
            <v>AYUDANTE</v>
          </cell>
          <cell r="C245">
            <v>43405</v>
          </cell>
          <cell r="D245" t="str">
            <v>Zona 2</v>
          </cell>
          <cell r="E245">
            <v>63.59</v>
          </cell>
          <cell r="F245">
            <v>10.81</v>
          </cell>
          <cell r="G245">
            <v>124.58</v>
          </cell>
          <cell r="H245">
            <v>292.45999999999998</v>
          </cell>
          <cell r="I245">
            <v>121.86</v>
          </cell>
          <cell r="J245">
            <v>369.39</v>
          </cell>
          <cell r="K245">
            <v>5226.6499999999996</v>
          </cell>
        </row>
        <row r="246">
          <cell r="B246" t="str">
            <v>MEDIO OFICIAL</v>
          </cell>
          <cell r="C246">
            <v>43405</v>
          </cell>
          <cell r="D246" t="str">
            <v>Zona 2</v>
          </cell>
          <cell r="E246">
            <v>69.12</v>
          </cell>
          <cell r="F246">
            <v>11.75</v>
          </cell>
          <cell r="G246">
            <v>124.58</v>
          </cell>
          <cell r="H246">
            <v>292.45999999999998</v>
          </cell>
          <cell r="I246">
            <v>121.86</v>
          </cell>
          <cell r="J246">
            <v>369.39</v>
          </cell>
          <cell r="K246">
            <v>5226.6499999999996</v>
          </cell>
        </row>
        <row r="247">
          <cell r="B247" t="str">
            <v>OFICIAL</v>
          </cell>
          <cell r="C247">
            <v>43405</v>
          </cell>
          <cell r="D247" t="str">
            <v>Zona 2</v>
          </cell>
          <cell r="E247">
            <v>74.959999999999994</v>
          </cell>
          <cell r="F247">
            <v>12.75</v>
          </cell>
          <cell r="G247">
            <v>124.58</v>
          </cell>
          <cell r="H247">
            <v>292.45999999999998</v>
          </cell>
          <cell r="I247">
            <v>121.86</v>
          </cell>
          <cell r="J247">
            <v>369.39</v>
          </cell>
          <cell r="K247">
            <v>5226.6499999999996</v>
          </cell>
        </row>
        <row r="248">
          <cell r="B248" t="str">
            <v>OFICIAL BOLLAND</v>
          </cell>
          <cell r="C248">
            <v>43405</v>
          </cell>
          <cell r="D248" t="str">
            <v>Zona 2</v>
          </cell>
          <cell r="E248">
            <v>88.03</v>
          </cell>
          <cell r="F248">
            <v>14.97</v>
          </cell>
          <cell r="G248">
            <v>124.58</v>
          </cell>
          <cell r="H248">
            <v>292.45999999999998</v>
          </cell>
          <cell r="I248">
            <v>121.86</v>
          </cell>
          <cell r="J248">
            <v>369.39</v>
          </cell>
          <cell r="K248">
            <v>5226.6499999999996</v>
          </cell>
        </row>
        <row r="249">
          <cell r="B249" t="str">
            <v>OFICIAL ESPECIALIZADO</v>
          </cell>
          <cell r="C249">
            <v>43405</v>
          </cell>
          <cell r="D249" t="str">
            <v>Zona 2</v>
          </cell>
          <cell r="E249">
            <v>88.03</v>
          </cell>
          <cell r="F249">
            <v>14.97</v>
          </cell>
          <cell r="G249">
            <v>124.58</v>
          </cell>
          <cell r="H249">
            <v>292.45999999999998</v>
          </cell>
          <cell r="I249">
            <v>121.86</v>
          </cell>
          <cell r="J249">
            <v>369.39</v>
          </cell>
          <cell r="K249">
            <v>5226.6499999999996</v>
          </cell>
        </row>
        <row r="250">
          <cell r="B250" t="str">
            <v>SERENO</v>
          </cell>
          <cell r="C250">
            <v>43405</v>
          </cell>
          <cell r="D250" t="str">
            <v>Zona 2</v>
          </cell>
          <cell r="E250">
            <v>11576.52</v>
          </cell>
          <cell r="F250">
            <v>1968.03</v>
          </cell>
          <cell r="G250">
            <v>124.58</v>
          </cell>
          <cell r="H250">
            <v>292.45999999999998</v>
          </cell>
          <cell r="I250">
            <v>121.86</v>
          </cell>
          <cell r="J250">
            <v>369.39</v>
          </cell>
          <cell r="K250">
            <v>5226.6499999999996</v>
          </cell>
        </row>
        <row r="251">
          <cell r="B251" t="str">
            <v>AYUDANTE</v>
          </cell>
          <cell r="C251">
            <v>43405</v>
          </cell>
          <cell r="D251" t="str">
            <v>Zona 3</v>
          </cell>
          <cell r="E251">
            <v>63.59</v>
          </cell>
          <cell r="F251">
            <v>52.15</v>
          </cell>
          <cell r="G251">
            <v>124.58</v>
          </cell>
          <cell r="H251">
            <v>292.45999999999998</v>
          </cell>
          <cell r="I251">
            <v>121.86</v>
          </cell>
          <cell r="J251">
            <v>522.69000000000005</v>
          </cell>
          <cell r="K251">
            <v>5226.6499999999996</v>
          </cell>
        </row>
        <row r="252">
          <cell r="B252" t="str">
            <v>MEDIO OFICIAL</v>
          </cell>
          <cell r="C252">
            <v>43405</v>
          </cell>
          <cell r="D252" t="str">
            <v>Zona 3</v>
          </cell>
          <cell r="E252">
            <v>69.12</v>
          </cell>
          <cell r="F252">
            <v>56.65</v>
          </cell>
          <cell r="G252">
            <v>124.58</v>
          </cell>
          <cell r="H252">
            <v>292.45999999999998</v>
          </cell>
          <cell r="I252">
            <v>121.86</v>
          </cell>
          <cell r="J252">
            <v>522.69000000000005</v>
          </cell>
          <cell r="K252">
            <v>5226.6499999999996</v>
          </cell>
        </row>
        <row r="253">
          <cell r="B253" t="str">
            <v>OFICIAL</v>
          </cell>
          <cell r="C253">
            <v>43405</v>
          </cell>
          <cell r="D253" t="str">
            <v>Zona 3</v>
          </cell>
          <cell r="E253">
            <v>74.959999999999994</v>
          </cell>
          <cell r="F253">
            <v>61.47</v>
          </cell>
          <cell r="G253">
            <v>124.58</v>
          </cell>
          <cell r="H253">
            <v>292.45999999999998</v>
          </cell>
          <cell r="I253">
            <v>121.86</v>
          </cell>
          <cell r="J253">
            <v>522.69000000000005</v>
          </cell>
          <cell r="K253">
            <v>5226.6499999999996</v>
          </cell>
        </row>
        <row r="254">
          <cell r="B254" t="str">
            <v>OFICIAL BOLLAND</v>
          </cell>
          <cell r="C254">
            <v>43405</v>
          </cell>
          <cell r="D254" t="str">
            <v>Zona 3</v>
          </cell>
          <cell r="E254">
            <v>88.03</v>
          </cell>
          <cell r="F254">
            <v>72.19</v>
          </cell>
          <cell r="G254">
            <v>124.58</v>
          </cell>
          <cell r="H254">
            <v>292.45999999999998</v>
          </cell>
          <cell r="I254">
            <v>121.86</v>
          </cell>
          <cell r="J254">
            <v>522.69000000000005</v>
          </cell>
          <cell r="K254">
            <v>5226.6499999999996</v>
          </cell>
        </row>
        <row r="255">
          <cell r="B255" t="str">
            <v>OFICIAL ESPECIALIZADO</v>
          </cell>
          <cell r="C255">
            <v>43405</v>
          </cell>
          <cell r="D255" t="str">
            <v>Zona 3</v>
          </cell>
          <cell r="E255">
            <v>88.03</v>
          </cell>
          <cell r="F255">
            <v>72.19</v>
          </cell>
          <cell r="G255">
            <v>124.58</v>
          </cell>
          <cell r="H255">
            <v>292.45999999999998</v>
          </cell>
          <cell r="I255">
            <v>121.86</v>
          </cell>
          <cell r="J255">
            <v>522.69000000000005</v>
          </cell>
          <cell r="K255">
            <v>5226.6499999999996</v>
          </cell>
        </row>
        <row r="256">
          <cell r="B256" t="str">
            <v>SERENO</v>
          </cell>
          <cell r="C256">
            <v>43405</v>
          </cell>
          <cell r="D256" t="str">
            <v>Zona 3</v>
          </cell>
          <cell r="E256">
            <v>11576.52</v>
          </cell>
          <cell r="F256">
            <v>9492.77</v>
          </cell>
          <cell r="G256">
            <v>124.58</v>
          </cell>
          <cell r="H256">
            <v>292.45999999999998</v>
          </cell>
          <cell r="I256">
            <v>121.86</v>
          </cell>
          <cell r="J256">
            <v>522.69000000000005</v>
          </cell>
          <cell r="K256">
            <v>5226.6499999999996</v>
          </cell>
        </row>
        <row r="257">
          <cell r="B257" t="str">
            <v>AYUDANTE</v>
          </cell>
          <cell r="C257">
            <v>43405</v>
          </cell>
          <cell r="D257" t="str">
            <v>Zona 4</v>
          </cell>
          <cell r="E257">
            <v>63.59</v>
          </cell>
          <cell r="F257">
            <v>63.59</v>
          </cell>
          <cell r="G257">
            <v>124.58</v>
          </cell>
          <cell r="H257">
            <v>292.45999999999998</v>
          </cell>
          <cell r="I257">
            <v>121.86</v>
          </cell>
          <cell r="J257">
            <v>440.4</v>
          </cell>
          <cell r="K257">
            <v>5226.6499999999996</v>
          </cell>
        </row>
        <row r="258">
          <cell r="B258" t="str">
            <v>MEDIO OFICIAL</v>
          </cell>
          <cell r="C258">
            <v>43405</v>
          </cell>
          <cell r="D258" t="str">
            <v>Zona 4</v>
          </cell>
          <cell r="E258">
            <v>69.12</v>
          </cell>
          <cell r="F258">
            <v>69.12</v>
          </cell>
          <cell r="G258">
            <v>124.58</v>
          </cell>
          <cell r="H258">
            <v>292.45999999999998</v>
          </cell>
          <cell r="I258">
            <v>121.86</v>
          </cell>
          <cell r="J258">
            <v>440.4</v>
          </cell>
          <cell r="K258">
            <v>5226.6499999999996</v>
          </cell>
        </row>
        <row r="259">
          <cell r="B259" t="str">
            <v>OFICIAL</v>
          </cell>
          <cell r="C259">
            <v>43405</v>
          </cell>
          <cell r="D259" t="str">
            <v>Zona 4</v>
          </cell>
          <cell r="E259">
            <v>74.959999999999994</v>
          </cell>
          <cell r="F259">
            <v>74.959999999999994</v>
          </cell>
          <cell r="G259">
            <v>124.58</v>
          </cell>
          <cell r="H259">
            <v>292.45999999999998</v>
          </cell>
          <cell r="I259">
            <v>121.86</v>
          </cell>
          <cell r="J259">
            <v>440.4</v>
          </cell>
          <cell r="K259">
            <v>5226.6499999999996</v>
          </cell>
        </row>
        <row r="260">
          <cell r="B260" t="str">
            <v>OFICIAL BOLLAND</v>
          </cell>
          <cell r="C260">
            <v>43405</v>
          </cell>
          <cell r="D260" t="str">
            <v>Zona 4</v>
          </cell>
          <cell r="E260">
            <v>88.03</v>
          </cell>
          <cell r="F260">
            <v>88.03</v>
          </cell>
          <cell r="G260">
            <v>124.58</v>
          </cell>
          <cell r="H260">
            <v>292.45999999999998</v>
          </cell>
          <cell r="I260">
            <v>121.86</v>
          </cell>
          <cell r="J260">
            <v>440.4</v>
          </cell>
          <cell r="K260">
            <v>5226.6499999999996</v>
          </cell>
        </row>
        <row r="261">
          <cell r="B261" t="str">
            <v>OFICIAL ESPECIALIZADO</v>
          </cell>
          <cell r="C261">
            <v>43405</v>
          </cell>
          <cell r="D261" t="str">
            <v>Zona 4</v>
          </cell>
          <cell r="E261">
            <v>88.03</v>
          </cell>
          <cell r="F261">
            <v>88.03</v>
          </cell>
          <cell r="G261">
            <v>124.58</v>
          </cell>
          <cell r="H261">
            <v>292.45999999999998</v>
          </cell>
          <cell r="I261">
            <v>121.86</v>
          </cell>
          <cell r="J261">
            <v>440.4</v>
          </cell>
          <cell r="K261">
            <v>5226.6499999999996</v>
          </cell>
        </row>
        <row r="262">
          <cell r="B262" t="str">
            <v>SERENO</v>
          </cell>
          <cell r="C262">
            <v>43405</v>
          </cell>
          <cell r="D262" t="str">
            <v>Zona 4</v>
          </cell>
          <cell r="E262">
            <v>11576.52</v>
          </cell>
          <cell r="F262">
            <v>11576.52</v>
          </cell>
          <cell r="G262">
            <v>124.58</v>
          </cell>
          <cell r="H262">
            <v>292.45999999999998</v>
          </cell>
          <cell r="I262">
            <v>121.86</v>
          </cell>
          <cell r="J262">
            <v>440.4</v>
          </cell>
          <cell r="K262">
            <v>5226.6499999999996</v>
          </cell>
        </row>
      </sheetData>
      <sheetData sheetId="7">
        <row r="6">
          <cell r="B6">
            <v>42917</v>
          </cell>
          <cell r="C6">
            <v>43009</v>
          </cell>
          <cell r="D6">
            <v>43191</v>
          </cell>
          <cell r="E6">
            <v>43282</v>
          </cell>
          <cell r="F6">
            <v>43374</v>
          </cell>
          <cell r="G6">
            <v>43405</v>
          </cell>
        </row>
        <row r="7">
          <cell r="A7" t="str">
            <v>Vianda Ayuda Alimentaria</v>
          </cell>
          <cell r="B7">
            <v>262</v>
          </cell>
          <cell r="C7">
            <v>286</v>
          </cell>
          <cell r="D7">
            <v>321</v>
          </cell>
          <cell r="E7">
            <v>336</v>
          </cell>
          <cell r="F7">
            <v>359</v>
          </cell>
          <cell r="G7">
            <v>389</v>
          </cell>
        </row>
        <row r="8">
          <cell r="A8" t="str">
            <v>Asig. Vianda Comp. No Rem.</v>
          </cell>
          <cell r="B8">
            <v>1846</v>
          </cell>
          <cell r="C8">
            <v>1846</v>
          </cell>
          <cell r="D8">
            <v>1846</v>
          </cell>
          <cell r="E8">
            <v>1846</v>
          </cell>
          <cell r="F8">
            <v>1846</v>
          </cell>
          <cell r="G8">
            <v>1846</v>
          </cell>
        </row>
      </sheetData>
      <sheetData sheetId="8" refreshError="1"/>
      <sheetData sheetId="9">
        <row r="5">
          <cell r="B5" t="str">
            <v>Seleccionar Jurisdicción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grama de trabajo"/>
      <sheetName val="MO - Petrolero Privado"/>
      <sheetName val="MO - Personal Jerárquico"/>
      <sheetName val="BD-FCONVENIO"/>
      <sheetName val="Hoja2"/>
      <sheetName val="IVA"/>
      <sheetName val="Costo MO 2017 - RESUMEN"/>
      <sheetName val="Q POZOS"/>
      <sheetName val="BD_ESCALAS"/>
      <sheetName val="BD_ADICIONALES"/>
      <sheetName val="CCT"/>
    </sheetNames>
    <sheetDataSet>
      <sheetData sheetId="0" refreshError="1"/>
      <sheetData sheetId="1">
        <row r="8">
          <cell r="E8" t="str">
            <v>SANTA CRUZ</v>
          </cell>
        </row>
        <row r="10">
          <cell r="E10" t="str">
            <v>643/12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7">
          <cell r="C7" t="str">
            <v>CHUBUT</v>
          </cell>
        </row>
      </sheetData>
      <sheetData sheetId="9">
        <row r="6">
          <cell r="D6" t="str">
            <v>ASIG. VIANDA COMP. NO REM.</v>
          </cell>
        </row>
        <row r="8">
          <cell r="B8" t="str">
            <v>NEUQUEN</v>
          </cell>
        </row>
        <row r="9">
          <cell r="B9" t="str">
            <v>MENDOZA</v>
          </cell>
        </row>
        <row r="10">
          <cell r="B10" t="str">
            <v>SALTA</v>
          </cell>
        </row>
        <row r="11">
          <cell r="B11" t="str">
            <v>SANTA CRUZ</v>
          </cell>
        </row>
        <row r="12">
          <cell r="B12" t="str">
            <v>CHUBUT</v>
          </cell>
        </row>
        <row r="13">
          <cell r="B13" t="str">
            <v>NEUQUEN</v>
          </cell>
        </row>
        <row r="14">
          <cell r="B14" t="str">
            <v>MENDOZA</v>
          </cell>
        </row>
        <row r="15">
          <cell r="B15" t="str">
            <v>PAT. AUSTRAL</v>
          </cell>
        </row>
        <row r="16">
          <cell r="B16" t="str">
            <v>SALTA Y JUJUY</v>
          </cell>
        </row>
      </sheetData>
      <sheetData sheetId="1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DG"/>
      <sheetName val="Cotizaciones"/>
      <sheetName val="Afes"/>
      <sheetName val="Datos Generales"/>
      <sheetName val="Budget"/>
      <sheetName val="Base"/>
      <sheetName val="Resumen"/>
      <sheetName val="Drilling"/>
      <sheetName val="Completion"/>
      <sheetName val="Production Well Equipment"/>
      <sheetName val="Workover Oil-Gas"/>
      <sheetName val="Conversions &amp; Sel. Injection"/>
      <sheetName val="Plants"/>
      <sheetName val="Pipeline Oil-Gas"/>
      <sheetName val="Hardware &amp; Software"/>
      <sheetName val="Studies"/>
      <sheetName val="Testing"/>
      <sheetName val="Enviroment"/>
      <sheetName val="Water Disposal"/>
      <sheetName val="Infraestructure"/>
      <sheetName val="Oil &amp; Gas Line Repair"/>
      <sheetName val="Studies(2)"/>
      <sheetName val="ANALISIS DE CORONAS"/>
      <sheetName val="MEDIOAMBIENTE"/>
      <sheetName val="OLEOD-GASO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 mensual de producción"/>
      <sheetName val="entregas de petróleo y gas"/>
      <sheetName val="recuperación secundaria"/>
      <sheetName val="planta de gas"/>
      <sheetName val="producción por yac-bloques"/>
      <sheetName val="prod. de fluidos-oil"/>
      <sheetName val="prod. de fluidos-gas"/>
      <sheetName val="estadistica de est. de pozos"/>
      <sheetName val="estados de pozos"/>
      <sheetName val="estadistica de inyección"/>
      <sheetName val="estadistica de iny. sumideros"/>
      <sheetName val="estado de pozos secundaria"/>
      <sheetName val="Resumen 1"/>
      <sheetName val="Resumen 2"/>
      <sheetName val="Resume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RO"/>
      <sheetName val="Errores"/>
      <sheetName val="PD"/>
      <sheetName val="PND"/>
      <sheetName val="Template"/>
      <sheetName val="PR"/>
      <sheetName val="PO"/>
      <sheetName val="EXP"/>
      <sheetName val="TOTAL"/>
      <sheetName val="MAXIMO"/>
      <sheetName val="Datos"/>
      <sheetName val="Opciones Multip"/>
    </sheetNames>
    <sheetDataSet>
      <sheetData sheetId="0" refreshError="1">
        <row r="6">
          <cell r="C6">
            <v>2001</v>
          </cell>
        </row>
      </sheetData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Report"/>
      <sheetName val="API"/>
      <sheetName val="UIB"/>
    </sheetNames>
    <sheetDataSet>
      <sheetData sheetId="0" refreshError="1">
        <row r="3">
          <cell r="R3" t="str">
            <v>1 1/8"</v>
          </cell>
          <cell r="S3">
            <v>1.125</v>
          </cell>
          <cell r="T3">
            <v>0.99401955054989544</v>
          </cell>
          <cell r="U3">
            <v>3.72</v>
          </cell>
          <cell r="AF3">
            <v>3.2808398950100002</v>
          </cell>
        </row>
        <row r="4">
          <cell r="R4" t="str">
            <v>1"</v>
          </cell>
          <cell r="S4">
            <v>1</v>
          </cell>
          <cell r="T4">
            <v>0.78539816339744828</v>
          </cell>
          <cell r="U4">
            <v>2.89</v>
          </cell>
          <cell r="AF4">
            <v>3.6127291999999998E-2</v>
          </cell>
        </row>
        <row r="5">
          <cell r="H5" t="str">
            <v>M-912D-305-192</v>
          </cell>
          <cell r="J5" t="str">
            <v>192</v>
          </cell>
          <cell r="K5" t="str">
            <v>8 1/2</v>
          </cell>
          <cell r="L5">
            <v>8.5</v>
          </cell>
          <cell r="R5" t="str">
            <v>7/8"</v>
          </cell>
          <cell r="S5">
            <v>0.875</v>
          </cell>
          <cell r="T5">
            <v>0.6013204688511713</v>
          </cell>
          <cell r="U5">
            <v>2.1907999999999999</v>
          </cell>
          <cell r="AF5">
            <v>2.2046226199999999</v>
          </cell>
        </row>
        <row r="6">
          <cell r="R6" t="str">
            <v>3/4"</v>
          </cell>
          <cell r="S6">
            <v>0.75</v>
          </cell>
          <cell r="T6">
            <v>0.44178646691106466</v>
          </cell>
          <cell r="U6">
            <v>1.6255999999999999</v>
          </cell>
        </row>
        <row r="7">
          <cell r="D7" t="str">
            <v>2 1/2"</v>
          </cell>
          <cell r="E7">
            <v>250</v>
          </cell>
          <cell r="H7">
            <v>50</v>
          </cell>
        </row>
        <row r="9">
          <cell r="D9">
            <v>600</v>
          </cell>
          <cell r="H9">
            <v>28.8</v>
          </cell>
          <cell r="K9">
            <v>1400</v>
          </cell>
        </row>
        <row r="11">
          <cell r="D11">
            <v>600</v>
          </cell>
        </row>
        <row r="13">
          <cell r="D13">
            <v>120</v>
          </cell>
          <cell r="I13" t="str">
            <v>86-250</v>
          </cell>
          <cell r="J13" t="str">
            <v>condición 2</v>
          </cell>
          <cell r="K13" t="str">
            <v>D</v>
          </cell>
        </row>
        <row r="14">
          <cell r="J14">
            <v>0.8</v>
          </cell>
          <cell r="K14">
            <v>115000</v>
          </cell>
        </row>
        <row r="15">
          <cell r="D15">
            <v>0.9</v>
          </cell>
        </row>
        <row r="16">
          <cell r="H16">
            <v>10</v>
          </cell>
          <cell r="K16">
            <v>25</v>
          </cell>
        </row>
        <row r="17">
          <cell r="D17">
            <v>0.85</v>
          </cell>
        </row>
        <row r="19">
          <cell r="D19">
            <v>1.1499999999999999</v>
          </cell>
        </row>
      </sheetData>
      <sheetData sheetId="1" refreshError="1"/>
      <sheetData sheetId="2" refreshError="1">
        <row r="2">
          <cell r="A2" t="str">
            <v>86-100</v>
          </cell>
          <cell r="B2">
            <v>1</v>
          </cell>
          <cell r="C2">
            <v>2.0579999999999998</v>
          </cell>
          <cell r="D2">
            <v>7.4199999999999995E-7</v>
          </cell>
          <cell r="E2">
            <v>1.151</v>
          </cell>
          <cell r="F2" t="str">
            <v>1"</v>
          </cell>
          <cell r="G2" t="str">
            <v>7/8"</v>
          </cell>
          <cell r="H2" t="str">
            <v>3/4"</v>
          </cell>
          <cell r="J2">
            <v>0.22599999606609344</v>
          </cell>
          <cell r="K2">
            <v>0.23000000417232513</v>
          </cell>
          <cell r="L2">
            <v>0.5429999828338623</v>
          </cell>
          <cell r="M2">
            <v>0</v>
          </cell>
        </row>
        <row r="3">
          <cell r="A3" t="str">
            <v>86-125</v>
          </cell>
          <cell r="B3">
            <v>1.25</v>
          </cell>
          <cell r="C3">
            <v>2.0870000000000002</v>
          </cell>
          <cell r="D3">
            <v>7.3200000000000004E-7</v>
          </cell>
          <cell r="E3">
            <v>1.1559999999999999</v>
          </cell>
          <cell r="F3" t="str">
            <v>1"</v>
          </cell>
          <cell r="G3" t="str">
            <v>7/8"</v>
          </cell>
          <cell r="H3" t="str">
            <v>3/4"</v>
          </cell>
          <cell r="J3">
            <v>0.24300000071525574</v>
          </cell>
          <cell r="K3">
            <v>0.24500000476837158</v>
          </cell>
          <cell r="L3">
            <v>0.51200002431869507</v>
          </cell>
          <cell r="M3">
            <v>0</v>
          </cell>
        </row>
        <row r="4">
          <cell r="A4" t="str">
            <v>86-150</v>
          </cell>
          <cell r="B4">
            <v>1.5</v>
          </cell>
          <cell r="C4">
            <v>2.133</v>
          </cell>
          <cell r="D4">
            <v>7.1699999999999997E-7</v>
          </cell>
          <cell r="E4">
            <v>1.1619999999999999</v>
          </cell>
          <cell r="F4" t="str">
            <v>1"</v>
          </cell>
          <cell r="G4" t="str">
            <v>7/8"</v>
          </cell>
          <cell r="H4" t="str">
            <v>3/4"</v>
          </cell>
          <cell r="J4">
            <v>0.26800000667572021</v>
          </cell>
          <cell r="K4">
            <v>0.27000001072883606</v>
          </cell>
          <cell r="L4">
            <v>0.46299999952316284</v>
          </cell>
          <cell r="M4">
            <v>0</v>
          </cell>
        </row>
        <row r="5">
          <cell r="A5" t="str">
            <v>86-175</v>
          </cell>
          <cell r="B5">
            <v>1.75</v>
          </cell>
          <cell r="C5">
            <v>2.1850000000000001</v>
          </cell>
          <cell r="D5">
            <v>6.6899999999999997E-7</v>
          </cell>
          <cell r="E5">
            <v>1.1639999999999999</v>
          </cell>
          <cell r="F5" t="str">
            <v>1"</v>
          </cell>
          <cell r="G5" t="str">
            <v>7/8"</v>
          </cell>
          <cell r="H5" t="str">
            <v>3/4"</v>
          </cell>
          <cell r="J5">
            <v>0.29399999976158142</v>
          </cell>
          <cell r="K5">
            <v>0.30000001192092896</v>
          </cell>
          <cell r="L5">
            <v>0.40599998831748962</v>
          </cell>
          <cell r="M5">
            <v>0</v>
          </cell>
        </row>
        <row r="6">
          <cell r="A6" t="str">
            <v>86-200</v>
          </cell>
          <cell r="B6">
            <v>2</v>
          </cell>
          <cell r="C6">
            <v>2.2469999999999999</v>
          </cell>
          <cell r="D6">
            <v>6.7899999999999998E-7</v>
          </cell>
          <cell r="E6">
            <v>1.161</v>
          </cell>
          <cell r="F6" t="str">
            <v>1"</v>
          </cell>
          <cell r="G6" t="str">
            <v>7/8"</v>
          </cell>
          <cell r="H6" t="str">
            <v>3/4"</v>
          </cell>
          <cell r="J6">
            <v>0.32800000905990601</v>
          </cell>
          <cell r="K6">
            <v>0.33199998736381531</v>
          </cell>
          <cell r="L6">
            <v>0.33899998664855957</v>
          </cell>
          <cell r="M6">
            <v>0</v>
          </cell>
        </row>
        <row r="7">
          <cell r="A7" t="str">
            <v>86-225</v>
          </cell>
          <cell r="B7">
            <v>2.25</v>
          </cell>
          <cell r="C7">
            <v>2.3149999999999999</v>
          </cell>
          <cell r="D7">
            <v>6.5600000000000005E-7</v>
          </cell>
          <cell r="E7">
            <v>1.153</v>
          </cell>
          <cell r="F7" t="str">
            <v>1"</v>
          </cell>
          <cell r="G7" t="str">
            <v>7/8"</v>
          </cell>
          <cell r="H7" t="str">
            <v>3/4"</v>
          </cell>
          <cell r="J7">
            <v>0.36899998784065247</v>
          </cell>
          <cell r="K7">
            <v>0.36000001430511475</v>
          </cell>
          <cell r="L7">
            <v>0.27099999785423279</v>
          </cell>
          <cell r="M7">
            <v>0</v>
          </cell>
        </row>
        <row r="8">
          <cell r="A8" t="str">
            <v>86-250</v>
          </cell>
          <cell r="B8">
            <v>2.5</v>
          </cell>
          <cell r="C8">
            <v>2.3849999999999998</v>
          </cell>
          <cell r="D8">
            <v>6.3300000000000002E-7</v>
          </cell>
          <cell r="E8">
            <v>1.1379999999999999</v>
          </cell>
          <cell r="F8" t="str">
            <v>1"</v>
          </cell>
          <cell r="G8" t="str">
            <v>7/8"</v>
          </cell>
          <cell r="H8" t="str">
            <v>3/4"</v>
          </cell>
          <cell r="J8">
            <v>0.40599998831748962</v>
          </cell>
          <cell r="K8">
            <v>0.3970000147819519</v>
          </cell>
          <cell r="L8">
            <v>0.19699999690055847</v>
          </cell>
          <cell r="M8">
            <v>0</v>
          </cell>
        </row>
        <row r="9">
          <cell r="A9" t="str">
            <v>86-275</v>
          </cell>
          <cell r="B9">
            <v>2.75</v>
          </cell>
          <cell r="C9">
            <v>2.4550000000000001</v>
          </cell>
          <cell r="D9">
            <v>6.0999999999999998E-7</v>
          </cell>
          <cell r="E9">
            <v>1.119</v>
          </cell>
          <cell r="F9" t="str">
            <v>1"</v>
          </cell>
          <cell r="G9" t="str">
            <v>7/8"</v>
          </cell>
          <cell r="H9" t="str">
            <v>3/4"</v>
          </cell>
          <cell r="J9">
            <v>0.44499999284744263</v>
          </cell>
          <cell r="K9">
            <v>0.43299999833106995</v>
          </cell>
          <cell r="L9">
            <v>0.12200000137090683</v>
          </cell>
          <cell r="M9">
            <v>0</v>
          </cell>
        </row>
        <row r="10">
          <cell r="A10" t="str">
            <v>87-100</v>
          </cell>
          <cell r="B10">
            <v>1</v>
          </cell>
          <cell r="C10">
            <v>2.39</v>
          </cell>
          <cell r="D10">
            <v>6.1200000000000003E-7</v>
          </cell>
          <cell r="E10">
            <v>1.0549999999999999</v>
          </cell>
          <cell r="F10" t="str">
            <v>1"</v>
          </cell>
          <cell r="G10" t="str">
            <v>7/8"</v>
          </cell>
          <cell r="J10">
            <v>0.24300000071525574</v>
          </cell>
          <cell r="K10">
            <v>0.75700002908706665</v>
          </cell>
          <cell r="L10">
            <v>0</v>
          </cell>
          <cell r="M10">
            <v>0</v>
          </cell>
        </row>
        <row r="11">
          <cell r="A11" t="str">
            <v>87-125</v>
          </cell>
          <cell r="B11">
            <v>1.25</v>
          </cell>
          <cell r="C11">
            <v>2.399</v>
          </cell>
          <cell r="D11">
            <v>6.0999999999999998E-7</v>
          </cell>
          <cell r="E11">
            <v>1.0580000000000001</v>
          </cell>
          <cell r="F11" t="str">
            <v>1"</v>
          </cell>
          <cell r="G11" t="str">
            <v>7/8"</v>
          </cell>
          <cell r="J11">
            <v>0.25699999928474426</v>
          </cell>
          <cell r="K11">
            <v>0.74299997091293335</v>
          </cell>
          <cell r="L11">
            <v>0</v>
          </cell>
          <cell r="M11">
            <v>0</v>
          </cell>
        </row>
        <row r="12">
          <cell r="A12" t="str">
            <v>87-150</v>
          </cell>
          <cell r="B12">
            <v>1.5</v>
          </cell>
          <cell r="C12">
            <v>2.4129999999999998</v>
          </cell>
          <cell r="D12">
            <v>6.0699999999999997E-7</v>
          </cell>
          <cell r="E12">
            <v>1.0620000000000001</v>
          </cell>
          <cell r="F12" t="str">
            <v>1"</v>
          </cell>
          <cell r="G12" t="str">
            <v>7/8"</v>
          </cell>
          <cell r="J12">
            <v>0.27700001001358032</v>
          </cell>
          <cell r="K12">
            <v>0.72299998998641968</v>
          </cell>
          <cell r="L12">
            <v>0</v>
          </cell>
          <cell r="M12">
            <v>0</v>
          </cell>
        </row>
        <row r="13">
          <cell r="A13" t="str">
            <v>87-175</v>
          </cell>
          <cell r="B13">
            <v>1.75</v>
          </cell>
          <cell r="C13">
            <v>2.4300000000000002</v>
          </cell>
          <cell r="D13">
            <v>6.0299999999999999E-7</v>
          </cell>
          <cell r="E13">
            <v>1.0660000000000001</v>
          </cell>
          <cell r="F13" t="str">
            <v>1"</v>
          </cell>
          <cell r="G13" t="str">
            <v>7/8"</v>
          </cell>
          <cell r="J13">
            <v>0.30300000309944153</v>
          </cell>
          <cell r="K13">
            <v>0.69700002670288086</v>
          </cell>
          <cell r="L13">
            <v>0</v>
          </cell>
          <cell r="M13">
            <v>0</v>
          </cell>
        </row>
        <row r="14">
          <cell r="A14" t="str">
            <v>87-200</v>
          </cell>
          <cell r="B14">
            <v>2</v>
          </cell>
          <cell r="C14">
            <v>2.4500000000000002</v>
          </cell>
          <cell r="D14">
            <v>5.0800000000000005E-7</v>
          </cell>
          <cell r="E14">
            <v>1.071</v>
          </cell>
          <cell r="F14" t="str">
            <v>1"</v>
          </cell>
          <cell r="G14" t="str">
            <v>7/8"</v>
          </cell>
          <cell r="J14">
            <v>0.33199998736381531</v>
          </cell>
          <cell r="K14">
            <v>0.6679999828338623</v>
          </cell>
          <cell r="L14">
            <v>0</v>
          </cell>
          <cell r="M14">
            <v>0</v>
          </cell>
        </row>
        <row r="15">
          <cell r="A15" t="str">
            <v>87-225</v>
          </cell>
          <cell r="B15">
            <v>2.25</v>
          </cell>
          <cell r="C15">
            <v>2.472</v>
          </cell>
          <cell r="D15">
            <v>5.9400000000000005E-7</v>
          </cell>
          <cell r="E15">
            <v>1.075</v>
          </cell>
          <cell r="F15" t="str">
            <v>1"</v>
          </cell>
          <cell r="G15" t="str">
            <v>7/8"</v>
          </cell>
          <cell r="J15">
            <v>0.36399999260902405</v>
          </cell>
          <cell r="K15">
            <v>0.63599997758865356</v>
          </cell>
          <cell r="L15">
            <v>0</v>
          </cell>
          <cell r="M15">
            <v>0</v>
          </cell>
        </row>
        <row r="16">
          <cell r="A16" t="str">
            <v>87-250</v>
          </cell>
          <cell r="B16">
            <v>2.5</v>
          </cell>
          <cell r="C16">
            <v>2.496</v>
          </cell>
          <cell r="D16">
            <v>5.8800000000000002E-7</v>
          </cell>
          <cell r="E16">
            <v>1.079</v>
          </cell>
          <cell r="F16" t="str">
            <v>1"</v>
          </cell>
          <cell r="G16" t="str">
            <v>7/8"</v>
          </cell>
          <cell r="J16">
            <v>0.39899998903274536</v>
          </cell>
          <cell r="K16">
            <v>0.60100001096725464</v>
          </cell>
          <cell r="L16">
            <v>0</v>
          </cell>
          <cell r="M16">
            <v>0</v>
          </cell>
        </row>
        <row r="17">
          <cell r="A17" t="str">
            <v>87-275</v>
          </cell>
          <cell r="B17">
            <v>2.75</v>
          </cell>
          <cell r="C17">
            <v>2.5230000000000001</v>
          </cell>
          <cell r="D17">
            <v>5.82E-7</v>
          </cell>
          <cell r="E17">
            <v>1.0820000000000001</v>
          </cell>
          <cell r="F17" t="str">
            <v>1"</v>
          </cell>
          <cell r="G17" t="str">
            <v>7/8"</v>
          </cell>
          <cell r="J17">
            <v>0.43900001049041748</v>
          </cell>
          <cell r="K17">
            <v>0.56099998950958252</v>
          </cell>
          <cell r="L17">
            <v>0</v>
          </cell>
          <cell r="M17">
            <v>0</v>
          </cell>
        </row>
        <row r="18">
          <cell r="A18" t="str">
            <v>87-325</v>
          </cell>
          <cell r="B18">
            <v>3.25</v>
          </cell>
          <cell r="C18">
            <v>2.5750000000000002</v>
          </cell>
          <cell r="D18">
            <v>5.7000000000000005E-7</v>
          </cell>
          <cell r="E18">
            <v>1.0840000000000001</v>
          </cell>
          <cell r="F18" t="str">
            <v>1"</v>
          </cell>
          <cell r="G18" t="str">
            <v>7/8"</v>
          </cell>
          <cell r="J18">
            <v>0.51599997282028198</v>
          </cell>
          <cell r="K18">
            <v>0.48399999737739563</v>
          </cell>
          <cell r="L18">
            <v>0</v>
          </cell>
          <cell r="M18">
            <v>0</v>
          </cell>
        </row>
        <row r="19">
          <cell r="A19" t="str">
            <v>87-375</v>
          </cell>
          <cell r="B19">
            <v>3.75</v>
          </cell>
          <cell r="C19">
            <v>2.641</v>
          </cell>
          <cell r="D19">
            <v>5.5599999999999995E-7</v>
          </cell>
          <cell r="E19">
            <v>1.0780000000000001</v>
          </cell>
          <cell r="F19" t="str">
            <v>1"</v>
          </cell>
          <cell r="G19" t="str">
            <v>7/8"</v>
          </cell>
          <cell r="J19">
            <v>0.6119999885559082</v>
          </cell>
          <cell r="K19">
            <v>0.3880000114440918</v>
          </cell>
          <cell r="L19">
            <v>0</v>
          </cell>
          <cell r="M19">
            <v>0</v>
          </cell>
        </row>
        <row r="20">
          <cell r="A20" t="str">
            <v>87-475</v>
          </cell>
          <cell r="B20">
            <v>4.75</v>
          </cell>
          <cell r="C20">
            <v>2.7930000000000001</v>
          </cell>
          <cell r="D20">
            <v>5.2200000000000004E-7</v>
          </cell>
          <cell r="E20">
            <v>1.038</v>
          </cell>
          <cell r="F20" t="str">
            <v>1"</v>
          </cell>
          <cell r="G20" t="str">
            <v>7/8"</v>
          </cell>
          <cell r="J20">
            <v>0.83600002527236938</v>
          </cell>
          <cell r="K20">
            <v>0.164000004529953</v>
          </cell>
          <cell r="L20">
            <v>0</v>
          </cell>
          <cell r="M20">
            <v>0</v>
          </cell>
        </row>
        <row r="21">
          <cell r="A21" t="str">
            <v>88-xxx</v>
          </cell>
          <cell r="C21">
            <v>2.9039999999999999</v>
          </cell>
          <cell r="D21">
            <v>4.9699999999999996E-7</v>
          </cell>
          <cell r="E21">
            <v>1</v>
          </cell>
          <cell r="F21" t="str">
            <v>1"</v>
          </cell>
          <cell r="J21">
            <v>1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96-100</v>
          </cell>
          <cell r="B22">
            <v>1</v>
          </cell>
          <cell r="C22">
            <v>2.3820000000000001</v>
          </cell>
          <cell r="D22">
            <v>6.7000000000000004E-7</v>
          </cell>
          <cell r="E22">
            <v>1.222</v>
          </cell>
          <cell r="F22" t="str">
            <v>1 1/8"</v>
          </cell>
          <cell r="G22" t="str">
            <v>1"</v>
          </cell>
          <cell r="H22" t="str">
            <v>7/8"</v>
          </cell>
          <cell r="I22" t="str">
            <v>3/4"</v>
          </cell>
          <cell r="J22">
            <v>0.19099999964237213</v>
          </cell>
          <cell r="K22">
            <v>0.19200000166893005</v>
          </cell>
          <cell r="L22">
            <v>0.19499999284744263</v>
          </cell>
          <cell r="M22">
            <v>0.42300000786781311</v>
          </cell>
        </row>
        <row r="23">
          <cell r="A23" t="str">
            <v>96-125</v>
          </cell>
          <cell r="B23">
            <v>1.25</v>
          </cell>
          <cell r="C23">
            <v>2.4350000000000001</v>
          </cell>
          <cell r="D23">
            <v>6.5499999999999998E-7</v>
          </cell>
          <cell r="E23">
            <v>1.224</v>
          </cell>
          <cell r="F23" t="str">
            <v>1 1/8"</v>
          </cell>
          <cell r="G23" t="str">
            <v>1"</v>
          </cell>
          <cell r="H23" t="str">
            <v>7/8"</v>
          </cell>
          <cell r="I23" t="str">
            <v>3/4"</v>
          </cell>
          <cell r="J23">
            <v>0.20499999821186066</v>
          </cell>
          <cell r="K23">
            <v>0.20499999821186066</v>
          </cell>
          <cell r="L23">
            <v>0.2070000022649765</v>
          </cell>
          <cell r="M23">
            <v>0.38299998641014099</v>
          </cell>
        </row>
        <row r="24">
          <cell r="A24" t="str">
            <v>96-150</v>
          </cell>
          <cell r="B24">
            <v>1.5</v>
          </cell>
          <cell r="C24">
            <v>2.5110000000000001</v>
          </cell>
          <cell r="D24">
            <v>6.3300000000000002E-7</v>
          </cell>
          <cell r="E24">
            <v>1.2230000000000001</v>
          </cell>
          <cell r="F24" t="str">
            <v>1 1/8"</v>
          </cell>
          <cell r="G24" t="str">
            <v>1"</v>
          </cell>
          <cell r="H24" t="str">
            <v>7/8"</v>
          </cell>
          <cell r="I24" t="str">
            <v>3/4"</v>
          </cell>
          <cell r="J24">
            <v>0.22400000691413879</v>
          </cell>
          <cell r="K24">
            <v>0.22499999403953552</v>
          </cell>
          <cell r="L24">
            <v>0.22800000011920929</v>
          </cell>
          <cell r="M24">
            <v>0.32300001382827759</v>
          </cell>
        </row>
        <row r="25">
          <cell r="A25" t="str">
            <v>96-175</v>
          </cell>
          <cell r="B25">
            <v>1.75</v>
          </cell>
          <cell r="C25">
            <v>2.6070000000000002</v>
          </cell>
          <cell r="D25">
            <v>6.06E-7</v>
          </cell>
          <cell r="E25">
            <v>1.2130000000000001</v>
          </cell>
          <cell r="F25" t="str">
            <v>1 1/8"</v>
          </cell>
          <cell r="G25" t="str">
            <v>1"</v>
          </cell>
          <cell r="H25" t="str">
            <v>7/8"</v>
          </cell>
          <cell r="I25" t="str">
            <v>3/4"</v>
          </cell>
          <cell r="J25">
            <v>0.24799999594688416</v>
          </cell>
          <cell r="K25">
            <v>0.25</v>
          </cell>
          <cell r="L25">
            <v>0.25099998712539673</v>
          </cell>
          <cell r="M25">
            <v>0.25099998712539673</v>
          </cell>
        </row>
        <row r="26">
          <cell r="A26" t="str">
            <v>96-200</v>
          </cell>
          <cell r="B26">
            <v>2</v>
          </cell>
          <cell r="C26">
            <v>2.7029999999999998</v>
          </cell>
          <cell r="D26">
            <v>5.7800000000000001E-7</v>
          </cell>
          <cell r="E26">
            <v>1.196</v>
          </cell>
          <cell r="F26" t="str">
            <v>1 1/8"</v>
          </cell>
          <cell r="G26" t="str">
            <v>1"</v>
          </cell>
          <cell r="H26" t="str">
            <v>7/8"</v>
          </cell>
          <cell r="I26" t="str">
            <v>3/4"</v>
          </cell>
          <cell r="J26">
            <v>0.27099999785423279</v>
          </cell>
          <cell r="K26">
            <v>0.27900001406669617</v>
          </cell>
          <cell r="L26">
            <v>0.27399998903274536</v>
          </cell>
          <cell r="M26">
            <v>0.17599999904632568</v>
          </cell>
        </row>
        <row r="27">
          <cell r="A27" t="str">
            <v>96-225</v>
          </cell>
          <cell r="B27">
            <v>2.25</v>
          </cell>
          <cell r="C27">
            <v>2.8</v>
          </cell>
          <cell r="D27">
            <v>5.4899999999999995E-7</v>
          </cell>
          <cell r="E27">
            <v>1.1719999999999999</v>
          </cell>
          <cell r="F27" t="str">
            <v>1 1/8"</v>
          </cell>
          <cell r="G27" t="str">
            <v>1"</v>
          </cell>
          <cell r="H27" t="str">
            <v>7/8"</v>
          </cell>
          <cell r="I27" t="str">
            <v>3/4"</v>
          </cell>
          <cell r="J27">
            <v>0.29600000381469727</v>
          </cell>
          <cell r="K27">
            <v>0.30700001120567322</v>
          </cell>
          <cell r="L27">
            <v>0.29800000786781311</v>
          </cell>
          <cell r="M27">
            <v>9.7999997437000275E-2</v>
          </cell>
        </row>
        <row r="28">
          <cell r="A28" t="str">
            <v>97-100</v>
          </cell>
          <cell r="B28">
            <v>1</v>
          </cell>
          <cell r="C28">
            <v>2.645</v>
          </cell>
          <cell r="D28">
            <v>5.68E-7</v>
          </cell>
          <cell r="E28">
            <v>1.1200000000000001</v>
          </cell>
          <cell r="F28" t="str">
            <v>1 1/8"</v>
          </cell>
          <cell r="G28" t="str">
            <v>1"</v>
          </cell>
          <cell r="H28" t="str">
            <v>7/8"</v>
          </cell>
          <cell r="J28">
            <v>0.19699999690055847</v>
          </cell>
          <cell r="K28">
            <v>0.20000000298023224</v>
          </cell>
          <cell r="L28">
            <v>0.6029999852180481</v>
          </cell>
          <cell r="M28">
            <v>0</v>
          </cell>
        </row>
        <row r="29">
          <cell r="A29" t="str">
            <v>97-125</v>
          </cell>
          <cell r="B29">
            <v>1.25</v>
          </cell>
          <cell r="C29">
            <v>2.67</v>
          </cell>
          <cell r="D29">
            <v>5.6300000000000005E-7</v>
          </cell>
          <cell r="E29">
            <v>1.1240000000000001</v>
          </cell>
          <cell r="F29" t="str">
            <v>1 1/8"</v>
          </cell>
          <cell r="G29" t="str">
            <v>1"</v>
          </cell>
          <cell r="H29" t="str">
            <v>7/8"</v>
          </cell>
          <cell r="J29">
            <v>0.20800000429153442</v>
          </cell>
          <cell r="K29">
            <v>0.21199999749660492</v>
          </cell>
          <cell r="L29">
            <v>0.57999998331069946</v>
          </cell>
          <cell r="M29">
            <v>0</v>
          </cell>
        </row>
        <row r="30">
          <cell r="A30" t="str">
            <v>97-150</v>
          </cell>
          <cell r="B30">
            <v>1.5</v>
          </cell>
          <cell r="C30">
            <v>2.7069999999999999</v>
          </cell>
          <cell r="D30">
            <v>5.5599999999999995E-7</v>
          </cell>
          <cell r="E30">
            <v>1.131</v>
          </cell>
          <cell r="F30" t="str">
            <v>1 1/8"</v>
          </cell>
          <cell r="G30" t="str">
            <v>1"</v>
          </cell>
          <cell r="H30" t="str">
            <v>7/8"</v>
          </cell>
          <cell r="J30">
            <v>0.22499999403953552</v>
          </cell>
          <cell r="K30">
            <v>0.23000000417232513</v>
          </cell>
          <cell r="L30">
            <v>0.54500001668930054</v>
          </cell>
          <cell r="M30">
            <v>0</v>
          </cell>
        </row>
        <row r="31">
          <cell r="A31" t="str">
            <v>97-175</v>
          </cell>
          <cell r="B31">
            <v>1.75</v>
          </cell>
          <cell r="C31">
            <v>2.7509999999999999</v>
          </cell>
          <cell r="D31">
            <v>5.4799999999999998E-7</v>
          </cell>
          <cell r="E31">
            <v>1.137</v>
          </cell>
          <cell r="F31" t="str">
            <v>1 1/8"</v>
          </cell>
          <cell r="G31" t="str">
            <v>1"</v>
          </cell>
          <cell r="H31" t="str">
            <v>7/8"</v>
          </cell>
          <cell r="J31">
            <v>0.24500000476837158</v>
          </cell>
          <cell r="K31">
            <v>0.25</v>
          </cell>
          <cell r="L31">
            <v>0.50599998235702515</v>
          </cell>
          <cell r="M31">
            <v>0</v>
          </cell>
        </row>
        <row r="32">
          <cell r="A32" t="str">
            <v>97-200</v>
          </cell>
          <cell r="B32">
            <v>2</v>
          </cell>
          <cell r="C32">
            <v>2.8010000000000002</v>
          </cell>
          <cell r="D32">
            <v>5.3799999999999997E-7</v>
          </cell>
          <cell r="E32">
            <v>1.141</v>
          </cell>
          <cell r="F32" t="str">
            <v>1 1/8"</v>
          </cell>
          <cell r="G32" t="str">
            <v>1"</v>
          </cell>
          <cell r="H32" t="str">
            <v>7/8"</v>
          </cell>
          <cell r="J32">
            <v>0.26800000667572021</v>
          </cell>
          <cell r="K32">
            <v>0.27399998903274536</v>
          </cell>
          <cell r="L32">
            <v>0.45800000429153442</v>
          </cell>
          <cell r="M32">
            <v>0</v>
          </cell>
        </row>
        <row r="33">
          <cell r="A33" t="str">
            <v>97-225</v>
          </cell>
          <cell r="B33">
            <v>2.25</v>
          </cell>
          <cell r="C33">
            <v>2.8559999999999999</v>
          </cell>
          <cell r="D33">
            <v>5.2799999999999996E-7</v>
          </cell>
          <cell r="E33">
            <v>1.143</v>
          </cell>
          <cell r="F33" t="str">
            <v>1 1/8"</v>
          </cell>
          <cell r="G33" t="str">
            <v>1"</v>
          </cell>
          <cell r="H33" t="str">
            <v>7/8"</v>
          </cell>
          <cell r="J33">
            <v>0.29399999976158142</v>
          </cell>
          <cell r="K33">
            <v>0.30199998617172241</v>
          </cell>
          <cell r="L33">
            <v>0.40400001406669617</v>
          </cell>
          <cell r="M33">
            <v>0</v>
          </cell>
        </row>
        <row r="34">
          <cell r="A34" t="str">
            <v>97-250</v>
          </cell>
          <cell r="B34">
            <v>2.5</v>
          </cell>
          <cell r="C34">
            <v>2.9209999999999998</v>
          </cell>
          <cell r="D34">
            <v>5.1500000000000005E-7</v>
          </cell>
          <cell r="E34">
            <v>1.141</v>
          </cell>
          <cell r="F34" t="str">
            <v>1 1/8"</v>
          </cell>
          <cell r="G34" t="str">
            <v>1"</v>
          </cell>
          <cell r="H34" t="str">
            <v>7/8"</v>
          </cell>
          <cell r="J34">
            <v>0.32499998807907104</v>
          </cell>
          <cell r="K34">
            <v>0.33100000023841858</v>
          </cell>
          <cell r="L34">
            <v>0.34400001168251038</v>
          </cell>
          <cell r="M34">
            <v>0</v>
          </cell>
        </row>
        <row r="35">
          <cell r="A35" t="str">
            <v>97-275</v>
          </cell>
          <cell r="B35">
            <v>2.75</v>
          </cell>
          <cell r="C35">
            <v>2.9889999999999999</v>
          </cell>
          <cell r="D35">
            <v>5.0299999999999999E-7</v>
          </cell>
          <cell r="E35">
            <v>1.135</v>
          </cell>
          <cell r="F35" t="str">
            <v>1 1/8"</v>
          </cell>
          <cell r="G35" t="str">
            <v>1"</v>
          </cell>
          <cell r="H35" t="str">
            <v>7/8"</v>
          </cell>
          <cell r="J35">
            <v>0.36100000143051147</v>
          </cell>
          <cell r="K35">
            <v>0.3529999852180481</v>
          </cell>
          <cell r="L35">
            <v>0.28600001335144043</v>
          </cell>
          <cell r="M35">
            <v>0</v>
          </cell>
        </row>
        <row r="36">
          <cell r="A36" t="str">
            <v>97-325</v>
          </cell>
          <cell r="B36">
            <v>3.25</v>
          </cell>
          <cell r="C36">
            <v>3.1320000000000001</v>
          </cell>
          <cell r="D36">
            <v>4.75E-7</v>
          </cell>
          <cell r="E36">
            <v>1.111</v>
          </cell>
          <cell r="F36" t="str">
            <v>1 1/8"</v>
          </cell>
          <cell r="G36" t="str">
            <v>1"</v>
          </cell>
          <cell r="H36" t="str">
            <v>7/8"</v>
          </cell>
          <cell r="J36">
            <v>0.42899999022483826</v>
          </cell>
          <cell r="K36">
            <v>0.41899999976158142</v>
          </cell>
          <cell r="L36">
            <v>0.15199999511241913</v>
          </cell>
          <cell r="M36">
            <v>0</v>
          </cell>
        </row>
        <row r="37">
          <cell r="A37" t="str">
            <v>98-100</v>
          </cell>
          <cell r="B37">
            <v>1</v>
          </cell>
          <cell r="C37">
            <v>3.0680000000000001</v>
          </cell>
          <cell r="D37">
            <v>4.75E-7</v>
          </cell>
          <cell r="E37">
            <v>1.0429999999999999</v>
          </cell>
          <cell r="F37" t="str">
            <v>1 1/8"</v>
          </cell>
          <cell r="G37" t="str">
            <v>1"</v>
          </cell>
          <cell r="J37">
            <v>0.21199999749660492</v>
          </cell>
          <cell r="K37">
            <v>0.78799998760223389</v>
          </cell>
          <cell r="L37">
            <v>0</v>
          </cell>
          <cell r="M37">
            <v>0</v>
          </cell>
        </row>
        <row r="38">
          <cell r="A38" t="str">
            <v>98-125</v>
          </cell>
          <cell r="B38">
            <v>1.25</v>
          </cell>
          <cell r="C38">
            <v>3.0760000000000001</v>
          </cell>
          <cell r="D38">
            <v>4.7399999999999998E-7</v>
          </cell>
          <cell r="E38">
            <v>1.0449999999999999</v>
          </cell>
          <cell r="F38" t="str">
            <v>1 1/8"</v>
          </cell>
          <cell r="G38" t="str">
            <v>1"</v>
          </cell>
          <cell r="J38">
            <v>0.22200000286102295</v>
          </cell>
          <cell r="K38">
            <v>0.77799999713897705</v>
          </cell>
          <cell r="L38">
            <v>0</v>
          </cell>
          <cell r="M38">
            <v>0</v>
          </cell>
        </row>
        <row r="39">
          <cell r="A39" t="str">
            <v>98-150</v>
          </cell>
          <cell r="B39">
            <v>1.5</v>
          </cell>
          <cell r="C39">
            <v>3.089</v>
          </cell>
          <cell r="D39">
            <v>4.7199999999999999E-7</v>
          </cell>
          <cell r="E39">
            <v>1.048</v>
          </cell>
          <cell r="F39" t="str">
            <v>1 1/8"</v>
          </cell>
          <cell r="G39" t="str">
            <v>1"</v>
          </cell>
          <cell r="J39">
            <v>0.23800000548362732</v>
          </cell>
          <cell r="K39">
            <v>0.76200002431869507</v>
          </cell>
          <cell r="L39">
            <v>0</v>
          </cell>
          <cell r="M39">
            <v>0</v>
          </cell>
        </row>
        <row r="40">
          <cell r="A40" t="str">
            <v>98-175</v>
          </cell>
          <cell r="B40">
            <v>1.75</v>
          </cell>
          <cell r="C40">
            <v>3.1030000000000002</v>
          </cell>
          <cell r="D40">
            <v>4.7E-7</v>
          </cell>
          <cell r="E40">
            <v>1.0509999999999999</v>
          </cell>
          <cell r="F40" t="str">
            <v>1 1/8"</v>
          </cell>
          <cell r="G40" t="str">
            <v>1"</v>
          </cell>
          <cell r="J40">
            <v>0.25699999928474426</v>
          </cell>
          <cell r="K40">
            <v>0.74299997091293335</v>
          </cell>
          <cell r="L40">
            <v>0</v>
          </cell>
          <cell r="M40">
            <v>0</v>
          </cell>
        </row>
        <row r="41">
          <cell r="A41" t="str">
            <v>98-200</v>
          </cell>
          <cell r="B41">
            <v>2</v>
          </cell>
          <cell r="C41">
            <v>3.1179999999999999</v>
          </cell>
          <cell r="D41">
            <v>4.6800000000000001E-7</v>
          </cell>
          <cell r="E41">
            <v>1.0549999999999999</v>
          </cell>
          <cell r="F41" t="str">
            <v>1 1/8"</v>
          </cell>
          <cell r="G41" t="str">
            <v>1"</v>
          </cell>
          <cell r="J41">
            <v>0.27700001001358032</v>
          </cell>
          <cell r="K41">
            <v>0.72299998998641968</v>
          </cell>
          <cell r="L41">
            <v>0</v>
          </cell>
          <cell r="M41">
            <v>0</v>
          </cell>
        </row>
        <row r="42">
          <cell r="A42" t="str">
            <v>98-225</v>
          </cell>
          <cell r="B42">
            <v>2.25</v>
          </cell>
          <cell r="C42">
            <v>3.137</v>
          </cell>
          <cell r="D42">
            <v>4.6499999999999999E-7</v>
          </cell>
          <cell r="E42">
            <v>1.0580000000000001</v>
          </cell>
          <cell r="F42" t="str">
            <v>1 1/8"</v>
          </cell>
          <cell r="G42" t="str">
            <v>1"</v>
          </cell>
          <cell r="J42">
            <v>0.30099999904632568</v>
          </cell>
          <cell r="K42">
            <v>0.69900000095367432</v>
          </cell>
          <cell r="L42">
            <v>0</v>
          </cell>
          <cell r="M42">
            <v>0</v>
          </cell>
        </row>
        <row r="43">
          <cell r="A43" t="str">
            <v>98-250</v>
          </cell>
          <cell r="B43">
            <v>2.5</v>
          </cell>
          <cell r="C43">
            <v>3.157</v>
          </cell>
          <cell r="D43">
            <v>4.63E-7</v>
          </cell>
          <cell r="E43">
            <v>1.0620000000000001</v>
          </cell>
          <cell r="F43" t="str">
            <v>1 1/8"</v>
          </cell>
          <cell r="G43" t="str">
            <v>1"</v>
          </cell>
          <cell r="J43">
            <v>0.32699999213218689</v>
          </cell>
          <cell r="K43">
            <v>0.67299997806549072</v>
          </cell>
          <cell r="L43">
            <v>0</v>
          </cell>
          <cell r="M43">
            <v>0</v>
          </cell>
        </row>
        <row r="44">
          <cell r="A44" t="str">
            <v>98-275</v>
          </cell>
          <cell r="B44">
            <v>2.75</v>
          </cell>
          <cell r="C44">
            <v>3.18</v>
          </cell>
          <cell r="D44">
            <v>4.5999999999999999E-7</v>
          </cell>
          <cell r="E44">
            <v>1.0660000000000001</v>
          </cell>
          <cell r="F44" t="str">
            <v>1 1/8"</v>
          </cell>
          <cell r="G44" t="str">
            <v>1"</v>
          </cell>
          <cell r="J44">
            <v>0.35600000619888306</v>
          </cell>
          <cell r="K44">
            <v>0.64399999380111694</v>
          </cell>
          <cell r="L44">
            <v>0</v>
          </cell>
          <cell r="M44">
            <v>0</v>
          </cell>
        </row>
        <row r="45">
          <cell r="A45" t="str">
            <v>98-325</v>
          </cell>
          <cell r="B45">
            <v>3.25</v>
          </cell>
          <cell r="C45">
            <v>3.2309999999999999</v>
          </cell>
          <cell r="D45">
            <v>4.5299999999999999E-7</v>
          </cell>
          <cell r="E45">
            <v>1.071</v>
          </cell>
          <cell r="F45" t="str">
            <v>1 1/8"</v>
          </cell>
          <cell r="G45" t="str">
            <v>1"</v>
          </cell>
          <cell r="J45">
            <v>0.42199999094009399</v>
          </cell>
          <cell r="K45">
            <v>0.57800000905990601</v>
          </cell>
          <cell r="L45">
            <v>0</v>
          </cell>
          <cell r="M45">
            <v>0</v>
          </cell>
        </row>
        <row r="46">
          <cell r="A46" t="str">
            <v>98-375</v>
          </cell>
          <cell r="B46">
            <v>3.75</v>
          </cell>
          <cell r="C46">
            <v>3.2890000000000001</v>
          </cell>
          <cell r="D46">
            <v>4.4499999999999997E-7</v>
          </cell>
          <cell r="E46">
            <v>1.0740000000000001</v>
          </cell>
          <cell r="F46" t="str">
            <v>1 1/8"</v>
          </cell>
          <cell r="G46" t="str">
            <v>1"</v>
          </cell>
          <cell r="J46">
            <v>0.49700000882148743</v>
          </cell>
          <cell r="K46">
            <v>0.50300002098083496</v>
          </cell>
          <cell r="L46">
            <v>0</v>
          </cell>
          <cell r="M46">
            <v>0</v>
          </cell>
        </row>
        <row r="47">
          <cell r="A47" t="str">
            <v>98-475</v>
          </cell>
          <cell r="B47">
            <v>4.75</v>
          </cell>
          <cell r="C47">
            <v>3.4119999999999999</v>
          </cell>
          <cell r="D47">
            <v>4.2800000000000002E-7</v>
          </cell>
          <cell r="E47">
            <v>1.0640000000000001</v>
          </cell>
          <cell r="F47" t="str">
            <v>1 1/8"</v>
          </cell>
          <cell r="G47" t="str">
            <v>1"</v>
          </cell>
          <cell r="J47">
            <v>0.65700000524520874</v>
          </cell>
          <cell r="K47">
            <v>0.34299999475479126</v>
          </cell>
          <cell r="L47">
            <v>0</v>
          </cell>
          <cell r="M47">
            <v>0</v>
          </cell>
        </row>
        <row r="48">
          <cell r="A48" t="str">
            <v>99-xxx</v>
          </cell>
          <cell r="C48">
            <v>3.6760000000000002</v>
          </cell>
          <cell r="D48">
            <v>3.9299999999999999E-7</v>
          </cell>
          <cell r="E48">
            <v>1</v>
          </cell>
          <cell r="F48" t="str">
            <v>1 1/8"</v>
          </cell>
          <cell r="J48">
            <v>1</v>
          </cell>
          <cell r="K48">
            <v>0</v>
          </cell>
          <cell r="L48">
            <v>0</v>
          </cell>
          <cell r="M48">
            <v>0</v>
          </cell>
        </row>
      </sheetData>
      <sheetData sheetId="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ltima Medicion"/>
      <sheetName val="Sda. F.W.( Pta. Nueva) "/>
      <sheetName val="Sda. API (Pta. Nueva)B.C. "/>
      <sheetName val="Eda API Planta Vieja  "/>
      <sheetName val="Sda API Planta Vieja"/>
      <sheetName val="Metas"/>
      <sheetName val="Pileta Revestida"/>
      <sheetName val="Entrada Tk Bafle"/>
      <sheetName val="Salida Tk Bafle"/>
      <sheetName val="Impulsion Bomba Inyectora"/>
      <sheetName val="Datos Graficos"/>
      <sheetName val="Plano"/>
      <sheetName val="Graficos Bba Inyeccion"/>
      <sheetName val="Historico"/>
      <sheetName val="Costos"/>
      <sheetName val="Sda. API (Pta. Nueva) "/>
      <sheetName val="Entrada API"/>
      <sheetName val="Salida API"/>
      <sheetName val="Planta de Inyeccion - Cerro Dra"/>
    </sheetNames>
    <sheetDataSet>
      <sheetData sheetId="0">
        <row r="2">
          <cell r="V2">
            <v>10</v>
          </cell>
          <cell r="W2">
            <v>1</v>
          </cell>
        </row>
        <row r="3">
          <cell r="V3">
            <v>100</v>
          </cell>
          <cell r="W3">
            <v>2</v>
          </cell>
        </row>
        <row r="4">
          <cell r="V4">
            <v>1000</v>
          </cell>
          <cell r="W4">
            <v>3</v>
          </cell>
        </row>
        <row r="5">
          <cell r="V5">
            <v>10000</v>
          </cell>
          <cell r="W5">
            <v>4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A7">
            <v>36854</v>
          </cell>
          <cell r="B7">
            <v>19</v>
          </cell>
          <cell r="C7">
            <v>0.9</v>
          </cell>
          <cell r="D7">
            <v>3</v>
          </cell>
          <cell r="E7">
            <v>13</v>
          </cell>
          <cell r="F7">
            <v>100</v>
          </cell>
          <cell r="G7">
            <v>2.2805017103762828</v>
          </cell>
          <cell r="H7">
            <v>7.58</v>
          </cell>
          <cell r="I7">
            <v>50</v>
          </cell>
          <cell r="J7">
            <v>1000</v>
          </cell>
          <cell r="O7">
            <v>30</v>
          </cell>
        </row>
        <row r="8">
          <cell r="A8">
            <v>36871</v>
          </cell>
          <cell r="B8">
            <v>21</v>
          </cell>
          <cell r="C8">
            <v>1.79</v>
          </cell>
          <cell r="D8">
            <v>4.9000000000000004</v>
          </cell>
          <cell r="E8">
            <v>11</v>
          </cell>
          <cell r="F8">
            <v>150</v>
          </cell>
          <cell r="G8">
            <v>2.2271714922048997</v>
          </cell>
          <cell r="H8">
            <v>7.66</v>
          </cell>
          <cell r="I8">
            <v>55</v>
          </cell>
          <cell r="J8">
            <v>1000</v>
          </cell>
          <cell r="O8">
            <v>40</v>
          </cell>
        </row>
        <row r="9">
          <cell r="A9">
            <v>36879</v>
          </cell>
          <cell r="B9">
            <v>16</v>
          </cell>
          <cell r="C9">
            <v>1.2</v>
          </cell>
          <cell r="D9">
            <v>3.6</v>
          </cell>
          <cell r="E9">
            <v>13</v>
          </cell>
          <cell r="F9">
            <v>150</v>
          </cell>
          <cell r="G9">
            <v>2.3142791020597082</v>
          </cell>
          <cell r="H9">
            <v>7.73</v>
          </cell>
          <cell r="I9">
            <v>54</v>
          </cell>
          <cell r="J9">
            <v>1000</v>
          </cell>
          <cell r="O9">
            <v>45</v>
          </cell>
        </row>
        <row r="10">
          <cell r="A10">
            <v>36887</v>
          </cell>
          <cell r="B10">
            <v>36</v>
          </cell>
          <cell r="C10">
            <v>0.57999999999999996</v>
          </cell>
          <cell r="D10">
            <v>5.2</v>
          </cell>
          <cell r="E10">
            <v>10</v>
          </cell>
          <cell r="F10">
            <v>100</v>
          </cell>
          <cell r="G10">
            <v>2.2522522522522523</v>
          </cell>
          <cell r="H10">
            <v>7.71</v>
          </cell>
          <cell r="I10">
            <v>55</v>
          </cell>
          <cell r="J10">
            <v>1000</v>
          </cell>
          <cell r="O10">
            <v>54</v>
          </cell>
        </row>
        <row r="11">
          <cell r="A11">
            <v>36907</v>
          </cell>
          <cell r="B11">
            <v>24</v>
          </cell>
          <cell r="C11">
            <v>0.25</v>
          </cell>
          <cell r="D11">
            <v>5</v>
          </cell>
          <cell r="E11">
            <v>12</v>
          </cell>
          <cell r="F11">
            <v>100</v>
          </cell>
          <cell r="G11">
            <v>2.197802197802198</v>
          </cell>
          <cell r="H11">
            <v>7.79</v>
          </cell>
          <cell r="I11">
            <v>58</v>
          </cell>
          <cell r="J11">
            <v>100</v>
          </cell>
          <cell r="O11">
            <v>2430</v>
          </cell>
        </row>
        <row r="12">
          <cell r="A12">
            <v>36958</v>
          </cell>
          <cell r="C12">
            <v>0.63</v>
          </cell>
          <cell r="D12">
            <v>5.3</v>
          </cell>
          <cell r="E12">
            <v>12</v>
          </cell>
          <cell r="F12">
            <v>200</v>
          </cell>
          <cell r="I12">
            <v>58</v>
          </cell>
          <cell r="J12">
            <v>100</v>
          </cell>
          <cell r="O12">
            <v>75</v>
          </cell>
        </row>
        <row r="13">
          <cell r="A13">
            <v>36984</v>
          </cell>
          <cell r="C13">
            <v>0.65</v>
          </cell>
          <cell r="D13">
            <v>2.5</v>
          </cell>
          <cell r="E13">
            <v>14</v>
          </cell>
          <cell r="F13">
            <v>150</v>
          </cell>
          <cell r="G13">
            <v>2.2271714922048997</v>
          </cell>
          <cell r="H13">
            <v>7.53</v>
          </cell>
          <cell r="I13">
            <v>58</v>
          </cell>
          <cell r="J13">
            <v>100</v>
          </cell>
          <cell r="O13">
            <v>13834</v>
          </cell>
          <cell r="P13" t="str">
            <v xml:space="preserve">se tiró oil a pileta de tierra, </v>
          </cell>
        </row>
        <row r="14">
          <cell r="A14">
            <v>37006</v>
          </cell>
          <cell r="B14">
            <v>30</v>
          </cell>
          <cell r="C14">
            <v>0.22</v>
          </cell>
          <cell r="D14">
            <v>0.6</v>
          </cell>
          <cell r="E14">
            <v>22</v>
          </cell>
          <cell r="F14">
            <v>80</v>
          </cell>
          <cell r="H14">
            <v>7.26</v>
          </cell>
          <cell r="I14">
            <v>50</v>
          </cell>
          <cell r="J14">
            <v>10</v>
          </cell>
          <cell r="O14">
            <v>86</v>
          </cell>
        </row>
        <row r="15">
          <cell r="A15">
            <v>37033</v>
          </cell>
          <cell r="B15">
            <v>22</v>
          </cell>
          <cell r="C15">
            <v>0.15</v>
          </cell>
          <cell r="D15">
            <v>2</v>
          </cell>
          <cell r="E15">
            <v>6</v>
          </cell>
          <cell r="F15">
            <v>25</v>
          </cell>
          <cell r="G15">
            <v>2.3310023310023311</v>
          </cell>
          <cell r="H15">
            <v>7.86</v>
          </cell>
          <cell r="I15">
            <v>55</v>
          </cell>
          <cell r="J15">
            <v>100</v>
          </cell>
          <cell r="O15">
            <v>74</v>
          </cell>
          <cell r="P15" t="str">
            <v xml:space="preserve">pileta con Petroleo </v>
          </cell>
        </row>
        <row r="16">
          <cell r="A16">
            <v>37062</v>
          </cell>
          <cell r="B16">
            <v>28</v>
          </cell>
          <cell r="C16">
            <v>0.15</v>
          </cell>
          <cell r="D16">
            <v>2</v>
          </cell>
          <cell r="E16">
            <v>16</v>
          </cell>
          <cell r="F16">
            <v>10</v>
          </cell>
          <cell r="G16">
            <v>2.169</v>
          </cell>
          <cell r="H16">
            <v>7.55</v>
          </cell>
          <cell r="I16">
            <v>53</v>
          </cell>
          <cell r="J16">
            <v>100</v>
          </cell>
          <cell r="O16">
            <v>179</v>
          </cell>
          <cell r="P16" t="str">
            <v xml:space="preserve">pileta con Petroleo </v>
          </cell>
        </row>
        <row r="17">
          <cell r="A17">
            <v>37089</v>
          </cell>
          <cell r="B17">
            <v>5</v>
          </cell>
          <cell r="C17">
            <v>0.1</v>
          </cell>
          <cell r="D17">
            <v>4</v>
          </cell>
          <cell r="E17">
            <v>26</v>
          </cell>
          <cell r="F17">
            <v>20</v>
          </cell>
          <cell r="G17">
            <v>2.2669999999999999</v>
          </cell>
          <cell r="H17">
            <v>7.63</v>
          </cell>
          <cell r="I17">
            <v>48</v>
          </cell>
          <cell r="J17">
            <v>100</v>
          </cell>
          <cell r="O17">
            <v>360</v>
          </cell>
          <cell r="P17" t="str">
            <v xml:space="preserve">pileta con Petroleo </v>
          </cell>
        </row>
        <row r="18">
          <cell r="A18">
            <v>37144</v>
          </cell>
          <cell r="B18">
            <v>17</v>
          </cell>
          <cell r="C18">
            <v>0.2</v>
          </cell>
          <cell r="D18">
            <v>2</v>
          </cell>
          <cell r="E18">
            <v>11</v>
          </cell>
          <cell r="F18">
            <v>10</v>
          </cell>
          <cell r="G18">
            <v>2.2719999999999998</v>
          </cell>
          <cell r="H18">
            <v>7.82</v>
          </cell>
          <cell r="I18">
            <v>51</v>
          </cell>
          <cell r="J18">
            <v>100</v>
          </cell>
          <cell r="O18">
            <v>126</v>
          </cell>
          <cell r="P18" t="str">
            <v>Fecha de lect.Bact. 27/08/2001</v>
          </cell>
        </row>
        <row r="19">
          <cell r="A19">
            <v>37173</v>
          </cell>
          <cell r="B19">
            <v>22</v>
          </cell>
          <cell r="C19">
            <v>0.3</v>
          </cell>
          <cell r="D19">
            <v>3.5</v>
          </cell>
          <cell r="E19">
            <v>11</v>
          </cell>
          <cell r="F19">
            <v>8</v>
          </cell>
          <cell r="G19">
            <v>2.347</v>
          </cell>
          <cell r="H19">
            <v>8.3699999999999992</v>
          </cell>
          <cell r="I19">
            <v>53</v>
          </cell>
          <cell r="J19">
            <v>100</v>
          </cell>
          <cell r="O19">
            <v>83</v>
          </cell>
        </row>
        <row r="20">
          <cell r="A20">
            <v>37203</v>
          </cell>
          <cell r="B20">
            <v>27</v>
          </cell>
          <cell r="C20">
            <v>0.3</v>
          </cell>
          <cell r="D20">
            <v>2.5</v>
          </cell>
          <cell r="E20">
            <v>13</v>
          </cell>
          <cell r="F20">
            <v>150</v>
          </cell>
          <cell r="G20">
            <v>2.2883</v>
          </cell>
          <cell r="H20">
            <v>7.7</v>
          </cell>
          <cell r="I20">
            <v>58</v>
          </cell>
          <cell r="J20">
            <v>100</v>
          </cell>
          <cell r="O20">
            <v>99</v>
          </cell>
          <cell r="P20" t="str">
            <v xml:space="preserve">se tiró oil a pileta de tierra, </v>
          </cell>
        </row>
        <row r="21">
          <cell r="A21">
            <v>37229</v>
          </cell>
          <cell r="B21">
            <v>21</v>
          </cell>
          <cell r="C21">
            <v>0.1</v>
          </cell>
          <cell r="D21">
            <v>3</v>
          </cell>
          <cell r="E21">
            <v>12</v>
          </cell>
          <cell r="F21">
            <v>800</v>
          </cell>
          <cell r="G21">
            <v>2.415</v>
          </cell>
          <cell r="H21">
            <v>6.5</v>
          </cell>
          <cell r="I21">
            <v>56</v>
          </cell>
          <cell r="J21">
            <v>100</v>
          </cell>
          <cell r="O21">
            <v>73</v>
          </cell>
          <cell r="P21" t="str">
            <v>Lect.Bact.8/11/01</v>
          </cell>
        </row>
        <row r="22">
          <cell r="A22">
            <v>37265</v>
          </cell>
          <cell r="B22">
            <v>27</v>
          </cell>
          <cell r="C22">
            <v>0.35</v>
          </cell>
          <cell r="D22">
            <v>1.5</v>
          </cell>
          <cell r="E22">
            <v>5</v>
          </cell>
          <cell r="F22">
            <v>400</v>
          </cell>
          <cell r="G22">
            <v>2.3363999999999998</v>
          </cell>
          <cell r="H22">
            <v>7.1</v>
          </cell>
          <cell r="I22">
            <v>43</v>
          </cell>
          <cell r="J22">
            <v>100</v>
          </cell>
          <cell r="O22">
            <v>44</v>
          </cell>
          <cell r="P22" t="str">
            <v>Lect.Bact.8/11/01</v>
          </cell>
        </row>
        <row r="23">
          <cell r="A23">
            <v>37288</v>
          </cell>
          <cell r="B23">
            <v>13</v>
          </cell>
          <cell r="C23">
            <v>0.15</v>
          </cell>
          <cell r="D23">
            <v>0.1</v>
          </cell>
          <cell r="E23">
            <v>10</v>
          </cell>
          <cell r="F23">
            <v>100</v>
          </cell>
          <cell r="G23">
            <v>2.4049999999999998</v>
          </cell>
          <cell r="H23">
            <v>7.2</v>
          </cell>
          <cell r="I23">
            <v>74</v>
          </cell>
          <cell r="J23">
            <v>100</v>
          </cell>
          <cell r="O23">
            <v>94</v>
          </cell>
        </row>
        <row r="24">
          <cell r="A24">
            <v>37328</v>
          </cell>
          <cell r="B24">
            <v>9</v>
          </cell>
          <cell r="C24">
            <v>0.1</v>
          </cell>
          <cell r="D24">
            <v>3</v>
          </cell>
          <cell r="E24">
            <v>10</v>
          </cell>
          <cell r="F24">
            <v>10</v>
          </cell>
          <cell r="G24">
            <v>2.3363999999999998</v>
          </cell>
          <cell r="H24">
            <v>7.3</v>
          </cell>
          <cell r="I24">
            <v>54</v>
          </cell>
          <cell r="J24">
            <v>100</v>
          </cell>
          <cell r="O24">
            <v>51</v>
          </cell>
        </row>
        <row r="25">
          <cell r="A25">
            <v>37361</v>
          </cell>
          <cell r="B25">
            <v>12</v>
          </cell>
          <cell r="C25">
            <v>0.1</v>
          </cell>
          <cell r="D25">
            <v>3.5</v>
          </cell>
          <cell r="E25">
            <v>10</v>
          </cell>
          <cell r="F25">
            <v>8</v>
          </cell>
          <cell r="G25">
            <v>2.4508999999999999</v>
          </cell>
          <cell r="H25">
            <v>7.4</v>
          </cell>
          <cell r="I25">
            <v>53</v>
          </cell>
          <cell r="J25">
            <v>1000</v>
          </cell>
          <cell r="O25">
            <v>158</v>
          </cell>
        </row>
        <row r="26">
          <cell r="A26">
            <v>37410</v>
          </cell>
          <cell r="B26">
            <v>13</v>
          </cell>
          <cell r="C26">
            <v>0.15</v>
          </cell>
          <cell r="D26">
            <v>3.5</v>
          </cell>
          <cell r="E26">
            <v>10</v>
          </cell>
          <cell r="F26">
            <v>80</v>
          </cell>
          <cell r="G26">
            <v>2.4937</v>
          </cell>
          <cell r="H26">
            <v>7.1</v>
          </cell>
          <cell r="I26">
            <v>41</v>
          </cell>
          <cell r="J26">
            <v>1000</v>
          </cell>
          <cell r="O26">
            <v>272</v>
          </cell>
        </row>
        <row r="27">
          <cell r="A27">
            <v>37440</v>
          </cell>
          <cell r="B27">
            <v>18</v>
          </cell>
          <cell r="C27">
            <v>0.6</v>
          </cell>
          <cell r="D27">
            <v>1</v>
          </cell>
          <cell r="E27">
            <v>11</v>
          </cell>
          <cell r="F27">
            <v>8</v>
          </cell>
          <cell r="G27">
            <v>2.6315</v>
          </cell>
          <cell r="H27">
            <v>7.1</v>
          </cell>
          <cell r="I27">
            <v>52</v>
          </cell>
          <cell r="J27">
            <v>100</v>
          </cell>
          <cell r="O27">
            <v>106</v>
          </cell>
        </row>
        <row r="28">
          <cell r="A28">
            <v>37470</v>
          </cell>
          <cell r="B28">
            <v>16</v>
          </cell>
          <cell r="C28">
            <v>0.4</v>
          </cell>
          <cell r="D28">
            <v>1</v>
          </cell>
          <cell r="E28">
            <v>14</v>
          </cell>
          <cell r="F28">
            <v>100</v>
          </cell>
          <cell r="G28">
            <v>2.5906699999999998</v>
          </cell>
          <cell r="H28">
            <v>7.3</v>
          </cell>
          <cell r="I28">
            <v>54</v>
          </cell>
          <cell r="J28">
            <v>10000</v>
          </cell>
          <cell r="O28">
            <v>214</v>
          </cell>
        </row>
        <row r="29">
          <cell r="A29">
            <v>37505</v>
          </cell>
          <cell r="B29">
            <v>9</v>
          </cell>
          <cell r="C29">
            <v>0.4</v>
          </cell>
          <cell r="D29">
            <v>2</v>
          </cell>
          <cell r="E29">
            <v>12</v>
          </cell>
          <cell r="F29">
            <v>40</v>
          </cell>
          <cell r="G29">
            <v>2.6595569999999999</v>
          </cell>
          <cell r="H29">
            <v>7</v>
          </cell>
          <cell r="I29">
            <v>50</v>
          </cell>
          <cell r="J29">
            <v>100</v>
          </cell>
          <cell r="O29">
            <v>128</v>
          </cell>
        </row>
        <row r="30">
          <cell r="A30">
            <v>37538</v>
          </cell>
          <cell r="B30">
            <v>7</v>
          </cell>
          <cell r="C30">
            <v>0.4</v>
          </cell>
          <cell r="D30">
            <v>3</v>
          </cell>
          <cell r="E30">
            <v>13</v>
          </cell>
          <cell r="F30">
            <v>150</v>
          </cell>
          <cell r="G30">
            <v>2.7776999999999998</v>
          </cell>
          <cell r="H30">
            <v>7</v>
          </cell>
          <cell r="I30">
            <v>54</v>
          </cell>
          <cell r="J30">
            <v>1000</v>
          </cell>
          <cell r="O30">
            <v>80</v>
          </cell>
        </row>
        <row r="31">
          <cell r="A31">
            <v>37572</v>
          </cell>
          <cell r="B31">
            <v>5</v>
          </cell>
          <cell r="C31">
            <v>0.12</v>
          </cell>
          <cell r="D31">
            <v>1</v>
          </cell>
          <cell r="E31">
            <v>10</v>
          </cell>
          <cell r="F31">
            <v>30</v>
          </cell>
          <cell r="G31">
            <v>2.7855099999999999</v>
          </cell>
          <cell r="H31">
            <v>6.7</v>
          </cell>
          <cell r="I31">
            <v>56</v>
          </cell>
          <cell r="J31">
            <v>100</v>
          </cell>
          <cell r="O31">
            <v>74</v>
          </cell>
        </row>
        <row r="32">
          <cell r="A32">
            <v>37595</v>
          </cell>
          <cell r="B32">
            <v>19</v>
          </cell>
          <cell r="C32">
            <v>1.6</v>
          </cell>
          <cell r="D32">
            <v>1</v>
          </cell>
          <cell r="E32">
            <v>10</v>
          </cell>
          <cell r="F32">
            <v>60</v>
          </cell>
          <cell r="G32">
            <v>2.8248500000000001</v>
          </cell>
          <cell r="H32">
            <v>7</v>
          </cell>
          <cell r="I32">
            <v>57</v>
          </cell>
          <cell r="J32">
            <v>1000</v>
          </cell>
        </row>
        <row r="33">
          <cell r="A33">
            <v>37635</v>
          </cell>
          <cell r="B33">
            <v>14</v>
          </cell>
          <cell r="C33">
            <v>0.19</v>
          </cell>
          <cell r="D33">
            <v>4</v>
          </cell>
          <cell r="E33">
            <v>9</v>
          </cell>
          <cell r="F33">
            <v>80</v>
          </cell>
          <cell r="G33">
            <v>2.5640999999999998</v>
          </cell>
          <cell r="H33">
            <v>7.81</v>
          </cell>
          <cell r="I33">
            <v>57</v>
          </cell>
          <cell r="J33">
            <v>1000</v>
          </cell>
          <cell r="O33">
            <v>208</v>
          </cell>
        </row>
        <row r="34">
          <cell r="A34">
            <v>37658</v>
          </cell>
          <cell r="B34">
            <v>10</v>
          </cell>
          <cell r="C34">
            <v>0.24</v>
          </cell>
          <cell r="D34">
            <v>3</v>
          </cell>
          <cell r="E34">
            <v>10</v>
          </cell>
          <cell r="F34">
            <v>4</v>
          </cell>
          <cell r="G34">
            <v>2.5838999999999999</v>
          </cell>
          <cell r="H34">
            <v>7.6</v>
          </cell>
          <cell r="I34">
            <v>52</v>
          </cell>
          <cell r="J34">
            <v>100</v>
          </cell>
          <cell r="O34">
            <v>60</v>
          </cell>
        </row>
        <row r="35">
          <cell r="A35">
            <v>37705</v>
          </cell>
          <cell r="B35">
            <v>10</v>
          </cell>
          <cell r="C35">
            <v>0.2</v>
          </cell>
          <cell r="D35">
            <v>3</v>
          </cell>
          <cell r="E35">
            <v>9</v>
          </cell>
          <cell r="F35">
            <v>4</v>
          </cell>
          <cell r="G35">
            <v>2.7100200000000001</v>
          </cell>
          <cell r="H35">
            <v>7.4</v>
          </cell>
          <cell r="I35">
            <v>57</v>
          </cell>
          <cell r="J35">
            <v>1000</v>
          </cell>
          <cell r="O35">
            <v>34</v>
          </cell>
        </row>
        <row r="36">
          <cell r="A36">
            <v>37763</v>
          </cell>
          <cell r="B36">
            <v>10</v>
          </cell>
          <cell r="C36">
            <v>0.79</v>
          </cell>
          <cell r="D36">
            <v>3</v>
          </cell>
          <cell r="E36">
            <v>8</v>
          </cell>
          <cell r="F36">
            <v>60</v>
          </cell>
          <cell r="G36">
            <v>3.2258</v>
          </cell>
          <cell r="H36">
            <v>7.79</v>
          </cell>
          <cell r="I36">
            <v>54</v>
          </cell>
          <cell r="J36">
            <v>100</v>
          </cell>
          <cell r="O36">
            <v>407</v>
          </cell>
        </row>
        <row r="37">
          <cell r="A37">
            <v>37805</v>
          </cell>
          <cell r="B37">
            <v>23</v>
          </cell>
          <cell r="C37">
            <v>0.32</v>
          </cell>
          <cell r="D37">
            <v>1.5</v>
          </cell>
          <cell r="E37">
            <v>11</v>
          </cell>
          <cell r="F37">
            <v>6</v>
          </cell>
          <cell r="G37">
            <v>3.3333333333333335</v>
          </cell>
          <cell r="H37">
            <v>7.42</v>
          </cell>
          <cell r="I37">
            <v>52</v>
          </cell>
          <cell r="J37">
            <v>100</v>
          </cell>
          <cell r="O37">
            <v>176</v>
          </cell>
        </row>
        <row r="38">
          <cell r="A38">
            <v>37845</v>
          </cell>
          <cell r="B38">
            <v>17</v>
          </cell>
          <cell r="C38">
            <v>0.16</v>
          </cell>
          <cell r="D38">
            <v>3</v>
          </cell>
          <cell r="E38">
            <v>25</v>
          </cell>
          <cell r="F38">
            <v>2</v>
          </cell>
          <cell r="G38">
            <v>3.1539999999999999</v>
          </cell>
          <cell r="H38">
            <v>7.26</v>
          </cell>
          <cell r="I38">
            <v>67</v>
          </cell>
          <cell r="J38">
            <v>10</v>
          </cell>
          <cell r="O38">
            <v>14</v>
          </cell>
        </row>
        <row r="39">
          <cell r="A39">
            <v>37917</v>
          </cell>
          <cell r="B39">
            <v>14</v>
          </cell>
          <cell r="C39">
            <v>0.1</v>
          </cell>
          <cell r="D39">
            <v>3</v>
          </cell>
          <cell r="E39">
            <v>6</v>
          </cell>
          <cell r="F39">
            <v>8</v>
          </cell>
          <cell r="G39">
            <v>2.4649999999999999</v>
          </cell>
          <cell r="H39">
            <v>7.4</v>
          </cell>
          <cell r="I39">
            <v>55</v>
          </cell>
          <cell r="J39">
            <v>100</v>
          </cell>
          <cell r="O39">
            <v>172</v>
          </cell>
        </row>
        <row r="40">
          <cell r="A40">
            <v>38044</v>
          </cell>
          <cell r="J40">
            <v>100</v>
          </cell>
        </row>
        <row r="41">
          <cell r="A41">
            <v>38083</v>
          </cell>
          <cell r="J41">
            <v>100</v>
          </cell>
        </row>
        <row r="42">
          <cell r="A42">
            <v>38089</v>
          </cell>
          <cell r="J42">
            <v>100</v>
          </cell>
        </row>
        <row r="43">
          <cell r="A43">
            <v>38094</v>
          </cell>
          <cell r="B43">
            <v>15</v>
          </cell>
          <cell r="C43">
            <v>0.41</v>
          </cell>
          <cell r="D43">
            <v>8.4</v>
          </cell>
          <cell r="E43">
            <v>6</v>
          </cell>
          <cell r="F43">
            <v>200</v>
          </cell>
          <cell r="G43">
            <v>2.0750000000000002</v>
          </cell>
          <cell r="H43">
            <v>7.6</v>
          </cell>
          <cell r="I43">
            <v>54</v>
          </cell>
          <cell r="J43">
            <v>10</v>
          </cell>
          <cell r="O43">
            <v>30</v>
          </cell>
        </row>
        <row r="44">
          <cell r="A44">
            <v>38111</v>
          </cell>
          <cell r="J44">
            <v>100</v>
          </cell>
        </row>
        <row r="45">
          <cell r="A45">
            <v>38127</v>
          </cell>
          <cell r="B45">
            <v>12</v>
          </cell>
          <cell r="C45">
            <v>0.57999999999999996</v>
          </cell>
          <cell r="D45">
            <v>5</v>
          </cell>
          <cell r="E45">
            <v>8</v>
          </cell>
          <cell r="F45">
            <v>100</v>
          </cell>
          <cell r="G45">
            <v>2.0569999999999999</v>
          </cell>
          <cell r="H45">
            <v>7.7</v>
          </cell>
          <cell r="I45">
            <v>58</v>
          </cell>
          <cell r="J45">
            <v>100</v>
          </cell>
          <cell r="O45">
            <v>304</v>
          </cell>
        </row>
        <row r="46">
          <cell r="A46">
            <v>38218</v>
          </cell>
          <cell r="B46">
            <v>13</v>
          </cell>
          <cell r="C46">
            <v>0.7</v>
          </cell>
          <cell r="D46">
            <v>3</v>
          </cell>
          <cell r="E46">
            <v>11</v>
          </cell>
          <cell r="F46">
            <v>50</v>
          </cell>
          <cell r="G46">
            <v>2.1644999999999999</v>
          </cell>
          <cell r="H46">
            <v>7.2</v>
          </cell>
          <cell r="I46">
            <v>58</v>
          </cell>
          <cell r="J46">
            <v>10000</v>
          </cell>
          <cell r="O46">
            <v>51</v>
          </cell>
        </row>
        <row r="47">
          <cell r="A47">
            <v>38267</v>
          </cell>
          <cell r="D47">
            <v>4</v>
          </cell>
          <cell r="E47">
            <v>11</v>
          </cell>
          <cell r="F47">
            <v>10</v>
          </cell>
          <cell r="H47">
            <v>7.3</v>
          </cell>
          <cell r="I47">
            <v>52</v>
          </cell>
          <cell r="J47">
            <v>100</v>
          </cell>
          <cell r="O47">
            <v>36</v>
          </cell>
        </row>
        <row r="48">
          <cell r="A48">
            <v>38280</v>
          </cell>
          <cell r="J48">
            <v>1000</v>
          </cell>
        </row>
        <row r="49">
          <cell r="A49">
            <v>38301</v>
          </cell>
          <cell r="D49">
            <v>3</v>
          </cell>
          <cell r="E49">
            <v>8</v>
          </cell>
          <cell r="F49">
            <v>40</v>
          </cell>
          <cell r="H49">
            <v>7.74</v>
          </cell>
          <cell r="I49">
            <v>58</v>
          </cell>
          <cell r="J49">
            <v>100</v>
          </cell>
          <cell r="O49">
            <v>50</v>
          </cell>
        </row>
        <row r="50">
          <cell r="A50">
            <v>38331</v>
          </cell>
          <cell r="D50">
            <v>4</v>
          </cell>
          <cell r="E50">
            <v>5</v>
          </cell>
          <cell r="F50">
            <v>10</v>
          </cell>
          <cell r="H50">
            <v>7.56</v>
          </cell>
          <cell r="I50">
            <v>59</v>
          </cell>
          <cell r="J50">
            <v>10</v>
          </cell>
          <cell r="O50">
            <v>126</v>
          </cell>
        </row>
        <row r="51">
          <cell r="A51">
            <v>38376</v>
          </cell>
          <cell r="B51">
            <v>19</v>
          </cell>
          <cell r="C51">
            <v>0.35</v>
          </cell>
          <cell r="D51">
            <v>4</v>
          </cell>
          <cell r="E51">
            <v>8</v>
          </cell>
          <cell r="F51">
            <v>60</v>
          </cell>
          <cell r="G51">
            <v>2.6522999999999999</v>
          </cell>
          <cell r="H51">
            <v>7.85</v>
          </cell>
          <cell r="I51">
            <v>59</v>
          </cell>
          <cell r="J51">
            <v>100</v>
          </cell>
          <cell r="O51">
            <v>406</v>
          </cell>
        </row>
        <row r="52">
          <cell r="A52">
            <v>38401</v>
          </cell>
          <cell r="B52">
            <v>6</v>
          </cell>
          <cell r="C52">
            <v>0.16</v>
          </cell>
          <cell r="D52">
            <v>4</v>
          </cell>
          <cell r="E52">
            <v>8</v>
          </cell>
          <cell r="F52">
            <v>30</v>
          </cell>
          <cell r="G52">
            <v>2.8010999999999999</v>
          </cell>
          <cell r="H52">
            <v>7.84</v>
          </cell>
          <cell r="I52">
            <v>61</v>
          </cell>
          <cell r="J52">
            <v>100</v>
          </cell>
          <cell r="O52">
            <v>101</v>
          </cell>
        </row>
        <row r="53">
          <cell r="A53">
            <v>38414</v>
          </cell>
          <cell r="B53">
            <v>15</v>
          </cell>
          <cell r="C53">
            <v>0.05</v>
          </cell>
          <cell r="D53">
            <v>3</v>
          </cell>
          <cell r="E53">
            <v>7</v>
          </cell>
          <cell r="F53">
            <v>40</v>
          </cell>
          <cell r="G53">
            <v>2.7172999999999998</v>
          </cell>
          <cell r="H53">
            <v>7.64</v>
          </cell>
          <cell r="I53">
            <v>62</v>
          </cell>
          <cell r="J53">
            <v>10</v>
          </cell>
          <cell r="O53">
            <v>288</v>
          </cell>
        </row>
        <row r="54">
          <cell r="A54">
            <v>38456</v>
          </cell>
          <cell r="D54">
            <v>5</v>
          </cell>
          <cell r="E54">
            <v>9</v>
          </cell>
          <cell r="F54">
            <v>20</v>
          </cell>
          <cell r="H54">
            <v>7.78</v>
          </cell>
          <cell r="I54">
            <v>53</v>
          </cell>
          <cell r="J54">
            <v>1000</v>
          </cell>
          <cell r="O54">
            <v>17</v>
          </cell>
        </row>
      </sheetData>
      <sheetData sheetId="7">
        <row r="7">
          <cell r="A7">
            <v>36854</v>
          </cell>
          <cell r="B7">
            <v>22</v>
          </cell>
          <cell r="C7">
            <v>0.32</v>
          </cell>
          <cell r="D7">
            <v>2.8</v>
          </cell>
          <cell r="E7">
            <v>12</v>
          </cell>
          <cell r="F7">
            <v>0</v>
          </cell>
          <cell r="G7">
            <v>2.1891418563922942</v>
          </cell>
          <cell r="H7">
            <v>7.64</v>
          </cell>
          <cell r="I7">
            <v>56</v>
          </cell>
          <cell r="J7">
            <v>1000</v>
          </cell>
          <cell r="O7">
            <v>44</v>
          </cell>
        </row>
        <row r="8">
          <cell r="A8">
            <v>36871</v>
          </cell>
          <cell r="B8">
            <v>23</v>
          </cell>
          <cell r="C8">
            <v>0.49</v>
          </cell>
          <cell r="D8">
            <v>3.2</v>
          </cell>
          <cell r="E8">
            <v>13</v>
          </cell>
          <cell r="F8">
            <v>0.05</v>
          </cell>
          <cell r="G8">
            <v>2.2123893805309733</v>
          </cell>
          <cell r="H8">
            <v>7.71</v>
          </cell>
          <cell r="I8">
            <v>56</v>
          </cell>
          <cell r="J8">
            <v>1000</v>
          </cell>
          <cell r="O8">
            <v>48</v>
          </cell>
        </row>
        <row r="9">
          <cell r="A9">
            <v>36879</v>
          </cell>
          <cell r="B9">
            <v>20</v>
          </cell>
          <cell r="C9">
            <v>0.26</v>
          </cell>
          <cell r="D9">
            <v>3.15</v>
          </cell>
          <cell r="E9">
            <v>12</v>
          </cell>
          <cell r="F9">
            <v>0</v>
          </cell>
          <cell r="G9">
            <v>2.2381378692927485</v>
          </cell>
          <cell r="H9">
            <v>7.72</v>
          </cell>
          <cell r="I9">
            <v>55</v>
          </cell>
          <cell r="J9">
            <v>1000</v>
          </cell>
          <cell r="O9">
            <v>160</v>
          </cell>
        </row>
        <row r="10">
          <cell r="A10">
            <v>36887</v>
          </cell>
          <cell r="B10">
            <v>36</v>
          </cell>
          <cell r="C10">
            <v>0.28999999999999998</v>
          </cell>
          <cell r="D10">
            <v>4.08</v>
          </cell>
          <cell r="E10">
            <v>10</v>
          </cell>
          <cell r="F10">
            <v>5.0000000000000001E-3</v>
          </cell>
          <cell r="G10">
            <v>2.192982456140351</v>
          </cell>
          <cell r="H10">
            <v>7.72</v>
          </cell>
          <cell r="I10">
            <v>53</v>
          </cell>
          <cell r="J10">
            <v>1000</v>
          </cell>
          <cell r="O10">
            <v>48</v>
          </cell>
        </row>
        <row r="11">
          <cell r="A11">
            <v>36907</v>
          </cell>
          <cell r="B11">
            <v>22</v>
          </cell>
          <cell r="C11">
            <v>0.23</v>
          </cell>
          <cell r="D11">
            <v>5</v>
          </cell>
          <cell r="E11">
            <v>8</v>
          </cell>
          <cell r="F11">
            <v>0.05</v>
          </cell>
          <cell r="G11">
            <v>2.1881838074398248</v>
          </cell>
          <cell r="H11">
            <v>7.8</v>
          </cell>
          <cell r="I11">
            <v>56</v>
          </cell>
          <cell r="J11">
            <v>100</v>
          </cell>
          <cell r="O11">
            <v>2580</v>
          </cell>
        </row>
        <row r="12">
          <cell r="A12">
            <v>36958</v>
          </cell>
          <cell r="C12">
            <v>0.5</v>
          </cell>
          <cell r="D12">
            <v>2.9</v>
          </cell>
          <cell r="E12">
            <v>10</v>
          </cell>
          <cell r="F12">
            <v>250</v>
          </cell>
          <cell r="I12">
            <v>53</v>
          </cell>
          <cell r="J12">
            <v>100</v>
          </cell>
          <cell r="O12">
            <v>74</v>
          </cell>
        </row>
        <row r="13">
          <cell r="A13">
            <v>36964</v>
          </cell>
          <cell r="O13">
            <v>141</v>
          </cell>
        </row>
        <row r="14">
          <cell r="A14">
            <v>36969</v>
          </cell>
          <cell r="O14">
            <v>69</v>
          </cell>
        </row>
        <row r="15">
          <cell r="A15">
            <v>36976</v>
          </cell>
          <cell r="O15">
            <v>212</v>
          </cell>
        </row>
        <row r="16">
          <cell r="A16">
            <v>36984</v>
          </cell>
          <cell r="C16">
            <v>0.65</v>
          </cell>
          <cell r="D16">
            <v>2</v>
          </cell>
          <cell r="E16">
            <v>12</v>
          </cell>
          <cell r="F16">
            <v>150</v>
          </cell>
          <cell r="G16">
            <v>2.1881838074398248</v>
          </cell>
          <cell r="H16">
            <v>7.56</v>
          </cell>
          <cell r="I16">
            <v>57</v>
          </cell>
          <cell r="J16">
            <v>100</v>
          </cell>
          <cell r="O16">
            <v>12030</v>
          </cell>
          <cell r="P16" t="str">
            <v>se tiró y recup. Oil de pileta</v>
          </cell>
        </row>
        <row r="17">
          <cell r="A17">
            <v>37006</v>
          </cell>
          <cell r="B17">
            <v>24</v>
          </cell>
          <cell r="C17">
            <v>0.32</v>
          </cell>
          <cell r="D17">
            <v>2.5</v>
          </cell>
          <cell r="E17">
            <v>26</v>
          </cell>
          <cell r="F17">
            <v>40</v>
          </cell>
          <cell r="H17">
            <v>7.57</v>
          </cell>
          <cell r="I17">
            <v>50</v>
          </cell>
          <cell r="J17">
            <v>100</v>
          </cell>
          <cell r="O17">
            <v>1639</v>
          </cell>
        </row>
        <row r="18">
          <cell r="A18">
            <v>37033</v>
          </cell>
          <cell r="B18">
            <v>16</v>
          </cell>
          <cell r="C18">
            <v>0.1</v>
          </cell>
          <cell r="D18">
            <v>4</v>
          </cell>
          <cell r="E18">
            <v>4</v>
          </cell>
          <cell r="F18">
            <v>500</v>
          </cell>
          <cell r="G18">
            <v>2.3310023310023311</v>
          </cell>
          <cell r="H18">
            <v>7.08</v>
          </cell>
          <cell r="I18">
            <v>54</v>
          </cell>
          <cell r="J18">
            <v>100</v>
          </cell>
          <cell r="O18">
            <v>63</v>
          </cell>
          <cell r="P18" t="str">
            <v xml:space="preserve">pileta con Petroleo </v>
          </cell>
        </row>
        <row r="19">
          <cell r="A19">
            <v>37062</v>
          </cell>
          <cell r="B19">
            <v>22</v>
          </cell>
          <cell r="C19">
            <v>0.2</v>
          </cell>
          <cell r="D19">
            <v>2.5</v>
          </cell>
          <cell r="E19">
            <v>14</v>
          </cell>
          <cell r="F19">
            <v>10</v>
          </cell>
          <cell r="G19">
            <v>2.169</v>
          </cell>
          <cell r="H19">
            <v>7.61</v>
          </cell>
          <cell r="I19">
            <v>51</v>
          </cell>
          <cell r="J19">
            <v>100</v>
          </cell>
          <cell r="O19">
            <v>317</v>
          </cell>
          <cell r="P19" t="str">
            <v xml:space="preserve">pileta con Petroleo </v>
          </cell>
        </row>
        <row r="20">
          <cell r="A20">
            <v>37089</v>
          </cell>
          <cell r="B20">
            <v>4</v>
          </cell>
          <cell r="C20">
            <v>0.1</v>
          </cell>
          <cell r="D20">
            <v>4.5</v>
          </cell>
          <cell r="E20">
            <v>24</v>
          </cell>
          <cell r="F20">
            <v>20</v>
          </cell>
          <cell r="G20">
            <v>2.2679999999999998</v>
          </cell>
          <cell r="H20">
            <v>7.66</v>
          </cell>
          <cell r="I20">
            <v>48</v>
          </cell>
          <cell r="J20">
            <v>100</v>
          </cell>
          <cell r="O20">
            <v>290</v>
          </cell>
          <cell r="P20" t="str">
            <v xml:space="preserve">pileta con Petroleo </v>
          </cell>
        </row>
        <row r="21">
          <cell r="A21">
            <v>37144</v>
          </cell>
          <cell r="B21">
            <v>15</v>
          </cell>
          <cell r="C21">
            <v>0.1</v>
          </cell>
          <cell r="D21">
            <v>2</v>
          </cell>
          <cell r="E21">
            <v>11</v>
          </cell>
          <cell r="F21">
            <v>10</v>
          </cell>
          <cell r="G21">
            <v>2.27</v>
          </cell>
          <cell r="H21">
            <v>7.8</v>
          </cell>
          <cell r="I21">
            <v>50</v>
          </cell>
          <cell r="J21">
            <v>100</v>
          </cell>
          <cell r="O21">
            <v>91</v>
          </cell>
          <cell r="P21" t="str">
            <v>Fecha de lect.Bact. 27/08/2001</v>
          </cell>
        </row>
        <row r="22">
          <cell r="A22">
            <v>37146</v>
          </cell>
          <cell r="O22">
            <v>168</v>
          </cell>
        </row>
        <row r="23">
          <cell r="A23">
            <v>37148</v>
          </cell>
          <cell r="O23">
            <v>98</v>
          </cell>
        </row>
        <row r="24">
          <cell r="A24">
            <v>37151</v>
          </cell>
          <cell r="O24">
            <v>62</v>
          </cell>
        </row>
        <row r="25">
          <cell r="A25">
            <v>37153</v>
          </cell>
          <cell r="O25">
            <v>81</v>
          </cell>
        </row>
        <row r="26">
          <cell r="A26">
            <v>37155</v>
          </cell>
          <cell r="O26">
            <v>85</v>
          </cell>
        </row>
        <row r="27">
          <cell r="A27">
            <v>37158</v>
          </cell>
          <cell r="O27">
            <v>122</v>
          </cell>
        </row>
        <row r="28">
          <cell r="A28">
            <v>37160</v>
          </cell>
          <cell r="O28">
            <v>69</v>
          </cell>
        </row>
        <row r="29">
          <cell r="A29">
            <v>37162</v>
          </cell>
          <cell r="O29">
            <v>59</v>
          </cell>
        </row>
        <row r="30">
          <cell r="A30">
            <v>37173</v>
          </cell>
          <cell r="B30">
            <v>20</v>
          </cell>
          <cell r="C30">
            <v>0.15</v>
          </cell>
          <cell r="D30">
            <v>4</v>
          </cell>
          <cell r="E30">
            <v>12</v>
          </cell>
          <cell r="F30">
            <v>8</v>
          </cell>
          <cell r="G30">
            <v>2.3359999999999999</v>
          </cell>
          <cell r="H30">
            <v>8.11</v>
          </cell>
          <cell r="I30">
            <v>52</v>
          </cell>
          <cell r="J30">
            <v>100</v>
          </cell>
          <cell r="O30">
            <v>48</v>
          </cell>
        </row>
        <row r="31">
          <cell r="A31">
            <v>37175</v>
          </cell>
          <cell r="O31">
            <v>85</v>
          </cell>
        </row>
        <row r="32">
          <cell r="A32">
            <v>37183</v>
          </cell>
          <cell r="O32">
            <v>99</v>
          </cell>
        </row>
        <row r="33">
          <cell r="A33">
            <v>37188</v>
          </cell>
          <cell r="O33">
            <v>457</v>
          </cell>
        </row>
        <row r="34">
          <cell r="A34">
            <v>37203</v>
          </cell>
          <cell r="B34">
            <v>26</v>
          </cell>
          <cell r="C34">
            <v>0.2</v>
          </cell>
          <cell r="D34">
            <v>3</v>
          </cell>
          <cell r="E34">
            <v>14</v>
          </cell>
          <cell r="F34">
            <v>100</v>
          </cell>
          <cell r="G34">
            <v>2.2726999999999999</v>
          </cell>
          <cell r="H34">
            <v>7.4</v>
          </cell>
          <cell r="I34">
            <v>55</v>
          </cell>
          <cell r="J34">
            <v>100</v>
          </cell>
          <cell r="O34">
            <v>138</v>
          </cell>
          <cell r="P34" t="str">
            <v>Fecha de Cult. 29/10</v>
          </cell>
        </row>
        <row r="35">
          <cell r="A35">
            <v>37229</v>
          </cell>
          <cell r="B35">
            <v>23</v>
          </cell>
          <cell r="C35">
            <v>0.2</v>
          </cell>
          <cell r="D35">
            <v>3</v>
          </cell>
          <cell r="E35">
            <v>12</v>
          </cell>
          <cell r="F35">
            <v>8</v>
          </cell>
          <cell r="G35">
            <v>2.4150999999999998</v>
          </cell>
          <cell r="H35">
            <v>6.7</v>
          </cell>
          <cell r="I35">
            <v>52</v>
          </cell>
          <cell r="J35">
            <v>100</v>
          </cell>
          <cell r="O35">
            <v>53</v>
          </cell>
          <cell r="P35" t="str">
            <v>Lect.Bact.8/11/01</v>
          </cell>
        </row>
        <row r="36">
          <cell r="A36">
            <v>37230</v>
          </cell>
          <cell r="M36">
            <v>19</v>
          </cell>
          <cell r="N36">
            <v>20.2</v>
          </cell>
          <cell r="P36" t="str">
            <v>Realizó BAKER</v>
          </cell>
        </row>
        <row r="37">
          <cell r="A37">
            <v>37236</v>
          </cell>
          <cell r="M37">
            <v>21.4</v>
          </cell>
          <cell r="N37">
            <v>25.1</v>
          </cell>
          <cell r="P37" t="str">
            <v>Realizó BAKER</v>
          </cell>
        </row>
        <row r="38">
          <cell r="A38">
            <v>37265</v>
          </cell>
          <cell r="B38">
            <v>29</v>
          </cell>
          <cell r="C38">
            <v>0.5</v>
          </cell>
          <cell r="D38">
            <v>1.5</v>
          </cell>
          <cell r="E38">
            <v>6</v>
          </cell>
          <cell r="F38">
            <v>60</v>
          </cell>
          <cell r="G38">
            <v>2.3094000000000001</v>
          </cell>
          <cell r="H38">
            <v>7.6</v>
          </cell>
          <cell r="I38">
            <v>41</v>
          </cell>
          <cell r="J38">
            <v>100</v>
          </cell>
          <cell r="O38">
            <v>139</v>
          </cell>
          <cell r="P38" t="str">
            <v>Lect.Bact. 8/11/01-O2med.23/01</v>
          </cell>
        </row>
        <row r="39">
          <cell r="A39">
            <v>37288</v>
          </cell>
          <cell r="B39">
            <v>18</v>
          </cell>
          <cell r="C39">
            <v>0.1</v>
          </cell>
          <cell r="D39">
            <v>1</v>
          </cell>
          <cell r="E39">
            <v>8</v>
          </cell>
          <cell r="F39">
            <v>4</v>
          </cell>
          <cell r="G39">
            <v>2.3980000000000001</v>
          </cell>
          <cell r="H39">
            <v>7.3</v>
          </cell>
          <cell r="I39">
            <v>51</v>
          </cell>
          <cell r="J39">
            <v>10</v>
          </cell>
          <cell r="O39">
            <v>59</v>
          </cell>
        </row>
        <row r="40">
          <cell r="A40">
            <v>37298</v>
          </cell>
          <cell r="O40">
            <v>40</v>
          </cell>
        </row>
        <row r="41">
          <cell r="A41">
            <v>37300</v>
          </cell>
          <cell r="O41">
            <v>36</v>
          </cell>
        </row>
        <row r="42">
          <cell r="A42">
            <v>37302</v>
          </cell>
          <cell r="O42">
            <v>44</v>
          </cell>
        </row>
        <row r="43">
          <cell r="A43">
            <v>37305</v>
          </cell>
          <cell r="O43">
            <v>40</v>
          </cell>
        </row>
        <row r="44">
          <cell r="A44">
            <v>37309</v>
          </cell>
          <cell r="O44">
            <v>24</v>
          </cell>
        </row>
        <row r="45">
          <cell r="A45">
            <v>37328</v>
          </cell>
          <cell r="B45">
            <v>13</v>
          </cell>
          <cell r="C45">
            <v>0.1</v>
          </cell>
          <cell r="D45">
            <v>5</v>
          </cell>
          <cell r="E45">
            <v>10</v>
          </cell>
          <cell r="F45">
            <v>10</v>
          </cell>
          <cell r="G45">
            <v>2.3529</v>
          </cell>
          <cell r="H45">
            <v>7.3</v>
          </cell>
          <cell r="I45">
            <v>56</v>
          </cell>
          <cell r="J45">
            <v>100</v>
          </cell>
          <cell r="O45">
            <v>50</v>
          </cell>
        </row>
        <row r="46">
          <cell r="A46">
            <v>37361</v>
          </cell>
          <cell r="B46">
            <v>13</v>
          </cell>
          <cell r="C46">
            <v>0.1</v>
          </cell>
          <cell r="D46">
            <v>4</v>
          </cell>
          <cell r="E46">
            <v>10</v>
          </cell>
          <cell r="F46">
            <v>4</v>
          </cell>
          <cell r="G46">
            <v>2.4037999999999999</v>
          </cell>
          <cell r="H46">
            <v>7.3</v>
          </cell>
          <cell r="I46">
            <v>56</v>
          </cell>
          <cell r="J46">
            <v>100</v>
          </cell>
          <cell r="O46">
            <v>136</v>
          </cell>
        </row>
        <row r="47">
          <cell r="A47">
            <v>37410</v>
          </cell>
          <cell r="B47">
            <v>12</v>
          </cell>
          <cell r="C47">
            <v>0.22</v>
          </cell>
          <cell r="D47">
            <v>4</v>
          </cell>
          <cell r="E47">
            <v>10</v>
          </cell>
          <cell r="F47">
            <v>30</v>
          </cell>
          <cell r="G47">
            <v>2.5640999999999998</v>
          </cell>
          <cell r="H47">
            <v>7.1</v>
          </cell>
          <cell r="I47">
            <v>43</v>
          </cell>
          <cell r="J47">
            <v>100</v>
          </cell>
          <cell r="O47">
            <v>240</v>
          </cell>
        </row>
        <row r="48">
          <cell r="A48">
            <v>37440</v>
          </cell>
          <cell r="B48">
            <v>19</v>
          </cell>
          <cell r="C48">
            <v>0.85</v>
          </cell>
          <cell r="D48">
            <v>0.6</v>
          </cell>
          <cell r="E48">
            <v>11</v>
          </cell>
          <cell r="F48">
            <v>60</v>
          </cell>
          <cell r="G48">
            <v>2.6109</v>
          </cell>
          <cell r="H48">
            <v>7.4</v>
          </cell>
          <cell r="I48">
            <v>52</v>
          </cell>
          <cell r="J48">
            <v>100</v>
          </cell>
          <cell r="O48">
            <v>80</v>
          </cell>
        </row>
        <row r="49">
          <cell r="A49">
            <v>37470</v>
          </cell>
          <cell r="B49">
            <v>17</v>
          </cell>
          <cell r="C49">
            <v>0.2</v>
          </cell>
          <cell r="D49">
            <v>2</v>
          </cell>
          <cell r="E49">
            <v>10</v>
          </cell>
          <cell r="F49">
            <v>200</v>
          </cell>
          <cell r="G49">
            <v>2.5938699999999999</v>
          </cell>
          <cell r="H49">
            <v>7.2</v>
          </cell>
          <cell r="I49">
            <v>53</v>
          </cell>
          <cell r="J49">
            <v>100</v>
          </cell>
          <cell r="O49">
            <v>174</v>
          </cell>
        </row>
        <row r="50">
          <cell r="A50">
            <v>37505</v>
          </cell>
          <cell r="B50">
            <v>8</v>
          </cell>
          <cell r="C50">
            <v>0.34</v>
          </cell>
          <cell r="D50">
            <v>1.5</v>
          </cell>
          <cell r="E50">
            <v>10</v>
          </cell>
          <cell r="F50">
            <v>30</v>
          </cell>
          <cell r="G50">
            <v>2.6737000000000002</v>
          </cell>
          <cell r="H50">
            <v>7</v>
          </cell>
          <cell r="I50">
            <v>50</v>
          </cell>
          <cell r="J50">
            <v>100</v>
          </cell>
          <cell r="O50">
            <v>265</v>
          </cell>
        </row>
        <row r="51">
          <cell r="A51">
            <v>37538</v>
          </cell>
          <cell r="B51">
            <v>8</v>
          </cell>
          <cell r="C51">
            <v>0.41</v>
          </cell>
          <cell r="D51">
            <v>1.2</v>
          </cell>
          <cell r="E51">
            <v>12</v>
          </cell>
          <cell r="F51">
            <v>12</v>
          </cell>
          <cell r="G51">
            <v>2.7776999999999998</v>
          </cell>
          <cell r="H51">
            <v>7.1</v>
          </cell>
          <cell r="I51">
            <v>52</v>
          </cell>
          <cell r="J51">
            <v>1000</v>
          </cell>
          <cell r="O51">
            <v>98</v>
          </cell>
        </row>
        <row r="52">
          <cell r="A52">
            <v>37567</v>
          </cell>
          <cell r="F52">
            <v>40</v>
          </cell>
        </row>
        <row r="53">
          <cell r="A53">
            <v>37572</v>
          </cell>
          <cell r="B53">
            <v>6</v>
          </cell>
          <cell r="C53">
            <v>0.14000000000000001</v>
          </cell>
          <cell r="D53">
            <v>2</v>
          </cell>
          <cell r="E53">
            <v>13</v>
          </cell>
          <cell r="F53">
            <v>40</v>
          </cell>
          <cell r="G53">
            <v>2.80898</v>
          </cell>
          <cell r="H53">
            <v>6.8</v>
          </cell>
          <cell r="I53">
            <v>53</v>
          </cell>
          <cell r="J53">
            <v>100</v>
          </cell>
          <cell r="O53">
            <v>98</v>
          </cell>
        </row>
        <row r="54">
          <cell r="A54">
            <v>37592</v>
          </cell>
          <cell r="O54">
            <v>250.6</v>
          </cell>
        </row>
        <row r="55">
          <cell r="A55">
            <v>37595</v>
          </cell>
          <cell r="B55">
            <v>10</v>
          </cell>
          <cell r="C55">
            <v>0.44</v>
          </cell>
          <cell r="D55">
            <v>0.6</v>
          </cell>
          <cell r="E55">
            <v>10</v>
          </cell>
          <cell r="F55">
            <v>16</v>
          </cell>
          <cell r="G55">
            <v>2.7547999999999999</v>
          </cell>
          <cell r="H55">
            <v>6.9</v>
          </cell>
          <cell r="I55">
            <v>53</v>
          </cell>
          <cell r="J55">
            <v>10000</v>
          </cell>
          <cell r="O55">
            <v>442</v>
          </cell>
        </row>
        <row r="56">
          <cell r="A56">
            <v>37596</v>
          </cell>
          <cell r="O56">
            <v>480</v>
          </cell>
        </row>
        <row r="57">
          <cell r="A57">
            <v>37599</v>
          </cell>
          <cell r="O57">
            <v>442.1</v>
          </cell>
        </row>
        <row r="58">
          <cell r="A58">
            <v>37601</v>
          </cell>
          <cell r="O58">
            <v>155</v>
          </cell>
        </row>
        <row r="59">
          <cell r="A59">
            <v>37606</v>
          </cell>
          <cell r="O59">
            <v>86.5</v>
          </cell>
        </row>
        <row r="60">
          <cell r="A60">
            <v>37610</v>
          </cell>
          <cell r="O60">
            <v>252.9</v>
          </cell>
        </row>
        <row r="61">
          <cell r="A61">
            <v>37613</v>
          </cell>
          <cell r="O61">
            <v>212.3</v>
          </cell>
        </row>
        <row r="62">
          <cell r="A62">
            <v>37635</v>
          </cell>
          <cell r="B62">
            <v>13</v>
          </cell>
          <cell r="C62">
            <v>0.23</v>
          </cell>
          <cell r="D62">
            <v>3</v>
          </cell>
          <cell r="E62">
            <v>8</v>
          </cell>
          <cell r="F62">
            <v>16</v>
          </cell>
          <cell r="G62">
            <v>2.5773000000000001</v>
          </cell>
          <cell r="H62">
            <v>7.76</v>
          </cell>
          <cell r="I62">
            <v>56</v>
          </cell>
          <cell r="J62">
            <v>1000</v>
          </cell>
          <cell r="O62">
            <v>274</v>
          </cell>
        </row>
        <row r="63">
          <cell r="A63">
            <v>37658</v>
          </cell>
          <cell r="B63">
            <v>10</v>
          </cell>
          <cell r="C63">
            <v>0.13</v>
          </cell>
          <cell r="D63">
            <v>4</v>
          </cell>
          <cell r="E63">
            <v>11</v>
          </cell>
          <cell r="F63">
            <v>2</v>
          </cell>
          <cell r="G63">
            <v>2.5706000000000002</v>
          </cell>
          <cell r="H63">
            <v>7.56</v>
          </cell>
          <cell r="I63">
            <v>56</v>
          </cell>
          <cell r="J63">
            <v>100</v>
          </cell>
          <cell r="O63">
            <v>65</v>
          </cell>
        </row>
        <row r="64">
          <cell r="A64">
            <v>37705</v>
          </cell>
          <cell r="B64">
            <v>13</v>
          </cell>
          <cell r="C64">
            <v>0.16</v>
          </cell>
          <cell r="D64">
            <v>2</v>
          </cell>
          <cell r="E64">
            <v>7</v>
          </cell>
          <cell r="F64">
            <v>100</v>
          </cell>
          <cell r="G64">
            <v>2.7100200000000001</v>
          </cell>
          <cell r="H64">
            <v>7.66</v>
          </cell>
          <cell r="I64">
            <v>56</v>
          </cell>
          <cell r="J64">
            <v>1000</v>
          </cell>
          <cell r="O64">
            <v>30</v>
          </cell>
        </row>
        <row r="65">
          <cell r="A65">
            <v>37748</v>
          </cell>
          <cell r="C65">
            <v>0.32</v>
          </cell>
        </row>
        <row r="66">
          <cell r="A66">
            <v>37753</v>
          </cell>
          <cell r="O66">
            <v>70</v>
          </cell>
        </row>
        <row r="67">
          <cell r="A67">
            <v>37763</v>
          </cell>
          <cell r="B67">
            <v>8</v>
          </cell>
          <cell r="C67">
            <v>0.2</v>
          </cell>
          <cell r="D67">
            <v>0.1</v>
          </cell>
          <cell r="E67">
            <v>10</v>
          </cell>
          <cell r="F67">
            <v>4</v>
          </cell>
          <cell r="G67">
            <v>3.2050999999999998</v>
          </cell>
          <cell r="H67">
            <v>7.52</v>
          </cell>
          <cell r="I67">
            <v>51</v>
          </cell>
          <cell r="J67">
            <v>100</v>
          </cell>
          <cell r="O67">
            <v>225</v>
          </cell>
        </row>
        <row r="68">
          <cell r="A68">
            <v>37764</v>
          </cell>
          <cell r="O68">
            <v>171</v>
          </cell>
        </row>
        <row r="69">
          <cell r="A69">
            <v>37769</v>
          </cell>
          <cell r="O69">
            <v>118</v>
          </cell>
        </row>
        <row r="70">
          <cell r="A70">
            <v>37771</v>
          </cell>
          <cell r="O70">
            <v>151.30000000000001</v>
          </cell>
        </row>
        <row r="71">
          <cell r="A71">
            <v>37774</v>
          </cell>
          <cell r="O71">
            <v>176</v>
          </cell>
        </row>
        <row r="72">
          <cell r="A72">
            <v>37776</v>
          </cell>
          <cell r="O72">
            <v>147</v>
          </cell>
        </row>
        <row r="73">
          <cell r="A73">
            <v>37781</v>
          </cell>
          <cell r="O73">
            <v>204</v>
          </cell>
        </row>
        <row r="74">
          <cell r="A74">
            <v>37788</v>
          </cell>
          <cell r="O74">
            <v>63.9</v>
          </cell>
        </row>
        <row r="75">
          <cell r="A75">
            <v>37799</v>
          </cell>
          <cell r="O75">
            <v>203.2</v>
          </cell>
        </row>
        <row r="76">
          <cell r="A76">
            <v>37803</v>
          </cell>
          <cell r="O76">
            <v>448.9</v>
          </cell>
        </row>
        <row r="77">
          <cell r="A77">
            <v>37805</v>
          </cell>
          <cell r="B77">
            <v>16</v>
          </cell>
          <cell r="C77">
            <v>0.36</v>
          </cell>
          <cell r="D77">
            <v>2</v>
          </cell>
          <cell r="E77">
            <v>9</v>
          </cell>
          <cell r="F77">
            <v>2</v>
          </cell>
          <cell r="G77">
            <v>3.3333333333333335</v>
          </cell>
          <cell r="H77">
            <v>7.25</v>
          </cell>
          <cell r="I77">
            <v>52</v>
          </cell>
          <cell r="J77">
            <v>100</v>
          </cell>
          <cell r="O77">
            <v>330</v>
          </cell>
        </row>
        <row r="78">
          <cell r="A78">
            <v>37806</v>
          </cell>
          <cell r="O78">
            <v>223.87</v>
          </cell>
        </row>
        <row r="79">
          <cell r="A79">
            <v>37823</v>
          </cell>
          <cell r="O79">
            <v>148.36000000000001</v>
          </cell>
        </row>
        <row r="80">
          <cell r="A80">
            <v>37827</v>
          </cell>
          <cell r="O80">
            <v>123.7</v>
          </cell>
        </row>
        <row r="81">
          <cell r="A81">
            <v>37834</v>
          </cell>
          <cell r="O81">
            <v>257.27999999999997</v>
          </cell>
        </row>
      </sheetData>
      <sheetData sheetId="8">
        <row r="7">
          <cell r="A7">
            <v>36854</v>
          </cell>
          <cell r="B7">
            <v>26</v>
          </cell>
          <cell r="C7">
            <v>0.95</v>
          </cell>
          <cell r="D7">
            <v>3</v>
          </cell>
          <cell r="E7">
            <v>16</v>
          </cell>
          <cell r="F7">
            <v>0</v>
          </cell>
          <cell r="G7">
            <v>2.2456770716370986</v>
          </cell>
          <cell r="H7">
            <v>7.58</v>
          </cell>
          <cell r="I7">
            <v>56</v>
          </cell>
          <cell r="J7">
            <v>1000</v>
          </cell>
          <cell r="O7">
            <v>43</v>
          </cell>
        </row>
        <row r="8">
          <cell r="A8">
            <v>36871</v>
          </cell>
          <cell r="B8">
            <v>27</v>
          </cell>
          <cell r="C8">
            <v>0.14000000000000001</v>
          </cell>
          <cell r="D8">
            <v>4</v>
          </cell>
          <cell r="E8">
            <v>10</v>
          </cell>
          <cell r="F8">
            <v>0</v>
          </cell>
          <cell r="G8">
            <v>2.2123893805309733</v>
          </cell>
          <cell r="H8">
            <v>7.69</v>
          </cell>
          <cell r="I8">
            <v>55</v>
          </cell>
          <cell r="J8">
            <v>1000</v>
          </cell>
          <cell r="O8">
            <v>26</v>
          </cell>
        </row>
        <row r="9">
          <cell r="A9">
            <v>36879</v>
          </cell>
          <cell r="B9">
            <v>29</v>
          </cell>
          <cell r="C9">
            <v>1.1000000000000001</v>
          </cell>
          <cell r="D9">
            <v>2.6</v>
          </cell>
          <cell r="E9">
            <v>13</v>
          </cell>
          <cell r="F9">
            <v>0</v>
          </cell>
          <cell r="G9">
            <v>2.3174971031286211</v>
          </cell>
          <cell r="H9">
            <v>7.65</v>
          </cell>
          <cell r="I9">
            <v>55</v>
          </cell>
          <cell r="J9">
            <v>1000</v>
          </cell>
          <cell r="O9">
            <v>108</v>
          </cell>
        </row>
        <row r="10">
          <cell r="A10">
            <v>36887</v>
          </cell>
          <cell r="B10">
            <v>34</v>
          </cell>
          <cell r="C10">
            <v>0.2</v>
          </cell>
          <cell r="D10">
            <v>4</v>
          </cell>
          <cell r="E10">
            <v>8</v>
          </cell>
          <cell r="F10">
            <v>0</v>
          </cell>
          <cell r="G10">
            <v>2.1786492374727668</v>
          </cell>
          <cell r="H10">
            <v>7.73</v>
          </cell>
          <cell r="I10">
            <v>53</v>
          </cell>
          <cell r="J10">
            <v>1000</v>
          </cell>
          <cell r="O10">
            <v>44</v>
          </cell>
        </row>
        <row r="11">
          <cell r="A11">
            <v>36907</v>
          </cell>
          <cell r="B11">
            <v>30</v>
          </cell>
          <cell r="C11">
            <v>0.31</v>
          </cell>
          <cell r="D11">
            <v>7</v>
          </cell>
          <cell r="E11">
            <v>14</v>
          </cell>
          <cell r="F11">
            <v>0</v>
          </cell>
          <cell r="G11">
            <v>2.1786492374727668</v>
          </cell>
          <cell r="H11">
            <v>7.84</v>
          </cell>
          <cell r="I11">
            <v>55</v>
          </cell>
          <cell r="J11">
            <v>100</v>
          </cell>
          <cell r="O11">
            <v>432</v>
          </cell>
        </row>
        <row r="12">
          <cell r="A12">
            <v>36958</v>
          </cell>
          <cell r="C12">
            <v>0.55000000000000004</v>
          </cell>
          <cell r="D12">
            <v>2.5</v>
          </cell>
          <cell r="E12">
            <v>10</v>
          </cell>
          <cell r="F12">
            <v>50</v>
          </cell>
          <cell r="I12">
            <v>52</v>
          </cell>
          <cell r="J12">
            <v>100</v>
          </cell>
          <cell r="O12">
            <v>48</v>
          </cell>
        </row>
        <row r="13">
          <cell r="A13">
            <v>36964</v>
          </cell>
          <cell r="O13">
            <v>53</v>
          </cell>
        </row>
        <row r="14">
          <cell r="A14">
            <v>36969</v>
          </cell>
          <cell r="O14">
            <v>36</v>
          </cell>
        </row>
        <row r="15">
          <cell r="A15">
            <v>36976</v>
          </cell>
          <cell r="O15">
            <v>47</v>
          </cell>
        </row>
        <row r="16">
          <cell r="A16">
            <v>36984</v>
          </cell>
          <cell r="C16">
            <v>0.7</v>
          </cell>
          <cell r="D16">
            <v>2</v>
          </cell>
          <cell r="E16">
            <v>12</v>
          </cell>
          <cell r="F16">
            <v>40</v>
          </cell>
          <cell r="G16">
            <v>2.2222222222222223</v>
          </cell>
          <cell r="H16">
            <v>7.55</v>
          </cell>
          <cell r="I16">
            <v>57</v>
          </cell>
          <cell r="J16">
            <v>100</v>
          </cell>
          <cell r="O16">
            <v>69</v>
          </cell>
        </row>
        <row r="17">
          <cell r="A17">
            <v>37006</v>
          </cell>
          <cell r="B17">
            <v>26</v>
          </cell>
          <cell r="C17">
            <v>0.26</v>
          </cell>
          <cell r="D17">
            <v>2</v>
          </cell>
          <cell r="E17">
            <v>26</v>
          </cell>
          <cell r="F17">
            <v>40</v>
          </cell>
          <cell r="H17">
            <v>7.41</v>
          </cell>
          <cell r="I17">
            <v>47</v>
          </cell>
          <cell r="J17">
            <v>100</v>
          </cell>
          <cell r="O17">
            <v>66</v>
          </cell>
        </row>
        <row r="18">
          <cell r="A18">
            <v>37033</v>
          </cell>
          <cell r="B18">
            <v>19</v>
          </cell>
          <cell r="C18">
            <v>0.1</v>
          </cell>
          <cell r="D18">
            <v>4</v>
          </cell>
          <cell r="E18">
            <v>8</v>
          </cell>
          <cell r="F18">
            <v>30</v>
          </cell>
          <cell r="G18">
            <v>2.3310023310023311</v>
          </cell>
          <cell r="H18">
            <v>7.99</v>
          </cell>
          <cell r="I18">
            <v>53</v>
          </cell>
          <cell r="J18">
            <v>100</v>
          </cell>
          <cell r="O18">
            <v>36</v>
          </cell>
        </row>
        <row r="19">
          <cell r="A19">
            <v>37062</v>
          </cell>
          <cell r="B19">
            <v>26</v>
          </cell>
          <cell r="C19">
            <v>0.1</v>
          </cell>
          <cell r="D19">
            <v>2</v>
          </cell>
          <cell r="E19">
            <v>12</v>
          </cell>
          <cell r="F19">
            <v>8</v>
          </cell>
          <cell r="G19">
            <v>2.16</v>
          </cell>
          <cell r="H19">
            <v>7.55</v>
          </cell>
          <cell r="I19">
            <v>51</v>
          </cell>
          <cell r="J19">
            <v>100</v>
          </cell>
          <cell r="O19">
            <v>110</v>
          </cell>
        </row>
        <row r="20">
          <cell r="A20">
            <v>37089</v>
          </cell>
          <cell r="B20">
            <v>4</v>
          </cell>
          <cell r="C20">
            <v>0.15</v>
          </cell>
          <cell r="D20">
            <v>4.5</v>
          </cell>
          <cell r="E20">
            <v>20</v>
          </cell>
          <cell r="F20">
            <v>15</v>
          </cell>
          <cell r="G20">
            <v>2.2599999999999998</v>
          </cell>
          <cell r="H20">
            <v>7.7</v>
          </cell>
          <cell r="I20">
            <v>47</v>
          </cell>
          <cell r="J20">
            <v>100</v>
          </cell>
          <cell r="O20">
            <v>59</v>
          </cell>
        </row>
        <row r="21">
          <cell r="A21">
            <v>37144</v>
          </cell>
          <cell r="B21">
            <v>14</v>
          </cell>
          <cell r="C21">
            <v>0.1</v>
          </cell>
          <cell r="D21">
            <v>2</v>
          </cell>
          <cell r="E21">
            <v>10</v>
          </cell>
          <cell r="F21">
            <v>8</v>
          </cell>
          <cell r="G21">
            <v>2.2679999999999998</v>
          </cell>
          <cell r="H21">
            <v>7.78</v>
          </cell>
          <cell r="I21">
            <v>47</v>
          </cell>
          <cell r="J21">
            <v>100</v>
          </cell>
          <cell r="O21">
            <v>47</v>
          </cell>
          <cell r="P21" t="str">
            <v>Fecha de lect.Bact. 27/08/2001</v>
          </cell>
        </row>
        <row r="22">
          <cell r="A22">
            <v>37146</v>
          </cell>
          <cell r="O22">
            <v>133</v>
          </cell>
        </row>
        <row r="23">
          <cell r="A23">
            <v>37148</v>
          </cell>
          <cell r="O23">
            <v>82</v>
          </cell>
        </row>
        <row r="24">
          <cell r="A24">
            <v>37151</v>
          </cell>
          <cell r="O24">
            <v>50</v>
          </cell>
        </row>
        <row r="25">
          <cell r="A25">
            <v>37153</v>
          </cell>
          <cell r="O25">
            <v>65</v>
          </cell>
        </row>
        <row r="26">
          <cell r="A26">
            <v>37155</v>
          </cell>
          <cell r="O26">
            <v>65</v>
          </cell>
        </row>
        <row r="27">
          <cell r="A27">
            <v>37158</v>
          </cell>
          <cell r="O27">
            <v>67</v>
          </cell>
        </row>
        <row r="28">
          <cell r="A28">
            <v>37160</v>
          </cell>
          <cell r="O28">
            <v>84</v>
          </cell>
        </row>
        <row r="29">
          <cell r="A29">
            <v>37162</v>
          </cell>
          <cell r="O29">
            <v>60</v>
          </cell>
        </row>
        <row r="30">
          <cell r="A30">
            <v>37173</v>
          </cell>
          <cell r="B30">
            <v>24</v>
          </cell>
          <cell r="C30">
            <v>0.6</v>
          </cell>
          <cell r="D30">
            <v>3.5</v>
          </cell>
          <cell r="E30">
            <v>11</v>
          </cell>
          <cell r="F30">
            <v>6</v>
          </cell>
          <cell r="G30">
            <v>2.3250000000000002</v>
          </cell>
          <cell r="H30">
            <v>7.86</v>
          </cell>
          <cell r="I30">
            <v>51</v>
          </cell>
          <cell r="J30">
            <v>100</v>
          </cell>
          <cell r="O30">
            <v>42</v>
          </cell>
        </row>
        <row r="31">
          <cell r="A31">
            <v>37183</v>
          </cell>
          <cell r="O31">
            <v>28</v>
          </cell>
        </row>
        <row r="32">
          <cell r="A32">
            <v>37186</v>
          </cell>
          <cell r="O32">
            <v>245</v>
          </cell>
        </row>
        <row r="33">
          <cell r="A33">
            <v>37188</v>
          </cell>
          <cell r="O33">
            <v>75</v>
          </cell>
        </row>
        <row r="34">
          <cell r="A34">
            <v>37193</v>
          </cell>
          <cell r="O34">
            <v>67</v>
          </cell>
        </row>
        <row r="35">
          <cell r="A35">
            <v>37203</v>
          </cell>
          <cell r="B35">
            <v>25</v>
          </cell>
          <cell r="C35">
            <v>0.1</v>
          </cell>
          <cell r="D35">
            <v>2.5</v>
          </cell>
          <cell r="E35">
            <v>12</v>
          </cell>
          <cell r="F35">
            <v>100</v>
          </cell>
          <cell r="G35">
            <v>2.2988</v>
          </cell>
          <cell r="H35">
            <v>7.4</v>
          </cell>
          <cell r="I35">
            <v>54</v>
          </cell>
          <cell r="J35">
            <v>100</v>
          </cell>
          <cell r="O35">
            <v>67</v>
          </cell>
          <cell r="P35" t="str">
            <v>Fecha de Cult. 29/10</v>
          </cell>
        </row>
        <row r="36">
          <cell r="A36">
            <v>37229</v>
          </cell>
          <cell r="B36">
            <v>15</v>
          </cell>
          <cell r="C36">
            <v>0.1</v>
          </cell>
          <cell r="D36">
            <v>2.5</v>
          </cell>
          <cell r="E36">
            <v>13</v>
          </cell>
          <cell r="F36">
            <v>12</v>
          </cell>
          <cell r="G36">
            <v>2.4213</v>
          </cell>
          <cell r="H36">
            <v>6.8</v>
          </cell>
          <cell r="I36">
            <v>50</v>
          </cell>
          <cell r="J36">
            <v>100</v>
          </cell>
          <cell r="O36">
            <v>31</v>
          </cell>
          <cell r="P36" t="str">
            <v>Lect.Bact. 8/11/01</v>
          </cell>
        </row>
        <row r="37">
          <cell r="A37">
            <v>37265</v>
          </cell>
          <cell r="B37">
            <v>22</v>
          </cell>
          <cell r="C37">
            <v>0.1</v>
          </cell>
          <cell r="D37">
            <v>0</v>
          </cell>
          <cell r="E37">
            <v>4</v>
          </cell>
          <cell r="F37">
            <v>60</v>
          </cell>
          <cell r="G37">
            <v>2.3148</v>
          </cell>
          <cell r="H37">
            <v>7.7</v>
          </cell>
          <cell r="I37">
            <v>41</v>
          </cell>
          <cell r="J37">
            <v>100</v>
          </cell>
          <cell r="O37">
            <v>49</v>
          </cell>
          <cell r="P37" t="str">
            <v>Lect.Bact. 8/11/01-O2med.23/01</v>
          </cell>
        </row>
        <row r="38">
          <cell r="A38">
            <v>37288</v>
          </cell>
          <cell r="B38">
            <v>13</v>
          </cell>
          <cell r="C38">
            <v>0.1</v>
          </cell>
          <cell r="D38">
            <v>0.8</v>
          </cell>
          <cell r="E38">
            <v>10</v>
          </cell>
          <cell r="F38">
            <v>6</v>
          </cell>
          <cell r="G38">
            <v>2.3650000000000002</v>
          </cell>
          <cell r="H38">
            <v>7.3</v>
          </cell>
          <cell r="I38">
            <v>49</v>
          </cell>
          <cell r="J38">
            <v>1000</v>
          </cell>
          <cell r="O38">
            <v>49</v>
          </cell>
        </row>
        <row r="39">
          <cell r="A39">
            <v>37298</v>
          </cell>
          <cell r="O39">
            <v>26</v>
          </cell>
        </row>
        <row r="40">
          <cell r="A40">
            <v>37300</v>
          </cell>
          <cell r="O40">
            <v>32</v>
          </cell>
        </row>
        <row r="41">
          <cell r="A41">
            <v>37302</v>
          </cell>
          <cell r="O41">
            <v>41</v>
          </cell>
        </row>
        <row r="42">
          <cell r="A42">
            <v>37305</v>
          </cell>
          <cell r="O42">
            <v>35</v>
          </cell>
        </row>
        <row r="43">
          <cell r="A43">
            <v>37309</v>
          </cell>
          <cell r="O43">
            <v>24</v>
          </cell>
        </row>
        <row r="44">
          <cell r="A44">
            <v>37328</v>
          </cell>
          <cell r="B44">
            <v>9</v>
          </cell>
          <cell r="C44">
            <v>0.1</v>
          </cell>
          <cell r="D44">
            <v>4.5</v>
          </cell>
          <cell r="E44">
            <v>8</v>
          </cell>
          <cell r="F44">
            <v>14</v>
          </cell>
          <cell r="G44">
            <v>2.3473999999999999</v>
          </cell>
          <cell r="H44">
            <v>7.4</v>
          </cell>
          <cell r="I44">
            <v>55</v>
          </cell>
          <cell r="J44">
            <v>100</v>
          </cell>
          <cell r="O44">
            <v>28</v>
          </cell>
        </row>
        <row r="45">
          <cell r="A45">
            <v>37361</v>
          </cell>
          <cell r="B45">
            <v>12</v>
          </cell>
          <cell r="C45">
            <v>0.1</v>
          </cell>
          <cell r="D45">
            <v>3.5</v>
          </cell>
          <cell r="E45">
            <v>10</v>
          </cell>
          <cell r="F45">
            <v>10</v>
          </cell>
          <cell r="G45">
            <v>2.4449000000000001</v>
          </cell>
          <cell r="H45">
            <v>7.4</v>
          </cell>
          <cell r="I45">
            <v>54</v>
          </cell>
          <cell r="J45">
            <v>100</v>
          </cell>
          <cell r="O45">
            <v>57</v>
          </cell>
        </row>
        <row r="46">
          <cell r="A46">
            <v>37410</v>
          </cell>
          <cell r="B46">
            <v>14</v>
          </cell>
          <cell r="C46">
            <v>0.1</v>
          </cell>
          <cell r="D46">
            <v>4</v>
          </cell>
          <cell r="E46">
            <v>11</v>
          </cell>
          <cell r="F46">
            <v>8</v>
          </cell>
          <cell r="G46">
            <v>2.5973999999999999</v>
          </cell>
          <cell r="H46">
            <v>7.1</v>
          </cell>
          <cell r="I46">
            <v>43</v>
          </cell>
          <cell r="J46">
            <v>1000</v>
          </cell>
          <cell r="O46">
            <v>40</v>
          </cell>
        </row>
        <row r="47">
          <cell r="A47">
            <v>37440</v>
          </cell>
          <cell r="B47">
            <v>18</v>
          </cell>
          <cell r="C47">
            <v>0.8</v>
          </cell>
          <cell r="D47">
            <v>0.4</v>
          </cell>
          <cell r="E47">
            <v>10</v>
          </cell>
          <cell r="F47">
            <v>60</v>
          </cell>
          <cell r="G47">
            <v>2.5909</v>
          </cell>
          <cell r="H47">
            <v>7.2</v>
          </cell>
          <cell r="I47">
            <v>52</v>
          </cell>
          <cell r="J47">
            <v>10</v>
          </cell>
          <cell r="O47">
            <v>64</v>
          </cell>
        </row>
        <row r="48">
          <cell r="A48">
            <v>37470</v>
          </cell>
          <cell r="B48">
            <v>18</v>
          </cell>
          <cell r="C48">
            <v>0.2</v>
          </cell>
          <cell r="D48">
            <v>1.5</v>
          </cell>
          <cell r="E48">
            <v>10</v>
          </cell>
          <cell r="F48">
            <v>4</v>
          </cell>
          <cell r="G48">
            <v>2.5906699999999998</v>
          </cell>
          <cell r="H48">
            <v>7.2</v>
          </cell>
          <cell r="I48">
            <v>53</v>
          </cell>
          <cell r="J48">
            <v>1000</v>
          </cell>
          <cell r="O48">
            <v>57</v>
          </cell>
        </row>
        <row r="49">
          <cell r="A49">
            <v>37505</v>
          </cell>
          <cell r="B49">
            <v>11</v>
          </cell>
          <cell r="C49">
            <v>0.38</v>
          </cell>
          <cell r="D49">
            <v>1.5</v>
          </cell>
          <cell r="E49">
            <v>11</v>
          </cell>
          <cell r="F49">
            <v>30</v>
          </cell>
          <cell r="G49">
            <v>2.6871</v>
          </cell>
          <cell r="H49">
            <v>7</v>
          </cell>
          <cell r="I49">
            <v>50</v>
          </cell>
          <cell r="J49">
            <v>100</v>
          </cell>
          <cell r="O49">
            <v>18</v>
          </cell>
        </row>
        <row r="50">
          <cell r="A50">
            <v>37538</v>
          </cell>
          <cell r="B50">
            <v>10</v>
          </cell>
          <cell r="C50">
            <v>0.57999999999999996</v>
          </cell>
          <cell r="D50">
            <v>1</v>
          </cell>
          <cell r="E50">
            <v>14</v>
          </cell>
          <cell r="F50">
            <v>14</v>
          </cell>
          <cell r="G50">
            <v>2.7776999999999998</v>
          </cell>
          <cell r="H50">
            <v>7.1</v>
          </cell>
          <cell r="I50">
            <v>51</v>
          </cell>
          <cell r="J50">
            <v>10000</v>
          </cell>
          <cell r="O50">
            <v>31</v>
          </cell>
        </row>
        <row r="51">
          <cell r="A51">
            <v>37567</v>
          </cell>
          <cell r="F51">
            <v>60</v>
          </cell>
        </row>
        <row r="52">
          <cell r="A52">
            <v>37572</v>
          </cell>
          <cell r="B52">
            <v>5</v>
          </cell>
          <cell r="C52">
            <v>0.1</v>
          </cell>
          <cell r="D52">
            <v>2.5</v>
          </cell>
          <cell r="E52">
            <v>12</v>
          </cell>
          <cell r="F52">
            <v>80</v>
          </cell>
          <cell r="G52">
            <v>2.8010999999999999</v>
          </cell>
          <cell r="H52">
            <v>7.1</v>
          </cell>
          <cell r="I52">
            <v>53</v>
          </cell>
          <cell r="J52">
            <v>1000</v>
          </cell>
          <cell r="O52">
            <v>28</v>
          </cell>
        </row>
        <row r="53">
          <cell r="A53">
            <v>37592</v>
          </cell>
          <cell r="O53">
            <v>32.6</v>
          </cell>
        </row>
        <row r="54">
          <cell r="A54">
            <v>37595</v>
          </cell>
          <cell r="B54">
            <v>10</v>
          </cell>
          <cell r="C54">
            <v>0.28999999999999998</v>
          </cell>
          <cell r="D54">
            <v>0.8</v>
          </cell>
          <cell r="E54">
            <v>12</v>
          </cell>
          <cell r="F54">
            <v>8</v>
          </cell>
          <cell r="G54">
            <v>2.7624300000000002</v>
          </cell>
          <cell r="H54">
            <v>6.9</v>
          </cell>
          <cell r="I54">
            <v>52</v>
          </cell>
          <cell r="J54">
            <v>1000</v>
          </cell>
          <cell r="O54">
            <v>46</v>
          </cell>
        </row>
        <row r="55">
          <cell r="A55">
            <v>37596</v>
          </cell>
          <cell r="O55">
            <v>89</v>
          </cell>
        </row>
        <row r="56">
          <cell r="A56">
            <v>37599</v>
          </cell>
          <cell r="O56">
            <v>45.7</v>
          </cell>
        </row>
        <row r="57">
          <cell r="A57">
            <v>37601</v>
          </cell>
          <cell r="O57">
            <v>34.799999999999997</v>
          </cell>
        </row>
        <row r="58">
          <cell r="A58">
            <v>37606</v>
          </cell>
          <cell r="O58">
            <v>67</v>
          </cell>
        </row>
        <row r="59">
          <cell r="A59">
            <v>37610</v>
          </cell>
          <cell r="O59">
            <v>30.03</v>
          </cell>
        </row>
        <row r="60">
          <cell r="A60">
            <v>37613</v>
          </cell>
          <cell r="O60">
            <v>148</v>
          </cell>
        </row>
        <row r="61">
          <cell r="A61">
            <v>37635</v>
          </cell>
          <cell r="B61">
            <v>12</v>
          </cell>
          <cell r="C61">
            <v>0.34</v>
          </cell>
          <cell r="D61">
            <v>2.5</v>
          </cell>
          <cell r="E61">
            <v>7</v>
          </cell>
          <cell r="F61">
            <v>18</v>
          </cell>
          <cell r="G61">
            <v>2.5706899999999999</v>
          </cell>
          <cell r="H61">
            <v>7.74</v>
          </cell>
          <cell r="I61">
            <v>57</v>
          </cell>
          <cell r="J61">
            <v>100</v>
          </cell>
          <cell r="O61">
            <v>16</v>
          </cell>
        </row>
        <row r="62">
          <cell r="A62">
            <v>37658</v>
          </cell>
          <cell r="B62">
            <v>11</v>
          </cell>
          <cell r="C62">
            <v>0.16</v>
          </cell>
          <cell r="D62">
            <v>4</v>
          </cell>
          <cell r="E62">
            <v>6</v>
          </cell>
          <cell r="F62">
            <v>4</v>
          </cell>
          <cell r="G62">
            <v>2.5905999999999998</v>
          </cell>
          <cell r="H62">
            <v>7.71</v>
          </cell>
          <cell r="I62">
            <v>54</v>
          </cell>
          <cell r="J62">
            <v>100</v>
          </cell>
          <cell r="O62">
            <v>25</v>
          </cell>
        </row>
        <row r="63">
          <cell r="A63">
            <v>37705</v>
          </cell>
          <cell r="B63">
            <v>11</v>
          </cell>
          <cell r="C63">
            <v>0.2</v>
          </cell>
          <cell r="D63">
            <v>2</v>
          </cell>
          <cell r="E63">
            <v>6</v>
          </cell>
          <cell r="F63">
            <v>30</v>
          </cell>
          <cell r="G63">
            <v>2.7100200000000001</v>
          </cell>
          <cell r="H63">
            <v>7.45</v>
          </cell>
          <cell r="I63">
            <v>57</v>
          </cell>
          <cell r="J63">
            <v>1000</v>
          </cell>
          <cell r="O63">
            <v>7</v>
          </cell>
        </row>
        <row r="64">
          <cell r="A64">
            <v>37748</v>
          </cell>
          <cell r="C64">
            <v>0.75</v>
          </cell>
        </row>
        <row r="65">
          <cell r="A65">
            <v>37753</v>
          </cell>
          <cell r="O65">
            <v>8</v>
          </cell>
        </row>
        <row r="66">
          <cell r="A66">
            <v>37763</v>
          </cell>
          <cell r="B66">
            <v>9</v>
          </cell>
          <cell r="C66">
            <v>0.19</v>
          </cell>
          <cell r="D66">
            <v>2</v>
          </cell>
          <cell r="E66">
            <v>10</v>
          </cell>
          <cell r="F66">
            <v>8</v>
          </cell>
          <cell r="G66">
            <v>3.1644999999999999</v>
          </cell>
          <cell r="H66">
            <v>7.61</v>
          </cell>
          <cell r="I66">
            <v>50</v>
          </cell>
          <cell r="J66">
            <v>100</v>
          </cell>
          <cell r="O66">
            <v>126</v>
          </cell>
        </row>
        <row r="67">
          <cell r="A67">
            <v>37764</v>
          </cell>
          <cell r="O67">
            <v>102</v>
          </cell>
        </row>
        <row r="68">
          <cell r="A68">
            <v>37769</v>
          </cell>
          <cell r="O68">
            <v>51</v>
          </cell>
        </row>
        <row r="69">
          <cell r="A69">
            <v>37771</v>
          </cell>
          <cell r="O69">
            <v>50.4</v>
          </cell>
        </row>
        <row r="70">
          <cell r="A70">
            <v>37774</v>
          </cell>
          <cell r="O70">
            <v>74.3</v>
          </cell>
        </row>
        <row r="71">
          <cell r="A71">
            <v>37776</v>
          </cell>
          <cell r="O71">
            <v>26.1</v>
          </cell>
        </row>
        <row r="72">
          <cell r="A72">
            <v>37781</v>
          </cell>
          <cell r="O72">
            <v>85.3</v>
          </cell>
        </row>
        <row r="73">
          <cell r="A73">
            <v>37788</v>
          </cell>
          <cell r="O73">
            <v>19.899999999999999</v>
          </cell>
        </row>
        <row r="74">
          <cell r="A74">
            <v>37799</v>
          </cell>
          <cell r="O74">
            <v>17.100000000000001</v>
          </cell>
        </row>
        <row r="75">
          <cell r="A75">
            <v>37803</v>
          </cell>
          <cell r="O75">
            <v>100.9</v>
          </cell>
        </row>
        <row r="76">
          <cell r="A76">
            <v>37805</v>
          </cell>
          <cell r="B76">
            <v>14</v>
          </cell>
          <cell r="C76">
            <v>0.17</v>
          </cell>
          <cell r="D76">
            <v>2</v>
          </cell>
          <cell r="E76">
            <v>8</v>
          </cell>
          <cell r="F76">
            <v>4</v>
          </cell>
          <cell r="G76">
            <v>3.3112582781456954</v>
          </cell>
          <cell r="H76">
            <v>7.32</v>
          </cell>
          <cell r="I76">
            <v>51</v>
          </cell>
          <cell r="J76">
            <v>1000</v>
          </cell>
          <cell r="O76">
            <v>77</v>
          </cell>
        </row>
        <row r="77">
          <cell r="A77">
            <v>37806</v>
          </cell>
          <cell r="O77">
            <v>112.8</v>
          </cell>
        </row>
        <row r="78">
          <cell r="A78">
            <v>37823</v>
          </cell>
          <cell r="O78">
            <v>21.44</v>
          </cell>
        </row>
        <row r="79">
          <cell r="A79">
            <v>37827</v>
          </cell>
          <cell r="O79">
            <v>19.809999999999999</v>
          </cell>
        </row>
        <row r="80">
          <cell r="A80">
            <v>37834</v>
          </cell>
          <cell r="O80">
            <v>229.82</v>
          </cell>
        </row>
        <row r="81">
          <cell r="A81">
            <v>37837</v>
          </cell>
          <cell r="O81">
            <v>38.74</v>
          </cell>
        </row>
        <row r="82">
          <cell r="A82">
            <v>37839</v>
          </cell>
          <cell r="O82">
            <v>14.78</v>
          </cell>
        </row>
        <row r="83">
          <cell r="A83">
            <v>37841</v>
          </cell>
          <cell r="O83">
            <v>22.08</v>
          </cell>
        </row>
        <row r="84">
          <cell r="A84">
            <v>37844</v>
          </cell>
          <cell r="O84">
            <v>34.64</v>
          </cell>
        </row>
        <row r="85">
          <cell r="A85">
            <v>37845</v>
          </cell>
          <cell r="B85">
            <v>16</v>
          </cell>
          <cell r="C85">
            <v>0.12</v>
          </cell>
          <cell r="D85">
            <v>5</v>
          </cell>
          <cell r="E85">
            <v>11</v>
          </cell>
          <cell r="F85">
            <v>4</v>
          </cell>
          <cell r="G85">
            <v>3.165</v>
          </cell>
          <cell r="H85">
            <v>7.57</v>
          </cell>
          <cell r="I85">
            <v>53</v>
          </cell>
          <cell r="J85">
            <v>10</v>
          </cell>
          <cell r="O85">
            <v>9</v>
          </cell>
        </row>
        <row r="86">
          <cell r="A86">
            <v>37846</v>
          </cell>
          <cell r="O86">
            <v>15.33</v>
          </cell>
        </row>
        <row r="87">
          <cell r="A87">
            <v>37848</v>
          </cell>
          <cell r="O87">
            <v>74.040000000000006</v>
          </cell>
        </row>
        <row r="88">
          <cell r="A88">
            <v>37853</v>
          </cell>
          <cell r="O88">
            <v>163.68</v>
          </cell>
        </row>
        <row r="89">
          <cell r="A89">
            <v>37858</v>
          </cell>
          <cell r="O89">
            <v>561.12</v>
          </cell>
        </row>
        <row r="90">
          <cell r="A90">
            <v>37860</v>
          </cell>
          <cell r="O90">
            <v>366.52</v>
          </cell>
        </row>
        <row r="91">
          <cell r="A91">
            <v>37861</v>
          </cell>
          <cell r="O91">
            <v>178</v>
          </cell>
        </row>
        <row r="92">
          <cell r="A92">
            <v>37865</v>
          </cell>
          <cell r="O92">
            <v>41.85</v>
          </cell>
        </row>
        <row r="93">
          <cell r="A93">
            <v>37869</v>
          </cell>
          <cell r="O93">
            <v>57.64</v>
          </cell>
        </row>
        <row r="94">
          <cell r="A94">
            <v>37872</v>
          </cell>
          <cell r="O94">
            <v>29.24</v>
          </cell>
        </row>
        <row r="95">
          <cell r="A95">
            <v>37874</v>
          </cell>
          <cell r="O95">
            <v>23.34</v>
          </cell>
        </row>
        <row r="96">
          <cell r="A96">
            <v>37881</v>
          </cell>
          <cell r="O96">
            <v>16.87</v>
          </cell>
        </row>
        <row r="97">
          <cell r="A97">
            <v>37883</v>
          </cell>
          <cell r="O97">
            <v>47.04</v>
          </cell>
        </row>
        <row r="98">
          <cell r="A98">
            <v>37886</v>
          </cell>
          <cell r="O98">
            <v>43.22</v>
          </cell>
        </row>
        <row r="99">
          <cell r="A99">
            <v>37888</v>
          </cell>
          <cell r="O99">
            <v>22.39</v>
          </cell>
        </row>
        <row r="100">
          <cell r="A100">
            <v>37895</v>
          </cell>
          <cell r="O100">
            <v>329</v>
          </cell>
        </row>
        <row r="101">
          <cell r="A101">
            <v>37897</v>
          </cell>
          <cell r="O101">
            <v>43.72</v>
          </cell>
        </row>
        <row r="102">
          <cell r="A102">
            <v>37900</v>
          </cell>
          <cell r="O102">
            <v>79.2</v>
          </cell>
        </row>
        <row r="103">
          <cell r="A103">
            <v>37902</v>
          </cell>
          <cell r="O103">
            <v>151</v>
          </cell>
        </row>
        <row r="104">
          <cell r="A104">
            <v>37904</v>
          </cell>
          <cell r="O104">
            <v>13.96</v>
          </cell>
        </row>
        <row r="105">
          <cell r="A105">
            <v>37907</v>
          </cell>
          <cell r="O105">
            <v>12.08</v>
          </cell>
        </row>
        <row r="106">
          <cell r="A106">
            <v>37909</v>
          </cell>
          <cell r="O106">
            <v>16.12</v>
          </cell>
        </row>
        <row r="107">
          <cell r="A107">
            <v>37911</v>
          </cell>
          <cell r="O107">
            <v>23</v>
          </cell>
        </row>
        <row r="108">
          <cell r="A108">
            <v>37914</v>
          </cell>
          <cell r="O108">
            <v>29</v>
          </cell>
        </row>
        <row r="109">
          <cell r="A109">
            <v>37916</v>
          </cell>
          <cell r="O109">
            <v>24</v>
          </cell>
        </row>
        <row r="110">
          <cell r="A110">
            <v>37917</v>
          </cell>
          <cell r="B110">
            <v>14</v>
          </cell>
          <cell r="C110">
            <v>0.1</v>
          </cell>
          <cell r="D110">
            <v>1.5</v>
          </cell>
          <cell r="E110">
            <v>10</v>
          </cell>
          <cell r="F110">
            <v>14</v>
          </cell>
          <cell r="G110">
            <v>2.4649999999999999</v>
          </cell>
          <cell r="H110">
            <v>7.2</v>
          </cell>
          <cell r="I110">
            <v>52</v>
          </cell>
          <cell r="J110">
            <v>100</v>
          </cell>
          <cell r="O110">
            <v>13</v>
          </cell>
        </row>
        <row r="111">
          <cell r="A111">
            <v>37918</v>
          </cell>
          <cell r="O111">
            <v>15</v>
          </cell>
        </row>
        <row r="112">
          <cell r="A112">
            <v>37923</v>
          </cell>
          <cell r="O112">
            <v>16</v>
          </cell>
        </row>
        <row r="113">
          <cell r="A113">
            <v>37925</v>
          </cell>
          <cell r="O113">
            <v>15.5</v>
          </cell>
        </row>
        <row r="114">
          <cell r="A114">
            <v>37929</v>
          </cell>
          <cell r="O114">
            <v>11</v>
          </cell>
        </row>
        <row r="115">
          <cell r="A115">
            <v>37930</v>
          </cell>
          <cell r="O115">
            <v>84</v>
          </cell>
        </row>
        <row r="116">
          <cell r="A116">
            <v>37932</v>
          </cell>
          <cell r="O116">
            <v>17</v>
          </cell>
        </row>
        <row r="117">
          <cell r="A117">
            <v>37935</v>
          </cell>
          <cell r="O117">
            <v>30</v>
          </cell>
        </row>
        <row r="118">
          <cell r="A118">
            <v>37938</v>
          </cell>
          <cell r="O118">
            <v>36</v>
          </cell>
        </row>
        <row r="119">
          <cell r="A119">
            <v>37939</v>
          </cell>
          <cell r="O119">
            <v>54</v>
          </cell>
        </row>
        <row r="120">
          <cell r="A120">
            <v>37942</v>
          </cell>
          <cell r="O120">
            <v>11</v>
          </cell>
        </row>
        <row r="121">
          <cell r="A121">
            <v>37944</v>
          </cell>
          <cell r="O121">
            <v>21</v>
          </cell>
        </row>
        <row r="122">
          <cell r="A122">
            <v>37949</v>
          </cell>
          <cell r="O122">
            <v>8</v>
          </cell>
        </row>
        <row r="123">
          <cell r="A123">
            <v>37951</v>
          </cell>
          <cell r="O123">
            <v>42</v>
          </cell>
        </row>
        <row r="124">
          <cell r="A124">
            <v>37956</v>
          </cell>
          <cell r="O124">
            <v>24</v>
          </cell>
        </row>
        <row r="125">
          <cell r="A125">
            <v>37958</v>
          </cell>
          <cell r="O125">
            <v>14.5</v>
          </cell>
        </row>
        <row r="126">
          <cell r="A126">
            <v>37960</v>
          </cell>
          <cell r="O126">
            <v>21.1</v>
          </cell>
        </row>
        <row r="127">
          <cell r="A127">
            <v>37964</v>
          </cell>
          <cell r="O127">
            <v>128</v>
          </cell>
        </row>
        <row r="128">
          <cell r="A128">
            <v>37966</v>
          </cell>
          <cell r="O128">
            <v>250</v>
          </cell>
        </row>
        <row r="129">
          <cell r="A129">
            <v>37970</v>
          </cell>
          <cell r="O129">
            <v>55.6</v>
          </cell>
        </row>
        <row r="130">
          <cell r="A130">
            <v>37972</v>
          </cell>
          <cell r="O130">
            <v>20.7</v>
          </cell>
        </row>
        <row r="131">
          <cell r="A131">
            <v>37977</v>
          </cell>
          <cell r="O131">
            <v>80</v>
          </cell>
        </row>
        <row r="132">
          <cell r="A132">
            <v>37978</v>
          </cell>
          <cell r="O132">
            <v>84</v>
          </cell>
        </row>
        <row r="133">
          <cell r="A133">
            <v>37991</v>
          </cell>
          <cell r="O133">
            <v>85</v>
          </cell>
        </row>
        <row r="134">
          <cell r="A134">
            <v>37993</v>
          </cell>
          <cell r="O134">
            <v>23.5</v>
          </cell>
        </row>
        <row r="135">
          <cell r="A135">
            <v>37995</v>
          </cell>
          <cell r="O135">
            <v>51</v>
          </cell>
        </row>
        <row r="136">
          <cell r="A136">
            <v>37998</v>
          </cell>
          <cell r="O136">
            <v>16</v>
          </cell>
        </row>
        <row r="137">
          <cell r="A137">
            <v>38000</v>
          </cell>
          <cell r="O137">
            <v>46</v>
          </cell>
        </row>
        <row r="138">
          <cell r="A138">
            <v>38002</v>
          </cell>
          <cell r="O138">
            <v>35.6</v>
          </cell>
        </row>
        <row r="139">
          <cell r="A139">
            <v>38005</v>
          </cell>
          <cell r="O139">
            <v>48</v>
          </cell>
        </row>
        <row r="140">
          <cell r="A140">
            <v>38009</v>
          </cell>
          <cell r="O140">
            <v>11</v>
          </cell>
        </row>
        <row r="141">
          <cell r="A141">
            <v>38012</v>
          </cell>
          <cell r="O141">
            <v>18</v>
          </cell>
        </row>
        <row r="142">
          <cell r="A142">
            <v>38044</v>
          </cell>
          <cell r="J142">
            <v>10</v>
          </cell>
        </row>
        <row r="143">
          <cell r="A143">
            <v>38019</v>
          </cell>
          <cell r="O143">
            <v>18.399999999999999</v>
          </cell>
        </row>
        <row r="144">
          <cell r="A144">
            <v>38021</v>
          </cell>
          <cell r="O144">
            <v>20.9</v>
          </cell>
        </row>
        <row r="145">
          <cell r="A145">
            <v>38023</v>
          </cell>
          <cell r="O145">
            <v>12.7</v>
          </cell>
        </row>
        <row r="146">
          <cell r="A146">
            <v>38026</v>
          </cell>
          <cell r="O146">
            <v>7.1</v>
          </cell>
        </row>
        <row r="147">
          <cell r="A147">
            <v>38028</v>
          </cell>
          <cell r="O147">
            <v>23</v>
          </cell>
        </row>
        <row r="148">
          <cell r="A148">
            <v>38030</v>
          </cell>
          <cell r="O148">
            <v>13</v>
          </cell>
        </row>
        <row r="149">
          <cell r="A149">
            <v>38033</v>
          </cell>
          <cell r="O149">
            <v>16.3</v>
          </cell>
        </row>
        <row r="150">
          <cell r="A150">
            <v>38035</v>
          </cell>
          <cell r="O150">
            <v>10.8</v>
          </cell>
        </row>
        <row r="151">
          <cell r="A151">
            <v>38037</v>
          </cell>
          <cell r="O151">
            <v>10.6</v>
          </cell>
        </row>
        <row r="152">
          <cell r="A152">
            <v>38040</v>
          </cell>
          <cell r="O152">
            <v>35.6</v>
          </cell>
        </row>
        <row r="153">
          <cell r="A153">
            <v>38044</v>
          </cell>
          <cell r="O153">
            <v>14</v>
          </cell>
        </row>
        <row r="154">
          <cell r="A154">
            <v>38051</v>
          </cell>
          <cell r="O154">
            <v>80</v>
          </cell>
        </row>
        <row r="155">
          <cell r="A155">
            <v>38054</v>
          </cell>
          <cell r="O155">
            <v>17</v>
          </cell>
        </row>
        <row r="156">
          <cell r="A156">
            <v>38056</v>
          </cell>
          <cell r="O156">
            <v>46</v>
          </cell>
        </row>
        <row r="157">
          <cell r="A157">
            <v>38058</v>
          </cell>
          <cell r="O157">
            <v>66</v>
          </cell>
        </row>
        <row r="158">
          <cell r="A158">
            <v>38063</v>
          </cell>
          <cell r="O158">
            <v>10</v>
          </cell>
        </row>
        <row r="159">
          <cell r="A159">
            <v>38065</v>
          </cell>
          <cell r="O159">
            <v>17</v>
          </cell>
        </row>
        <row r="160">
          <cell r="A160">
            <v>38068</v>
          </cell>
          <cell r="O160">
            <v>95</v>
          </cell>
        </row>
        <row r="161">
          <cell r="A161">
            <v>38072</v>
          </cell>
          <cell r="O161">
            <v>150</v>
          </cell>
        </row>
        <row r="162">
          <cell r="A162">
            <v>38076</v>
          </cell>
          <cell r="O162">
            <v>25</v>
          </cell>
        </row>
        <row r="163">
          <cell r="A163">
            <v>38083</v>
          </cell>
          <cell r="J163">
            <v>10</v>
          </cell>
        </row>
        <row r="164">
          <cell r="A164">
            <v>38085</v>
          </cell>
          <cell r="O164">
            <v>35.200000000000003</v>
          </cell>
        </row>
        <row r="165">
          <cell r="A165">
            <v>38087</v>
          </cell>
          <cell r="O165">
            <v>18.399999999999999</v>
          </cell>
        </row>
        <row r="166">
          <cell r="A166">
            <v>38089</v>
          </cell>
          <cell r="J166">
            <v>0</v>
          </cell>
          <cell r="O166">
            <v>26</v>
          </cell>
        </row>
        <row r="167">
          <cell r="A167">
            <v>38091</v>
          </cell>
          <cell r="O167">
            <v>168.8</v>
          </cell>
        </row>
        <row r="168">
          <cell r="A168">
            <v>38093</v>
          </cell>
          <cell r="O168">
            <v>17.2</v>
          </cell>
        </row>
        <row r="169">
          <cell r="A169">
            <v>38094</v>
          </cell>
          <cell r="B169">
            <v>11</v>
          </cell>
          <cell r="C169">
            <v>0.22</v>
          </cell>
          <cell r="D169">
            <v>7.5</v>
          </cell>
          <cell r="E169">
            <v>9</v>
          </cell>
          <cell r="F169">
            <v>12</v>
          </cell>
          <cell r="G169">
            <v>2.0750000000000002</v>
          </cell>
          <cell r="H169">
            <v>7.3</v>
          </cell>
          <cell r="I169">
            <v>56</v>
          </cell>
          <cell r="J169">
            <v>10</v>
          </cell>
          <cell r="O169">
            <v>31</v>
          </cell>
        </row>
        <row r="170">
          <cell r="A170">
            <v>38095</v>
          </cell>
          <cell r="O170">
            <v>16.8</v>
          </cell>
        </row>
        <row r="171">
          <cell r="A171">
            <v>38098</v>
          </cell>
          <cell r="O171">
            <v>43.4</v>
          </cell>
        </row>
        <row r="172">
          <cell r="A172">
            <v>38103</v>
          </cell>
          <cell r="O172">
            <v>30.4</v>
          </cell>
        </row>
        <row r="173">
          <cell r="A173">
            <v>38106</v>
          </cell>
          <cell r="O173">
            <v>14.9</v>
          </cell>
        </row>
        <row r="174">
          <cell r="A174">
            <v>38110</v>
          </cell>
          <cell r="O174">
            <v>28</v>
          </cell>
        </row>
        <row r="175">
          <cell r="A175">
            <v>38111</v>
          </cell>
          <cell r="J175">
            <v>10</v>
          </cell>
          <cell r="O175">
            <v>34</v>
          </cell>
        </row>
        <row r="176">
          <cell r="A176">
            <v>38112</v>
          </cell>
          <cell r="O176">
            <v>20</v>
          </cell>
        </row>
        <row r="177">
          <cell r="A177">
            <v>38114</v>
          </cell>
          <cell r="O177">
            <v>22.5</v>
          </cell>
        </row>
        <row r="178">
          <cell r="A178">
            <v>38117</v>
          </cell>
          <cell r="O178">
            <v>79.2</v>
          </cell>
        </row>
        <row r="179">
          <cell r="A179">
            <v>38119</v>
          </cell>
          <cell r="O179">
            <v>31.8</v>
          </cell>
        </row>
        <row r="180">
          <cell r="A180">
            <v>38121</v>
          </cell>
          <cell r="O180">
            <v>18.5</v>
          </cell>
        </row>
        <row r="181">
          <cell r="A181">
            <v>38124</v>
          </cell>
          <cell r="O181">
            <v>16</v>
          </cell>
        </row>
        <row r="182">
          <cell r="A182">
            <v>38126</v>
          </cell>
          <cell r="O182">
            <v>68</v>
          </cell>
        </row>
        <row r="183">
          <cell r="A183">
            <v>38127</v>
          </cell>
          <cell r="B183">
            <v>15</v>
          </cell>
          <cell r="C183">
            <v>0.32</v>
          </cell>
          <cell r="D183">
            <v>2</v>
          </cell>
          <cell r="E183">
            <v>6</v>
          </cell>
          <cell r="F183">
            <v>1</v>
          </cell>
          <cell r="H183">
            <v>7.7</v>
          </cell>
          <cell r="I183">
            <v>57</v>
          </cell>
          <cell r="J183">
            <v>1000</v>
          </cell>
          <cell r="O183">
            <v>42</v>
          </cell>
        </row>
        <row r="184">
          <cell r="A184">
            <v>38128</v>
          </cell>
          <cell r="O184">
            <v>135</v>
          </cell>
        </row>
        <row r="185">
          <cell r="A185">
            <v>38135</v>
          </cell>
          <cell r="O185">
            <v>90</v>
          </cell>
        </row>
        <row r="186">
          <cell r="A186">
            <v>38140</v>
          </cell>
          <cell r="O186">
            <v>61.2</v>
          </cell>
        </row>
        <row r="187">
          <cell r="A187">
            <v>38147</v>
          </cell>
          <cell r="O187">
            <v>25.62</v>
          </cell>
        </row>
        <row r="188">
          <cell r="A188">
            <v>38149</v>
          </cell>
          <cell r="O188">
            <v>24.6</v>
          </cell>
        </row>
        <row r="189">
          <cell r="A189">
            <v>38152</v>
          </cell>
          <cell r="O189">
            <v>193.63</v>
          </cell>
        </row>
        <row r="190">
          <cell r="A190">
            <v>38156</v>
          </cell>
          <cell r="O190">
            <v>28.14</v>
          </cell>
        </row>
        <row r="191">
          <cell r="A191">
            <v>38159</v>
          </cell>
          <cell r="O191">
            <v>33.880000000000003</v>
          </cell>
        </row>
        <row r="192">
          <cell r="A192">
            <v>38163</v>
          </cell>
          <cell r="O192">
            <v>65.2</v>
          </cell>
        </row>
        <row r="193">
          <cell r="A193">
            <v>38168</v>
          </cell>
          <cell r="O193">
            <v>68.44</v>
          </cell>
        </row>
        <row r="194">
          <cell r="A194">
            <v>38170</v>
          </cell>
          <cell r="O194">
            <v>36.799999999999997</v>
          </cell>
        </row>
        <row r="195">
          <cell r="A195">
            <v>38175</v>
          </cell>
          <cell r="O195">
            <v>16.899999999999999</v>
          </cell>
        </row>
        <row r="196">
          <cell r="A196">
            <v>38176</v>
          </cell>
          <cell r="O196">
            <v>19</v>
          </cell>
        </row>
        <row r="197">
          <cell r="A197">
            <v>38182</v>
          </cell>
          <cell r="O197">
            <v>7</v>
          </cell>
        </row>
        <row r="198">
          <cell r="A198">
            <v>38184</v>
          </cell>
          <cell r="O198">
            <v>13.9</v>
          </cell>
        </row>
        <row r="199">
          <cell r="A199">
            <v>38187</v>
          </cell>
          <cell r="O199">
            <v>16.39</v>
          </cell>
        </row>
        <row r="200">
          <cell r="A200">
            <v>38189</v>
          </cell>
          <cell r="O200">
            <v>36.81</v>
          </cell>
        </row>
        <row r="201">
          <cell r="A201">
            <v>38194</v>
          </cell>
          <cell r="O201">
            <v>40.32</v>
          </cell>
        </row>
        <row r="202">
          <cell r="A202">
            <v>38196</v>
          </cell>
          <cell r="O202">
            <v>5.35</v>
          </cell>
        </row>
        <row r="203">
          <cell r="A203">
            <v>38198</v>
          </cell>
          <cell r="O203">
            <v>31.1</v>
          </cell>
        </row>
        <row r="204">
          <cell r="A204">
            <v>38201</v>
          </cell>
          <cell r="O204">
            <v>14.3</v>
          </cell>
        </row>
        <row r="205">
          <cell r="A205">
            <v>38203</v>
          </cell>
          <cell r="O205">
            <v>8.9</v>
          </cell>
        </row>
        <row r="206">
          <cell r="A206">
            <v>38205</v>
          </cell>
          <cell r="O206">
            <v>47.11</v>
          </cell>
        </row>
        <row r="207">
          <cell r="A207">
            <v>38208</v>
          </cell>
          <cell r="O207">
            <v>9.6</v>
          </cell>
        </row>
        <row r="208">
          <cell r="A208">
            <v>38210</v>
          </cell>
          <cell r="O208">
            <v>19.3</v>
          </cell>
        </row>
        <row r="209">
          <cell r="A209">
            <v>38212</v>
          </cell>
          <cell r="O209">
            <v>5.2</v>
          </cell>
        </row>
        <row r="210">
          <cell r="A210">
            <v>38216</v>
          </cell>
          <cell r="O210">
            <v>32</v>
          </cell>
        </row>
        <row r="211">
          <cell r="A211">
            <v>38218</v>
          </cell>
          <cell r="B211">
            <v>4</v>
          </cell>
          <cell r="C211">
            <v>0.6</v>
          </cell>
          <cell r="D211">
            <v>3</v>
          </cell>
          <cell r="E211">
            <v>10</v>
          </cell>
          <cell r="F211">
            <v>4</v>
          </cell>
          <cell r="G211">
            <v>2.1785999999999999</v>
          </cell>
          <cell r="H211">
            <v>7.6</v>
          </cell>
          <cell r="I211">
            <v>58</v>
          </cell>
          <cell r="J211">
            <v>10</v>
          </cell>
          <cell r="O211">
            <v>13</v>
          </cell>
        </row>
        <row r="212">
          <cell r="A212">
            <v>38219</v>
          </cell>
          <cell r="O212">
            <v>13.5</v>
          </cell>
        </row>
        <row r="213">
          <cell r="A213">
            <v>38222</v>
          </cell>
          <cell r="O213">
            <v>24</v>
          </cell>
        </row>
        <row r="214">
          <cell r="A214">
            <v>38224</v>
          </cell>
          <cell r="O214">
            <v>34</v>
          </cell>
        </row>
        <row r="215">
          <cell r="A215">
            <v>38226</v>
          </cell>
          <cell r="O215">
            <v>10</v>
          </cell>
        </row>
        <row r="216">
          <cell r="A216">
            <v>38229</v>
          </cell>
          <cell r="O216">
            <v>19</v>
          </cell>
        </row>
        <row r="217">
          <cell r="A217">
            <v>38231</v>
          </cell>
          <cell r="O217">
            <v>31.44</v>
          </cell>
          <cell r="P217" t="str">
            <v>Lab. C.D. 31 ppm H.C:</v>
          </cell>
        </row>
        <row r="218">
          <cell r="A218">
            <v>38233</v>
          </cell>
          <cell r="O218">
            <v>9</v>
          </cell>
        </row>
        <row r="219">
          <cell r="A219">
            <v>38236</v>
          </cell>
          <cell r="O219">
            <v>25</v>
          </cell>
        </row>
        <row r="220">
          <cell r="A220">
            <v>38238</v>
          </cell>
          <cell r="O220">
            <v>18</v>
          </cell>
        </row>
        <row r="221">
          <cell r="A221">
            <v>38240</v>
          </cell>
          <cell r="O221">
            <v>23</v>
          </cell>
        </row>
        <row r="222">
          <cell r="A222">
            <v>38243</v>
          </cell>
          <cell r="O222">
            <v>24</v>
          </cell>
        </row>
        <row r="223">
          <cell r="A223">
            <v>38245</v>
          </cell>
          <cell r="O223">
            <v>16</v>
          </cell>
        </row>
        <row r="224">
          <cell r="A224">
            <v>38247</v>
          </cell>
          <cell r="O224">
            <v>9</v>
          </cell>
        </row>
        <row r="225">
          <cell r="A225">
            <v>38252</v>
          </cell>
          <cell r="O225">
            <v>77</v>
          </cell>
        </row>
        <row r="226">
          <cell r="A226">
            <v>38267</v>
          </cell>
          <cell r="D226">
            <v>1.5</v>
          </cell>
          <cell r="E226">
            <v>5</v>
          </cell>
          <cell r="F226">
            <v>4</v>
          </cell>
          <cell r="H226">
            <v>7.4</v>
          </cell>
          <cell r="I226">
            <v>53</v>
          </cell>
          <cell r="J226">
            <v>1000</v>
          </cell>
          <cell r="O226">
            <v>54</v>
          </cell>
        </row>
        <row r="227">
          <cell r="A227">
            <v>38280</v>
          </cell>
          <cell r="J227">
            <v>10</v>
          </cell>
        </row>
        <row r="228">
          <cell r="A228">
            <v>38301</v>
          </cell>
          <cell r="D228">
            <v>2</v>
          </cell>
          <cell r="E228">
            <v>7</v>
          </cell>
          <cell r="F228">
            <v>70</v>
          </cell>
          <cell r="H228">
            <v>7.67</v>
          </cell>
          <cell r="I228">
            <v>58</v>
          </cell>
          <cell r="J228">
            <v>1000</v>
          </cell>
          <cell r="O228">
            <v>32</v>
          </cell>
        </row>
        <row r="229">
          <cell r="A229">
            <v>38324</v>
          </cell>
          <cell r="O229">
            <v>25</v>
          </cell>
        </row>
        <row r="230">
          <cell r="A230">
            <v>38327</v>
          </cell>
          <cell r="O230">
            <v>13</v>
          </cell>
        </row>
        <row r="231">
          <cell r="A231">
            <v>38329</v>
          </cell>
          <cell r="O231">
            <v>11</v>
          </cell>
        </row>
        <row r="232">
          <cell r="A232">
            <v>38331</v>
          </cell>
          <cell r="D232">
            <v>3</v>
          </cell>
          <cell r="E232">
            <v>6</v>
          </cell>
          <cell r="F232">
            <v>50</v>
          </cell>
          <cell r="H232">
            <v>8.1</v>
          </cell>
          <cell r="I232">
            <v>55</v>
          </cell>
          <cell r="J232">
            <v>100</v>
          </cell>
          <cell r="O232">
            <v>30</v>
          </cell>
        </row>
        <row r="233">
          <cell r="A233">
            <v>38338</v>
          </cell>
          <cell r="O233">
            <v>59</v>
          </cell>
        </row>
        <row r="234">
          <cell r="A234">
            <v>38341</v>
          </cell>
          <cell r="O234">
            <v>32.36</v>
          </cell>
        </row>
        <row r="235">
          <cell r="A235">
            <v>38343</v>
          </cell>
          <cell r="O235">
            <v>22.14</v>
          </cell>
        </row>
        <row r="236">
          <cell r="A236">
            <v>38376</v>
          </cell>
          <cell r="B236">
            <v>14</v>
          </cell>
          <cell r="C236">
            <v>0.12</v>
          </cell>
          <cell r="D236">
            <v>5</v>
          </cell>
          <cell r="E236">
            <v>8</v>
          </cell>
          <cell r="F236">
            <v>2</v>
          </cell>
          <cell r="G236">
            <v>2.8010999999999999</v>
          </cell>
          <cell r="H236">
            <v>8.17</v>
          </cell>
          <cell r="I236">
            <v>58</v>
          </cell>
          <cell r="J236">
            <v>0</v>
          </cell>
          <cell r="O236">
            <v>17</v>
          </cell>
        </row>
        <row r="237">
          <cell r="A237">
            <v>38350</v>
          </cell>
          <cell r="O237">
            <v>31.72</v>
          </cell>
        </row>
        <row r="238">
          <cell r="A238">
            <v>38357</v>
          </cell>
          <cell r="O238">
            <v>26</v>
          </cell>
        </row>
        <row r="239">
          <cell r="A239">
            <v>38359</v>
          </cell>
          <cell r="O239">
            <v>26.8</v>
          </cell>
        </row>
        <row r="240">
          <cell r="A240">
            <v>38362</v>
          </cell>
          <cell r="O240">
            <v>17.2</v>
          </cell>
        </row>
        <row r="241">
          <cell r="A241">
            <v>38366</v>
          </cell>
          <cell r="O241">
            <v>13.7</v>
          </cell>
        </row>
        <row r="242">
          <cell r="A242">
            <v>38371</v>
          </cell>
          <cell r="O242">
            <v>28.9</v>
          </cell>
        </row>
        <row r="243">
          <cell r="A243">
            <v>38373</v>
          </cell>
          <cell r="O243">
            <v>12</v>
          </cell>
        </row>
        <row r="244">
          <cell r="A244">
            <v>38376</v>
          </cell>
          <cell r="O244">
            <v>49</v>
          </cell>
        </row>
        <row r="245">
          <cell r="A245">
            <v>38378</v>
          </cell>
          <cell r="O245">
            <v>14.7</v>
          </cell>
        </row>
        <row r="246">
          <cell r="A246">
            <v>38380</v>
          </cell>
          <cell r="O246">
            <v>18.2</v>
          </cell>
        </row>
        <row r="247">
          <cell r="A247">
            <v>38383</v>
          </cell>
          <cell r="O247">
            <v>12.2</v>
          </cell>
        </row>
        <row r="248">
          <cell r="A248">
            <v>38385</v>
          </cell>
          <cell r="O248">
            <v>11</v>
          </cell>
        </row>
        <row r="249">
          <cell r="A249">
            <v>38387</v>
          </cell>
          <cell r="O249">
            <v>10.6</v>
          </cell>
        </row>
        <row r="250">
          <cell r="A250">
            <v>38390</v>
          </cell>
          <cell r="O250">
            <v>16.5</v>
          </cell>
        </row>
        <row r="251">
          <cell r="A251">
            <v>38392</v>
          </cell>
          <cell r="O251">
            <v>20</v>
          </cell>
        </row>
        <row r="252">
          <cell r="A252">
            <v>38394</v>
          </cell>
          <cell r="O252">
            <v>11.1</v>
          </cell>
        </row>
        <row r="253">
          <cell r="A253">
            <v>38397</v>
          </cell>
          <cell r="O253">
            <v>10.3</v>
          </cell>
        </row>
        <row r="254">
          <cell r="A254">
            <v>38399</v>
          </cell>
          <cell r="O254">
            <v>30</v>
          </cell>
        </row>
        <row r="255">
          <cell r="A255">
            <v>38401</v>
          </cell>
          <cell r="B255">
            <v>28</v>
          </cell>
          <cell r="C255">
            <v>0.19</v>
          </cell>
          <cell r="D255">
            <v>4</v>
          </cell>
          <cell r="E255">
            <v>6</v>
          </cell>
          <cell r="F255">
            <v>60</v>
          </cell>
          <cell r="G255">
            <v>2.7776999999999998</v>
          </cell>
          <cell r="H255">
            <v>8.1199999999999992</v>
          </cell>
          <cell r="I255">
            <v>61</v>
          </cell>
          <cell r="J255">
            <v>100</v>
          </cell>
          <cell r="O255">
            <v>5</v>
          </cell>
        </row>
        <row r="256">
          <cell r="A256">
            <v>38404</v>
          </cell>
          <cell r="O256">
            <v>7.16</v>
          </cell>
        </row>
        <row r="257">
          <cell r="A257">
            <v>38406</v>
          </cell>
          <cell r="O257">
            <v>20.399999999999999</v>
          </cell>
        </row>
        <row r="258">
          <cell r="A258">
            <v>38411</v>
          </cell>
          <cell r="O258">
            <v>21.01</v>
          </cell>
        </row>
        <row r="259">
          <cell r="A259">
            <v>38413</v>
          </cell>
          <cell r="O259">
            <v>20</v>
          </cell>
        </row>
        <row r="260">
          <cell r="A260">
            <v>38414</v>
          </cell>
          <cell r="B260">
            <v>22</v>
          </cell>
          <cell r="C260">
            <v>0.1</v>
          </cell>
          <cell r="D260">
            <v>1</v>
          </cell>
          <cell r="E260">
            <v>8</v>
          </cell>
          <cell r="F260">
            <v>150</v>
          </cell>
          <cell r="G260">
            <v>2.7471999999999999</v>
          </cell>
          <cell r="H260">
            <v>7.78</v>
          </cell>
          <cell r="I260">
            <v>58</v>
          </cell>
          <cell r="J260">
            <v>10</v>
          </cell>
          <cell r="O260">
            <v>6</v>
          </cell>
        </row>
        <row r="261">
          <cell r="A261">
            <v>38415</v>
          </cell>
          <cell r="O261">
            <v>37.200000000000003</v>
          </cell>
        </row>
        <row r="262">
          <cell r="A262">
            <v>38418</v>
          </cell>
          <cell r="O262">
            <v>12.7</v>
          </cell>
        </row>
        <row r="263">
          <cell r="A263">
            <v>38420</v>
          </cell>
          <cell r="O263">
            <v>10.6</v>
          </cell>
        </row>
        <row r="264">
          <cell r="A264">
            <v>38425</v>
          </cell>
          <cell r="O264">
            <v>24.82</v>
          </cell>
        </row>
        <row r="265">
          <cell r="A265">
            <v>38427</v>
          </cell>
          <cell r="O265">
            <v>39.15</v>
          </cell>
        </row>
        <row r="266">
          <cell r="A266">
            <v>38429</v>
          </cell>
          <cell r="O266">
            <v>14.62</v>
          </cell>
        </row>
        <row r="267">
          <cell r="A267">
            <v>38432</v>
          </cell>
          <cell r="O267">
            <v>12.85</v>
          </cell>
        </row>
        <row r="268">
          <cell r="A268">
            <v>38434</v>
          </cell>
          <cell r="O268">
            <v>34.86</v>
          </cell>
        </row>
        <row r="269">
          <cell r="A269">
            <v>38439</v>
          </cell>
          <cell r="O269">
            <v>78</v>
          </cell>
        </row>
        <row r="270">
          <cell r="A270">
            <v>38447</v>
          </cell>
          <cell r="O270">
            <v>10.4</v>
          </cell>
        </row>
        <row r="271">
          <cell r="A271">
            <v>38450</v>
          </cell>
          <cell r="O271">
            <v>44.3</v>
          </cell>
        </row>
        <row r="272">
          <cell r="A272">
            <v>38453</v>
          </cell>
          <cell r="O272">
            <v>7.5</v>
          </cell>
        </row>
        <row r="273">
          <cell r="A273">
            <v>38455</v>
          </cell>
          <cell r="O273">
            <v>14</v>
          </cell>
        </row>
        <row r="274">
          <cell r="A274">
            <v>38456</v>
          </cell>
          <cell r="B274" t="str">
            <v>S/M</v>
          </cell>
          <cell r="C274" t="str">
            <v>S/M</v>
          </cell>
          <cell r="D274" t="str">
            <v>S/M</v>
          </cell>
          <cell r="E274" t="str">
            <v>S/M</v>
          </cell>
          <cell r="F274" t="str">
            <v>S/M</v>
          </cell>
          <cell r="G274" t="str">
            <v>S/M</v>
          </cell>
          <cell r="H274" t="str">
            <v>S/M</v>
          </cell>
          <cell r="I274" t="str">
            <v>S/M</v>
          </cell>
          <cell r="J274" t="str">
            <v>S/M</v>
          </cell>
          <cell r="K274" t="str">
            <v>S/M</v>
          </cell>
          <cell r="L274" t="str">
            <v>S/M</v>
          </cell>
          <cell r="M274" t="str">
            <v>S/M</v>
          </cell>
          <cell r="N274" t="str">
            <v>S/M</v>
          </cell>
          <cell r="O274" t="str">
            <v>S/M</v>
          </cell>
          <cell r="P274" t="str">
            <v>S/M</v>
          </cell>
        </row>
        <row r="275">
          <cell r="A275">
            <v>38460</v>
          </cell>
          <cell r="O275">
            <v>5.54</v>
          </cell>
        </row>
        <row r="276">
          <cell r="A276">
            <v>38461</v>
          </cell>
          <cell r="O276">
            <v>17.18</v>
          </cell>
        </row>
        <row r="277">
          <cell r="A277">
            <v>38462</v>
          </cell>
          <cell r="O277">
            <v>16.39</v>
          </cell>
        </row>
        <row r="278">
          <cell r="A278">
            <v>38462</v>
          </cell>
          <cell r="O278">
            <v>156.72</v>
          </cell>
        </row>
        <row r="279">
          <cell r="A279">
            <v>38467</v>
          </cell>
          <cell r="O279">
            <v>28.1</v>
          </cell>
          <cell r="P279" t="str">
            <v>otra muestracon 20.2 ppm de Hc</v>
          </cell>
        </row>
        <row r="280">
          <cell r="A280">
            <v>38468</v>
          </cell>
          <cell r="O280">
            <v>43.1</v>
          </cell>
        </row>
        <row r="281">
          <cell r="A281">
            <v>38485</v>
          </cell>
          <cell r="B281" t="str">
            <v>F/S</v>
          </cell>
          <cell r="C281" t="str">
            <v>F/S</v>
          </cell>
          <cell r="D281" t="str">
            <v>F/S</v>
          </cell>
          <cell r="E281" t="str">
            <v>F/S</v>
          </cell>
          <cell r="F281" t="str">
            <v>F/S</v>
          </cell>
          <cell r="G281" t="str">
            <v>F/S</v>
          </cell>
          <cell r="H281" t="str">
            <v>F/S</v>
          </cell>
          <cell r="I281" t="str">
            <v>F/S</v>
          </cell>
          <cell r="J281" t="str">
            <v>F/S</v>
          </cell>
          <cell r="K281" t="str">
            <v>F/S</v>
          </cell>
          <cell r="L281" t="str">
            <v>F/S</v>
          </cell>
          <cell r="M281" t="str">
            <v>F/S</v>
          </cell>
          <cell r="N281" t="str">
            <v>F/S</v>
          </cell>
          <cell r="O281" t="str">
            <v>F/S</v>
          </cell>
          <cell r="P281" t="str">
            <v>F/S</v>
          </cell>
        </row>
        <row r="282">
          <cell r="A282">
            <v>38505</v>
          </cell>
        </row>
        <row r="283">
          <cell r="A283">
            <v>38506</v>
          </cell>
          <cell r="B283" t="str">
            <v>F/S</v>
          </cell>
          <cell r="C283" t="str">
            <v>F/S</v>
          </cell>
          <cell r="D283" t="str">
            <v>F/S</v>
          </cell>
          <cell r="E283" t="str">
            <v>F/S</v>
          </cell>
          <cell r="F283" t="str">
            <v>F/S</v>
          </cell>
          <cell r="G283" t="str">
            <v>F/S</v>
          </cell>
          <cell r="H283" t="str">
            <v>F/S</v>
          </cell>
          <cell r="I283" t="str">
            <v>F/S</v>
          </cell>
          <cell r="J283" t="str">
            <v>F/S</v>
          </cell>
          <cell r="K283" t="str">
            <v>F/S</v>
          </cell>
          <cell r="L283" t="str">
            <v>F/S</v>
          </cell>
          <cell r="M283" t="str">
            <v>F/S</v>
          </cell>
          <cell r="N283" t="str">
            <v>F/S</v>
          </cell>
          <cell r="O283" t="str">
            <v>F/S</v>
          </cell>
          <cell r="P283" t="str">
            <v>F/S</v>
          </cell>
        </row>
        <row r="284">
          <cell r="A284">
            <v>38509</v>
          </cell>
          <cell r="O284">
            <v>14.9</v>
          </cell>
        </row>
        <row r="285">
          <cell r="A285">
            <v>38511</v>
          </cell>
          <cell r="O285">
            <v>10.6</v>
          </cell>
        </row>
        <row r="286">
          <cell r="A286">
            <v>38519</v>
          </cell>
          <cell r="O286">
            <v>12</v>
          </cell>
        </row>
        <row r="287">
          <cell r="A287">
            <v>38544</v>
          </cell>
          <cell r="D287">
            <v>4</v>
          </cell>
          <cell r="E287">
            <v>4</v>
          </cell>
          <cell r="F287">
            <v>30</v>
          </cell>
          <cell r="H287">
            <v>7.78</v>
          </cell>
          <cell r="I287">
            <v>55</v>
          </cell>
          <cell r="J287">
            <v>1000</v>
          </cell>
          <cell r="O287">
            <v>36</v>
          </cell>
        </row>
        <row r="288">
          <cell r="A288">
            <v>38545</v>
          </cell>
          <cell r="O288">
            <v>9.4</v>
          </cell>
        </row>
        <row r="289">
          <cell r="A289">
            <v>38551</v>
          </cell>
          <cell r="O289">
            <v>29.7</v>
          </cell>
        </row>
        <row r="290">
          <cell r="A290">
            <v>38555</v>
          </cell>
          <cell r="O290">
            <v>16.7</v>
          </cell>
        </row>
        <row r="291">
          <cell r="A291">
            <v>38559</v>
          </cell>
          <cell r="O291">
            <v>12.2</v>
          </cell>
        </row>
        <row r="292">
          <cell r="A292">
            <v>38560</v>
          </cell>
          <cell r="O292">
            <v>25.4</v>
          </cell>
        </row>
        <row r="293">
          <cell r="A293">
            <v>38562</v>
          </cell>
          <cell r="O293">
            <v>25.3</v>
          </cell>
        </row>
        <row r="294">
          <cell r="A294">
            <v>38565</v>
          </cell>
          <cell r="O294">
            <v>22</v>
          </cell>
        </row>
        <row r="295">
          <cell r="A295">
            <v>38567</v>
          </cell>
          <cell r="O295">
            <v>9.5</v>
          </cell>
        </row>
        <row r="296">
          <cell r="A296">
            <v>38569</v>
          </cell>
          <cell r="O296">
            <v>35.1</v>
          </cell>
        </row>
        <row r="297">
          <cell r="A297">
            <v>38574</v>
          </cell>
          <cell r="O297">
            <v>31.4</v>
          </cell>
        </row>
        <row r="298">
          <cell r="A298">
            <v>38576</v>
          </cell>
          <cell r="O298">
            <v>34.5</v>
          </cell>
        </row>
        <row r="299">
          <cell r="A299">
            <v>38581</v>
          </cell>
          <cell r="O299">
            <v>21.2</v>
          </cell>
        </row>
        <row r="300">
          <cell r="A300">
            <v>38583</v>
          </cell>
          <cell r="O300">
            <v>25.4</v>
          </cell>
        </row>
        <row r="301">
          <cell r="A301">
            <v>38586</v>
          </cell>
          <cell r="O301">
            <v>11</v>
          </cell>
        </row>
        <row r="302">
          <cell r="A302">
            <v>38588</v>
          </cell>
          <cell r="D302">
            <v>5</v>
          </cell>
          <cell r="E302">
            <v>4</v>
          </cell>
          <cell r="F302">
            <v>18</v>
          </cell>
          <cell r="H302">
            <v>7.7</v>
          </cell>
          <cell r="I302">
            <v>48</v>
          </cell>
          <cell r="J302">
            <v>100</v>
          </cell>
          <cell r="O302">
            <v>15</v>
          </cell>
          <cell r="P302" t="str">
            <v>Lab. C.D. 14.7ppm H.C:</v>
          </cell>
        </row>
        <row r="303">
          <cell r="A303">
            <v>38590</v>
          </cell>
          <cell r="O303">
            <v>13.4</v>
          </cell>
        </row>
        <row r="304">
          <cell r="A304">
            <v>38593</v>
          </cell>
          <cell r="O304">
            <v>8.7200000000000006</v>
          </cell>
        </row>
        <row r="305">
          <cell r="A305">
            <v>38595</v>
          </cell>
          <cell r="O305">
            <v>11.1</v>
          </cell>
        </row>
        <row r="306">
          <cell r="A306">
            <v>38600</v>
          </cell>
          <cell r="O306">
            <v>7.7</v>
          </cell>
        </row>
        <row r="307">
          <cell r="A307">
            <v>38602</v>
          </cell>
          <cell r="O307">
            <v>15.2</v>
          </cell>
        </row>
        <row r="308">
          <cell r="A308">
            <v>38607</v>
          </cell>
          <cell r="O308">
            <v>10.7</v>
          </cell>
        </row>
        <row r="309">
          <cell r="A309">
            <v>38611</v>
          </cell>
          <cell r="O309">
            <v>6.5</v>
          </cell>
        </row>
        <row r="310">
          <cell r="A310">
            <v>38614</v>
          </cell>
          <cell r="O310">
            <v>19.899999999999999</v>
          </cell>
        </row>
        <row r="311">
          <cell r="A311">
            <v>38616</v>
          </cell>
          <cell r="O311">
            <v>17.5</v>
          </cell>
        </row>
        <row r="312">
          <cell r="A312">
            <v>38621</v>
          </cell>
          <cell r="O312">
            <v>17.600000000000001</v>
          </cell>
        </row>
        <row r="313">
          <cell r="A313">
            <v>38644</v>
          </cell>
          <cell r="O313">
            <v>12.9</v>
          </cell>
        </row>
        <row r="314">
          <cell r="A314">
            <v>38651</v>
          </cell>
          <cell r="O314">
            <v>15.3</v>
          </cell>
        </row>
        <row r="315">
          <cell r="A315">
            <v>38646</v>
          </cell>
          <cell r="D315">
            <v>3</v>
          </cell>
          <cell r="E315">
            <v>8</v>
          </cell>
          <cell r="F315">
            <v>20</v>
          </cell>
          <cell r="H315">
            <v>7.14</v>
          </cell>
          <cell r="I315">
            <v>54</v>
          </cell>
          <cell r="J315">
            <v>1000</v>
          </cell>
          <cell r="O315">
            <v>15</v>
          </cell>
        </row>
        <row r="316">
          <cell r="A316">
            <v>38659</v>
          </cell>
          <cell r="O316">
            <v>37.299999999999997</v>
          </cell>
        </row>
        <row r="317">
          <cell r="A317">
            <v>38672</v>
          </cell>
          <cell r="D317">
            <v>3</v>
          </cell>
          <cell r="E317">
            <v>10</v>
          </cell>
          <cell r="F317">
            <v>10</v>
          </cell>
          <cell r="H317">
            <v>7.49</v>
          </cell>
          <cell r="I317">
            <v>53</v>
          </cell>
          <cell r="J317">
            <v>10000</v>
          </cell>
          <cell r="O317">
            <v>6</v>
          </cell>
        </row>
        <row r="318">
          <cell r="A318">
            <v>38687</v>
          </cell>
          <cell r="O318">
            <v>6.3</v>
          </cell>
        </row>
        <row r="319">
          <cell r="A319">
            <v>38699</v>
          </cell>
          <cell r="O319">
            <v>8.4</v>
          </cell>
        </row>
        <row r="320">
          <cell r="A320">
            <v>38701</v>
          </cell>
          <cell r="D320">
            <v>1</v>
          </cell>
          <cell r="E320">
            <v>7</v>
          </cell>
          <cell r="F320">
            <v>60</v>
          </cell>
          <cell r="H320" t="str">
            <v>7,60</v>
          </cell>
          <cell r="I320">
            <v>55</v>
          </cell>
          <cell r="J320">
            <v>1000</v>
          </cell>
          <cell r="O320">
            <v>13</v>
          </cell>
        </row>
        <row r="321">
          <cell r="A321">
            <v>38707</v>
          </cell>
          <cell r="O321">
            <v>10.1</v>
          </cell>
        </row>
        <row r="322">
          <cell r="A322">
            <v>38729</v>
          </cell>
          <cell r="D322">
            <v>2</v>
          </cell>
          <cell r="E322">
            <v>6</v>
          </cell>
          <cell r="F322">
            <v>8</v>
          </cell>
          <cell r="H322">
            <v>7.48</v>
          </cell>
          <cell r="I322">
            <v>57</v>
          </cell>
          <cell r="J322">
            <v>10</v>
          </cell>
          <cell r="O322">
            <v>17</v>
          </cell>
        </row>
        <row r="323">
          <cell r="A323">
            <v>38737</v>
          </cell>
          <cell r="O323">
            <v>24.1</v>
          </cell>
        </row>
        <row r="324">
          <cell r="A324">
            <v>38763</v>
          </cell>
          <cell r="J324">
            <v>100</v>
          </cell>
        </row>
        <row r="325">
          <cell r="A325">
            <v>38810</v>
          </cell>
          <cell r="J325">
            <v>10</v>
          </cell>
        </row>
        <row r="326">
          <cell r="A326">
            <v>38827</v>
          </cell>
          <cell r="D326">
            <v>3</v>
          </cell>
          <cell r="E326">
            <v>8</v>
          </cell>
          <cell r="F326">
            <v>12</v>
          </cell>
          <cell r="H326">
            <v>7.58</v>
          </cell>
          <cell r="I326">
            <v>58</v>
          </cell>
          <cell r="J326">
            <v>100</v>
          </cell>
          <cell r="O326">
            <v>7</v>
          </cell>
        </row>
        <row r="327">
          <cell r="A327">
            <v>38866</v>
          </cell>
          <cell r="D327">
            <v>2</v>
          </cell>
          <cell r="E327">
            <v>12</v>
          </cell>
          <cell r="F327">
            <v>16</v>
          </cell>
          <cell r="H327">
            <v>7.29</v>
          </cell>
          <cell r="I327">
            <v>52</v>
          </cell>
          <cell r="J327">
            <v>1000</v>
          </cell>
          <cell r="O327">
            <v>5</v>
          </cell>
        </row>
        <row r="328">
          <cell r="A328">
            <v>38883</v>
          </cell>
          <cell r="D328">
            <v>3</v>
          </cell>
          <cell r="E328">
            <v>14</v>
          </cell>
          <cell r="F328">
            <v>12</v>
          </cell>
          <cell r="H328">
            <v>7.46</v>
          </cell>
          <cell r="I328">
            <v>53</v>
          </cell>
          <cell r="J328">
            <v>10000</v>
          </cell>
          <cell r="O328">
            <v>22</v>
          </cell>
        </row>
        <row r="329">
          <cell r="A329">
            <v>38910</v>
          </cell>
          <cell r="D329">
            <v>4</v>
          </cell>
          <cell r="E329">
            <v>11</v>
          </cell>
          <cell r="F329">
            <v>12</v>
          </cell>
          <cell r="H329">
            <v>7.57</v>
          </cell>
          <cell r="I329">
            <v>54</v>
          </cell>
          <cell r="J329">
            <v>100</v>
          </cell>
          <cell r="O329">
            <v>18</v>
          </cell>
        </row>
        <row r="330">
          <cell r="A330">
            <v>38958</v>
          </cell>
          <cell r="D330">
            <v>2</v>
          </cell>
          <cell r="E330">
            <v>10</v>
          </cell>
          <cell r="F330">
            <v>20</v>
          </cell>
          <cell r="H330">
            <v>7.68</v>
          </cell>
          <cell r="I330">
            <v>56</v>
          </cell>
          <cell r="J330">
            <v>100</v>
          </cell>
          <cell r="O330">
            <v>30</v>
          </cell>
        </row>
        <row r="331">
          <cell r="A331">
            <v>38981</v>
          </cell>
          <cell r="D331">
            <v>3</v>
          </cell>
          <cell r="E331">
            <v>8</v>
          </cell>
          <cell r="F331">
            <v>30</v>
          </cell>
          <cell r="H331">
            <v>7.45</v>
          </cell>
          <cell r="I331">
            <v>58</v>
          </cell>
          <cell r="J331">
            <v>1000</v>
          </cell>
          <cell r="O331">
            <v>9</v>
          </cell>
        </row>
        <row r="332">
          <cell r="A332">
            <v>39016</v>
          </cell>
          <cell r="D332">
            <v>2</v>
          </cell>
          <cell r="E332">
            <v>6</v>
          </cell>
          <cell r="F332">
            <v>20</v>
          </cell>
          <cell r="H332">
            <v>7.52</v>
          </cell>
          <cell r="I332">
            <v>56</v>
          </cell>
          <cell r="J332">
            <v>100</v>
          </cell>
          <cell r="O332">
            <v>6</v>
          </cell>
        </row>
        <row r="365">
          <cell r="A365" t="str">
            <v>OBSERVACIONES :</v>
          </cell>
        </row>
      </sheetData>
      <sheetData sheetId="9">
        <row r="4">
          <cell r="A4" t="str">
            <v>FECHA</v>
          </cell>
          <cell r="B4" t="str">
            <v>SO4=</v>
          </cell>
          <cell r="C4" t="str">
            <v>Fe</v>
          </cell>
          <cell r="D4" t="str">
            <v>S=</v>
          </cell>
          <cell r="E4" t="str">
            <v>CO2</v>
          </cell>
          <cell r="F4" t="str">
            <v>O2</v>
          </cell>
          <cell r="G4" t="str">
            <v>Rms.</v>
          </cell>
          <cell r="H4" t="str">
            <v>pH</v>
          </cell>
          <cell r="I4" t="str">
            <v>Temp.</v>
          </cell>
          <cell r="J4" t="str">
            <v>B.S.R.</v>
          </cell>
          <cell r="K4" t="str">
            <v xml:space="preserve">Solidos </v>
          </cell>
          <cell r="L4" t="str">
            <v>Solidos</v>
          </cell>
          <cell r="M4" t="str">
            <v>Organicos</v>
          </cell>
          <cell r="N4" t="str">
            <v>Sólidos Susp. Totales</v>
          </cell>
          <cell r="O4" t="str">
            <v>Oil/W</v>
          </cell>
          <cell r="P4" t="str">
            <v>Ca</v>
          </cell>
          <cell r="Q4" t="str">
            <v>Mg</v>
          </cell>
          <cell r="R4" t="str">
            <v>COH3-</v>
          </cell>
          <cell r="S4" t="str">
            <v>CO3=</v>
          </cell>
          <cell r="T4" t="str">
            <v>SO3=</v>
          </cell>
          <cell r="U4" t="str">
            <v>Observaciones</v>
          </cell>
        </row>
        <row r="5">
          <cell r="K5" t="str">
            <v>Insolubles</v>
          </cell>
          <cell r="L5" t="str">
            <v>Solubles</v>
          </cell>
          <cell r="O5" t="str">
            <v>(Expect)</v>
          </cell>
        </row>
        <row r="6">
          <cell r="B6" t="str">
            <v>mg / l</v>
          </cell>
          <cell r="C6" t="str">
            <v>mg / l</v>
          </cell>
          <cell r="D6" t="str">
            <v>mg / l</v>
          </cell>
          <cell r="E6" t="str">
            <v>mg / l</v>
          </cell>
          <cell r="F6" t="str">
            <v>ppb</v>
          </cell>
          <cell r="G6" t="str">
            <v>ohm/m</v>
          </cell>
          <cell r="I6" t="str">
            <v>°C</v>
          </cell>
          <cell r="J6" t="str">
            <v>col / ml</v>
          </cell>
          <cell r="K6" t="str">
            <v>mg / l</v>
          </cell>
          <cell r="L6" t="str">
            <v>mg / l</v>
          </cell>
          <cell r="M6" t="str">
            <v>mg / l</v>
          </cell>
          <cell r="N6" t="str">
            <v>mg / l</v>
          </cell>
          <cell r="O6" t="str">
            <v>ppm</v>
          </cell>
          <cell r="P6" t="str">
            <v>mg / l</v>
          </cell>
          <cell r="Q6" t="str">
            <v>mg / l</v>
          </cell>
          <cell r="R6" t="str">
            <v>mg / l</v>
          </cell>
          <cell r="S6" t="str">
            <v>mg / l</v>
          </cell>
          <cell r="T6" t="str">
            <v>mg / l</v>
          </cell>
        </row>
        <row r="7">
          <cell r="A7">
            <v>36854</v>
          </cell>
          <cell r="B7">
            <v>28</v>
          </cell>
          <cell r="C7">
            <v>2.56</v>
          </cell>
          <cell r="D7">
            <v>3.54</v>
          </cell>
          <cell r="E7">
            <v>15</v>
          </cell>
          <cell r="F7">
            <v>10</v>
          </cell>
          <cell r="G7">
            <v>2.2153300841825434</v>
          </cell>
          <cell r="H7">
            <v>7.71</v>
          </cell>
          <cell r="I7">
            <v>50</v>
          </cell>
          <cell r="J7">
            <v>1000</v>
          </cell>
          <cell r="K7">
            <v>1.3</v>
          </cell>
          <cell r="L7">
            <v>2.6</v>
          </cell>
          <cell r="M7">
            <v>56</v>
          </cell>
          <cell r="N7">
            <v>60</v>
          </cell>
          <cell r="O7">
            <v>51</v>
          </cell>
        </row>
        <row r="8">
          <cell r="A8">
            <v>36871</v>
          </cell>
          <cell r="B8">
            <v>29</v>
          </cell>
          <cell r="C8">
            <v>2.68</v>
          </cell>
          <cell r="D8">
            <v>4</v>
          </cell>
          <cell r="E8">
            <v>15</v>
          </cell>
          <cell r="G8">
            <v>2.2123893805309733</v>
          </cell>
          <cell r="H8">
            <v>7.73</v>
          </cell>
          <cell r="I8">
            <v>51</v>
          </cell>
          <cell r="J8">
            <v>1000</v>
          </cell>
          <cell r="K8">
            <v>2.8</v>
          </cell>
          <cell r="L8">
            <v>1</v>
          </cell>
          <cell r="M8">
            <v>35</v>
          </cell>
          <cell r="N8">
            <v>36</v>
          </cell>
          <cell r="O8">
            <v>23</v>
          </cell>
        </row>
        <row r="9">
          <cell r="A9">
            <v>36879</v>
          </cell>
          <cell r="B9">
            <v>27</v>
          </cell>
          <cell r="C9">
            <v>2.6</v>
          </cell>
          <cell r="D9">
            <v>2</v>
          </cell>
          <cell r="E9">
            <v>15</v>
          </cell>
          <cell r="G9">
            <v>2.2421524663677128</v>
          </cell>
          <cell r="H9">
            <v>7.68</v>
          </cell>
          <cell r="I9">
            <v>56</v>
          </cell>
          <cell r="J9">
            <v>1000</v>
          </cell>
          <cell r="K9">
            <v>0.8</v>
          </cell>
          <cell r="L9">
            <v>27</v>
          </cell>
          <cell r="M9">
            <v>52</v>
          </cell>
          <cell r="N9">
            <v>80</v>
          </cell>
          <cell r="O9">
            <v>52</v>
          </cell>
        </row>
        <row r="10">
          <cell r="A10">
            <v>36887</v>
          </cell>
          <cell r="B10">
            <v>24</v>
          </cell>
          <cell r="C10">
            <v>0.28000000000000003</v>
          </cell>
          <cell r="D10">
            <v>3.8</v>
          </cell>
          <cell r="E10">
            <v>15</v>
          </cell>
          <cell r="F10">
            <v>40</v>
          </cell>
          <cell r="G10">
            <v>2.2371364653243848</v>
          </cell>
          <cell r="H10">
            <v>7.73</v>
          </cell>
          <cell r="I10">
            <v>55</v>
          </cell>
          <cell r="J10">
            <v>1000</v>
          </cell>
          <cell r="K10">
            <v>2.8</v>
          </cell>
          <cell r="L10">
            <v>1</v>
          </cell>
          <cell r="M10">
            <v>50.75</v>
          </cell>
          <cell r="N10">
            <v>54</v>
          </cell>
          <cell r="O10">
            <v>35</v>
          </cell>
        </row>
        <row r="11">
          <cell r="A11">
            <v>36907</v>
          </cell>
          <cell r="B11">
            <v>35</v>
          </cell>
          <cell r="C11">
            <v>0.38</v>
          </cell>
          <cell r="D11">
            <v>5.5</v>
          </cell>
          <cell r="E11">
            <v>12</v>
          </cell>
          <cell r="G11">
            <v>2.1834061135371181</v>
          </cell>
          <cell r="H11">
            <v>7.78</v>
          </cell>
          <cell r="I11">
            <v>58</v>
          </cell>
          <cell r="K11">
            <v>2.2999999999999998</v>
          </cell>
          <cell r="L11">
            <v>0.5</v>
          </cell>
          <cell r="M11">
            <v>46</v>
          </cell>
          <cell r="N11">
            <v>49</v>
          </cell>
          <cell r="O11">
            <v>52</v>
          </cell>
        </row>
        <row r="12">
          <cell r="A12">
            <v>36924</v>
          </cell>
          <cell r="O12">
            <v>27</v>
          </cell>
        </row>
        <row r="13">
          <cell r="A13">
            <v>36931</v>
          </cell>
          <cell r="O13">
            <v>39</v>
          </cell>
        </row>
        <row r="14">
          <cell r="A14">
            <v>36938</v>
          </cell>
          <cell r="O14">
            <v>41</v>
          </cell>
        </row>
        <row r="15">
          <cell r="A15">
            <v>36945</v>
          </cell>
          <cell r="O15">
            <v>42</v>
          </cell>
        </row>
        <row r="16">
          <cell r="A16">
            <v>36957</v>
          </cell>
          <cell r="O16">
            <v>36</v>
          </cell>
        </row>
        <row r="17">
          <cell r="A17">
            <v>36958</v>
          </cell>
          <cell r="B17">
            <v>12</v>
          </cell>
          <cell r="C17">
            <v>0.48</v>
          </cell>
          <cell r="D17">
            <v>1.81</v>
          </cell>
          <cell r="E17">
            <v>10</v>
          </cell>
          <cell r="F17">
            <v>25</v>
          </cell>
          <cell r="I17">
            <v>50</v>
          </cell>
          <cell r="J17">
            <v>10</v>
          </cell>
          <cell r="O17">
            <v>44</v>
          </cell>
        </row>
        <row r="18">
          <cell r="A18">
            <v>36959</v>
          </cell>
          <cell r="O18">
            <v>21</v>
          </cell>
        </row>
        <row r="19">
          <cell r="A19">
            <v>36962</v>
          </cell>
          <cell r="O19">
            <v>34</v>
          </cell>
        </row>
        <row r="20">
          <cell r="A20">
            <v>36964</v>
          </cell>
          <cell r="O20">
            <v>39</v>
          </cell>
        </row>
        <row r="21">
          <cell r="A21">
            <v>36966</v>
          </cell>
          <cell r="O21">
            <v>26</v>
          </cell>
        </row>
        <row r="22">
          <cell r="A22">
            <v>36969</v>
          </cell>
          <cell r="O22">
            <v>17</v>
          </cell>
        </row>
        <row r="23">
          <cell r="A23">
            <v>36973</v>
          </cell>
          <cell r="O23">
            <v>29</v>
          </cell>
        </row>
        <row r="24">
          <cell r="A24">
            <v>36976</v>
          </cell>
          <cell r="O24">
            <v>25</v>
          </cell>
        </row>
        <row r="25">
          <cell r="A25">
            <v>36978</v>
          </cell>
          <cell r="O25">
            <v>18</v>
          </cell>
        </row>
        <row r="26">
          <cell r="A26">
            <v>36984</v>
          </cell>
          <cell r="C26">
            <v>0.6</v>
          </cell>
          <cell r="D26">
            <v>2</v>
          </cell>
          <cell r="E26">
            <v>10</v>
          </cell>
          <cell r="F26">
            <v>100</v>
          </cell>
          <cell r="G26">
            <v>2.2222222222222223</v>
          </cell>
          <cell r="H26">
            <v>7.51</v>
          </cell>
          <cell r="I26">
            <v>56</v>
          </cell>
          <cell r="J26">
            <v>10</v>
          </cell>
          <cell r="O26">
            <v>36</v>
          </cell>
        </row>
        <row r="27">
          <cell r="A27">
            <v>37006</v>
          </cell>
          <cell r="B27">
            <v>30</v>
          </cell>
          <cell r="C27">
            <v>0.27</v>
          </cell>
          <cell r="D27">
            <v>0.1</v>
          </cell>
          <cell r="E27">
            <v>10</v>
          </cell>
          <cell r="F27">
            <v>90</v>
          </cell>
          <cell r="H27">
            <v>7.8</v>
          </cell>
          <cell r="I27">
            <v>50</v>
          </cell>
          <cell r="J27">
            <v>100</v>
          </cell>
          <cell r="K27">
            <v>1.6</v>
          </cell>
          <cell r="L27">
            <v>0.9</v>
          </cell>
          <cell r="M27">
            <v>15.6</v>
          </cell>
          <cell r="N27">
            <v>18.399999999999999</v>
          </cell>
        </row>
        <row r="28">
          <cell r="A28">
            <v>37033</v>
          </cell>
          <cell r="B28">
            <v>21</v>
          </cell>
          <cell r="C28">
            <v>0.1</v>
          </cell>
          <cell r="D28">
            <v>1.5</v>
          </cell>
          <cell r="E28">
            <v>6</v>
          </cell>
          <cell r="F28">
            <v>250</v>
          </cell>
          <cell r="G28">
            <v>2.347417840375587</v>
          </cell>
          <cell r="H28">
            <v>8.1</v>
          </cell>
          <cell r="I28">
            <v>54</v>
          </cell>
          <cell r="J28">
            <v>100</v>
          </cell>
          <cell r="K28">
            <v>0.3</v>
          </cell>
          <cell r="L28">
            <v>0.8</v>
          </cell>
          <cell r="M28">
            <v>12.9</v>
          </cell>
          <cell r="N28">
            <v>13.9</v>
          </cell>
          <cell r="O28">
            <v>24</v>
          </cell>
        </row>
        <row r="29">
          <cell r="A29">
            <v>37062</v>
          </cell>
          <cell r="B29">
            <v>26</v>
          </cell>
          <cell r="C29">
            <v>0.15</v>
          </cell>
          <cell r="D29">
            <v>0.7</v>
          </cell>
          <cell r="E29">
            <v>12</v>
          </cell>
          <cell r="F29">
            <v>250</v>
          </cell>
          <cell r="G29">
            <v>2.1779999999999999</v>
          </cell>
          <cell r="H29">
            <v>7.97</v>
          </cell>
          <cell r="I29">
            <v>55</v>
          </cell>
          <cell r="J29">
            <v>100</v>
          </cell>
          <cell r="O29">
            <v>57</v>
          </cell>
          <cell r="U29" t="str">
            <v>Durante Junio hay mucho petróleo en pileta porque se tiro por no haber capacidad en Caleta Cordoba</v>
          </cell>
        </row>
        <row r="30">
          <cell r="A30">
            <v>37089</v>
          </cell>
          <cell r="B30">
            <v>9</v>
          </cell>
          <cell r="C30">
            <v>0.1</v>
          </cell>
          <cell r="D30">
            <v>2.5</v>
          </cell>
          <cell r="E30">
            <v>15</v>
          </cell>
          <cell r="F30">
            <v>80</v>
          </cell>
          <cell r="G30">
            <v>2.2519999999999998</v>
          </cell>
          <cell r="H30">
            <v>7.65</v>
          </cell>
          <cell r="I30">
            <v>49</v>
          </cell>
          <cell r="J30">
            <v>100</v>
          </cell>
          <cell r="K30">
            <v>1.6</v>
          </cell>
          <cell r="L30">
            <v>1.3</v>
          </cell>
          <cell r="M30">
            <v>43.3</v>
          </cell>
          <cell r="N30">
            <v>46.1</v>
          </cell>
          <cell r="O30">
            <v>42</v>
          </cell>
        </row>
        <row r="31">
          <cell r="A31">
            <v>37090</v>
          </cell>
          <cell r="O31">
            <v>45</v>
          </cell>
        </row>
        <row r="32">
          <cell r="A32">
            <v>37092</v>
          </cell>
          <cell r="O32">
            <v>54</v>
          </cell>
        </row>
        <row r="33">
          <cell r="A33">
            <v>37106</v>
          </cell>
          <cell r="O33">
            <v>50</v>
          </cell>
        </row>
        <row r="34">
          <cell r="A34">
            <v>37130</v>
          </cell>
          <cell r="O34">
            <v>55</v>
          </cell>
        </row>
        <row r="35">
          <cell r="A35">
            <v>37134</v>
          </cell>
          <cell r="O35">
            <v>89</v>
          </cell>
        </row>
        <row r="36">
          <cell r="A36">
            <v>37137</v>
          </cell>
          <cell r="O36">
            <v>44</v>
          </cell>
        </row>
        <row r="37">
          <cell r="A37">
            <v>37144</v>
          </cell>
          <cell r="B37">
            <v>22</v>
          </cell>
          <cell r="C37">
            <v>0.25</v>
          </cell>
          <cell r="D37">
            <v>2</v>
          </cell>
          <cell r="E37">
            <v>12</v>
          </cell>
          <cell r="F37">
            <v>15</v>
          </cell>
          <cell r="G37">
            <v>2.2669999999999999</v>
          </cell>
          <cell r="H37">
            <v>7.79</v>
          </cell>
          <cell r="I37">
            <v>48</v>
          </cell>
          <cell r="J37">
            <v>10</v>
          </cell>
          <cell r="K37">
            <v>1.9</v>
          </cell>
          <cell r="L37">
            <v>1.1000000000000001</v>
          </cell>
          <cell r="M37">
            <v>32.9</v>
          </cell>
          <cell r="N37">
            <v>35.9</v>
          </cell>
          <cell r="O37">
            <v>48</v>
          </cell>
          <cell r="U37" t="str">
            <v>Fecha de lect.Bact. 27/08/2001</v>
          </cell>
        </row>
        <row r="38">
          <cell r="A38">
            <v>37146</v>
          </cell>
          <cell r="O38">
            <v>67</v>
          </cell>
        </row>
        <row r="39">
          <cell r="A39">
            <v>37148</v>
          </cell>
          <cell r="O39">
            <v>50</v>
          </cell>
        </row>
        <row r="40">
          <cell r="A40">
            <v>37151</v>
          </cell>
          <cell r="O40">
            <v>28</v>
          </cell>
        </row>
        <row r="41">
          <cell r="A41">
            <v>37153</v>
          </cell>
          <cell r="O41">
            <v>37</v>
          </cell>
        </row>
        <row r="42">
          <cell r="A42">
            <v>37155</v>
          </cell>
          <cell r="O42">
            <v>32</v>
          </cell>
        </row>
        <row r="43">
          <cell r="A43">
            <v>37158</v>
          </cell>
          <cell r="O43">
            <v>36</v>
          </cell>
        </row>
        <row r="44">
          <cell r="A44">
            <v>37160</v>
          </cell>
          <cell r="O44">
            <v>25</v>
          </cell>
        </row>
        <row r="45">
          <cell r="A45">
            <v>37173</v>
          </cell>
          <cell r="B45">
            <v>17</v>
          </cell>
          <cell r="C45">
            <v>0.7</v>
          </cell>
          <cell r="D45">
            <v>2.5</v>
          </cell>
          <cell r="E45">
            <v>10</v>
          </cell>
          <cell r="F45">
            <v>6</v>
          </cell>
          <cell r="G45">
            <v>2.3148</v>
          </cell>
          <cell r="H45">
            <v>8.32</v>
          </cell>
          <cell r="I45">
            <v>54</v>
          </cell>
          <cell r="J45">
            <v>10</v>
          </cell>
          <cell r="K45">
            <v>1.2</v>
          </cell>
          <cell r="L45">
            <v>0.8</v>
          </cell>
          <cell r="M45">
            <v>31.5</v>
          </cell>
          <cell r="N45">
            <v>33.5</v>
          </cell>
          <cell r="O45">
            <v>29</v>
          </cell>
        </row>
        <row r="46">
          <cell r="A46">
            <v>37175</v>
          </cell>
          <cell r="O46">
            <v>32</v>
          </cell>
        </row>
        <row r="47">
          <cell r="A47">
            <v>37183</v>
          </cell>
          <cell r="O47">
            <v>16</v>
          </cell>
        </row>
        <row r="48">
          <cell r="A48">
            <v>37186</v>
          </cell>
          <cell r="O48">
            <v>179</v>
          </cell>
        </row>
        <row r="49">
          <cell r="A49">
            <v>37188</v>
          </cell>
          <cell r="O49">
            <v>51</v>
          </cell>
        </row>
        <row r="50">
          <cell r="A50">
            <v>37193</v>
          </cell>
          <cell r="J50">
            <v>1000</v>
          </cell>
          <cell r="O50">
            <v>42</v>
          </cell>
          <cell r="U50" t="str">
            <v>Fecha de Cult. 29/10</v>
          </cell>
        </row>
        <row r="51">
          <cell r="A51">
            <v>37203</v>
          </cell>
          <cell r="B51">
            <v>19</v>
          </cell>
          <cell r="C51">
            <v>0.15</v>
          </cell>
          <cell r="D51">
            <v>2</v>
          </cell>
          <cell r="E51">
            <v>13</v>
          </cell>
          <cell r="F51">
            <v>30</v>
          </cell>
          <cell r="G51">
            <v>2.2778999999999998</v>
          </cell>
          <cell r="H51">
            <v>7.5</v>
          </cell>
          <cell r="I51">
            <v>56</v>
          </cell>
          <cell r="J51">
            <v>1000</v>
          </cell>
          <cell r="K51">
            <v>0.6</v>
          </cell>
          <cell r="L51">
            <v>1.8</v>
          </cell>
          <cell r="M51">
            <v>40.1</v>
          </cell>
          <cell r="N51">
            <v>42.5</v>
          </cell>
          <cell r="O51">
            <v>37</v>
          </cell>
          <cell r="U51" t="str">
            <v>Octubre Petroleo en Pileta</v>
          </cell>
        </row>
        <row r="52">
          <cell r="A52">
            <v>37229</v>
          </cell>
          <cell r="B52">
            <v>18</v>
          </cell>
          <cell r="C52">
            <v>0.15</v>
          </cell>
          <cell r="D52">
            <v>2</v>
          </cell>
          <cell r="E52">
            <v>10</v>
          </cell>
          <cell r="F52">
            <v>12</v>
          </cell>
          <cell r="G52">
            <v>2.3923000000000001</v>
          </cell>
          <cell r="H52">
            <v>6.8</v>
          </cell>
          <cell r="I52">
            <v>54</v>
          </cell>
          <cell r="J52">
            <v>1000</v>
          </cell>
          <cell r="K52">
            <v>1.3</v>
          </cell>
          <cell r="L52">
            <v>2</v>
          </cell>
          <cell r="M52">
            <v>48</v>
          </cell>
          <cell r="N52">
            <v>51.3</v>
          </cell>
          <cell r="O52">
            <v>57</v>
          </cell>
          <cell r="U52" t="str">
            <v>Lect.Bact.8/11/01</v>
          </cell>
        </row>
        <row r="53">
          <cell r="A53">
            <v>37230</v>
          </cell>
          <cell r="M53">
            <v>9.4</v>
          </cell>
          <cell r="N53">
            <v>16.100000000000001</v>
          </cell>
          <cell r="U53" t="str">
            <v>Realizó BAKER</v>
          </cell>
        </row>
        <row r="54">
          <cell r="A54">
            <v>37236</v>
          </cell>
          <cell r="M54">
            <v>12.4</v>
          </cell>
          <cell r="N54">
            <v>18.5</v>
          </cell>
          <cell r="U54" t="str">
            <v>Realizó BAKER</v>
          </cell>
        </row>
        <row r="55">
          <cell r="A55">
            <v>37260</v>
          </cell>
          <cell r="O55">
            <v>32</v>
          </cell>
        </row>
        <row r="56">
          <cell r="A56">
            <v>37265</v>
          </cell>
          <cell r="B56">
            <v>23</v>
          </cell>
          <cell r="C56">
            <v>0.1</v>
          </cell>
          <cell r="D56">
            <v>0</v>
          </cell>
          <cell r="E56">
            <v>10</v>
          </cell>
          <cell r="F56">
            <v>250</v>
          </cell>
          <cell r="G56">
            <v>2.32558</v>
          </cell>
          <cell r="H56">
            <v>7.1</v>
          </cell>
          <cell r="I56">
            <v>42</v>
          </cell>
          <cell r="J56">
            <v>1000</v>
          </cell>
          <cell r="K56">
            <v>1.7</v>
          </cell>
          <cell r="L56">
            <v>1.1000000000000001</v>
          </cell>
          <cell r="M56">
            <v>25.2</v>
          </cell>
          <cell r="N56">
            <v>28</v>
          </cell>
          <cell r="O56">
            <v>40</v>
          </cell>
          <cell r="U56" t="str">
            <v>Lect.Bact. 8/11/01-O2med.23/01</v>
          </cell>
        </row>
        <row r="57">
          <cell r="A57">
            <v>37281</v>
          </cell>
          <cell r="O57">
            <v>7</v>
          </cell>
        </row>
        <row r="58">
          <cell r="A58">
            <v>37284</v>
          </cell>
          <cell r="O58">
            <v>15</v>
          </cell>
        </row>
        <row r="59">
          <cell r="A59">
            <v>37286</v>
          </cell>
          <cell r="O59">
            <v>21</v>
          </cell>
        </row>
        <row r="60">
          <cell r="A60">
            <v>37289</v>
          </cell>
          <cell r="O60">
            <v>30</v>
          </cell>
        </row>
        <row r="61">
          <cell r="A61">
            <v>37291</v>
          </cell>
          <cell r="O61">
            <v>11</v>
          </cell>
        </row>
        <row r="62">
          <cell r="A62">
            <v>37293</v>
          </cell>
          <cell r="O62">
            <v>14</v>
          </cell>
        </row>
        <row r="63">
          <cell r="A63">
            <v>37288</v>
          </cell>
          <cell r="B63">
            <v>15</v>
          </cell>
          <cell r="C63">
            <v>0.1</v>
          </cell>
          <cell r="D63">
            <v>0.9</v>
          </cell>
          <cell r="E63">
            <v>8</v>
          </cell>
          <cell r="F63">
            <v>6</v>
          </cell>
          <cell r="G63">
            <v>2.3450000000000002</v>
          </cell>
          <cell r="H63">
            <v>7.3</v>
          </cell>
          <cell r="I63">
            <v>52</v>
          </cell>
          <cell r="J63">
            <v>1000</v>
          </cell>
          <cell r="K63">
            <v>1.8</v>
          </cell>
          <cell r="L63">
            <v>1</v>
          </cell>
          <cell r="M63">
            <v>22.1</v>
          </cell>
          <cell r="N63">
            <v>24.9</v>
          </cell>
          <cell r="O63">
            <v>41</v>
          </cell>
        </row>
        <row r="64">
          <cell r="A64">
            <v>37295</v>
          </cell>
          <cell r="O64">
            <v>32</v>
          </cell>
        </row>
        <row r="65">
          <cell r="A65">
            <v>37298</v>
          </cell>
          <cell r="O65">
            <v>17</v>
          </cell>
        </row>
        <row r="66">
          <cell r="A66">
            <v>37300</v>
          </cell>
          <cell r="O66">
            <v>29</v>
          </cell>
        </row>
        <row r="67">
          <cell r="A67">
            <v>37302</v>
          </cell>
          <cell r="O67">
            <v>33</v>
          </cell>
        </row>
        <row r="68">
          <cell r="A68">
            <v>37305</v>
          </cell>
          <cell r="O68">
            <v>23</v>
          </cell>
        </row>
        <row r="69">
          <cell r="A69">
            <v>37309</v>
          </cell>
          <cell r="O69">
            <v>14</v>
          </cell>
        </row>
        <row r="70">
          <cell r="A70">
            <v>37314</v>
          </cell>
          <cell r="O70">
            <v>16</v>
          </cell>
        </row>
        <row r="71">
          <cell r="A71">
            <v>37319</v>
          </cell>
          <cell r="O71">
            <v>22</v>
          </cell>
        </row>
        <row r="72">
          <cell r="A72">
            <v>37321</v>
          </cell>
          <cell r="O72">
            <v>91</v>
          </cell>
        </row>
        <row r="73">
          <cell r="A73">
            <v>37322</v>
          </cell>
          <cell r="O73">
            <v>16</v>
          </cell>
        </row>
        <row r="74">
          <cell r="A74">
            <v>37323</v>
          </cell>
          <cell r="O74">
            <v>30</v>
          </cell>
        </row>
        <row r="75">
          <cell r="A75">
            <v>37326</v>
          </cell>
          <cell r="O75">
            <v>40</v>
          </cell>
        </row>
        <row r="76">
          <cell r="A76">
            <v>37327</v>
          </cell>
          <cell r="O76">
            <v>33</v>
          </cell>
        </row>
        <row r="77">
          <cell r="A77">
            <v>37328</v>
          </cell>
          <cell r="B77">
            <v>8</v>
          </cell>
          <cell r="C77">
            <v>0.1</v>
          </cell>
          <cell r="D77">
            <v>3.5</v>
          </cell>
          <cell r="E77">
            <v>10</v>
          </cell>
          <cell r="F77">
            <v>16</v>
          </cell>
          <cell r="G77">
            <v>2.331</v>
          </cell>
          <cell r="H77">
            <v>7.3</v>
          </cell>
          <cell r="I77">
            <v>55</v>
          </cell>
          <cell r="J77">
            <v>1000</v>
          </cell>
          <cell r="K77">
            <v>3</v>
          </cell>
          <cell r="L77">
            <v>1.7</v>
          </cell>
          <cell r="M77">
            <v>36.799999999999997</v>
          </cell>
          <cell r="N77">
            <v>51.5</v>
          </cell>
          <cell r="O77">
            <v>37</v>
          </cell>
          <cell r="P77">
            <v>52</v>
          </cell>
          <cell r="Q77">
            <v>2.88</v>
          </cell>
        </row>
        <row r="78">
          <cell r="A78">
            <v>37333</v>
          </cell>
          <cell r="O78">
            <v>51</v>
          </cell>
        </row>
        <row r="79">
          <cell r="A79">
            <v>37335</v>
          </cell>
          <cell r="O79">
            <v>40</v>
          </cell>
        </row>
        <row r="80">
          <cell r="A80">
            <v>37337</v>
          </cell>
          <cell r="O80">
            <v>44</v>
          </cell>
        </row>
        <row r="81">
          <cell r="A81">
            <v>37340</v>
          </cell>
          <cell r="O81">
            <v>29</v>
          </cell>
        </row>
        <row r="82">
          <cell r="A82">
            <v>37342</v>
          </cell>
          <cell r="O82">
            <v>119</v>
          </cell>
        </row>
        <row r="83">
          <cell r="A83">
            <v>37349</v>
          </cell>
          <cell r="O83">
            <v>52</v>
          </cell>
        </row>
        <row r="84">
          <cell r="A84">
            <v>37351</v>
          </cell>
          <cell r="O84">
            <v>103</v>
          </cell>
        </row>
        <row r="85">
          <cell r="A85">
            <v>37354</v>
          </cell>
          <cell r="O85">
            <v>22</v>
          </cell>
        </row>
        <row r="86">
          <cell r="A86">
            <v>37356</v>
          </cell>
          <cell r="O86">
            <v>132</v>
          </cell>
        </row>
        <row r="87">
          <cell r="A87">
            <v>37358</v>
          </cell>
          <cell r="O87">
            <v>16</v>
          </cell>
        </row>
        <row r="88">
          <cell r="A88">
            <v>37361</v>
          </cell>
          <cell r="B88">
            <v>14</v>
          </cell>
          <cell r="C88">
            <v>0.1</v>
          </cell>
          <cell r="D88">
            <v>2.5</v>
          </cell>
          <cell r="E88">
            <v>11</v>
          </cell>
          <cell r="F88">
            <v>8</v>
          </cell>
          <cell r="G88">
            <v>2.5</v>
          </cell>
          <cell r="H88">
            <v>7.2</v>
          </cell>
          <cell r="I88">
            <v>54</v>
          </cell>
          <cell r="J88">
            <v>100</v>
          </cell>
          <cell r="K88">
            <v>3.8</v>
          </cell>
          <cell r="L88">
            <v>0.6</v>
          </cell>
          <cell r="M88">
            <v>78.400000000000006</v>
          </cell>
          <cell r="N88">
            <v>82.8</v>
          </cell>
          <cell r="O88">
            <v>40</v>
          </cell>
          <cell r="P88">
            <v>64</v>
          </cell>
          <cell r="Q88">
            <v>0</v>
          </cell>
        </row>
        <row r="89">
          <cell r="A89">
            <v>37363</v>
          </cell>
          <cell r="O89">
            <v>91</v>
          </cell>
        </row>
        <row r="90">
          <cell r="A90">
            <v>37365</v>
          </cell>
          <cell r="O90">
            <v>38</v>
          </cell>
        </row>
        <row r="91">
          <cell r="A91">
            <v>37368</v>
          </cell>
          <cell r="O91">
            <v>40</v>
          </cell>
        </row>
        <row r="92">
          <cell r="A92">
            <v>37370</v>
          </cell>
          <cell r="O92">
            <v>35</v>
          </cell>
        </row>
        <row r="93">
          <cell r="A93">
            <v>37372</v>
          </cell>
          <cell r="O93">
            <v>23</v>
          </cell>
        </row>
        <row r="94">
          <cell r="A94">
            <v>37376</v>
          </cell>
          <cell r="O94">
            <v>11</v>
          </cell>
        </row>
        <row r="95">
          <cell r="A95">
            <v>37379</v>
          </cell>
          <cell r="O95">
            <v>13</v>
          </cell>
        </row>
        <row r="96">
          <cell r="A96">
            <v>37382</v>
          </cell>
          <cell r="O96">
            <v>20</v>
          </cell>
        </row>
        <row r="97">
          <cell r="A97">
            <v>37384</v>
          </cell>
          <cell r="O97">
            <v>7</v>
          </cell>
        </row>
        <row r="98">
          <cell r="A98">
            <v>37386</v>
          </cell>
          <cell r="O98">
            <v>6</v>
          </cell>
        </row>
        <row r="99">
          <cell r="A99">
            <v>37389</v>
          </cell>
          <cell r="O99">
            <v>14</v>
          </cell>
        </row>
        <row r="100">
          <cell r="A100">
            <v>37391</v>
          </cell>
          <cell r="O100">
            <v>37</v>
          </cell>
        </row>
        <row r="101">
          <cell r="A101">
            <v>37393</v>
          </cell>
          <cell r="O101">
            <v>8</v>
          </cell>
        </row>
        <row r="102">
          <cell r="A102">
            <v>37395</v>
          </cell>
          <cell r="O102">
            <v>15</v>
          </cell>
        </row>
        <row r="103">
          <cell r="A103">
            <v>37398</v>
          </cell>
          <cell r="O103">
            <v>10</v>
          </cell>
        </row>
        <row r="104">
          <cell r="A104">
            <v>37400</v>
          </cell>
          <cell r="O104">
            <v>17</v>
          </cell>
        </row>
        <row r="105">
          <cell r="A105">
            <v>37403</v>
          </cell>
          <cell r="O105">
            <v>14</v>
          </cell>
        </row>
        <row r="106">
          <cell r="A106">
            <v>37405</v>
          </cell>
          <cell r="O106">
            <v>10</v>
          </cell>
        </row>
        <row r="107">
          <cell r="A107">
            <v>37407</v>
          </cell>
          <cell r="O107">
            <v>32</v>
          </cell>
        </row>
        <row r="108">
          <cell r="A108">
            <v>37410</v>
          </cell>
          <cell r="B108">
            <v>16</v>
          </cell>
          <cell r="C108">
            <v>0.2</v>
          </cell>
          <cell r="D108">
            <v>3.5</v>
          </cell>
          <cell r="E108">
            <v>10</v>
          </cell>
          <cell r="F108">
            <v>600</v>
          </cell>
          <cell r="G108">
            <v>2.6953999999999998</v>
          </cell>
          <cell r="H108">
            <v>7</v>
          </cell>
          <cell r="I108">
            <v>44</v>
          </cell>
          <cell r="J108">
            <v>100</v>
          </cell>
          <cell r="K108">
            <v>1.8</v>
          </cell>
          <cell r="L108">
            <v>1</v>
          </cell>
          <cell r="M108">
            <v>43.1</v>
          </cell>
          <cell r="N108">
            <v>45.9</v>
          </cell>
          <cell r="O108">
            <v>36</v>
          </cell>
          <cell r="P108">
            <v>64</v>
          </cell>
          <cell r="Q108">
            <v>0</v>
          </cell>
        </row>
        <row r="109">
          <cell r="A109">
            <v>37418</v>
          </cell>
          <cell r="O109">
            <v>163</v>
          </cell>
        </row>
        <row r="110">
          <cell r="A110">
            <v>37424</v>
          </cell>
          <cell r="O110">
            <v>17.100000000000001</v>
          </cell>
        </row>
        <row r="111">
          <cell r="A111">
            <v>37426</v>
          </cell>
          <cell r="O111">
            <v>21</v>
          </cell>
        </row>
        <row r="112">
          <cell r="A112">
            <v>37428</v>
          </cell>
          <cell r="O112">
            <v>13.1</v>
          </cell>
        </row>
        <row r="113">
          <cell r="A113">
            <v>37431</v>
          </cell>
          <cell r="O113">
            <v>17.5</v>
          </cell>
        </row>
        <row r="114">
          <cell r="A114">
            <v>37434</v>
          </cell>
          <cell r="O114">
            <v>8.4</v>
          </cell>
        </row>
        <row r="115">
          <cell r="A115">
            <v>37435</v>
          </cell>
          <cell r="O115">
            <v>18.3</v>
          </cell>
        </row>
        <row r="116">
          <cell r="A116">
            <v>37438</v>
          </cell>
          <cell r="O116">
            <v>9.6999999999999993</v>
          </cell>
        </row>
        <row r="117">
          <cell r="A117">
            <v>37440</v>
          </cell>
          <cell r="B117">
            <v>17</v>
          </cell>
          <cell r="C117">
            <v>0.6</v>
          </cell>
          <cell r="D117">
            <v>0.6</v>
          </cell>
          <cell r="E117">
            <v>10</v>
          </cell>
          <cell r="F117">
            <v>600</v>
          </cell>
          <cell r="G117">
            <v>2.6040999999999999</v>
          </cell>
          <cell r="H117">
            <v>7.1</v>
          </cell>
          <cell r="I117">
            <v>54</v>
          </cell>
          <cell r="J117">
            <v>100</v>
          </cell>
          <cell r="K117">
            <v>2.6</v>
          </cell>
          <cell r="L117">
            <v>1.2</v>
          </cell>
          <cell r="M117">
            <v>50.4</v>
          </cell>
          <cell r="N117">
            <v>54.2</v>
          </cell>
          <cell r="O117">
            <v>7.4</v>
          </cell>
          <cell r="P117">
            <v>64</v>
          </cell>
          <cell r="Q117">
            <v>0</v>
          </cell>
        </row>
        <row r="118">
          <cell r="A118">
            <v>37445</v>
          </cell>
          <cell r="O118">
            <v>31</v>
          </cell>
        </row>
        <row r="119">
          <cell r="A119">
            <v>37447</v>
          </cell>
          <cell r="O119">
            <v>10.5</v>
          </cell>
        </row>
        <row r="120">
          <cell r="A120">
            <v>37449</v>
          </cell>
          <cell r="O120">
            <v>17.399999999999999</v>
          </cell>
        </row>
        <row r="121">
          <cell r="A121">
            <v>37452</v>
          </cell>
          <cell r="O121">
            <v>10.8</v>
          </cell>
        </row>
        <row r="122">
          <cell r="A122">
            <v>37454</v>
          </cell>
          <cell r="O122">
            <v>9.8000000000000007</v>
          </cell>
        </row>
        <row r="123">
          <cell r="A123">
            <v>37456</v>
          </cell>
          <cell r="O123">
            <v>25.5</v>
          </cell>
        </row>
        <row r="124">
          <cell r="A124">
            <v>37459</v>
          </cell>
          <cell r="O124">
            <v>17.399999999999999</v>
          </cell>
        </row>
        <row r="125">
          <cell r="A125">
            <v>37461</v>
          </cell>
          <cell r="O125">
            <v>11.4</v>
          </cell>
        </row>
        <row r="126">
          <cell r="A126">
            <v>37463</v>
          </cell>
          <cell r="O126">
            <v>21.4</v>
          </cell>
        </row>
        <row r="127">
          <cell r="A127">
            <v>37470</v>
          </cell>
          <cell r="B127">
            <v>15</v>
          </cell>
          <cell r="C127">
            <v>0.2</v>
          </cell>
          <cell r="D127">
            <v>0.6</v>
          </cell>
          <cell r="E127">
            <v>11</v>
          </cell>
          <cell r="F127">
            <v>50</v>
          </cell>
          <cell r="G127">
            <v>2.5906699999999998</v>
          </cell>
          <cell r="H127">
            <v>7</v>
          </cell>
          <cell r="I127">
            <v>57</v>
          </cell>
          <cell r="J127">
            <v>1000</v>
          </cell>
          <cell r="K127">
            <v>2.2999999999999998</v>
          </cell>
          <cell r="L127">
            <v>1.7</v>
          </cell>
          <cell r="M127">
            <v>38.200000000000003</v>
          </cell>
          <cell r="N127">
            <v>42.2</v>
          </cell>
          <cell r="O127">
            <v>44</v>
          </cell>
          <cell r="P127">
            <v>48</v>
          </cell>
          <cell r="Q127">
            <v>6</v>
          </cell>
        </row>
        <row r="128">
          <cell r="A128">
            <v>37473</v>
          </cell>
          <cell r="O128">
            <v>15.6</v>
          </cell>
        </row>
        <row r="129">
          <cell r="A129">
            <v>37475</v>
          </cell>
          <cell r="O129">
            <v>19.100000000000001</v>
          </cell>
        </row>
        <row r="130">
          <cell r="A130">
            <v>37477</v>
          </cell>
          <cell r="O130">
            <v>25.1</v>
          </cell>
        </row>
        <row r="131">
          <cell r="A131">
            <v>37480</v>
          </cell>
          <cell r="O131">
            <v>14.9</v>
          </cell>
        </row>
        <row r="132">
          <cell r="A132">
            <v>37482</v>
          </cell>
          <cell r="O132">
            <v>27.5</v>
          </cell>
        </row>
        <row r="133">
          <cell r="A133">
            <v>37484</v>
          </cell>
          <cell r="O133">
            <v>19.8</v>
          </cell>
        </row>
        <row r="134">
          <cell r="A134">
            <v>37489</v>
          </cell>
          <cell r="O134">
            <v>25.2</v>
          </cell>
        </row>
        <row r="135">
          <cell r="A135">
            <v>37491</v>
          </cell>
          <cell r="O135">
            <v>9.9</v>
          </cell>
        </row>
        <row r="136">
          <cell r="A136">
            <v>37494</v>
          </cell>
          <cell r="O136">
            <v>18.899999999999999</v>
          </cell>
        </row>
        <row r="137">
          <cell r="A137">
            <v>37496</v>
          </cell>
          <cell r="O137">
            <v>10.9</v>
          </cell>
        </row>
        <row r="138">
          <cell r="A138">
            <v>37498</v>
          </cell>
          <cell r="O138">
            <v>21.7</v>
          </cell>
        </row>
        <row r="139">
          <cell r="A139">
            <v>37501</v>
          </cell>
          <cell r="O139">
            <v>12.8</v>
          </cell>
        </row>
        <row r="140">
          <cell r="A140">
            <v>37503</v>
          </cell>
          <cell r="O140">
            <v>12.1</v>
          </cell>
        </row>
        <row r="141">
          <cell r="A141">
            <v>37505</v>
          </cell>
          <cell r="B141">
            <v>10</v>
          </cell>
          <cell r="C141">
            <v>0.37</v>
          </cell>
          <cell r="D141">
            <v>0.6</v>
          </cell>
          <cell r="E141">
            <v>11</v>
          </cell>
          <cell r="F141">
            <v>80</v>
          </cell>
          <cell r="G141">
            <v>2.8248000000000002</v>
          </cell>
          <cell r="H141">
            <v>7</v>
          </cell>
          <cell r="I141">
            <v>56</v>
          </cell>
          <cell r="J141">
            <v>10</v>
          </cell>
          <cell r="K141">
            <v>3.3</v>
          </cell>
          <cell r="L141">
            <v>0.6</v>
          </cell>
          <cell r="M141">
            <v>50.3</v>
          </cell>
          <cell r="N141">
            <v>54.1</v>
          </cell>
          <cell r="O141">
            <v>19.100000000000001</v>
          </cell>
          <cell r="P141">
            <v>72</v>
          </cell>
          <cell r="Q141">
            <v>0</v>
          </cell>
        </row>
        <row r="142">
          <cell r="A142">
            <v>37508</v>
          </cell>
          <cell r="O142">
            <v>7.3</v>
          </cell>
        </row>
        <row r="143">
          <cell r="A143">
            <v>37510</v>
          </cell>
          <cell r="O143">
            <v>37</v>
          </cell>
        </row>
        <row r="144">
          <cell r="A144">
            <v>37512</v>
          </cell>
          <cell r="O144">
            <v>10</v>
          </cell>
        </row>
        <row r="145">
          <cell r="A145">
            <v>37515</v>
          </cell>
          <cell r="O145">
            <v>30</v>
          </cell>
        </row>
        <row r="146">
          <cell r="A146">
            <v>37517</v>
          </cell>
          <cell r="O146">
            <v>87.6</v>
          </cell>
        </row>
        <row r="147">
          <cell r="A147">
            <v>37519</v>
          </cell>
          <cell r="O147">
            <v>31.8</v>
          </cell>
        </row>
        <row r="148">
          <cell r="A148">
            <v>37524</v>
          </cell>
          <cell r="O148">
            <v>10.1</v>
          </cell>
        </row>
        <row r="149">
          <cell r="A149">
            <v>37526</v>
          </cell>
          <cell r="O149">
            <v>14.8</v>
          </cell>
        </row>
        <row r="150">
          <cell r="A150">
            <v>37529</v>
          </cell>
          <cell r="O150">
            <v>28.8</v>
          </cell>
        </row>
        <row r="151">
          <cell r="A151">
            <v>37531</v>
          </cell>
          <cell r="O151">
            <v>15.9</v>
          </cell>
        </row>
        <row r="152">
          <cell r="A152">
            <v>37533</v>
          </cell>
          <cell r="O152">
            <v>31.8</v>
          </cell>
        </row>
        <row r="153">
          <cell r="A153">
            <v>37536</v>
          </cell>
          <cell r="O153">
            <v>38.9</v>
          </cell>
        </row>
        <row r="154">
          <cell r="A154">
            <v>37538</v>
          </cell>
          <cell r="B154">
            <v>9</v>
          </cell>
          <cell r="C154">
            <v>0.5</v>
          </cell>
          <cell r="D154">
            <v>1.5</v>
          </cell>
          <cell r="E154">
            <v>13</v>
          </cell>
          <cell r="F154">
            <v>40</v>
          </cell>
          <cell r="G154">
            <v>2.77</v>
          </cell>
          <cell r="H154">
            <v>7.1</v>
          </cell>
          <cell r="I154">
            <v>53</v>
          </cell>
          <cell r="J154">
            <v>1000</v>
          </cell>
          <cell r="K154">
            <v>1.7</v>
          </cell>
          <cell r="L154">
            <v>1.5</v>
          </cell>
          <cell r="M154">
            <v>11.2</v>
          </cell>
          <cell r="N154">
            <v>14.3</v>
          </cell>
          <cell r="O154">
            <v>6.5</v>
          </cell>
          <cell r="P154">
            <v>96</v>
          </cell>
          <cell r="Q154">
            <v>0</v>
          </cell>
        </row>
        <row r="155">
          <cell r="A155">
            <v>37540</v>
          </cell>
          <cell r="O155">
            <v>9.5</v>
          </cell>
        </row>
        <row r="156">
          <cell r="A156">
            <v>37544</v>
          </cell>
          <cell r="O156">
            <v>30.9</v>
          </cell>
        </row>
        <row r="157">
          <cell r="A157">
            <v>37545</v>
          </cell>
          <cell r="O157">
            <v>12.04</v>
          </cell>
        </row>
        <row r="158">
          <cell r="A158">
            <v>37547</v>
          </cell>
          <cell r="O158">
            <v>30.06</v>
          </cell>
        </row>
        <row r="159">
          <cell r="A159">
            <v>37550</v>
          </cell>
          <cell r="O159">
            <v>5.2</v>
          </cell>
        </row>
        <row r="160">
          <cell r="A160">
            <v>37552</v>
          </cell>
          <cell r="O160">
            <v>32.799999999999997</v>
          </cell>
        </row>
        <row r="161">
          <cell r="A161">
            <v>37554</v>
          </cell>
          <cell r="O161">
            <v>16</v>
          </cell>
        </row>
        <row r="162">
          <cell r="A162">
            <v>37557</v>
          </cell>
          <cell r="O162">
            <v>37</v>
          </cell>
        </row>
        <row r="163">
          <cell r="A163">
            <v>37559</v>
          </cell>
          <cell r="O163">
            <v>18</v>
          </cell>
        </row>
        <row r="164">
          <cell r="A164">
            <v>37561</v>
          </cell>
          <cell r="O164">
            <v>21.3</v>
          </cell>
        </row>
        <row r="165">
          <cell r="A165">
            <v>37564</v>
          </cell>
          <cell r="O165">
            <v>31</v>
          </cell>
        </row>
        <row r="166">
          <cell r="A166">
            <v>37566</v>
          </cell>
          <cell r="O166">
            <v>19</v>
          </cell>
        </row>
        <row r="167">
          <cell r="A167">
            <v>37567</v>
          </cell>
          <cell r="F167">
            <v>80</v>
          </cell>
        </row>
        <row r="168">
          <cell r="A168">
            <v>37568</v>
          </cell>
          <cell r="O168">
            <v>10.6</v>
          </cell>
        </row>
        <row r="169">
          <cell r="A169">
            <v>37571</v>
          </cell>
          <cell r="O169">
            <v>9.9</v>
          </cell>
        </row>
        <row r="170">
          <cell r="A170">
            <v>37572</v>
          </cell>
          <cell r="B170">
            <v>6</v>
          </cell>
          <cell r="C170">
            <v>0.15</v>
          </cell>
          <cell r="D170">
            <v>2</v>
          </cell>
          <cell r="E170">
            <v>12</v>
          </cell>
          <cell r="F170">
            <v>12</v>
          </cell>
          <cell r="G170">
            <v>2.8328000000000002</v>
          </cell>
          <cell r="H170">
            <v>6.6</v>
          </cell>
          <cell r="I170">
            <v>58</v>
          </cell>
          <cell r="J170">
            <v>100</v>
          </cell>
          <cell r="K170">
            <v>2.2000000000000002</v>
          </cell>
          <cell r="L170">
            <v>1.8</v>
          </cell>
          <cell r="M170">
            <v>20.2</v>
          </cell>
          <cell r="N170">
            <v>24.2</v>
          </cell>
          <cell r="O170">
            <v>15</v>
          </cell>
          <cell r="P170">
            <v>80</v>
          </cell>
          <cell r="Q170">
            <v>0</v>
          </cell>
        </row>
        <row r="171">
          <cell r="A171">
            <v>37573</v>
          </cell>
          <cell r="O171">
            <v>26.6</v>
          </cell>
        </row>
        <row r="172">
          <cell r="A172">
            <v>37575</v>
          </cell>
          <cell r="O172">
            <v>52.3</v>
          </cell>
        </row>
        <row r="173">
          <cell r="A173">
            <v>37578</v>
          </cell>
          <cell r="O173">
            <v>8.8000000000000007</v>
          </cell>
        </row>
        <row r="174">
          <cell r="A174">
            <v>37580</v>
          </cell>
          <cell r="O174">
            <v>29.4</v>
          </cell>
        </row>
        <row r="175">
          <cell r="A175">
            <v>37582</v>
          </cell>
          <cell r="O175">
            <v>23.7</v>
          </cell>
          <cell r="U175">
            <v>474.6</v>
          </cell>
        </row>
        <row r="176">
          <cell r="A176">
            <v>37585</v>
          </cell>
          <cell r="O176">
            <v>29</v>
          </cell>
          <cell r="U176" t="str">
            <v xml:space="preserve">Comienza a dosificar Nalco </v>
          </cell>
        </row>
        <row r="177">
          <cell r="A177">
            <v>37589</v>
          </cell>
          <cell r="O177">
            <v>55.4</v>
          </cell>
        </row>
        <row r="178">
          <cell r="A178">
            <v>37595</v>
          </cell>
          <cell r="B178">
            <v>12</v>
          </cell>
          <cell r="C178">
            <v>0.8</v>
          </cell>
          <cell r="D178">
            <v>0.4</v>
          </cell>
          <cell r="E178">
            <v>10</v>
          </cell>
          <cell r="F178">
            <v>100</v>
          </cell>
          <cell r="G178">
            <v>2.7397</v>
          </cell>
          <cell r="H178">
            <v>6.9</v>
          </cell>
          <cell r="I178">
            <v>53</v>
          </cell>
          <cell r="J178">
            <v>1000</v>
          </cell>
          <cell r="O178">
            <v>27</v>
          </cell>
          <cell r="P178">
            <v>64</v>
          </cell>
          <cell r="Q178">
            <v>0</v>
          </cell>
        </row>
        <row r="179">
          <cell r="A179">
            <v>37592</v>
          </cell>
          <cell r="O179">
            <v>17.899999999999999</v>
          </cell>
        </row>
        <row r="180">
          <cell r="A180">
            <v>37596</v>
          </cell>
          <cell r="O180">
            <v>54</v>
          </cell>
        </row>
        <row r="181">
          <cell r="A181">
            <v>37599</v>
          </cell>
          <cell r="O181">
            <v>26.9</v>
          </cell>
        </row>
        <row r="182">
          <cell r="A182">
            <v>37601</v>
          </cell>
          <cell r="O182">
            <v>23.3</v>
          </cell>
        </row>
        <row r="183">
          <cell r="A183">
            <v>37606</v>
          </cell>
          <cell r="O183">
            <v>46.02</v>
          </cell>
        </row>
        <row r="184">
          <cell r="A184">
            <v>37608</v>
          </cell>
          <cell r="O184">
            <v>22.7</v>
          </cell>
        </row>
        <row r="185">
          <cell r="A185">
            <v>37610</v>
          </cell>
          <cell r="O185">
            <v>21.8</v>
          </cell>
        </row>
        <row r="186">
          <cell r="A186">
            <v>37613</v>
          </cell>
          <cell r="O186">
            <v>52.1</v>
          </cell>
          <cell r="U186" t="str">
            <v>Comienza a dosificar WA-720 y FLW-162</v>
          </cell>
        </row>
        <row r="187">
          <cell r="A187">
            <v>37635</v>
          </cell>
          <cell r="B187">
            <v>13</v>
          </cell>
          <cell r="C187">
            <v>0.27</v>
          </cell>
          <cell r="D187">
            <v>3</v>
          </cell>
          <cell r="E187">
            <v>9</v>
          </cell>
          <cell r="F187">
            <v>20</v>
          </cell>
          <cell r="G187">
            <v>2.5839699999999999</v>
          </cell>
          <cell r="H187">
            <v>7.82</v>
          </cell>
          <cell r="I187">
            <v>60</v>
          </cell>
          <cell r="J187">
            <v>100</v>
          </cell>
          <cell r="K187">
            <v>1.1000000000000001</v>
          </cell>
          <cell r="L187">
            <v>1.4</v>
          </cell>
          <cell r="M187">
            <v>14.9</v>
          </cell>
          <cell r="N187">
            <v>17.399999999999999</v>
          </cell>
          <cell r="O187">
            <v>14</v>
          </cell>
          <cell r="P187">
            <v>72</v>
          </cell>
          <cell r="Q187">
            <v>11</v>
          </cell>
        </row>
        <row r="188">
          <cell r="A188">
            <v>37655</v>
          </cell>
          <cell r="O188">
            <v>21</v>
          </cell>
        </row>
        <row r="189">
          <cell r="A189">
            <v>37657</v>
          </cell>
          <cell r="O189">
            <v>5</v>
          </cell>
        </row>
        <row r="190">
          <cell r="A190">
            <v>37658</v>
          </cell>
          <cell r="B190">
            <v>12</v>
          </cell>
          <cell r="C190">
            <v>0.13</v>
          </cell>
          <cell r="D190">
            <v>2</v>
          </cell>
          <cell r="E190">
            <v>10</v>
          </cell>
          <cell r="F190">
            <v>2</v>
          </cell>
          <cell r="G190">
            <v>2.5838999999999999</v>
          </cell>
          <cell r="H190">
            <v>7.55</v>
          </cell>
          <cell r="I190">
            <v>58</v>
          </cell>
          <cell r="J190">
            <v>100</v>
          </cell>
          <cell r="K190">
            <v>0.2</v>
          </cell>
          <cell r="L190">
            <v>2.1</v>
          </cell>
          <cell r="M190">
            <v>11.4</v>
          </cell>
          <cell r="N190">
            <v>13.6</v>
          </cell>
          <cell r="O190">
            <v>11</v>
          </cell>
          <cell r="P190">
            <v>64</v>
          </cell>
          <cell r="Q190">
            <v>0</v>
          </cell>
        </row>
        <row r="191">
          <cell r="A191">
            <v>37659</v>
          </cell>
          <cell r="O191">
            <v>13</v>
          </cell>
        </row>
        <row r="192">
          <cell r="A192">
            <v>37666</v>
          </cell>
          <cell r="O192">
            <v>23</v>
          </cell>
        </row>
        <row r="193">
          <cell r="A193">
            <v>37669</v>
          </cell>
          <cell r="O193">
            <v>10</v>
          </cell>
        </row>
        <row r="194">
          <cell r="A194">
            <v>37671</v>
          </cell>
          <cell r="O194">
            <v>61</v>
          </cell>
        </row>
        <row r="195">
          <cell r="A195">
            <v>37676</v>
          </cell>
          <cell r="O195">
            <v>47</v>
          </cell>
        </row>
        <row r="196">
          <cell r="A196">
            <v>37678</v>
          </cell>
          <cell r="O196">
            <v>22.48</v>
          </cell>
        </row>
        <row r="197">
          <cell r="A197">
            <v>37683</v>
          </cell>
          <cell r="O197">
            <v>33.4</v>
          </cell>
        </row>
        <row r="198">
          <cell r="A198">
            <v>37685</v>
          </cell>
          <cell r="O198">
            <v>11.8</v>
          </cell>
        </row>
        <row r="199">
          <cell r="A199">
            <v>37690</v>
          </cell>
          <cell r="O199">
            <v>24.26</v>
          </cell>
        </row>
        <row r="200">
          <cell r="A200">
            <v>37692</v>
          </cell>
          <cell r="O200">
            <v>14.6</v>
          </cell>
        </row>
        <row r="201">
          <cell r="A201">
            <v>37694</v>
          </cell>
          <cell r="O201">
            <v>13.6</v>
          </cell>
        </row>
        <row r="202">
          <cell r="A202">
            <v>37697</v>
          </cell>
          <cell r="O202">
            <v>8.9</v>
          </cell>
        </row>
        <row r="203">
          <cell r="A203">
            <v>37699</v>
          </cell>
          <cell r="O203">
            <v>23.42</v>
          </cell>
        </row>
        <row r="204">
          <cell r="A204">
            <v>37701</v>
          </cell>
          <cell r="O204">
            <v>6.25</v>
          </cell>
        </row>
        <row r="205">
          <cell r="A205">
            <v>37704</v>
          </cell>
          <cell r="O205">
            <v>19.739999999999998</v>
          </cell>
        </row>
        <row r="206">
          <cell r="A206">
            <v>37705</v>
          </cell>
          <cell r="B206">
            <v>6</v>
          </cell>
          <cell r="C206">
            <v>0.16</v>
          </cell>
          <cell r="D206">
            <v>2</v>
          </cell>
          <cell r="E206">
            <v>7</v>
          </cell>
          <cell r="F206">
            <v>10</v>
          </cell>
          <cell r="G206">
            <v>2.7027000000000001</v>
          </cell>
          <cell r="H206">
            <v>7.38</v>
          </cell>
          <cell r="I206">
            <v>60</v>
          </cell>
          <cell r="J206">
            <v>1000</v>
          </cell>
          <cell r="K206">
            <v>1.2</v>
          </cell>
          <cell r="L206">
            <v>0.7</v>
          </cell>
          <cell r="M206">
            <v>3.9</v>
          </cell>
          <cell r="N206">
            <v>5.8</v>
          </cell>
          <cell r="O206">
            <v>6</v>
          </cell>
          <cell r="P206">
            <v>72</v>
          </cell>
          <cell r="Q206">
            <v>0</v>
          </cell>
          <cell r="R206">
            <v>158</v>
          </cell>
          <cell r="S206">
            <v>0</v>
          </cell>
        </row>
        <row r="207">
          <cell r="A207">
            <v>37708</v>
          </cell>
          <cell r="O207">
            <v>4.5199999999999996</v>
          </cell>
        </row>
        <row r="208">
          <cell r="A208">
            <v>37720</v>
          </cell>
          <cell r="O208">
            <v>6</v>
          </cell>
        </row>
        <row r="209">
          <cell r="A209">
            <v>37725</v>
          </cell>
          <cell r="O209">
            <v>39.200000000000003</v>
          </cell>
          <cell r="U209" t="str">
            <v>No dosificó FLW-162 por rotura de retención de entrada de bba</v>
          </cell>
        </row>
        <row r="210">
          <cell r="A210">
            <v>37727</v>
          </cell>
          <cell r="O210">
            <v>17.8</v>
          </cell>
        </row>
        <row r="211">
          <cell r="A211">
            <v>37729</v>
          </cell>
          <cell r="O211">
            <v>8.9</v>
          </cell>
        </row>
        <row r="212">
          <cell r="A212">
            <v>37732</v>
          </cell>
          <cell r="O212">
            <v>6.1</v>
          </cell>
        </row>
        <row r="213">
          <cell r="A213">
            <v>37734</v>
          </cell>
          <cell r="O213">
            <v>6.3</v>
          </cell>
        </row>
        <row r="214">
          <cell r="A214">
            <v>37739</v>
          </cell>
          <cell r="O214">
            <v>49</v>
          </cell>
          <cell r="U214" t="str">
            <v>Problemas con el flexible de la bba dosif. Fué cambiado.</v>
          </cell>
        </row>
        <row r="215">
          <cell r="A215">
            <v>37746</v>
          </cell>
          <cell r="O215">
            <v>24</v>
          </cell>
        </row>
        <row r="216">
          <cell r="A216">
            <v>37750</v>
          </cell>
          <cell r="O216">
            <v>23.9</v>
          </cell>
        </row>
        <row r="217">
          <cell r="A217">
            <v>37753</v>
          </cell>
          <cell r="O217">
            <v>6</v>
          </cell>
        </row>
        <row r="218">
          <cell r="A218">
            <v>37760</v>
          </cell>
          <cell r="O218">
            <v>31</v>
          </cell>
          <cell r="U218" t="str">
            <v>No inyectó floculante</v>
          </cell>
        </row>
        <row r="219">
          <cell r="A219">
            <v>37763</v>
          </cell>
          <cell r="B219">
            <v>8</v>
          </cell>
          <cell r="C219">
            <v>0.17</v>
          </cell>
          <cell r="D219">
            <v>1.5</v>
          </cell>
          <cell r="E219">
            <v>8</v>
          </cell>
          <cell r="F219">
            <v>50</v>
          </cell>
          <cell r="G219">
            <v>3.1745999999999999</v>
          </cell>
          <cell r="H219">
            <v>7.48</v>
          </cell>
          <cell r="I219">
            <v>52</v>
          </cell>
          <cell r="J219">
            <v>10</v>
          </cell>
          <cell r="K219">
            <v>5.3</v>
          </cell>
          <cell r="L219">
            <v>3</v>
          </cell>
          <cell r="M219">
            <v>128</v>
          </cell>
          <cell r="N219">
            <v>136.30000000000001</v>
          </cell>
          <cell r="O219">
            <v>110</v>
          </cell>
          <cell r="P219">
            <v>40</v>
          </cell>
          <cell r="Q219">
            <v>17</v>
          </cell>
          <cell r="R219">
            <v>161</v>
          </cell>
          <cell r="U219" t="str">
            <v>Problemas eléctricos en la bba de floculante desde 18/2</v>
          </cell>
        </row>
        <row r="220">
          <cell r="A220">
            <v>37764</v>
          </cell>
          <cell r="O220">
            <v>59</v>
          </cell>
          <cell r="U220" t="str">
            <v>No inyectó floculante</v>
          </cell>
        </row>
        <row r="221">
          <cell r="A221">
            <v>37767</v>
          </cell>
          <cell r="O221">
            <v>54</v>
          </cell>
        </row>
        <row r="222">
          <cell r="A222">
            <v>37769</v>
          </cell>
          <cell r="O222">
            <v>21</v>
          </cell>
        </row>
        <row r="223">
          <cell r="A223">
            <v>37771</v>
          </cell>
          <cell r="O223">
            <v>12.6</v>
          </cell>
        </row>
        <row r="224">
          <cell r="A224">
            <v>37774</v>
          </cell>
          <cell r="O224">
            <v>24</v>
          </cell>
        </row>
        <row r="225">
          <cell r="A225">
            <v>37776</v>
          </cell>
          <cell r="O225">
            <v>10.5</v>
          </cell>
        </row>
        <row r="226">
          <cell r="A226">
            <v>37781</v>
          </cell>
          <cell r="O226">
            <v>64.3</v>
          </cell>
          <cell r="U226" t="str">
            <v>No inyectó floculante</v>
          </cell>
        </row>
        <row r="227">
          <cell r="A227">
            <v>37788</v>
          </cell>
          <cell r="O227">
            <v>6.5</v>
          </cell>
        </row>
        <row r="228">
          <cell r="A228">
            <v>37799</v>
          </cell>
          <cell r="O228">
            <v>14.3</v>
          </cell>
        </row>
        <row r="229">
          <cell r="A229">
            <v>37803</v>
          </cell>
          <cell r="O229">
            <v>53.9</v>
          </cell>
        </row>
        <row r="230">
          <cell r="A230">
            <v>37805</v>
          </cell>
          <cell r="B230">
            <v>19</v>
          </cell>
          <cell r="C230">
            <v>0.17</v>
          </cell>
          <cell r="D230">
            <v>1</v>
          </cell>
          <cell r="E230">
            <v>8</v>
          </cell>
          <cell r="F230">
            <v>2</v>
          </cell>
          <cell r="G230">
            <v>3.3333333333333335</v>
          </cell>
          <cell r="H230">
            <v>7.35</v>
          </cell>
          <cell r="I230">
            <v>57</v>
          </cell>
          <cell r="J230">
            <v>10</v>
          </cell>
          <cell r="K230">
            <v>4</v>
          </cell>
          <cell r="L230">
            <v>1.7</v>
          </cell>
          <cell r="M230">
            <v>59</v>
          </cell>
          <cell r="N230">
            <v>64.8</v>
          </cell>
          <cell r="O230">
            <v>40</v>
          </cell>
          <cell r="P230">
            <v>168</v>
          </cell>
          <cell r="Q230">
            <v>58</v>
          </cell>
          <cell r="R230">
            <v>162</v>
          </cell>
          <cell r="S230">
            <v>0</v>
          </cell>
        </row>
        <row r="231">
          <cell r="A231">
            <v>37806</v>
          </cell>
          <cell r="O231">
            <v>61.46</v>
          </cell>
        </row>
        <row r="232">
          <cell r="A232">
            <v>37823</v>
          </cell>
          <cell r="O232">
            <v>17.440000000000001</v>
          </cell>
        </row>
        <row r="233">
          <cell r="A233">
            <v>37827</v>
          </cell>
          <cell r="O233">
            <v>10.62</v>
          </cell>
        </row>
        <row r="234">
          <cell r="A234">
            <v>37834</v>
          </cell>
          <cell r="O234">
            <v>113.71</v>
          </cell>
        </row>
        <row r="235">
          <cell r="A235">
            <v>37837</v>
          </cell>
          <cell r="O235">
            <v>13.76</v>
          </cell>
        </row>
        <row r="236">
          <cell r="A236">
            <v>37839</v>
          </cell>
          <cell r="O236">
            <v>10.83</v>
          </cell>
        </row>
        <row r="237">
          <cell r="A237">
            <v>37841</v>
          </cell>
          <cell r="O237">
            <v>9.43</v>
          </cell>
        </row>
        <row r="238">
          <cell r="A238">
            <v>37844</v>
          </cell>
          <cell r="O238">
            <v>11.25</v>
          </cell>
        </row>
        <row r="239">
          <cell r="A239">
            <v>37845</v>
          </cell>
          <cell r="B239">
            <v>13</v>
          </cell>
          <cell r="C239">
            <v>0.14000000000000001</v>
          </cell>
          <cell r="D239">
            <v>1</v>
          </cell>
          <cell r="E239">
            <v>10</v>
          </cell>
          <cell r="F239">
            <v>2</v>
          </cell>
          <cell r="G239">
            <v>3.1850000000000001</v>
          </cell>
          <cell r="H239">
            <v>7.08</v>
          </cell>
          <cell r="I239">
            <v>57</v>
          </cell>
          <cell r="J239">
            <v>10</v>
          </cell>
          <cell r="K239">
            <v>4.2</v>
          </cell>
          <cell r="L239">
            <v>1.6</v>
          </cell>
          <cell r="M239">
            <v>13</v>
          </cell>
          <cell r="N239">
            <v>18.8</v>
          </cell>
          <cell r="O239">
            <v>10</v>
          </cell>
          <cell r="P239">
            <v>72</v>
          </cell>
          <cell r="Q239">
            <v>6</v>
          </cell>
          <cell r="R239">
            <v>184</v>
          </cell>
          <cell r="S239">
            <v>0</v>
          </cell>
          <cell r="T239">
            <v>14</v>
          </cell>
        </row>
        <row r="240">
          <cell r="A240">
            <v>37846</v>
          </cell>
          <cell r="O240">
            <v>8.48</v>
          </cell>
        </row>
        <row r="241">
          <cell r="A241">
            <v>37848</v>
          </cell>
          <cell r="O241">
            <v>36.28</v>
          </cell>
        </row>
        <row r="242">
          <cell r="A242">
            <v>37853</v>
          </cell>
          <cell r="O242">
            <v>87.12</v>
          </cell>
        </row>
        <row r="243">
          <cell r="A243">
            <v>37858</v>
          </cell>
          <cell r="O243">
            <v>51.02</v>
          </cell>
        </row>
        <row r="244">
          <cell r="A244">
            <v>37859</v>
          </cell>
          <cell r="O244">
            <v>42.79</v>
          </cell>
        </row>
        <row r="245">
          <cell r="A245">
            <v>37860</v>
          </cell>
          <cell r="O245">
            <v>10.58</v>
          </cell>
        </row>
        <row r="246">
          <cell r="A246">
            <v>37861</v>
          </cell>
          <cell r="O246">
            <v>10.48</v>
          </cell>
        </row>
        <row r="247">
          <cell r="A247">
            <v>37865</v>
          </cell>
          <cell r="O247">
            <v>33.68</v>
          </cell>
        </row>
        <row r="248">
          <cell r="A248">
            <v>37869</v>
          </cell>
          <cell r="O248">
            <v>17.07</v>
          </cell>
        </row>
        <row r="249">
          <cell r="A249">
            <v>37872</v>
          </cell>
          <cell r="O249">
            <v>13.54</v>
          </cell>
        </row>
        <row r="250">
          <cell r="A250">
            <v>37874</v>
          </cell>
          <cell r="O250">
            <v>14.16</v>
          </cell>
        </row>
        <row r="251">
          <cell r="A251">
            <v>37881</v>
          </cell>
          <cell r="O251">
            <v>16.12</v>
          </cell>
        </row>
        <row r="252">
          <cell r="A252">
            <v>37883</v>
          </cell>
          <cell r="O252">
            <v>8.25</v>
          </cell>
        </row>
        <row r="253">
          <cell r="A253">
            <v>37886</v>
          </cell>
          <cell r="O253">
            <v>11.1</v>
          </cell>
        </row>
        <row r="254">
          <cell r="A254">
            <v>37888</v>
          </cell>
          <cell r="O254">
            <v>10.45</v>
          </cell>
        </row>
        <row r="255">
          <cell r="A255">
            <v>37895</v>
          </cell>
          <cell r="O255">
            <v>11.88</v>
          </cell>
        </row>
        <row r="256">
          <cell r="A256">
            <v>37896</v>
          </cell>
          <cell r="O256">
            <v>12</v>
          </cell>
          <cell r="U256" t="str">
            <v>Muestra registrada por Baker</v>
          </cell>
        </row>
        <row r="257">
          <cell r="A257">
            <v>37897</v>
          </cell>
          <cell r="O257">
            <v>10.4</v>
          </cell>
        </row>
        <row r="258">
          <cell r="A258">
            <v>37900</v>
          </cell>
          <cell r="O258">
            <v>56.56</v>
          </cell>
        </row>
        <row r="259">
          <cell r="A259">
            <v>37902</v>
          </cell>
          <cell r="O259">
            <v>111.5</v>
          </cell>
        </row>
        <row r="260">
          <cell r="A260">
            <v>37903</v>
          </cell>
          <cell r="O260">
            <v>4.88</v>
          </cell>
        </row>
        <row r="261">
          <cell r="A261">
            <v>37904</v>
          </cell>
          <cell r="O261">
            <v>8.5500000000000007</v>
          </cell>
        </row>
        <row r="262">
          <cell r="A262">
            <v>37907</v>
          </cell>
          <cell r="O262">
            <v>11.49</v>
          </cell>
        </row>
        <row r="263">
          <cell r="A263">
            <v>37909</v>
          </cell>
          <cell r="O263">
            <v>8.84</v>
          </cell>
        </row>
        <row r="264">
          <cell r="A264">
            <v>37911</v>
          </cell>
          <cell r="O264">
            <v>17.399999999999999</v>
          </cell>
        </row>
        <row r="265">
          <cell r="A265">
            <v>37914</v>
          </cell>
          <cell r="O265">
            <v>19.5</v>
          </cell>
        </row>
        <row r="266">
          <cell r="A266">
            <v>37916</v>
          </cell>
          <cell r="O266">
            <v>16</v>
          </cell>
        </row>
        <row r="267">
          <cell r="A267">
            <v>37917</v>
          </cell>
          <cell r="B267">
            <v>18</v>
          </cell>
          <cell r="C267">
            <v>0.2</v>
          </cell>
          <cell r="D267">
            <v>1.5</v>
          </cell>
          <cell r="E267">
            <v>8</v>
          </cell>
          <cell r="F267">
            <v>30</v>
          </cell>
          <cell r="G267">
            <v>2.347417840375587</v>
          </cell>
          <cell r="H267">
            <v>7.5</v>
          </cell>
          <cell r="I267">
            <v>54</v>
          </cell>
          <cell r="J267">
            <v>100</v>
          </cell>
          <cell r="K267">
            <v>8</v>
          </cell>
          <cell r="L267">
            <v>2.7</v>
          </cell>
          <cell r="M267">
            <v>51</v>
          </cell>
          <cell r="N267">
            <v>61.7</v>
          </cell>
          <cell r="O267">
            <v>68</v>
          </cell>
          <cell r="P267">
            <v>64</v>
          </cell>
          <cell r="Q267">
            <v>6</v>
          </cell>
          <cell r="R267">
            <v>158</v>
          </cell>
          <cell r="S267">
            <v>0</v>
          </cell>
          <cell r="T267">
            <v>10</v>
          </cell>
        </row>
        <row r="268">
          <cell r="A268">
            <v>37918</v>
          </cell>
          <cell r="O268">
            <v>8.5</v>
          </cell>
        </row>
        <row r="269">
          <cell r="A269">
            <v>37923</v>
          </cell>
          <cell r="O269">
            <v>5.4</v>
          </cell>
        </row>
        <row r="270">
          <cell r="A270">
            <v>37925</v>
          </cell>
          <cell r="O270">
            <v>6.2</v>
          </cell>
        </row>
        <row r="271">
          <cell r="A271">
            <v>37929</v>
          </cell>
          <cell r="O271">
            <v>6</v>
          </cell>
        </row>
        <row r="272">
          <cell r="A272">
            <v>37930</v>
          </cell>
          <cell r="O272">
            <v>27</v>
          </cell>
        </row>
        <row r="273">
          <cell r="A273">
            <v>37932</v>
          </cell>
          <cell r="O273">
            <v>11</v>
          </cell>
        </row>
        <row r="274">
          <cell r="A274">
            <v>37935</v>
          </cell>
          <cell r="O274">
            <v>25</v>
          </cell>
        </row>
        <row r="275">
          <cell r="A275">
            <v>37938</v>
          </cell>
          <cell r="O275">
            <v>16</v>
          </cell>
        </row>
        <row r="276">
          <cell r="A276">
            <v>37939</v>
          </cell>
          <cell r="O276">
            <v>31</v>
          </cell>
        </row>
        <row r="277">
          <cell r="A277">
            <v>37942</v>
          </cell>
          <cell r="O277">
            <v>4</v>
          </cell>
        </row>
        <row r="278">
          <cell r="A278">
            <v>37944</v>
          </cell>
          <cell r="O278">
            <v>11</v>
          </cell>
        </row>
        <row r="279">
          <cell r="A279">
            <v>37949</v>
          </cell>
          <cell r="O279">
            <v>3</v>
          </cell>
        </row>
        <row r="280">
          <cell r="A280">
            <v>37951</v>
          </cell>
          <cell r="O280">
            <v>19</v>
          </cell>
        </row>
        <row r="281">
          <cell r="A281">
            <v>37956</v>
          </cell>
          <cell r="O281">
            <v>9</v>
          </cell>
        </row>
        <row r="282">
          <cell r="A282">
            <v>37958</v>
          </cell>
          <cell r="O282">
            <v>13</v>
          </cell>
        </row>
        <row r="283">
          <cell r="A283">
            <v>37960</v>
          </cell>
          <cell r="O283">
            <v>17.5</v>
          </cell>
        </row>
        <row r="284">
          <cell r="A284">
            <v>37964</v>
          </cell>
          <cell r="O284">
            <v>75.7</v>
          </cell>
        </row>
        <row r="285">
          <cell r="A285">
            <v>37966</v>
          </cell>
          <cell r="O285">
            <v>32.4</v>
          </cell>
        </row>
        <row r="286">
          <cell r="A286">
            <v>37970</v>
          </cell>
          <cell r="O286">
            <v>11.3</v>
          </cell>
        </row>
        <row r="287">
          <cell r="A287">
            <v>37972</v>
          </cell>
          <cell r="O287">
            <v>9.5</v>
          </cell>
        </row>
        <row r="288">
          <cell r="A288">
            <v>37977</v>
          </cell>
          <cell r="O288">
            <v>6</v>
          </cell>
        </row>
        <row r="289">
          <cell r="A289">
            <v>37978</v>
          </cell>
          <cell r="O289">
            <v>11.5</v>
          </cell>
        </row>
        <row r="290">
          <cell r="A290">
            <v>37991</v>
          </cell>
          <cell r="O290">
            <v>74</v>
          </cell>
        </row>
        <row r="291">
          <cell r="A291">
            <v>37993</v>
          </cell>
          <cell r="O291">
            <v>5.6</v>
          </cell>
        </row>
        <row r="292">
          <cell r="A292">
            <v>37995</v>
          </cell>
          <cell r="O292">
            <v>33</v>
          </cell>
        </row>
        <row r="293">
          <cell r="A293">
            <v>37998</v>
          </cell>
          <cell r="O293">
            <v>5.7</v>
          </cell>
        </row>
        <row r="294">
          <cell r="A294">
            <v>38000</v>
          </cell>
          <cell r="O294">
            <v>17</v>
          </cell>
        </row>
        <row r="295">
          <cell r="A295">
            <v>38002</v>
          </cell>
          <cell r="O295">
            <v>8.5</v>
          </cell>
        </row>
        <row r="296">
          <cell r="A296">
            <v>38005</v>
          </cell>
          <cell r="O296">
            <v>4.4000000000000004</v>
          </cell>
        </row>
        <row r="297">
          <cell r="A297">
            <v>38009</v>
          </cell>
          <cell r="O297">
            <v>10.1</v>
          </cell>
        </row>
        <row r="298">
          <cell r="A298">
            <v>38012</v>
          </cell>
          <cell r="O298">
            <v>12</v>
          </cell>
        </row>
        <row r="299">
          <cell r="A299">
            <v>38044</v>
          </cell>
          <cell r="J299">
            <v>10</v>
          </cell>
        </row>
        <row r="300">
          <cell r="A300">
            <v>38019</v>
          </cell>
          <cell r="O300">
            <v>8.4</v>
          </cell>
        </row>
        <row r="301">
          <cell r="A301">
            <v>38021</v>
          </cell>
          <cell r="O301">
            <v>8.4</v>
          </cell>
        </row>
        <row r="302">
          <cell r="A302">
            <v>38023</v>
          </cell>
          <cell r="O302">
            <v>6.7</v>
          </cell>
        </row>
        <row r="303">
          <cell r="A303">
            <v>38026</v>
          </cell>
          <cell r="O303">
            <v>6.2</v>
          </cell>
        </row>
        <row r="304">
          <cell r="A304">
            <v>38028</v>
          </cell>
          <cell r="O304">
            <v>23</v>
          </cell>
        </row>
        <row r="305">
          <cell r="A305">
            <v>38030</v>
          </cell>
          <cell r="O305">
            <v>9.8000000000000007</v>
          </cell>
        </row>
        <row r="306">
          <cell r="A306">
            <v>38033</v>
          </cell>
          <cell r="O306">
            <v>13</v>
          </cell>
        </row>
        <row r="307">
          <cell r="A307">
            <v>38035</v>
          </cell>
          <cell r="O307">
            <v>9.3000000000000007</v>
          </cell>
        </row>
        <row r="308">
          <cell r="A308">
            <v>38037</v>
          </cell>
          <cell r="O308">
            <v>7.5</v>
          </cell>
        </row>
        <row r="309">
          <cell r="A309">
            <v>38040</v>
          </cell>
          <cell r="O309">
            <v>18.600000000000001</v>
          </cell>
        </row>
        <row r="310">
          <cell r="A310">
            <v>38044</v>
          </cell>
          <cell r="O310">
            <v>2.2999999999999998</v>
          </cell>
        </row>
        <row r="311">
          <cell r="A311">
            <v>38040</v>
          </cell>
          <cell r="B311">
            <v>11</v>
          </cell>
          <cell r="C311">
            <v>1.1599999999999999</v>
          </cell>
          <cell r="D311">
            <v>2</v>
          </cell>
          <cell r="E311">
            <v>11</v>
          </cell>
          <cell r="F311">
            <v>8</v>
          </cell>
          <cell r="G311">
            <v>3.0209999999999999</v>
          </cell>
          <cell r="H311">
            <v>7.2</v>
          </cell>
          <cell r="I311">
            <v>53</v>
          </cell>
          <cell r="J311">
            <v>10</v>
          </cell>
          <cell r="K311">
            <v>3.6</v>
          </cell>
          <cell r="L311">
            <v>1.2</v>
          </cell>
          <cell r="M311">
            <v>19.899999999999999</v>
          </cell>
          <cell r="N311">
            <v>24.7</v>
          </cell>
          <cell r="P311">
            <v>64</v>
          </cell>
          <cell r="Q311">
            <v>0</v>
          </cell>
          <cell r="R311">
            <v>162</v>
          </cell>
          <cell r="S311">
            <v>0</v>
          </cell>
          <cell r="T311">
            <v>14</v>
          </cell>
          <cell r="U311" t="str">
            <v>Análisis realizado por LAI</v>
          </cell>
        </row>
        <row r="312">
          <cell r="A312">
            <v>38051</v>
          </cell>
          <cell r="O312">
            <v>12.6</v>
          </cell>
        </row>
        <row r="313">
          <cell r="A313">
            <v>38054</v>
          </cell>
          <cell r="O313">
            <v>15</v>
          </cell>
        </row>
        <row r="314">
          <cell r="A314">
            <v>38056</v>
          </cell>
          <cell r="O314">
            <v>15</v>
          </cell>
        </row>
        <row r="315">
          <cell r="A315">
            <v>38058</v>
          </cell>
          <cell r="O315">
            <v>13</v>
          </cell>
        </row>
        <row r="316">
          <cell r="A316">
            <v>38063</v>
          </cell>
          <cell r="O316">
            <v>17</v>
          </cell>
        </row>
        <row r="317">
          <cell r="A317">
            <v>38065</v>
          </cell>
          <cell r="O317">
            <v>19</v>
          </cell>
        </row>
        <row r="318">
          <cell r="A318">
            <v>38068</v>
          </cell>
          <cell r="O318">
            <v>39</v>
          </cell>
        </row>
        <row r="319">
          <cell r="A319">
            <v>38072</v>
          </cell>
          <cell r="O319">
            <v>17</v>
          </cell>
        </row>
        <row r="320">
          <cell r="A320">
            <v>38076</v>
          </cell>
          <cell r="O320">
            <v>20</v>
          </cell>
        </row>
        <row r="321">
          <cell r="A321">
            <v>38083</v>
          </cell>
          <cell r="J321">
            <v>10</v>
          </cell>
        </row>
        <row r="322">
          <cell r="A322">
            <v>38085</v>
          </cell>
          <cell r="O322">
            <v>7</v>
          </cell>
        </row>
        <row r="323">
          <cell r="A323">
            <v>38087</v>
          </cell>
          <cell r="O323">
            <v>15.9</v>
          </cell>
        </row>
        <row r="324">
          <cell r="A324">
            <v>38089</v>
          </cell>
          <cell r="J324">
            <v>100</v>
          </cell>
          <cell r="O324">
            <v>13.8</v>
          </cell>
        </row>
        <row r="325">
          <cell r="A325">
            <v>38091</v>
          </cell>
          <cell r="O325">
            <v>36.6</v>
          </cell>
        </row>
        <row r="326">
          <cell r="A326">
            <v>38093</v>
          </cell>
          <cell r="O326">
            <v>16.3</v>
          </cell>
        </row>
        <row r="327">
          <cell r="A327">
            <v>38094</v>
          </cell>
          <cell r="B327">
            <v>15</v>
          </cell>
          <cell r="C327">
            <v>0.13</v>
          </cell>
          <cell r="D327">
            <v>8.1</v>
          </cell>
          <cell r="E327">
            <v>15</v>
          </cell>
          <cell r="F327">
            <v>18</v>
          </cell>
          <cell r="G327">
            <v>2.0790000000000002</v>
          </cell>
          <cell r="H327">
            <v>7.5</v>
          </cell>
          <cell r="I327">
            <v>61</v>
          </cell>
          <cell r="J327">
            <v>10</v>
          </cell>
          <cell r="K327">
            <v>4.2</v>
          </cell>
          <cell r="L327">
            <v>1</v>
          </cell>
          <cell r="M327">
            <v>49.8</v>
          </cell>
          <cell r="N327">
            <v>55</v>
          </cell>
          <cell r="P327">
            <v>65</v>
          </cell>
          <cell r="Q327">
            <v>0</v>
          </cell>
          <cell r="R327">
            <v>235</v>
          </cell>
          <cell r="S327">
            <v>0</v>
          </cell>
          <cell r="T327">
            <v>13</v>
          </cell>
          <cell r="U327" t="str">
            <v>Análisis realizado por LAI</v>
          </cell>
        </row>
        <row r="328">
          <cell r="A328">
            <v>38095</v>
          </cell>
          <cell r="O328">
            <v>6.7</v>
          </cell>
        </row>
        <row r="329">
          <cell r="A329">
            <v>38098</v>
          </cell>
          <cell r="O329">
            <v>26.8</v>
          </cell>
        </row>
        <row r="330">
          <cell r="A330">
            <v>38103</v>
          </cell>
          <cell r="O330">
            <v>12.7</v>
          </cell>
        </row>
        <row r="331">
          <cell r="A331">
            <v>38106</v>
          </cell>
          <cell r="O331">
            <v>15.2</v>
          </cell>
        </row>
        <row r="332">
          <cell r="A332">
            <v>38107</v>
          </cell>
          <cell r="O332">
            <v>19</v>
          </cell>
        </row>
        <row r="333">
          <cell r="A333">
            <v>38110</v>
          </cell>
          <cell r="O333">
            <v>27.9</v>
          </cell>
        </row>
        <row r="334">
          <cell r="A334">
            <v>38111</v>
          </cell>
          <cell r="J334">
            <v>100</v>
          </cell>
        </row>
        <row r="335">
          <cell r="A335">
            <v>38112</v>
          </cell>
          <cell r="O335">
            <v>19.5</v>
          </cell>
        </row>
        <row r="336">
          <cell r="A336">
            <v>38114</v>
          </cell>
          <cell r="F336">
            <v>14</v>
          </cell>
          <cell r="O336">
            <v>11.4</v>
          </cell>
          <cell r="T336">
            <v>14</v>
          </cell>
        </row>
        <row r="337">
          <cell r="A337">
            <v>38117</v>
          </cell>
          <cell r="O337">
            <v>12.4</v>
          </cell>
        </row>
        <row r="338">
          <cell r="A338">
            <v>38119</v>
          </cell>
          <cell r="O338">
            <v>10.6</v>
          </cell>
        </row>
        <row r="339">
          <cell r="A339">
            <v>38121</v>
          </cell>
          <cell r="O339">
            <v>12.2</v>
          </cell>
        </row>
        <row r="340">
          <cell r="A340">
            <v>38124</v>
          </cell>
          <cell r="O340">
            <v>13.7</v>
          </cell>
        </row>
        <row r="341">
          <cell r="A341">
            <v>38126</v>
          </cell>
          <cell r="O341">
            <v>39.200000000000003</v>
          </cell>
        </row>
        <row r="342">
          <cell r="A342">
            <v>38127</v>
          </cell>
          <cell r="B342">
            <v>15</v>
          </cell>
          <cell r="C342">
            <v>0.2</v>
          </cell>
          <cell r="D342">
            <v>3</v>
          </cell>
          <cell r="E342">
            <v>14</v>
          </cell>
          <cell r="F342">
            <v>4</v>
          </cell>
          <cell r="H342">
            <v>7.15</v>
          </cell>
          <cell r="I342">
            <v>61</v>
          </cell>
          <cell r="J342">
            <v>10</v>
          </cell>
          <cell r="O342">
            <v>82</v>
          </cell>
          <cell r="P342">
            <v>120</v>
          </cell>
          <cell r="Q342">
            <v>0</v>
          </cell>
          <cell r="R342">
            <v>147</v>
          </cell>
          <cell r="S342">
            <v>0</v>
          </cell>
          <cell r="T342">
            <v>10</v>
          </cell>
        </row>
        <row r="343">
          <cell r="A343">
            <v>38128</v>
          </cell>
          <cell r="O343">
            <v>43</v>
          </cell>
        </row>
        <row r="344">
          <cell r="A344">
            <v>38135</v>
          </cell>
          <cell r="O344">
            <v>45.3</v>
          </cell>
        </row>
        <row r="345">
          <cell r="A345">
            <v>38140</v>
          </cell>
          <cell r="O345">
            <v>31.5</v>
          </cell>
        </row>
        <row r="346">
          <cell r="A346">
            <v>38145</v>
          </cell>
          <cell r="O346">
            <v>24</v>
          </cell>
        </row>
        <row r="347">
          <cell r="A347">
            <v>38146</v>
          </cell>
          <cell r="O347">
            <v>17</v>
          </cell>
        </row>
        <row r="348">
          <cell r="A348">
            <v>38147</v>
          </cell>
          <cell r="O348">
            <v>14.19</v>
          </cell>
        </row>
        <row r="349">
          <cell r="A349">
            <v>38149</v>
          </cell>
          <cell r="O349">
            <v>33.700000000000003</v>
          </cell>
        </row>
        <row r="350">
          <cell r="A350">
            <v>38152</v>
          </cell>
          <cell r="O350">
            <v>25.91</v>
          </cell>
        </row>
        <row r="351">
          <cell r="A351">
            <v>38153</v>
          </cell>
          <cell r="F351">
            <v>10</v>
          </cell>
          <cell r="O351">
            <v>18</v>
          </cell>
          <cell r="U351" t="str">
            <v>BAKER</v>
          </cell>
        </row>
        <row r="352">
          <cell r="A352">
            <v>38155</v>
          </cell>
          <cell r="F352">
            <v>8</v>
          </cell>
          <cell r="O352">
            <v>15</v>
          </cell>
          <cell r="U352" t="str">
            <v>BAKER</v>
          </cell>
        </row>
        <row r="353">
          <cell r="A353">
            <v>38156</v>
          </cell>
          <cell r="O353">
            <v>21.19</v>
          </cell>
        </row>
        <row r="354">
          <cell r="A354">
            <v>38159</v>
          </cell>
          <cell r="O354">
            <v>31.92</v>
          </cell>
        </row>
        <row r="355">
          <cell r="A355">
            <v>38160</v>
          </cell>
          <cell r="O355">
            <v>16</v>
          </cell>
          <cell r="U355" t="str">
            <v>BAKER</v>
          </cell>
        </row>
        <row r="356">
          <cell r="A356">
            <v>38161</v>
          </cell>
          <cell r="F356">
            <v>10</v>
          </cell>
          <cell r="U356" t="str">
            <v>BAKER</v>
          </cell>
        </row>
        <row r="357">
          <cell r="A357">
            <v>38162</v>
          </cell>
          <cell r="O357">
            <v>17.5</v>
          </cell>
          <cell r="U357" t="str">
            <v>BAKER</v>
          </cell>
        </row>
        <row r="358">
          <cell r="A358">
            <v>38163</v>
          </cell>
          <cell r="F358">
            <v>10</v>
          </cell>
          <cell r="O358">
            <v>25.7</v>
          </cell>
          <cell r="U358" t="str">
            <v>BAKER</v>
          </cell>
        </row>
        <row r="359">
          <cell r="A359">
            <v>38168</v>
          </cell>
          <cell r="O359">
            <v>9.18</v>
          </cell>
        </row>
        <row r="360">
          <cell r="A360">
            <v>38170</v>
          </cell>
          <cell r="O360">
            <v>32.700000000000003</v>
          </cell>
        </row>
        <row r="361">
          <cell r="A361">
            <v>38172</v>
          </cell>
          <cell r="O361">
            <v>25</v>
          </cell>
        </row>
        <row r="362">
          <cell r="A362">
            <v>38173</v>
          </cell>
          <cell r="O362">
            <v>22</v>
          </cell>
        </row>
        <row r="363">
          <cell r="A363">
            <v>38175</v>
          </cell>
          <cell r="O363">
            <v>98.6</v>
          </cell>
        </row>
        <row r="364">
          <cell r="A364">
            <v>38176</v>
          </cell>
          <cell r="O364">
            <v>48</v>
          </cell>
        </row>
        <row r="365">
          <cell r="A365">
            <v>38182</v>
          </cell>
          <cell r="O365">
            <v>25.7</v>
          </cell>
        </row>
        <row r="366">
          <cell r="A366">
            <v>38184</v>
          </cell>
          <cell r="O366">
            <v>21.46</v>
          </cell>
        </row>
        <row r="367">
          <cell r="A367">
            <v>38187</v>
          </cell>
          <cell r="O367">
            <v>19.920000000000002</v>
          </cell>
        </row>
        <row r="368">
          <cell r="A368">
            <v>38189</v>
          </cell>
          <cell r="O368">
            <v>18.52</v>
          </cell>
        </row>
        <row r="369">
          <cell r="A369">
            <v>38194</v>
          </cell>
          <cell r="O369">
            <v>35.78</v>
          </cell>
        </row>
        <row r="370">
          <cell r="A370">
            <v>38196</v>
          </cell>
          <cell r="O370">
            <v>25.24</v>
          </cell>
          <cell r="U370" t="str">
            <v xml:space="preserve">Se extrae otra Muestra con 22 ppm </v>
          </cell>
        </row>
        <row r="371">
          <cell r="A371">
            <v>38198</v>
          </cell>
          <cell r="O371">
            <v>12.4</v>
          </cell>
        </row>
        <row r="372">
          <cell r="A372">
            <v>38201</v>
          </cell>
          <cell r="O372">
            <v>34.700000000000003</v>
          </cell>
        </row>
        <row r="373">
          <cell r="A373">
            <v>38203</v>
          </cell>
          <cell r="O373">
            <v>18.68</v>
          </cell>
        </row>
        <row r="374">
          <cell r="A374">
            <v>38205</v>
          </cell>
          <cell r="O374">
            <v>19.75</v>
          </cell>
        </row>
        <row r="375">
          <cell r="A375">
            <v>38208</v>
          </cell>
          <cell r="O375">
            <v>10.9</v>
          </cell>
        </row>
        <row r="376">
          <cell r="A376">
            <v>38210</v>
          </cell>
          <cell r="O376">
            <v>30.9</v>
          </cell>
        </row>
        <row r="377">
          <cell r="A377">
            <v>38212</v>
          </cell>
          <cell r="O377">
            <v>44.1</v>
          </cell>
          <cell r="U377" t="str">
            <v xml:space="preserve">Se extrae otra Muestra con 15 ppm </v>
          </cell>
        </row>
        <row r="378">
          <cell r="A378">
            <v>38216</v>
          </cell>
          <cell r="O378">
            <v>92</v>
          </cell>
        </row>
        <row r="379">
          <cell r="A379">
            <v>38217</v>
          </cell>
          <cell r="O379">
            <v>20</v>
          </cell>
        </row>
        <row r="380">
          <cell r="A380">
            <v>38218</v>
          </cell>
          <cell r="B380">
            <v>12</v>
          </cell>
          <cell r="C380">
            <v>0.8</v>
          </cell>
          <cell r="D380">
            <v>1</v>
          </cell>
          <cell r="E380">
            <v>7</v>
          </cell>
          <cell r="F380">
            <v>6</v>
          </cell>
          <cell r="G380">
            <v>2.1739000000000002</v>
          </cell>
          <cell r="H380">
            <v>7.3</v>
          </cell>
          <cell r="I380">
            <v>62</v>
          </cell>
          <cell r="J380">
            <v>10</v>
          </cell>
          <cell r="K380">
            <v>3.7</v>
          </cell>
          <cell r="L380">
            <v>1.3</v>
          </cell>
          <cell r="M380">
            <v>51</v>
          </cell>
          <cell r="N380">
            <v>56</v>
          </cell>
          <cell r="O380">
            <v>18</v>
          </cell>
          <cell r="P380">
            <v>64</v>
          </cell>
          <cell r="Q380">
            <v>0</v>
          </cell>
          <cell r="R380">
            <v>146</v>
          </cell>
          <cell r="S380">
            <v>0</v>
          </cell>
          <cell r="T380">
            <v>20</v>
          </cell>
        </row>
        <row r="381">
          <cell r="A381">
            <v>38219</v>
          </cell>
          <cell r="O381">
            <v>24.6</v>
          </cell>
        </row>
        <row r="382">
          <cell r="A382">
            <v>38222</v>
          </cell>
          <cell r="O382">
            <v>35</v>
          </cell>
        </row>
        <row r="383">
          <cell r="A383">
            <v>38224</v>
          </cell>
          <cell r="O383">
            <v>37</v>
          </cell>
        </row>
        <row r="384">
          <cell r="A384">
            <v>38226</v>
          </cell>
          <cell r="O384">
            <v>6.6</v>
          </cell>
        </row>
        <row r="385">
          <cell r="A385">
            <v>38229</v>
          </cell>
          <cell r="O385">
            <v>17</v>
          </cell>
        </row>
        <row r="386">
          <cell r="A386">
            <v>38231</v>
          </cell>
          <cell r="O386">
            <v>23</v>
          </cell>
          <cell r="U386" t="str">
            <v>Lab. C.D. 23 ppm H.C.</v>
          </cell>
        </row>
        <row r="387">
          <cell r="A387">
            <v>38233</v>
          </cell>
          <cell r="O387">
            <v>5</v>
          </cell>
        </row>
        <row r="388">
          <cell r="A388">
            <v>38236</v>
          </cell>
          <cell r="O388">
            <v>21</v>
          </cell>
        </row>
        <row r="389">
          <cell r="A389">
            <v>38238</v>
          </cell>
          <cell r="O389">
            <v>34</v>
          </cell>
        </row>
        <row r="390">
          <cell r="A390">
            <v>38240</v>
          </cell>
          <cell r="O390">
            <v>54</v>
          </cell>
        </row>
        <row r="391">
          <cell r="A391">
            <v>38243</v>
          </cell>
          <cell r="O391">
            <v>20</v>
          </cell>
        </row>
        <row r="392">
          <cell r="A392">
            <v>38245</v>
          </cell>
          <cell r="O392">
            <v>27</v>
          </cell>
          <cell r="U392" t="str">
            <v>Lab. C.D. 19 ppm H.C.</v>
          </cell>
        </row>
        <row r="393">
          <cell r="A393">
            <v>38247</v>
          </cell>
          <cell r="O393">
            <v>10</v>
          </cell>
          <cell r="U393" t="str">
            <v>Lab. C.D. 6 ppm H.C.</v>
          </cell>
        </row>
        <row r="394">
          <cell r="A394">
            <v>38252</v>
          </cell>
          <cell r="O394">
            <v>35</v>
          </cell>
        </row>
        <row r="395">
          <cell r="A395">
            <v>38257</v>
          </cell>
          <cell r="O395">
            <v>8</v>
          </cell>
        </row>
        <row r="396">
          <cell r="A396">
            <v>38253</v>
          </cell>
          <cell r="O396">
            <v>10</v>
          </cell>
        </row>
        <row r="397">
          <cell r="A397">
            <v>38259</v>
          </cell>
          <cell r="O397">
            <v>46</v>
          </cell>
        </row>
        <row r="398">
          <cell r="A398">
            <v>38261</v>
          </cell>
          <cell r="F398">
            <v>700</v>
          </cell>
          <cell r="I398">
            <v>54</v>
          </cell>
          <cell r="J398">
            <v>10</v>
          </cell>
        </row>
        <row r="399">
          <cell r="A399">
            <v>38264</v>
          </cell>
          <cell r="O399">
            <v>11</v>
          </cell>
        </row>
        <row r="400">
          <cell r="A400">
            <v>38266</v>
          </cell>
          <cell r="O400">
            <v>16</v>
          </cell>
        </row>
        <row r="401">
          <cell r="A401">
            <v>38267</v>
          </cell>
          <cell r="D401">
            <v>3</v>
          </cell>
          <cell r="E401">
            <v>4</v>
          </cell>
          <cell r="F401">
            <v>16</v>
          </cell>
          <cell r="H401">
            <v>7.3</v>
          </cell>
          <cell r="I401">
            <v>54</v>
          </cell>
          <cell r="J401">
            <v>10000</v>
          </cell>
          <cell r="K401">
            <v>6</v>
          </cell>
          <cell r="L401">
            <v>1.6</v>
          </cell>
          <cell r="M401">
            <v>60</v>
          </cell>
          <cell r="N401">
            <v>67.599999999999994</v>
          </cell>
          <cell r="O401">
            <v>64</v>
          </cell>
          <cell r="T401">
            <v>14</v>
          </cell>
        </row>
        <row r="402">
          <cell r="A402">
            <v>38268</v>
          </cell>
          <cell r="O402">
            <v>6</v>
          </cell>
        </row>
        <row r="403">
          <cell r="A403">
            <v>38272</v>
          </cell>
          <cell r="O403">
            <v>45</v>
          </cell>
        </row>
        <row r="404">
          <cell r="A404">
            <v>38273</v>
          </cell>
          <cell r="O404">
            <v>13</v>
          </cell>
        </row>
        <row r="405">
          <cell r="A405">
            <v>38275</v>
          </cell>
          <cell r="O405">
            <v>35</v>
          </cell>
        </row>
        <row r="406">
          <cell r="A406">
            <v>38278</v>
          </cell>
          <cell r="O406">
            <v>13</v>
          </cell>
          <cell r="U406" t="str">
            <v>25ppm en lab. C.D.</v>
          </cell>
        </row>
        <row r="407">
          <cell r="A407">
            <v>38280</v>
          </cell>
          <cell r="J407">
            <v>100</v>
          </cell>
          <cell r="O407">
            <v>3</v>
          </cell>
        </row>
        <row r="408">
          <cell r="A408">
            <v>38285</v>
          </cell>
          <cell r="O408">
            <v>16</v>
          </cell>
          <cell r="U408" t="str">
            <v xml:space="preserve">Otra muestra con 18ppm </v>
          </cell>
        </row>
        <row r="409">
          <cell r="A409">
            <v>38286</v>
          </cell>
          <cell r="O409">
            <v>51</v>
          </cell>
        </row>
        <row r="410">
          <cell r="A410">
            <v>38287</v>
          </cell>
          <cell r="O410">
            <v>12</v>
          </cell>
        </row>
        <row r="411">
          <cell r="A411">
            <v>38288</v>
          </cell>
          <cell r="O411">
            <v>248</v>
          </cell>
        </row>
        <row r="412">
          <cell r="A412">
            <v>38289</v>
          </cell>
          <cell r="O412">
            <v>13</v>
          </cell>
        </row>
        <row r="413">
          <cell r="A413">
            <v>38292</v>
          </cell>
          <cell r="O413">
            <v>20</v>
          </cell>
          <cell r="U413" t="str">
            <v>20ppm en lab. C.D.</v>
          </cell>
        </row>
        <row r="414">
          <cell r="A414">
            <v>38293</v>
          </cell>
          <cell r="O414">
            <v>18</v>
          </cell>
        </row>
        <row r="415">
          <cell r="A415">
            <v>38294</v>
          </cell>
          <cell r="O415">
            <v>20</v>
          </cell>
        </row>
        <row r="416">
          <cell r="A416">
            <v>38295</v>
          </cell>
          <cell r="O416">
            <v>67</v>
          </cell>
        </row>
        <row r="417">
          <cell r="A417">
            <v>38301</v>
          </cell>
          <cell r="D417">
            <v>3</v>
          </cell>
          <cell r="E417">
            <v>8</v>
          </cell>
          <cell r="F417">
            <v>12</v>
          </cell>
          <cell r="H417">
            <v>7.34</v>
          </cell>
          <cell r="I417">
            <v>58</v>
          </cell>
          <cell r="J417">
            <v>10</v>
          </cell>
          <cell r="K417">
            <v>17.7</v>
          </cell>
          <cell r="L417">
            <v>0.2</v>
          </cell>
          <cell r="M417">
            <v>39.6</v>
          </cell>
          <cell r="N417">
            <v>57.5</v>
          </cell>
          <cell r="O417">
            <v>57</v>
          </cell>
        </row>
        <row r="418">
          <cell r="A418">
            <v>38302</v>
          </cell>
          <cell r="O418">
            <v>16</v>
          </cell>
        </row>
        <row r="419">
          <cell r="A419">
            <v>38303</v>
          </cell>
          <cell r="O419">
            <v>68</v>
          </cell>
          <cell r="U419" t="str">
            <v>70ppm en lab. C.D.</v>
          </cell>
        </row>
        <row r="420">
          <cell r="A420">
            <v>38306</v>
          </cell>
          <cell r="O420">
            <v>73</v>
          </cell>
          <cell r="U420" t="str">
            <v>83ppm en lab. C.D.</v>
          </cell>
        </row>
        <row r="421">
          <cell r="A421">
            <v>38307</v>
          </cell>
          <cell r="O421">
            <v>28</v>
          </cell>
        </row>
        <row r="422">
          <cell r="A422">
            <v>38308</v>
          </cell>
          <cell r="O422">
            <v>10</v>
          </cell>
          <cell r="U422" t="str">
            <v>21ppm en lab. C.D.</v>
          </cell>
        </row>
        <row r="423">
          <cell r="A423">
            <v>38313</v>
          </cell>
          <cell r="O423">
            <v>28</v>
          </cell>
        </row>
        <row r="424">
          <cell r="A424">
            <v>38314</v>
          </cell>
          <cell r="O424">
            <v>15</v>
          </cell>
        </row>
        <row r="425">
          <cell r="A425">
            <v>38315</v>
          </cell>
          <cell r="O425">
            <v>12</v>
          </cell>
          <cell r="U425" t="str">
            <v>16.2ppm en lab. C.D.</v>
          </cell>
        </row>
        <row r="426">
          <cell r="A426">
            <v>38316</v>
          </cell>
          <cell r="O426">
            <v>25</v>
          </cell>
        </row>
        <row r="427">
          <cell r="A427">
            <v>38317</v>
          </cell>
          <cell r="O427">
            <v>82</v>
          </cell>
        </row>
        <row r="428">
          <cell r="A428">
            <v>38324</v>
          </cell>
          <cell r="O428">
            <v>13</v>
          </cell>
        </row>
        <row r="429">
          <cell r="A429">
            <v>38327</v>
          </cell>
          <cell r="O429">
            <v>15</v>
          </cell>
        </row>
        <row r="430">
          <cell r="A430">
            <v>38329</v>
          </cell>
          <cell r="O430">
            <v>12</v>
          </cell>
        </row>
        <row r="431">
          <cell r="A431">
            <v>38331</v>
          </cell>
          <cell r="D431">
            <v>1</v>
          </cell>
          <cell r="E431">
            <v>8</v>
          </cell>
          <cell r="F431">
            <v>18</v>
          </cell>
          <cell r="H431">
            <v>7.75</v>
          </cell>
          <cell r="I431">
            <v>58</v>
          </cell>
          <cell r="J431">
            <v>100</v>
          </cell>
          <cell r="K431">
            <v>6.8</v>
          </cell>
          <cell r="L431">
            <v>2.4</v>
          </cell>
          <cell r="M431">
            <v>24.8</v>
          </cell>
          <cell r="N431">
            <v>34</v>
          </cell>
          <cell r="O431">
            <v>18</v>
          </cell>
        </row>
        <row r="432">
          <cell r="A432">
            <v>38338</v>
          </cell>
          <cell r="O432">
            <v>66</v>
          </cell>
          <cell r="U432" t="str">
            <v>65.8ppm en lab. C.D.</v>
          </cell>
        </row>
        <row r="433">
          <cell r="A433">
            <v>38341</v>
          </cell>
          <cell r="O433">
            <v>21</v>
          </cell>
          <cell r="U433" t="str">
            <v>21.8ppm en lab. C.D.</v>
          </cell>
        </row>
        <row r="434">
          <cell r="A434">
            <v>38343</v>
          </cell>
          <cell r="O434">
            <v>25</v>
          </cell>
          <cell r="U434" t="str">
            <v>24.6ppm en lab. C.D.</v>
          </cell>
        </row>
        <row r="435">
          <cell r="A435">
            <v>38350</v>
          </cell>
          <cell r="O435">
            <v>31</v>
          </cell>
          <cell r="U435" t="str">
            <v>30.5ppm en lab. C.D.</v>
          </cell>
        </row>
        <row r="436">
          <cell r="A436">
            <v>38357</v>
          </cell>
          <cell r="O436">
            <v>34</v>
          </cell>
        </row>
        <row r="437">
          <cell r="A437">
            <v>38359</v>
          </cell>
          <cell r="O437">
            <v>32.229999999999997</v>
          </cell>
        </row>
        <row r="438">
          <cell r="A438">
            <v>38362</v>
          </cell>
          <cell r="O438">
            <v>9</v>
          </cell>
          <cell r="U438" t="str">
            <v>92.78ppm en lab. C.D.</v>
          </cell>
        </row>
        <row r="439">
          <cell r="A439">
            <v>38363</v>
          </cell>
          <cell r="O439">
            <v>18</v>
          </cell>
        </row>
        <row r="440">
          <cell r="A440">
            <v>38364</v>
          </cell>
          <cell r="O440">
            <v>25</v>
          </cell>
          <cell r="U440" t="str">
            <v>transferencia resero 29ppm oil</v>
          </cell>
        </row>
        <row r="441">
          <cell r="A441">
            <v>38365</v>
          </cell>
          <cell r="O441">
            <v>23</v>
          </cell>
        </row>
        <row r="442">
          <cell r="A442">
            <v>38366</v>
          </cell>
          <cell r="O442">
            <v>44.98</v>
          </cell>
        </row>
        <row r="443">
          <cell r="A443">
            <v>38369</v>
          </cell>
          <cell r="O443">
            <v>27</v>
          </cell>
        </row>
        <row r="444">
          <cell r="A444">
            <v>38370</v>
          </cell>
          <cell r="O444">
            <v>33</v>
          </cell>
        </row>
        <row r="445">
          <cell r="A445">
            <v>38371</v>
          </cell>
          <cell r="O445">
            <v>29</v>
          </cell>
          <cell r="U445" t="str">
            <v>18.7ppm en lab. C.D.</v>
          </cell>
        </row>
        <row r="446">
          <cell r="A446">
            <v>38372</v>
          </cell>
          <cell r="O446">
            <v>24</v>
          </cell>
        </row>
        <row r="447">
          <cell r="A447">
            <v>38373</v>
          </cell>
          <cell r="O447">
            <v>27</v>
          </cell>
          <cell r="U447" t="str">
            <v>23.6ppm en lab. C.D.</v>
          </cell>
        </row>
        <row r="448">
          <cell r="A448">
            <v>38376</v>
          </cell>
          <cell r="B448">
            <v>16</v>
          </cell>
          <cell r="C448">
            <v>0.1</v>
          </cell>
          <cell r="D448">
            <v>2</v>
          </cell>
          <cell r="E448">
            <v>6</v>
          </cell>
          <cell r="F448">
            <v>2</v>
          </cell>
          <cell r="G448">
            <v>2.8010999999999999</v>
          </cell>
          <cell r="H448">
            <v>8.36</v>
          </cell>
          <cell r="I448">
            <v>57</v>
          </cell>
          <cell r="J448">
            <v>10000</v>
          </cell>
          <cell r="K448">
            <v>3</v>
          </cell>
          <cell r="L448">
            <v>0.8</v>
          </cell>
          <cell r="M448">
            <v>24.8</v>
          </cell>
          <cell r="N448">
            <v>28.6</v>
          </cell>
          <cell r="O448">
            <v>18</v>
          </cell>
          <cell r="P448">
            <v>56</v>
          </cell>
          <cell r="Q448">
            <v>11.52</v>
          </cell>
          <cell r="R448">
            <v>109</v>
          </cell>
          <cell r="S448" t="str">
            <v>*</v>
          </cell>
          <cell r="T448" t="str">
            <v>*</v>
          </cell>
          <cell r="U448" t="str">
            <v>48.6ppm en lab. C.D.</v>
          </cell>
        </row>
        <row r="449">
          <cell r="A449">
            <v>38377</v>
          </cell>
          <cell r="O449">
            <v>17</v>
          </cell>
        </row>
        <row r="450">
          <cell r="A450">
            <v>38378</v>
          </cell>
          <cell r="O450">
            <v>29</v>
          </cell>
          <cell r="U450" t="str">
            <v>5.0ppm en lab. C.D.</v>
          </cell>
        </row>
        <row r="451">
          <cell r="A451">
            <v>38379</v>
          </cell>
          <cell r="O451">
            <v>19</v>
          </cell>
        </row>
        <row r="452">
          <cell r="A452">
            <v>38380</v>
          </cell>
          <cell r="O452">
            <v>15</v>
          </cell>
        </row>
        <row r="453">
          <cell r="A453">
            <v>38383</v>
          </cell>
          <cell r="O453">
            <v>2</v>
          </cell>
          <cell r="U453" t="str">
            <v>1.76ppm en lab. C.D.</v>
          </cell>
        </row>
        <row r="454">
          <cell r="A454">
            <v>38384</v>
          </cell>
          <cell r="O454">
            <v>9</v>
          </cell>
        </row>
        <row r="455">
          <cell r="A455">
            <v>38384</v>
          </cell>
          <cell r="O455">
            <v>5</v>
          </cell>
        </row>
        <row r="456">
          <cell r="A456">
            <v>38385</v>
          </cell>
          <cell r="O456">
            <v>2</v>
          </cell>
          <cell r="U456" t="str">
            <v>3.8ppm en lab. C.D.</v>
          </cell>
        </row>
        <row r="457">
          <cell r="A457">
            <v>38386</v>
          </cell>
          <cell r="O457">
            <v>6</v>
          </cell>
        </row>
        <row r="458">
          <cell r="A458">
            <v>38386</v>
          </cell>
          <cell r="O458">
            <v>2</v>
          </cell>
        </row>
        <row r="459">
          <cell r="A459">
            <v>38387</v>
          </cell>
          <cell r="O459">
            <v>6</v>
          </cell>
        </row>
        <row r="460">
          <cell r="A460">
            <v>38390</v>
          </cell>
          <cell r="O460">
            <v>12.3</v>
          </cell>
        </row>
        <row r="461">
          <cell r="A461">
            <v>38392</v>
          </cell>
          <cell r="O461">
            <v>12.6</v>
          </cell>
        </row>
        <row r="462">
          <cell r="A462">
            <v>38394</v>
          </cell>
          <cell r="O462">
            <v>3.5</v>
          </cell>
        </row>
        <row r="463">
          <cell r="A463">
            <v>38397</v>
          </cell>
          <cell r="O463">
            <v>4.3</v>
          </cell>
        </row>
        <row r="464">
          <cell r="A464">
            <v>38399</v>
          </cell>
          <cell r="O464">
            <v>25</v>
          </cell>
        </row>
        <row r="465">
          <cell r="A465">
            <v>38401</v>
          </cell>
          <cell r="B465">
            <v>9</v>
          </cell>
          <cell r="C465">
            <v>0.2</v>
          </cell>
          <cell r="D465">
            <v>0.4</v>
          </cell>
          <cell r="E465">
            <v>7</v>
          </cell>
          <cell r="F465">
            <v>40</v>
          </cell>
          <cell r="G465">
            <v>2.8248000000000002</v>
          </cell>
          <cell r="H465">
            <v>8.1</v>
          </cell>
          <cell r="I465">
            <v>62</v>
          </cell>
          <cell r="J465">
            <v>10</v>
          </cell>
          <cell r="K465">
            <v>6.4</v>
          </cell>
          <cell r="L465">
            <v>0.8</v>
          </cell>
          <cell r="M465">
            <v>25.4</v>
          </cell>
          <cell r="N465">
            <v>32.6</v>
          </cell>
          <cell r="O465">
            <v>24</v>
          </cell>
          <cell r="P465">
            <v>112</v>
          </cell>
          <cell r="Q465">
            <v>0</v>
          </cell>
          <cell r="R465">
            <v>139</v>
          </cell>
          <cell r="S465" t="str">
            <v>*</v>
          </cell>
          <cell r="T465" t="str">
            <v>*</v>
          </cell>
        </row>
        <row r="466">
          <cell r="A466">
            <v>38404</v>
          </cell>
          <cell r="O466">
            <v>5.67</v>
          </cell>
        </row>
        <row r="467">
          <cell r="A467">
            <v>38406</v>
          </cell>
          <cell r="O467">
            <v>10.41</v>
          </cell>
        </row>
        <row r="468">
          <cell r="A468">
            <v>38411</v>
          </cell>
          <cell r="O468">
            <v>25.46</v>
          </cell>
        </row>
        <row r="469">
          <cell r="A469">
            <v>38413</v>
          </cell>
          <cell r="O469">
            <v>22</v>
          </cell>
        </row>
        <row r="470">
          <cell r="A470">
            <v>38414</v>
          </cell>
          <cell r="B470">
            <v>18</v>
          </cell>
          <cell r="C470">
            <v>0.25</v>
          </cell>
          <cell r="D470">
            <v>2</v>
          </cell>
          <cell r="E470">
            <v>4</v>
          </cell>
          <cell r="F470">
            <v>60</v>
          </cell>
          <cell r="G470">
            <v>2.7770000000000001</v>
          </cell>
          <cell r="H470">
            <v>7.74</v>
          </cell>
          <cell r="I470">
            <v>60</v>
          </cell>
          <cell r="J470">
            <v>10</v>
          </cell>
          <cell r="K470">
            <v>4.5</v>
          </cell>
          <cell r="L470">
            <v>1.3</v>
          </cell>
          <cell r="M470">
            <v>44</v>
          </cell>
          <cell r="N470">
            <v>49.8</v>
          </cell>
          <cell r="O470">
            <v>43</v>
          </cell>
          <cell r="P470">
            <v>96</v>
          </cell>
          <cell r="Q470">
            <v>0</v>
          </cell>
          <cell r="R470">
            <v>144</v>
          </cell>
          <cell r="S470" t="str">
            <v>*</v>
          </cell>
          <cell r="T470" t="str">
            <v>*</v>
          </cell>
        </row>
        <row r="471">
          <cell r="A471">
            <v>38415</v>
          </cell>
          <cell r="O471">
            <v>33.700000000000003</v>
          </cell>
        </row>
        <row r="472">
          <cell r="A472">
            <v>38418</v>
          </cell>
          <cell r="O472">
            <v>24.5</v>
          </cell>
        </row>
        <row r="473">
          <cell r="A473">
            <v>38420</v>
          </cell>
          <cell r="O473">
            <v>6.1</v>
          </cell>
        </row>
        <row r="474">
          <cell r="A474">
            <v>38425</v>
          </cell>
          <cell r="O474">
            <v>21.81</v>
          </cell>
        </row>
        <row r="475">
          <cell r="A475">
            <v>38427</v>
          </cell>
          <cell r="O475">
            <v>75.739999999999995</v>
          </cell>
        </row>
        <row r="476">
          <cell r="A476">
            <v>38429</v>
          </cell>
          <cell r="O476">
            <v>5.07</v>
          </cell>
        </row>
        <row r="477">
          <cell r="A477">
            <v>38432</v>
          </cell>
          <cell r="O477">
            <v>9.25</v>
          </cell>
        </row>
        <row r="478">
          <cell r="A478">
            <v>38434</v>
          </cell>
          <cell r="O478">
            <v>21.54</v>
          </cell>
        </row>
        <row r="479">
          <cell r="A479">
            <v>38439</v>
          </cell>
          <cell r="F479">
            <v>20</v>
          </cell>
          <cell r="O479">
            <v>168</v>
          </cell>
        </row>
        <row r="480">
          <cell r="A480">
            <v>38447</v>
          </cell>
          <cell r="O480">
            <v>12.4</v>
          </cell>
        </row>
        <row r="481">
          <cell r="A481">
            <v>38450</v>
          </cell>
          <cell r="O481">
            <v>11.7</v>
          </cell>
        </row>
        <row r="482">
          <cell r="A482">
            <v>38453</v>
          </cell>
          <cell r="O482">
            <v>6.6</v>
          </cell>
        </row>
        <row r="483">
          <cell r="A483">
            <v>38455</v>
          </cell>
          <cell r="O483">
            <v>15.6</v>
          </cell>
        </row>
        <row r="484">
          <cell r="A484">
            <v>38456</v>
          </cell>
          <cell r="B484">
            <v>12</v>
          </cell>
          <cell r="C484">
            <v>0.36</v>
          </cell>
          <cell r="D484">
            <v>3</v>
          </cell>
          <cell r="E484">
            <v>6</v>
          </cell>
          <cell r="F484">
            <v>30</v>
          </cell>
          <cell r="G484">
            <v>2.6579999999999999</v>
          </cell>
          <cell r="H484">
            <v>7.68</v>
          </cell>
          <cell r="I484">
            <v>56</v>
          </cell>
          <cell r="J484">
            <v>100</v>
          </cell>
          <cell r="K484">
            <v>2.4</v>
          </cell>
          <cell r="L484">
            <v>0.3</v>
          </cell>
          <cell r="M484">
            <v>12.4</v>
          </cell>
          <cell r="N484">
            <v>15.1</v>
          </cell>
          <cell r="O484">
            <v>15</v>
          </cell>
          <cell r="P484">
            <v>102</v>
          </cell>
          <cell r="Q484">
            <v>0</v>
          </cell>
          <cell r="R484">
            <v>154</v>
          </cell>
          <cell r="S484" t="str">
            <v>*</v>
          </cell>
          <cell r="T484" t="str">
            <v>*</v>
          </cell>
        </row>
        <row r="485">
          <cell r="A485">
            <v>38460</v>
          </cell>
          <cell r="O485">
            <v>13.53</v>
          </cell>
        </row>
        <row r="486">
          <cell r="A486">
            <v>38461</v>
          </cell>
          <cell r="O486">
            <v>17.239999999999998</v>
          </cell>
        </row>
        <row r="487">
          <cell r="A487">
            <v>38462</v>
          </cell>
          <cell r="O487">
            <v>8.7200000000000006</v>
          </cell>
          <cell r="U487" t="str">
            <v>Lab. C.D. 40.92</v>
          </cell>
        </row>
        <row r="488">
          <cell r="A488">
            <v>38463</v>
          </cell>
          <cell r="O488">
            <v>11.71</v>
          </cell>
        </row>
        <row r="489">
          <cell r="A489">
            <v>38464</v>
          </cell>
          <cell r="O489">
            <v>4.29</v>
          </cell>
        </row>
        <row r="490">
          <cell r="A490">
            <v>38467</v>
          </cell>
          <cell r="O490">
            <v>24.1</v>
          </cell>
          <cell r="U490" t="str">
            <v>otra muestra con 6.8ppm de Hc</v>
          </cell>
        </row>
        <row r="491">
          <cell r="A491">
            <v>38468</v>
          </cell>
          <cell r="O491">
            <v>32.700000000000003</v>
          </cell>
        </row>
        <row r="492">
          <cell r="A492">
            <v>38470</v>
          </cell>
          <cell r="O492">
            <v>11</v>
          </cell>
        </row>
        <row r="493">
          <cell r="A493">
            <v>38471</v>
          </cell>
          <cell r="O493">
            <v>10</v>
          </cell>
        </row>
        <row r="494">
          <cell r="A494">
            <v>38476</v>
          </cell>
          <cell r="O494">
            <v>29</v>
          </cell>
        </row>
        <row r="495">
          <cell r="A495">
            <v>38478</v>
          </cell>
          <cell r="O495">
            <v>48.5</v>
          </cell>
          <cell r="U495" t="str">
            <v>otra muestra con 31.8ppm de Hc</v>
          </cell>
        </row>
        <row r="496">
          <cell r="A496">
            <v>38481</v>
          </cell>
          <cell r="O496">
            <v>20.399999999999999</v>
          </cell>
        </row>
        <row r="497">
          <cell r="A497">
            <v>38483</v>
          </cell>
          <cell r="O497">
            <v>26.2</v>
          </cell>
        </row>
        <row r="498">
          <cell r="A498">
            <v>38485</v>
          </cell>
          <cell r="B498">
            <v>25</v>
          </cell>
          <cell r="C498">
            <v>0.26</v>
          </cell>
          <cell r="D498">
            <v>3</v>
          </cell>
          <cell r="E498">
            <v>9</v>
          </cell>
          <cell r="F498">
            <v>18</v>
          </cell>
          <cell r="G498">
            <v>2.5630000000000002</v>
          </cell>
          <cell r="H498">
            <v>7.86</v>
          </cell>
          <cell r="I498">
            <v>65</v>
          </cell>
          <cell r="J498">
            <v>100</v>
          </cell>
          <cell r="K498">
            <v>2.8</v>
          </cell>
          <cell r="L498">
            <v>0.2</v>
          </cell>
          <cell r="M498">
            <v>14.7</v>
          </cell>
          <cell r="N498">
            <v>17.7</v>
          </cell>
          <cell r="O498">
            <v>19</v>
          </cell>
          <cell r="P498">
            <v>112</v>
          </cell>
          <cell r="Q498">
            <v>12</v>
          </cell>
          <cell r="R498">
            <v>149</v>
          </cell>
          <cell r="S498" t="str">
            <v>*</v>
          </cell>
          <cell r="T498" t="str">
            <v>*</v>
          </cell>
          <cell r="U498" t="str">
            <v>otra muestra con 19.1ppm de Hc</v>
          </cell>
        </row>
        <row r="499">
          <cell r="A499">
            <v>38495</v>
          </cell>
          <cell r="O499">
            <v>32.85</v>
          </cell>
        </row>
        <row r="500">
          <cell r="A500">
            <v>38498</v>
          </cell>
          <cell r="O500">
            <v>20.47</v>
          </cell>
        </row>
        <row r="501">
          <cell r="A501">
            <v>38502</v>
          </cell>
          <cell r="O501">
            <v>14.4</v>
          </cell>
        </row>
        <row r="502">
          <cell r="A502">
            <v>38506</v>
          </cell>
          <cell r="O502">
            <v>8.18</v>
          </cell>
        </row>
      </sheetData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  <sheetName val="Dic2001"/>
    </sheetNames>
    <sheetDataSet>
      <sheetData sheetId="0" refreshError="1"/>
      <sheetData sheetId="1"/>
      <sheetData sheetId="2">
        <row r="6">
          <cell r="A6" t="str">
            <v>LEGAJO</v>
          </cell>
        </row>
      </sheetData>
      <sheetData sheetId="3"/>
      <sheetData sheetId="4">
        <row r="12">
          <cell r="A12" t="str">
            <v>Legajo</v>
          </cell>
          <cell r="B12" t="str">
            <v>Apellido</v>
          </cell>
          <cell r="C12" t="str">
            <v>Nombres</v>
          </cell>
          <cell r="D12" t="str">
            <v>Remuneración Mensual</v>
          </cell>
          <cell r="E12" t="str">
            <v>Compensación Variable</v>
          </cell>
          <cell r="F12" t="str">
            <v>Comp.Var - Cantidad sueldos</v>
          </cell>
          <cell r="G12" t="str">
            <v>Adicional Personal</v>
          </cell>
          <cell r="H12" t="str">
            <v>Bienes y Servicios</v>
          </cell>
          <cell r="I12" t="str">
            <v>Ad. Tarea Superior</v>
          </cell>
        </row>
        <row r="13">
          <cell r="A13">
            <v>1008035725</v>
          </cell>
          <cell r="B13" t="str">
            <v>BIANCHETTI</v>
          </cell>
          <cell r="C13" t="str">
            <v>Miguel</v>
          </cell>
          <cell r="D13">
            <v>12766</v>
          </cell>
          <cell r="E13">
            <v>60587</v>
          </cell>
          <cell r="F13">
            <v>4.7459658467805106</v>
          </cell>
          <cell r="G13">
            <v>0</v>
          </cell>
          <cell r="H13">
            <v>0</v>
          </cell>
          <cell r="I13">
            <v>0</v>
          </cell>
        </row>
        <row r="14">
          <cell r="A14">
            <v>4006040386</v>
          </cell>
          <cell r="B14" t="str">
            <v>MARTINEZ</v>
          </cell>
          <cell r="C14" t="str">
            <v>Aníbal</v>
          </cell>
          <cell r="D14">
            <v>4500</v>
          </cell>
          <cell r="E14">
            <v>9000</v>
          </cell>
          <cell r="F14">
            <v>2</v>
          </cell>
          <cell r="G14">
            <v>0</v>
          </cell>
          <cell r="H14">
            <v>0</v>
          </cell>
          <cell r="I14">
            <v>0</v>
          </cell>
        </row>
        <row r="15">
          <cell r="A15">
            <v>4010941885</v>
          </cell>
          <cell r="B15" t="str">
            <v>DIPINTO CAFIERO</v>
          </cell>
          <cell r="C15" t="str">
            <v>Roberto</v>
          </cell>
          <cell r="D15">
            <v>8833</v>
          </cell>
          <cell r="E15">
            <v>65500</v>
          </cell>
          <cell r="F15">
            <v>7.6</v>
          </cell>
          <cell r="G15">
            <v>0</v>
          </cell>
          <cell r="H15">
            <v>0</v>
          </cell>
          <cell r="I15">
            <v>0</v>
          </cell>
        </row>
        <row r="16">
          <cell r="A16">
            <v>1013683522</v>
          </cell>
          <cell r="B16" t="str">
            <v>RAFFAELI</v>
          </cell>
          <cell r="C16" t="str">
            <v>Nestor</v>
          </cell>
          <cell r="D16">
            <v>7194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</row>
        <row r="17">
          <cell r="A17">
            <v>1018773480</v>
          </cell>
          <cell r="B17" t="str">
            <v>BENEDINI</v>
          </cell>
          <cell r="C17" t="str">
            <v>Adolfo</v>
          </cell>
          <cell r="D17">
            <v>4550</v>
          </cell>
          <cell r="E17">
            <v>13650</v>
          </cell>
          <cell r="F17">
            <v>3</v>
          </cell>
          <cell r="G17">
            <v>0</v>
          </cell>
          <cell r="H17">
            <v>0</v>
          </cell>
          <cell r="I17">
            <v>0</v>
          </cell>
        </row>
        <row r="18">
          <cell r="A18">
            <v>1006437773</v>
          </cell>
          <cell r="B18" t="str">
            <v>BARRERA</v>
          </cell>
          <cell r="C18" t="str">
            <v>Ramón</v>
          </cell>
          <cell r="D18">
            <v>4000</v>
          </cell>
          <cell r="E18">
            <v>12000</v>
          </cell>
          <cell r="F18">
            <v>3</v>
          </cell>
          <cell r="G18">
            <v>0</v>
          </cell>
          <cell r="H18">
            <v>0</v>
          </cell>
          <cell r="I18">
            <v>0</v>
          </cell>
        </row>
        <row r="19">
          <cell r="A19">
            <v>1012021076</v>
          </cell>
          <cell r="B19" t="str">
            <v>BENITO</v>
          </cell>
          <cell r="C19" t="str">
            <v>José</v>
          </cell>
          <cell r="D19">
            <v>4620</v>
          </cell>
          <cell r="E19">
            <v>13860</v>
          </cell>
          <cell r="F19">
            <v>3</v>
          </cell>
          <cell r="G19">
            <v>0</v>
          </cell>
          <cell r="H19">
            <v>0</v>
          </cell>
          <cell r="I19">
            <v>270</v>
          </cell>
        </row>
        <row r="20">
          <cell r="A20">
            <v>4008065048</v>
          </cell>
          <cell r="B20" t="str">
            <v>BOLENTINI</v>
          </cell>
          <cell r="C20" t="str">
            <v>Sergio Daneil</v>
          </cell>
          <cell r="D20">
            <v>8400</v>
          </cell>
          <cell r="E20">
            <v>33600</v>
          </cell>
          <cell r="F20">
            <v>4</v>
          </cell>
          <cell r="G20">
            <v>0</v>
          </cell>
          <cell r="H20">
            <v>0</v>
          </cell>
          <cell r="I20">
            <v>0</v>
          </cell>
        </row>
        <row r="21">
          <cell r="A21">
            <v>1013970682</v>
          </cell>
          <cell r="B21" t="str">
            <v>BONAVIA</v>
          </cell>
          <cell r="C21" t="str">
            <v xml:space="preserve">Osvaldo </v>
          </cell>
          <cell r="D21">
            <v>5039</v>
          </cell>
          <cell r="E21">
            <v>15117</v>
          </cell>
          <cell r="F21">
            <v>3</v>
          </cell>
          <cell r="G21">
            <v>0</v>
          </cell>
          <cell r="H21">
            <v>0</v>
          </cell>
          <cell r="I21">
            <v>0</v>
          </cell>
        </row>
        <row r="22">
          <cell r="A22">
            <v>1012064446</v>
          </cell>
          <cell r="B22" t="str">
            <v>BUSCHIAZZO</v>
          </cell>
          <cell r="C22" t="str">
            <v>Hector Horacio</v>
          </cell>
          <cell r="D22">
            <v>4400</v>
          </cell>
          <cell r="E22">
            <v>14790</v>
          </cell>
          <cell r="F22">
            <v>3</v>
          </cell>
          <cell r="G22">
            <v>0</v>
          </cell>
          <cell r="H22">
            <v>0</v>
          </cell>
          <cell r="I22">
            <v>530</v>
          </cell>
        </row>
        <row r="23">
          <cell r="A23">
            <v>1014625968</v>
          </cell>
          <cell r="B23" t="str">
            <v>CANCELLIERI</v>
          </cell>
          <cell r="C23" t="str">
            <v>Eduardo Alfredo</v>
          </cell>
          <cell r="D23">
            <v>6870</v>
          </cell>
          <cell r="E23">
            <v>27480</v>
          </cell>
          <cell r="F23">
            <v>4</v>
          </cell>
          <cell r="G23">
            <v>0</v>
          </cell>
          <cell r="H23">
            <v>0</v>
          </cell>
          <cell r="I23">
            <v>0</v>
          </cell>
        </row>
        <row r="24">
          <cell r="A24">
            <v>1008341804</v>
          </cell>
          <cell r="B24" t="str">
            <v>FUNARO CHAÑAL</v>
          </cell>
          <cell r="C24" t="str">
            <v>Juan Carlos</v>
          </cell>
          <cell r="D24">
            <v>4925</v>
          </cell>
          <cell r="E24">
            <v>14775</v>
          </cell>
          <cell r="F24">
            <v>3</v>
          </cell>
          <cell r="G24">
            <v>0</v>
          </cell>
          <cell r="H24">
            <v>0</v>
          </cell>
          <cell r="I24">
            <v>0</v>
          </cell>
        </row>
        <row r="25">
          <cell r="A25">
            <v>1018429834</v>
          </cell>
          <cell r="B25" t="str">
            <v>GUIÑAZU</v>
          </cell>
          <cell r="C25" t="str">
            <v>Alfredo Walter</v>
          </cell>
          <cell r="D25">
            <v>4400</v>
          </cell>
          <cell r="E25">
            <v>8800</v>
          </cell>
          <cell r="F25">
            <v>2</v>
          </cell>
          <cell r="G25">
            <v>0</v>
          </cell>
          <cell r="H25">
            <v>0</v>
          </cell>
          <cell r="I25">
            <v>0</v>
          </cell>
        </row>
        <row r="26">
          <cell r="A26">
            <v>1016415959</v>
          </cell>
          <cell r="B26" t="str">
            <v>GUTIERREZ</v>
          </cell>
          <cell r="C26" t="str">
            <v>Fabián Edgardo</v>
          </cell>
          <cell r="D26">
            <v>5100</v>
          </cell>
          <cell r="E26">
            <v>15300</v>
          </cell>
          <cell r="F26">
            <v>3</v>
          </cell>
          <cell r="G26">
            <v>0</v>
          </cell>
          <cell r="H26">
            <v>0</v>
          </cell>
          <cell r="I26">
            <v>0</v>
          </cell>
        </row>
        <row r="27">
          <cell r="A27">
            <v>1013997164</v>
          </cell>
          <cell r="B27" t="str">
            <v>JARAMILLO</v>
          </cell>
          <cell r="C27" t="str">
            <v>Carlos Alberto</v>
          </cell>
          <cell r="D27">
            <v>4045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</row>
        <row r="28">
          <cell r="A28">
            <v>1011904267</v>
          </cell>
          <cell r="B28" t="str">
            <v>JAVIER</v>
          </cell>
          <cell r="C28" t="str">
            <v>Ruben Ignacio</v>
          </cell>
          <cell r="D28">
            <v>3900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</row>
        <row r="29">
          <cell r="A29">
            <v>1011741656</v>
          </cell>
          <cell r="B29" t="str">
            <v>LLOYD</v>
          </cell>
          <cell r="C29" t="str">
            <v>Roberto Daniel</v>
          </cell>
          <cell r="D29">
            <v>4850</v>
          </cell>
          <cell r="E29">
            <v>14550</v>
          </cell>
          <cell r="F29">
            <v>3</v>
          </cell>
          <cell r="G29">
            <v>0</v>
          </cell>
          <cell r="H29">
            <v>0</v>
          </cell>
          <cell r="I29">
            <v>0</v>
          </cell>
        </row>
        <row r="30">
          <cell r="A30">
            <v>1013708736</v>
          </cell>
          <cell r="B30" t="str">
            <v>LOPEZ</v>
          </cell>
          <cell r="C30" t="str">
            <v>Leandro Leslie</v>
          </cell>
          <cell r="D30">
            <v>4400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</row>
        <row r="31">
          <cell r="A31">
            <v>5013229616</v>
          </cell>
          <cell r="B31" t="str">
            <v>MC GREGOR</v>
          </cell>
          <cell r="C31" t="str">
            <v>Peter Malcolm</v>
          </cell>
          <cell r="D31">
            <v>7290</v>
          </cell>
          <cell r="E31">
            <v>30460</v>
          </cell>
          <cell r="F31">
            <v>4.1783264746227706</v>
          </cell>
          <cell r="G31">
            <v>0</v>
          </cell>
          <cell r="H31">
            <v>0</v>
          </cell>
          <cell r="I31">
            <v>0</v>
          </cell>
        </row>
        <row r="32">
          <cell r="A32">
            <v>1016868207</v>
          </cell>
          <cell r="B32" t="str">
            <v>MUSRI</v>
          </cell>
          <cell r="C32" t="str">
            <v>Daniel Amado</v>
          </cell>
          <cell r="D32">
            <v>6790</v>
          </cell>
          <cell r="E32">
            <v>27160</v>
          </cell>
          <cell r="F32">
            <v>4</v>
          </cell>
          <cell r="G32">
            <v>0</v>
          </cell>
          <cell r="H32">
            <v>0</v>
          </cell>
          <cell r="I32">
            <v>0</v>
          </cell>
        </row>
        <row r="33">
          <cell r="A33">
            <v>1014122177</v>
          </cell>
          <cell r="B33" t="str">
            <v>PARDO</v>
          </cell>
          <cell r="C33" t="str">
            <v>Jorge Héctor</v>
          </cell>
          <cell r="D33">
            <v>4850</v>
          </cell>
          <cell r="E33">
            <v>14550</v>
          </cell>
          <cell r="F33">
            <v>3</v>
          </cell>
          <cell r="G33">
            <v>0</v>
          </cell>
          <cell r="H33">
            <v>0</v>
          </cell>
          <cell r="I33">
            <v>0</v>
          </cell>
        </row>
        <row r="34">
          <cell r="A34">
            <v>1008148229</v>
          </cell>
          <cell r="B34" t="str">
            <v>PIRAN</v>
          </cell>
          <cell r="C34" t="str">
            <v>Orlando Juan</v>
          </cell>
          <cell r="D34">
            <v>14000</v>
          </cell>
          <cell r="E34">
            <v>106400</v>
          </cell>
          <cell r="F34">
            <v>7</v>
          </cell>
          <cell r="G34">
            <v>0</v>
          </cell>
          <cell r="H34">
            <v>0</v>
          </cell>
          <cell r="I34">
            <v>1200</v>
          </cell>
        </row>
        <row r="35">
          <cell r="A35">
            <v>1012495096</v>
          </cell>
          <cell r="B35" t="str">
            <v>TORRES</v>
          </cell>
          <cell r="C35" t="str">
            <v>Rodolfo</v>
          </cell>
          <cell r="D35">
            <v>5000</v>
          </cell>
          <cell r="E35">
            <v>15000</v>
          </cell>
          <cell r="F35">
            <v>3</v>
          </cell>
          <cell r="G35">
            <v>0</v>
          </cell>
          <cell r="H35">
            <v>0</v>
          </cell>
          <cell r="I35">
            <v>0</v>
          </cell>
        </row>
        <row r="36">
          <cell r="A36">
            <v>4009804911</v>
          </cell>
          <cell r="B36" t="str">
            <v>LAMANNA</v>
          </cell>
          <cell r="C36" t="str">
            <v>Darío</v>
          </cell>
          <cell r="D36">
            <v>4600</v>
          </cell>
          <cell r="E36">
            <v>9200</v>
          </cell>
          <cell r="F36">
            <v>2</v>
          </cell>
          <cell r="G36">
            <v>0</v>
          </cell>
          <cell r="H36">
            <v>0</v>
          </cell>
          <cell r="I36">
            <v>0</v>
          </cell>
        </row>
        <row r="37">
          <cell r="A37">
            <v>1013564008</v>
          </cell>
          <cell r="B37" t="str">
            <v>ELVAS</v>
          </cell>
          <cell r="C37" t="str">
            <v>Marcelo Ricardo</v>
          </cell>
          <cell r="D37">
            <v>9326</v>
          </cell>
          <cell r="E37">
            <v>46630</v>
          </cell>
          <cell r="F37">
            <v>5</v>
          </cell>
          <cell r="G37">
            <v>5344</v>
          </cell>
          <cell r="H37">
            <v>3784</v>
          </cell>
          <cell r="I37">
            <v>0</v>
          </cell>
        </row>
        <row r="38">
          <cell r="A38">
            <v>1007615145</v>
          </cell>
          <cell r="B38" t="str">
            <v>URRIJOLA</v>
          </cell>
          <cell r="C38" t="str">
            <v>Ruben Rogelio</v>
          </cell>
          <cell r="D38">
            <v>6930</v>
          </cell>
          <cell r="E38">
            <v>27147</v>
          </cell>
          <cell r="F38">
            <v>3.9173160173160175</v>
          </cell>
          <cell r="G38">
            <v>7233</v>
          </cell>
          <cell r="H38">
            <v>3566</v>
          </cell>
          <cell r="I38">
            <v>0</v>
          </cell>
        </row>
        <row r="39">
          <cell r="A39">
            <v>1008311034</v>
          </cell>
          <cell r="B39" t="str">
            <v>IANNACI</v>
          </cell>
          <cell r="C39" t="str">
            <v>Nestor</v>
          </cell>
          <cell r="D39">
            <v>6221</v>
          </cell>
          <cell r="E39">
            <v>0</v>
          </cell>
          <cell r="F39">
            <v>0</v>
          </cell>
          <cell r="G39">
            <v>15171</v>
          </cell>
          <cell r="H39">
            <v>5815</v>
          </cell>
          <cell r="I39">
            <v>0</v>
          </cell>
        </row>
        <row r="40">
          <cell r="A40">
            <v>1012638017</v>
          </cell>
          <cell r="B40" t="str">
            <v>ROSA</v>
          </cell>
          <cell r="C40" t="str">
            <v>Pablo</v>
          </cell>
          <cell r="D40">
            <v>5967</v>
          </cell>
          <cell r="E40">
            <v>0</v>
          </cell>
          <cell r="F40">
            <v>0</v>
          </cell>
          <cell r="G40">
            <v>14280</v>
          </cell>
          <cell r="H40">
            <v>6159</v>
          </cell>
          <cell r="I40">
            <v>0</v>
          </cell>
        </row>
        <row r="41">
          <cell r="A41">
            <v>1006392188</v>
          </cell>
          <cell r="B41" t="str">
            <v>AHUMADA</v>
          </cell>
          <cell r="C41" t="str">
            <v>Alberto Ricardo</v>
          </cell>
          <cell r="D41">
            <v>3794</v>
          </cell>
          <cell r="E41">
            <v>0</v>
          </cell>
          <cell r="F41">
            <v>0</v>
          </cell>
          <cell r="G41">
            <v>2977</v>
          </cell>
          <cell r="H41">
            <v>4964</v>
          </cell>
          <cell r="I41">
            <v>0</v>
          </cell>
        </row>
        <row r="42">
          <cell r="A42">
            <v>1013035789</v>
          </cell>
          <cell r="B42" t="str">
            <v>BARBUGLI</v>
          </cell>
          <cell r="C42" t="str">
            <v>Jorge Alberto</v>
          </cell>
          <cell r="D42">
            <v>4925</v>
          </cell>
          <cell r="E42">
            <v>14701</v>
          </cell>
          <cell r="F42">
            <v>2.98497461928934</v>
          </cell>
          <cell r="G42">
            <v>1037</v>
          </cell>
          <cell r="H42">
            <v>5752</v>
          </cell>
          <cell r="I42">
            <v>0</v>
          </cell>
        </row>
        <row r="43">
          <cell r="A43">
            <v>1017472934</v>
          </cell>
          <cell r="B43" t="str">
            <v>LAPEGNA</v>
          </cell>
          <cell r="C43" t="str">
            <v>Daniel Alberto</v>
          </cell>
          <cell r="D43">
            <v>5120</v>
          </cell>
          <cell r="E43">
            <v>12800</v>
          </cell>
          <cell r="F43">
            <v>2.5</v>
          </cell>
          <cell r="G43">
            <v>9177</v>
          </cell>
          <cell r="H43">
            <v>5779</v>
          </cell>
          <cell r="I43">
            <v>0</v>
          </cell>
        </row>
        <row r="44">
          <cell r="A44">
            <v>1010528765</v>
          </cell>
          <cell r="B44" t="str">
            <v>HERRERA</v>
          </cell>
          <cell r="C44" t="str">
            <v>José Luis</v>
          </cell>
          <cell r="D44">
            <v>4500</v>
          </cell>
          <cell r="E44">
            <v>0</v>
          </cell>
          <cell r="F44">
            <v>0</v>
          </cell>
          <cell r="G44">
            <v>7037</v>
          </cell>
          <cell r="H44">
            <v>5424</v>
          </cell>
          <cell r="I44">
            <v>0</v>
          </cell>
        </row>
        <row r="45">
          <cell r="A45">
            <v>1012593155</v>
          </cell>
          <cell r="B45" t="str">
            <v>MERCADO</v>
          </cell>
          <cell r="C45" t="str">
            <v>Horacio Manuel</v>
          </cell>
          <cell r="D45">
            <v>3900</v>
          </cell>
          <cell r="E45">
            <v>0</v>
          </cell>
          <cell r="F45">
            <v>0</v>
          </cell>
          <cell r="G45">
            <v>2124</v>
          </cell>
          <cell r="H45">
            <v>5684</v>
          </cell>
          <cell r="I45">
            <v>0</v>
          </cell>
        </row>
        <row r="46">
          <cell r="A46">
            <v>1011355230</v>
          </cell>
          <cell r="B46" t="str">
            <v>MOHANNA</v>
          </cell>
          <cell r="C46" t="str">
            <v>Julio César</v>
          </cell>
          <cell r="D46">
            <v>3429</v>
          </cell>
          <cell r="E46">
            <v>0</v>
          </cell>
          <cell r="F46">
            <v>0</v>
          </cell>
          <cell r="G46">
            <v>1331</v>
          </cell>
          <cell r="H46">
            <v>5233</v>
          </cell>
          <cell r="I46">
            <v>0</v>
          </cell>
        </row>
        <row r="47">
          <cell r="A47">
            <v>1010670880</v>
          </cell>
          <cell r="B47" t="str">
            <v>MONACO</v>
          </cell>
          <cell r="C47" t="str">
            <v>Daniel Hugo</v>
          </cell>
          <cell r="D47">
            <v>5500</v>
          </cell>
          <cell r="E47">
            <v>16500</v>
          </cell>
          <cell r="F47">
            <v>3</v>
          </cell>
          <cell r="G47">
            <v>2383</v>
          </cell>
          <cell r="H47">
            <v>5505</v>
          </cell>
          <cell r="I47">
            <v>0</v>
          </cell>
        </row>
        <row r="48">
          <cell r="A48">
            <v>1011845932</v>
          </cell>
          <cell r="B48" t="str">
            <v>PARON</v>
          </cell>
          <cell r="C48" t="str">
            <v>Roberto Anibal</v>
          </cell>
          <cell r="D48">
            <v>7570</v>
          </cell>
          <cell r="E48">
            <v>30280</v>
          </cell>
          <cell r="F48">
            <v>4</v>
          </cell>
          <cell r="G48">
            <v>2161</v>
          </cell>
          <cell r="H48">
            <v>6804</v>
          </cell>
          <cell r="I48">
            <v>0</v>
          </cell>
        </row>
        <row r="49">
          <cell r="A49">
            <v>1018080721</v>
          </cell>
          <cell r="B49" t="str">
            <v>PERALTA</v>
          </cell>
          <cell r="C49" t="str">
            <v>Enrique Alfredo</v>
          </cell>
          <cell r="D49">
            <v>3400</v>
          </cell>
          <cell r="E49">
            <v>6800</v>
          </cell>
          <cell r="F49">
            <v>2</v>
          </cell>
          <cell r="G49">
            <v>7128</v>
          </cell>
          <cell r="H49">
            <v>4918</v>
          </cell>
          <cell r="I49">
            <v>0</v>
          </cell>
        </row>
        <row r="50">
          <cell r="A50">
            <v>1093519062</v>
          </cell>
          <cell r="B50" t="str">
            <v>REATEGUI SORIA</v>
          </cell>
          <cell r="C50" t="str">
            <v>Artemio</v>
          </cell>
          <cell r="D50">
            <v>5035</v>
          </cell>
          <cell r="E50">
            <v>14827</v>
          </cell>
          <cell r="F50">
            <v>2.9447864945382323</v>
          </cell>
          <cell r="G50">
            <v>1259</v>
          </cell>
          <cell r="H50">
            <v>5767</v>
          </cell>
          <cell r="I50">
            <v>0</v>
          </cell>
        </row>
        <row r="51">
          <cell r="A51">
            <v>1013333465</v>
          </cell>
          <cell r="B51" t="str">
            <v>RECCHIA</v>
          </cell>
          <cell r="C51" t="str">
            <v>Marcelo</v>
          </cell>
          <cell r="D51">
            <v>11000</v>
          </cell>
          <cell r="E51">
            <v>55000</v>
          </cell>
          <cell r="F51">
            <v>5</v>
          </cell>
          <cell r="G51">
            <v>19112</v>
          </cell>
          <cell r="H51">
            <v>7933</v>
          </cell>
          <cell r="I51">
            <v>0</v>
          </cell>
        </row>
        <row r="52">
          <cell r="A52">
            <v>1008318885</v>
          </cell>
          <cell r="B52" t="str">
            <v>AMOROSO</v>
          </cell>
          <cell r="C52" t="str">
            <v>Juan Carlos</v>
          </cell>
          <cell r="D52">
            <v>11500</v>
          </cell>
          <cell r="E52">
            <v>57500</v>
          </cell>
          <cell r="F52">
            <v>5</v>
          </cell>
          <cell r="G52">
            <v>14250</v>
          </cell>
          <cell r="H52">
            <v>0</v>
          </cell>
          <cell r="I52">
            <v>0</v>
          </cell>
        </row>
        <row r="53">
          <cell r="A53">
            <v>1012057492</v>
          </cell>
          <cell r="B53" t="str">
            <v>CORFIELD</v>
          </cell>
          <cell r="C53" t="str">
            <v>Ricardo J.</v>
          </cell>
          <cell r="D53">
            <v>7341</v>
          </cell>
          <cell r="E53">
            <v>30000</v>
          </cell>
          <cell r="F53">
            <v>4.0866366979975481</v>
          </cell>
          <cell r="G53">
            <v>9241</v>
          </cell>
          <cell r="H53">
            <v>2540</v>
          </cell>
          <cell r="I53">
            <v>0</v>
          </cell>
        </row>
        <row r="54">
          <cell r="A54">
            <v>1017144927</v>
          </cell>
          <cell r="B54" t="str">
            <v>DI PIERRO</v>
          </cell>
          <cell r="C54" t="str">
            <v>Esteban</v>
          </cell>
          <cell r="D54">
            <v>3884</v>
          </cell>
          <cell r="E54">
            <v>11000</v>
          </cell>
          <cell r="F54">
            <v>2.8321318228630279</v>
          </cell>
          <cell r="G54">
            <v>7193</v>
          </cell>
          <cell r="H54">
            <v>5083</v>
          </cell>
          <cell r="I54">
            <v>0</v>
          </cell>
        </row>
        <row r="55">
          <cell r="A55">
            <v>1011303322</v>
          </cell>
          <cell r="B55" t="str">
            <v>GIONGO</v>
          </cell>
          <cell r="C55" t="str">
            <v>Luis</v>
          </cell>
          <cell r="D55">
            <v>4615</v>
          </cell>
          <cell r="E55">
            <v>0</v>
          </cell>
          <cell r="F55">
            <v>0</v>
          </cell>
          <cell r="G55">
            <v>5727</v>
          </cell>
          <cell r="H55">
            <v>2304</v>
          </cell>
          <cell r="I55">
            <v>0</v>
          </cell>
        </row>
        <row r="56">
          <cell r="A56">
            <v>1008435173</v>
          </cell>
          <cell r="B56" t="str">
            <v>MALFETANA</v>
          </cell>
          <cell r="C56" t="str">
            <v>Angel Omar</v>
          </cell>
          <cell r="D56">
            <v>5100</v>
          </cell>
          <cell r="E56">
            <v>15300</v>
          </cell>
          <cell r="F56">
            <v>3</v>
          </cell>
          <cell r="G56">
            <v>0</v>
          </cell>
          <cell r="H56">
            <v>0</v>
          </cell>
          <cell r="I56">
            <v>0</v>
          </cell>
        </row>
        <row r="57">
          <cell r="A57">
            <v>1010189991</v>
          </cell>
          <cell r="B57" t="str">
            <v>ORTULAN</v>
          </cell>
          <cell r="C57" t="str">
            <v>Jorge Carlos</v>
          </cell>
          <cell r="D57">
            <v>5950</v>
          </cell>
          <cell r="E57">
            <v>17850</v>
          </cell>
          <cell r="F57">
            <v>3</v>
          </cell>
          <cell r="G57">
            <v>7308</v>
          </cell>
          <cell r="H57">
            <v>6883</v>
          </cell>
          <cell r="I57">
            <v>0</v>
          </cell>
        </row>
        <row r="58">
          <cell r="A58">
            <v>1013733981</v>
          </cell>
          <cell r="B58" t="str">
            <v>ALMONACID</v>
          </cell>
          <cell r="C58" t="str">
            <v>Jorge Daniel</v>
          </cell>
          <cell r="D58">
            <v>5110</v>
          </cell>
          <cell r="E58">
            <v>12775</v>
          </cell>
          <cell r="F58">
            <v>2.5</v>
          </cell>
          <cell r="G58">
            <v>5021</v>
          </cell>
          <cell r="H58">
            <v>3172</v>
          </cell>
          <cell r="I58">
            <v>0</v>
          </cell>
        </row>
        <row r="59">
          <cell r="A59">
            <v>1007602217</v>
          </cell>
          <cell r="B59" t="str">
            <v>BAUZA</v>
          </cell>
          <cell r="C59" t="str">
            <v>Carlos</v>
          </cell>
          <cell r="D59">
            <v>4000</v>
          </cell>
          <cell r="E59">
            <v>8960</v>
          </cell>
          <cell r="F59">
            <v>2.2400000000000002</v>
          </cell>
          <cell r="G59">
            <v>0</v>
          </cell>
          <cell r="H59">
            <v>3109</v>
          </cell>
          <cell r="I59">
            <v>480</v>
          </cell>
        </row>
        <row r="60">
          <cell r="A60">
            <v>1011640847</v>
          </cell>
          <cell r="B60" t="str">
            <v>CINQUEGRANI</v>
          </cell>
          <cell r="C60" t="str">
            <v>Alberto Omar</v>
          </cell>
          <cell r="D60">
            <v>7200</v>
          </cell>
          <cell r="E60">
            <v>28800</v>
          </cell>
          <cell r="F60">
            <v>4</v>
          </cell>
          <cell r="G60">
            <v>9271</v>
          </cell>
          <cell r="H60">
            <v>6893</v>
          </cell>
          <cell r="I60">
            <v>0</v>
          </cell>
        </row>
        <row r="61">
          <cell r="A61">
            <v>1007687952</v>
          </cell>
          <cell r="B61" t="str">
            <v>GAREIS</v>
          </cell>
          <cell r="C61" t="str">
            <v>Juan Eduardo</v>
          </cell>
          <cell r="D61">
            <v>4615</v>
          </cell>
          <cell r="E61">
            <v>0</v>
          </cell>
          <cell r="F61">
            <v>0</v>
          </cell>
          <cell r="G61">
            <v>5027</v>
          </cell>
          <cell r="H61">
            <v>3269</v>
          </cell>
          <cell r="I61">
            <v>0</v>
          </cell>
        </row>
        <row r="62">
          <cell r="A62">
            <v>1008585113</v>
          </cell>
          <cell r="B62" t="str">
            <v>GRUEN</v>
          </cell>
          <cell r="C62" t="str">
            <v>Carlos</v>
          </cell>
          <cell r="D62">
            <v>3900</v>
          </cell>
          <cell r="E62">
            <v>0</v>
          </cell>
          <cell r="F62">
            <v>0</v>
          </cell>
          <cell r="G62">
            <v>5949</v>
          </cell>
          <cell r="H62">
            <v>2634</v>
          </cell>
          <cell r="I62">
            <v>0</v>
          </cell>
        </row>
        <row r="63">
          <cell r="A63">
            <v>1011612422</v>
          </cell>
          <cell r="B63" t="str">
            <v>MAGGIONI</v>
          </cell>
          <cell r="C63" t="str">
            <v>Aldo Jorge</v>
          </cell>
          <cell r="D63">
            <v>5250</v>
          </cell>
          <cell r="E63">
            <v>15750</v>
          </cell>
          <cell r="F63">
            <v>3</v>
          </cell>
          <cell r="G63">
            <v>3580</v>
          </cell>
          <cell r="H63">
            <v>3199</v>
          </cell>
          <cell r="I63">
            <v>0</v>
          </cell>
        </row>
        <row r="64">
          <cell r="A64">
            <v>1011413232</v>
          </cell>
          <cell r="B64" t="str">
            <v>NAVARRO</v>
          </cell>
          <cell r="C64" t="str">
            <v>Jorge Rafael</v>
          </cell>
          <cell r="D64">
            <v>12000</v>
          </cell>
          <cell r="E64">
            <v>60000</v>
          </cell>
          <cell r="F64">
            <v>5</v>
          </cell>
          <cell r="G64">
            <v>9926</v>
          </cell>
          <cell r="H64">
            <v>9734</v>
          </cell>
          <cell r="I64">
            <v>0</v>
          </cell>
        </row>
        <row r="65">
          <cell r="A65">
            <v>1013735426</v>
          </cell>
          <cell r="B65" t="str">
            <v>NOVILLO</v>
          </cell>
          <cell r="C65" t="str">
            <v>Gumersindo Sergio</v>
          </cell>
          <cell r="D65">
            <v>5500</v>
          </cell>
          <cell r="E65">
            <v>19250</v>
          </cell>
          <cell r="F65">
            <v>3.5</v>
          </cell>
          <cell r="G65">
            <v>3487</v>
          </cell>
          <cell r="H65">
            <v>3444</v>
          </cell>
          <cell r="I65">
            <v>0</v>
          </cell>
        </row>
        <row r="66">
          <cell r="A66">
            <v>1014781064</v>
          </cell>
          <cell r="B66" t="str">
            <v>ROLANDO</v>
          </cell>
          <cell r="C66" t="str">
            <v>Roberto</v>
          </cell>
          <cell r="D66">
            <v>3335</v>
          </cell>
          <cell r="E66">
            <v>0</v>
          </cell>
          <cell r="F66">
            <v>0</v>
          </cell>
          <cell r="G66">
            <v>4779</v>
          </cell>
          <cell r="H66">
            <v>2588</v>
          </cell>
          <cell r="I66">
            <v>0</v>
          </cell>
        </row>
        <row r="67">
          <cell r="A67">
            <v>1014625494</v>
          </cell>
          <cell r="B67" t="str">
            <v>SALDAÑO</v>
          </cell>
          <cell r="C67" t="str">
            <v>Hector Roberto</v>
          </cell>
          <cell r="D67">
            <v>7270</v>
          </cell>
          <cell r="E67">
            <v>29080</v>
          </cell>
          <cell r="F67">
            <v>4</v>
          </cell>
          <cell r="G67">
            <v>8810</v>
          </cell>
          <cell r="H67">
            <v>6925</v>
          </cell>
          <cell r="I67">
            <v>0</v>
          </cell>
        </row>
        <row r="68">
          <cell r="A68">
            <v>1012978960</v>
          </cell>
          <cell r="B68" t="str">
            <v>SHAE</v>
          </cell>
          <cell r="C68" t="str">
            <v>Nelson Arturo</v>
          </cell>
          <cell r="D68">
            <v>4300</v>
          </cell>
          <cell r="E68">
            <v>10750</v>
          </cell>
          <cell r="F68">
            <v>2.5</v>
          </cell>
          <cell r="G68">
            <v>3915</v>
          </cell>
          <cell r="H68">
            <v>3309</v>
          </cell>
          <cell r="I68">
            <v>0</v>
          </cell>
        </row>
        <row r="69">
          <cell r="A69">
            <v>1021355179</v>
          </cell>
          <cell r="B69" t="str">
            <v>SPINZANTI</v>
          </cell>
          <cell r="C69" t="str">
            <v>Jorge Andrés</v>
          </cell>
          <cell r="D69">
            <v>2920</v>
          </cell>
          <cell r="E69">
            <v>0</v>
          </cell>
          <cell r="F69">
            <v>0</v>
          </cell>
          <cell r="G69">
            <v>4081</v>
          </cell>
          <cell r="H69">
            <v>2559</v>
          </cell>
          <cell r="I69">
            <v>0</v>
          </cell>
        </row>
        <row r="70">
          <cell r="A70">
            <v>1013784427</v>
          </cell>
          <cell r="B70" t="str">
            <v>VALLEJO</v>
          </cell>
          <cell r="C70" t="str">
            <v>Eduardo Lucio</v>
          </cell>
          <cell r="D70">
            <v>5115</v>
          </cell>
          <cell r="E70">
            <v>14500</v>
          </cell>
          <cell r="F70">
            <v>2.8347996089931575</v>
          </cell>
          <cell r="G70">
            <v>8569</v>
          </cell>
          <cell r="H70">
            <v>6617</v>
          </cell>
          <cell r="I70">
            <v>0</v>
          </cell>
        </row>
        <row r="71">
          <cell r="A71">
            <v>1016001970</v>
          </cell>
          <cell r="B71" t="str">
            <v>RIOS</v>
          </cell>
          <cell r="C71" t="str">
            <v>Luis Manuel</v>
          </cell>
          <cell r="D71">
            <v>5300</v>
          </cell>
          <cell r="E71">
            <v>22750</v>
          </cell>
          <cell r="F71">
            <v>3.5</v>
          </cell>
          <cell r="G71">
            <v>0</v>
          </cell>
          <cell r="H71">
            <v>5797</v>
          </cell>
          <cell r="I71">
            <v>1200</v>
          </cell>
        </row>
        <row r="72">
          <cell r="A72">
            <v>1012030459</v>
          </cell>
          <cell r="B72" t="str">
            <v>DE DIEGO</v>
          </cell>
          <cell r="C72" t="str">
            <v>Pablo</v>
          </cell>
          <cell r="D72">
            <v>6400</v>
          </cell>
          <cell r="E72">
            <v>19200</v>
          </cell>
          <cell r="F72">
            <v>3</v>
          </cell>
          <cell r="G72">
            <v>8579</v>
          </cell>
          <cell r="H72">
            <v>7001</v>
          </cell>
          <cell r="I72">
            <v>0</v>
          </cell>
        </row>
        <row r="73">
          <cell r="A73">
            <v>1092814914</v>
          </cell>
          <cell r="B73" t="str">
            <v>GRIJALBA VAZQUEZ</v>
          </cell>
          <cell r="C73" t="str">
            <v>Pedro M.</v>
          </cell>
          <cell r="D73">
            <v>12000</v>
          </cell>
          <cell r="E73">
            <v>60000</v>
          </cell>
          <cell r="F73">
            <v>5</v>
          </cell>
          <cell r="G73">
            <v>19516</v>
          </cell>
          <cell r="H73">
            <v>9208</v>
          </cell>
          <cell r="I73">
            <v>0</v>
          </cell>
        </row>
        <row r="74">
          <cell r="A74">
            <v>4005959850</v>
          </cell>
          <cell r="B74" t="str">
            <v>IBAÑEZ</v>
          </cell>
          <cell r="C74" t="str">
            <v>Guillermo Hernán</v>
          </cell>
          <cell r="D74">
            <v>5103</v>
          </cell>
          <cell r="E74">
            <v>20412</v>
          </cell>
          <cell r="F74">
            <v>4</v>
          </cell>
          <cell r="G74">
            <v>0</v>
          </cell>
          <cell r="H74">
            <v>6330</v>
          </cell>
          <cell r="I74">
            <v>0</v>
          </cell>
        </row>
        <row r="75">
          <cell r="A75">
            <v>1013820934</v>
          </cell>
          <cell r="B75" t="str">
            <v>LORENZON</v>
          </cell>
          <cell r="C75" t="str">
            <v>Jorge Rubén</v>
          </cell>
          <cell r="D75">
            <v>8800</v>
          </cell>
          <cell r="E75">
            <v>35200</v>
          </cell>
          <cell r="F75">
            <v>4</v>
          </cell>
          <cell r="H75">
            <v>0</v>
          </cell>
          <cell r="I75">
            <v>0</v>
          </cell>
        </row>
        <row r="76">
          <cell r="A76">
            <v>1012047215</v>
          </cell>
          <cell r="B76" t="str">
            <v>BIBBO</v>
          </cell>
          <cell r="C76" t="str">
            <v>Miguel Angel</v>
          </cell>
          <cell r="D76">
            <v>18000</v>
          </cell>
          <cell r="E76">
            <v>126000</v>
          </cell>
          <cell r="F76">
            <v>7</v>
          </cell>
          <cell r="G76">
            <v>0</v>
          </cell>
          <cell r="H76">
            <v>9079</v>
          </cell>
          <cell r="I76">
            <v>0</v>
          </cell>
        </row>
        <row r="77">
          <cell r="A77">
            <v>1017653363</v>
          </cell>
          <cell r="B77" t="str">
            <v>MAS</v>
          </cell>
          <cell r="C77" t="str">
            <v>Gustavo</v>
          </cell>
          <cell r="D77">
            <v>9500</v>
          </cell>
          <cell r="E77">
            <v>55000</v>
          </cell>
          <cell r="F77">
            <v>5.7894736842105265</v>
          </cell>
          <cell r="G77">
            <v>0</v>
          </cell>
          <cell r="H77">
            <v>7933</v>
          </cell>
          <cell r="I77">
            <v>1500</v>
          </cell>
        </row>
        <row r="78">
          <cell r="A78">
            <v>1012963282</v>
          </cell>
          <cell r="B78" t="str">
            <v>CANOSA</v>
          </cell>
          <cell r="C78" t="str">
            <v>Carlos</v>
          </cell>
          <cell r="D78">
            <v>6400</v>
          </cell>
          <cell r="E78">
            <v>19200</v>
          </cell>
          <cell r="F78">
            <v>3</v>
          </cell>
          <cell r="G78">
            <v>0</v>
          </cell>
          <cell r="H78">
            <v>7001</v>
          </cell>
          <cell r="I78">
            <v>0</v>
          </cell>
        </row>
        <row r="79">
          <cell r="A79">
            <v>1016951326</v>
          </cell>
          <cell r="B79" t="str">
            <v>GROSSO</v>
          </cell>
          <cell r="C79" t="str">
            <v>Santiago</v>
          </cell>
          <cell r="D79">
            <v>4169</v>
          </cell>
          <cell r="E79">
            <v>8338</v>
          </cell>
          <cell r="F79">
            <v>2</v>
          </cell>
          <cell r="G79">
            <v>0</v>
          </cell>
          <cell r="H79">
            <v>6253</v>
          </cell>
          <cell r="I79">
            <v>0</v>
          </cell>
        </row>
        <row r="80">
          <cell r="A80">
            <v>1013727062</v>
          </cell>
          <cell r="B80" t="str">
            <v>ARGUELLO</v>
          </cell>
          <cell r="C80" t="str">
            <v>Jorge</v>
          </cell>
          <cell r="D80">
            <v>4564</v>
          </cell>
          <cell r="E80">
            <v>12190</v>
          </cell>
          <cell r="F80">
            <v>2.6709027169149868</v>
          </cell>
          <cell r="G80">
            <v>0</v>
          </cell>
          <cell r="H80">
            <v>6435</v>
          </cell>
          <cell r="I80">
            <v>0</v>
          </cell>
        </row>
        <row r="81">
          <cell r="A81">
            <v>1008389973</v>
          </cell>
          <cell r="B81" t="str">
            <v>BEGARIES</v>
          </cell>
          <cell r="C81" t="str">
            <v xml:space="preserve">Horacio </v>
          </cell>
          <cell r="D81">
            <v>14000</v>
          </cell>
          <cell r="E81">
            <v>63000</v>
          </cell>
          <cell r="F81">
            <v>4.5</v>
          </cell>
          <cell r="G81">
            <v>0</v>
          </cell>
          <cell r="H81">
            <v>0</v>
          </cell>
          <cell r="I81">
            <v>0</v>
          </cell>
        </row>
        <row r="82">
          <cell r="A82">
            <v>1013259141</v>
          </cell>
          <cell r="B82" t="str">
            <v>MOLINA</v>
          </cell>
          <cell r="C82" t="str">
            <v>Alfredo</v>
          </cell>
          <cell r="D82">
            <v>4245</v>
          </cell>
          <cell r="E82">
            <v>0</v>
          </cell>
          <cell r="F82">
            <v>0</v>
          </cell>
          <cell r="G82">
            <v>0</v>
          </cell>
          <cell r="H82">
            <v>6577</v>
          </cell>
          <cell r="I82">
            <v>1843</v>
          </cell>
        </row>
        <row r="83">
          <cell r="A83">
            <v>1013128656</v>
          </cell>
          <cell r="B83" t="str">
            <v>WEIMANN</v>
          </cell>
          <cell r="C83" t="str">
            <v>Pablo</v>
          </cell>
          <cell r="D83">
            <v>3700</v>
          </cell>
          <cell r="E83">
            <v>9620</v>
          </cell>
          <cell r="F83">
            <v>2</v>
          </cell>
          <cell r="G83">
            <v>0</v>
          </cell>
          <cell r="H83">
            <v>0</v>
          </cell>
          <cell r="I83">
            <v>1110</v>
          </cell>
        </row>
        <row r="84">
          <cell r="A84">
            <v>1012447277</v>
          </cell>
          <cell r="B84" t="str">
            <v>CARRO</v>
          </cell>
          <cell r="C84" t="str">
            <v>José Luis</v>
          </cell>
          <cell r="D84">
            <v>5200</v>
          </cell>
          <cell r="E84">
            <v>20800</v>
          </cell>
          <cell r="F84">
            <v>4</v>
          </cell>
          <cell r="G84">
            <v>0</v>
          </cell>
          <cell r="H84">
            <v>0</v>
          </cell>
          <cell r="I84">
            <v>0</v>
          </cell>
        </row>
        <row r="85">
          <cell r="A85">
            <v>1012591991</v>
          </cell>
          <cell r="B85" t="str">
            <v>DIODATTI</v>
          </cell>
          <cell r="C85" t="str">
            <v>Horacio</v>
          </cell>
          <cell r="D85">
            <v>5600</v>
          </cell>
          <cell r="E85">
            <v>16800</v>
          </cell>
          <cell r="F85">
            <v>3</v>
          </cell>
          <cell r="G85">
            <v>0</v>
          </cell>
          <cell r="H85">
            <v>7211</v>
          </cell>
          <cell r="I85">
            <v>0</v>
          </cell>
        </row>
        <row r="86">
          <cell r="A86">
            <v>1006246874</v>
          </cell>
          <cell r="B86" t="str">
            <v>QUINTEROS</v>
          </cell>
          <cell r="C86" t="str">
            <v>Roberto</v>
          </cell>
          <cell r="D86">
            <v>7050</v>
          </cell>
          <cell r="E86">
            <v>21150</v>
          </cell>
          <cell r="F86">
            <v>3</v>
          </cell>
          <cell r="G86">
            <v>0</v>
          </cell>
          <cell r="H86">
            <v>0</v>
          </cell>
          <cell r="I86">
            <v>0</v>
          </cell>
        </row>
        <row r="87">
          <cell r="A87">
            <v>1018084529</v>
          </cell>
          <cell r="B87" t="str">
            <v>CASTILLO</v>
          </cell>
          <cell r="C87" t="str">
            <v>Guillermo</v>
          </cell>
          <cell r="D87">
            <v>2320</v>
          </cell>
          <cell r="E87">
            <v>10203</v>
          </cell>
          <cell r="F87">
            <v>3</v>
          </cell>
          <cell r="G87">
            <v>0</v>
          </cell>
          <cell r="H87">
            <v>279</v>
          </cell>
          <cell r="I87">
            <v>1081</v>
          </cell>
        </row>
        <row r="88">
          <cell r="A88">
            <v>1020207781</v>
          </cell>
          <cell r="B88" t="str">
            <v>PETERSEN</v>
          </cell>
          <cell r="C88" t="str">
            <v>Lucas</v>
          </cell>
          <cell r="D88">
            <v>2000</v>
          </cell>
          <cell r="E88">
            <v>11198.16</v>
          </cell>
          <cell r="F88">
            <v>3.02</v>
          </cell>
          <cell r="G88">
            <v>0</v>
          </cell>
          <cell r="H88">
            <v>0</v>
          </cell>
          <cell r="I88">
            <v>1708</v>
          </cell>
        </row>
        <row r="89">
          <cell r="A89">
            <v>1010636377</v>
          </cell>
          <cell r="B89" t="str">
            <v>LARPIN</v>
          </cell>
          <cell r="C89" t="str">
            <v>José</v>
          </cell>
          <cell r="D89">
            <v>7600</v>
          </cell>
          <cell r="E89">
            <v>34999.998800000001</v>
          </cell>
          <cell r="F89">
            <v>4.6052629999999999</v>
          </cell>
          <cell r="G89">
            <v>0</v>
          </cell>
          <cell r="H89">
            <v>0</v>
          </cell>
          <cell r="I89">
            <v>0</v>
          </cell>
        </row>
        <row r="90">
          <cell r="A90">
            <v>1012395306</v>
          </cell>
          <cell r="B90" t="str">
            <v>MADOERY</v>
          </cell>
          <cell r="C90" t="str">
            <v>Ruben</v>
          </cell>
          <cell r="D90">
            <v>7500</v>
          </cell>
          <cell r="E90">
            <v>24999</v>
          </cell>
          <cell r="F90">
            <v>3</v>
          </cell>
          <cell r="G90">
            <v>0</v>
          </cell>
          <cell r="H90">
            <v>0</v>
          </cell>
          <cell r="I90">
            <v>833</v>
          </cell>
        </row>
        <row r="91">
          <cell r="A91">
            <v>1012780048</v>
          </cell>
          <cell r="B91" t="str">
            <v>ANGIOLINI</v>
          </cell>
          <cell r="C91" t="str">
            <v>Fernando</v>
          </cell>
          <cell r="D91">
            <v>6400</v>
          </cell>
          <cell r="E91">
            <v>19200</v>
          </cell>
          <cell r="F91">
            <v>3</v>
          </cell>
          <cell r="G91">
            <v>0</v>
          </cell>
          <cell r="H91">
            <v>0</v>
          </cell>
          <cell r="I91">
            <v>0</v>
          </cell>
        </row>
        <row r="92">
          <cell r="A92">
            <v>1014471318</v>
          </cell>
          <cell r="B92" t="str">
            <v>MAFFONI</v>
          </cell>
          <cell r="C92" t="str">
            <v>Antonio</v>
          </cell>
          <cell r="D92">
            <v>5600</v>
          </cell>
          <cell r="E92">
            <v>16800</v>
          </cell>
          <cell r="F92">
            <v>3</v>
          </cell>
          <cell r="G92">
            <v>0</v>
          </cell>
          <cell r="H92">
            <v>6387</v>
          </cell>
          <cell r="I92">
            <v>0</v>
          </cell>
        </row>
        <row r="93">
          <cell r="A93">
            <v>1013789218</v>
          </cell>
          <cell r="B93" t="str">
            <v>ARIAS</v>
          </cell>
          <cell r="C93" t="str">
            <v>Carlos</v>
          </cell>
          <cell r="D93">
            <v>5900</v>
          </cell>
          <cell r="E93">
            <v>17700</v>
          </cell>
          <cell r="F93">
            <v>3</v>
          </cell>
          <cell r="G93">
            <v>0</v>
          </cell>
          <cell r="H93">
            <v>0</v>
          </cell>
          <cell r="I93">
            <v>0</v>
          </cell>
        </row>
        <row r="94">
          <cell r="A94">
            <v>1016837842</v>
          </cell>
          <cell r="B94" t="str">
            <v>SUBBOTIN</v>
          </cell>
          <cell r="C94" t="str">
            <v>Juan</v>
          </cell>
          <cell r="D94">
            <v>2160</v>
          </cell>
          <cell r="F94">
            <v>0</v>
          </cell>
          <cell r="H94">
            <v>0</v>
          </cell>
          <cell r="I94">
            <v>540</v>
          </cell>
        </row>
        <row r="95">
          <cell r="A95">
            <v>1016509195</v>
          </cell>
          <cell r="B95" t="str">
            <v>CIFUENTES</v>
          </cell>
          <cell r="C95" t="str">
            <v>Gabriel</v>
          </cell>
          <cell r="D95">
            <v>6600</v>
          </cell>
          <cell r="E95">
            <v>29700</v>
          </cell>
          <cell r="F95">
            <v>4.5</v>
          </cell>
          <cell r="H95">
            <v>7237</v>
          </cell>
        </row>
        <row r="96">
          <cell r="A96">
            <v>1014349559</v>
          </cell>
          <cell r="B96" t="str">
            <v>GIAMPAOLI</v>
          </cell>
          <cell r="C96" t="str">
            <v>Hugo</v>
          </cell>
          <cell r="D96">
            <v>14300</v>
          </cell>
          <cell r="E96">
            <v>85800</v>
          </cell>
          <cell r="F96">
            <v>6</v>
          </cell>
          <cell r="H96">
            <v>0</v>
          </cell>
        </row>
        <row r="97">
          <cell r="A97">
            <v>1008429015</v>
          </cell>
          <cell r="B97" t="str">
            <v>SILVESTRE</v>
          </cell>
          <cell r="C97" t="str">
            <v>Luis</v>
          </cell>
          <cell r="D97">
            <v>6500</v>
          </cell>
          <cell r="E97">
            <v>19500</v>
          </cell>
          <cell r="F97">
            <v>3</v>
          </cell>
          <cell r="H97">
            <v>0</v>
          </cell>
        </row>
        <row r="98">
          <cell r="A98">
            <v>1013810557</v>
          </cell>
          <cell r="B98" t="str">
            <v>KRAEMER</v>
          </cell>
          <cell r="C98" t="str">
            <v>Pablo</v>
          </cell>
          <cell r="D98">
            <v>5500</v>
          </cell>
          <cell r="E98">
            <v>22000</v>
          </cell>
          <cell r="F98">
            <v>4</v>
          </cell>
          <cell r="H98">
            <v>11387</v>
          </cell>
        </row>
        <row r="99">
          <cell r="A99">
            <v>1008429709</v>
          </cell>
          <cell r="B99" t="str">
            <v>FAVORETTI</v>
          </cell>
          <cell r="C99" t="str">
            <v>Daniel Hugo</v>
          </cell>
          <cell r="D99">
            <v>14120</v>
          </cell>
          <cell r="E99">
            <v>84720</v>
          </cell>
          <cell r="F99">
            <v>6</v>
          </cell>
          <cell r="H99">
            <v>0</v>
          </cell>
        </row>
        <row r="100">
          <cell r="A100">
            <v>1007889569</v>
          </cell>
          <cell r="B100" t="str">
            <v>CHELAR</v>
          </cell>
          <cell r="C100" t="str">
            <v>Miguel</v>
          </cell>
          <cell r="D100">
            <v>10800</v>
          </cell>
          <cell r="E100">
            <v>54000</v>
          </cell>
          <cell r="F100">
            <v>5</v>
          </cell>
          <cell r="H100">
            <v>0</v>
          </cell>
        </row>
        <row r="101">
          <cell r="A101">
            <v>1008390299</v>
          </cell>
          <cell r="B101" t="str">
            <v>SOSA</v>
          </cell>
          <cell r="C101" t="str">
            <v>Héctor</v>
          </cell>
          <cell r="D101">
            <v>7850</v>
          </cell>
          <cell r="E101">
            <v>31400</v>
          </cell>
          <cell r="F101">
            <v>4</v>
          </cell>
          <cell r="H101">
            <v>0</v>
          </cell>
        </row>
        <row r="102">
          <cell r="A102">
            <v>1012676951</v>
          </cell>
          <cell r="B102" t="str">
            <v>VILLALBA</v>
          </cell>
          <cell r="C102" t="str">
            <v>Enrique  Gaspar</v>
          </cell>
          <cell r="D102">
            <v>7200</v>
          </cell>
          <cell r="E102">
            <v>28800</v>
          </cell>
          <cell r="F102">
            <v>4</v>
          </cell>
          <cell r="H102">
            <v>0</v>
          </cell>
        </row>
        <row r="103">
          <cell r="A103">
            <v>1012942976</v>
          </cell>
          <cell r="B103" t="str">
            <v>GOMEZ</v>
          </cell>
          <cell r="C103" t="str">
            <v>Marcelo Gerardo</v>
          </cell>
          <cell r="D103">
            <v>12500</v>
          </cell>
          <cell r="E103">
            <v>62500</v>
          </cell>
          <cell r="F103">
            <v>5</v>
          </cell>
          <cell r="G103">
            <v>0</v>
          </cell>
          <cell r="H103">
            <v>8794</v>
          </cell>
          <cell r="I103">
            <v>0</v>
          </cell>
        </row>
        <row r="104">
          <cell r="A104">
            <v>1022510672</v>
          </cell>
          <cell r="B104" t="str">
            <v>BUSTOS CAMPORA</v>
          </cell>
          <cell r="C104" t="str">
            <v>Yanina</v>
          </cell>
          <cell r="D104">
            <v>4100</v>
          </cell>
          <cell r="E104">
            <v>6150</v>
          </cell>
          <cell r="F104">
            <v>1.5</v>
          </cell>
          <cell r="H104">
            <v>0</v>
          </cell>
        </row>
        <row r="105">
          <cell r="A105">
            <v>1021612453</v>
          </cell>
          <cell r="B105" t="str">
            <v>MENDIZABAL</v>
          </cell>
          <cell r="C105" t="str">
            <v>Andrés</v>
          </cell>
          <cell r="D105">
            <v>4600</v>
          </cell>
          <cell r="E105">
            <v>11500</v>
          </cell>
          <cell r="F105">
            <v>2.5</v>
          </cell>
          <cell r="H105">
            <v>0</v>
          </cell>
        </row>
        <row r="106">
          <cell r="A106">
            <v>1024069415</v>
          </cell>
          <cell r="B106" t="str">
            <v>ARNAUDE</v>
          </cell>
          <cell r="C106" t="str">
            <v>Pablo</v>
          </cell>
          <cell r="D106">
            <v>4000</v>
          </cell>
          <cell r="E106">
            <v>6900</v>
          </cell>
          <cell r="F106">
            <v>1.5</v>
          </cell>
          <cell r="G106">
            <v>0</v>
          </cell>
          <cell r="H106">
            <v>18200</v>
          </cell>
          <cell r="I106">
            <v>600</v>
          </cell>
        </row>
        <row r="107">
          <cell r="A107">
            <v>1021368232</v>
          </cell>
          <cell r="B107" t="str">
            <v>RECIO</v>
          </cell>
          <cell r="C107" t="str">
            <v>Mauricio Nestor</v>
          </cell>
          <cell r="D107">
            <v>4066</v>
          </cell>
          <cell r="E107">
            <v>4066</v>
          </cell>
          <cell r="F107">
            <v>1</v>
          </cell>
          <cell r="H107">
            <v>0</v>
          </cell>
          <cell r="I107">
            <v>0</v>
          </cell>
        </row>
        <row r="108">
          <cell r="A108">
            <v>1012219406</v>
          </cell>
          <cell r="B108" t="str">
            <v>CASALIS</v>
          </cell>
          <cell r="C108" t="str">
            <v>Daniel Jorge</v>
          </cell>
          <cell r="D108">
            <v>5246</v>
          </cell>
          <cell r="E108">
            <v>20984</v>
          </cell>
          <cell r="F108">
            <v>4</v>
          </cell>
          <cell r="H108">
            <v>0</v>
          </cell>
        </row>
        <row r="109">
          <cell r="A109">
            <v>18</v>
          </cell>
          <cell r="B109">
            <v>0</v>
          </cell>
          <cell r="C109">
            <v>0</v>
          </cell>
          <cell r="F109" t="e">
            <v>#DIV/0!</v>
          </cell>
          <cell r="H109">
            <v>0</v>
          </cell>
        </row>
        <row r="110">
          <cell r="A110">
            <v>19</v>
          </cell>
          <cell r="B110">
            <v>0</v>
          </cell>
          <cell r="C110">
            <v>0</v>
          </cell>
          <cell r="F110" t="e">
            <v>#DIV/0!</v>
          </cell>
          <cell r="H110">
            <v>0</v>
          </cell>
        </row>
        <row r="111">
          <cell r="A111">
            <v>20</v>
          </cell>
          <cell r="B111">
            <v>0</v>
          </cell>
          <cell r="C111">
            <v>0</v>
          </cell>
          <cell r="F111" t="e">
            <v>#DIV/0!</v>
          </cell>
          <cell r="H111">
            <v>0</v>
          </cell>
        </row>
        <row r="112">
          <cell r="A112">
            <v>21</v>
          </cell>
          <cell r="B112">
            <v>0</v>
          </cell>
          <cell r="C112">
            <v>0</v>
          </cell>
          <cell r="F112" t="e">
            <v>#DIV/0!</v>
          </cell>
          <cell r="H112">
            <v>0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as"/>
      <sheetName val="Precios Oil"/>
      <sheetName val="Precios Gas"/>
      <sheetName val="Precios LPG"/>
      <sheetName val="Precios y Ventas Gas"/>
      <sheetName val="Unidades de Venta"/>
      <sheetName val="Transporte"/>
      <sheetName val="Valor Regalia Gas"/>
      <sheetName val="Deduc Regalias"/>
      <sheetName val="Datos Para Oil"/>
      <sheetName val="Alícuotas IIBB"/>
      <sheetName val="Unidades Venta BP"/>
      <sheetName val="Producciones"/>
      <sheetName val="Producciones BP"/>
      <sheetName val="Precios Gas (2)"/>
    </sheetNames>
    <sheetDataSet>
      <sheetData sheetId="0" refreshError="1">
        <row r="4">
          <cell r="E4">
            <v>25</v>
          </cell>
          <cell r="I4">
            <v>6.2893081761006284</v>
          </cell>
        </row>
        <row r="5">
          <cell r="E5">
            <v>25</v>
          </cell>
        </row>
        <row r="6">
          <cell r="E6">
            <v>25</v>
          </cell>
        </row>
        <row r="7">
          <cell r="E7">
            <v>25</v>
          </cell>
        </row>
        <row r="8">
          <cell r="E8">
            <v>25</v>
          </cell>
        </row>
        <row r="9">
          <cell r="E9">
            <v>25</v>
          </cell>
        </row>
        <row r="10">
          <cell r="E10">
            <v>25</v>
          </cell>
        </row>
        <row r="11">
          <cell r="E11">
            <v>25</v>
          </cell>
        </row>
        <row r="12">
          <cell r="E12">
            <v>25</v>
          </cell>
        </row>
        <row r="13">
          <cell r="E13">
            <v>25</v>
          </cell>
        </row>
        <row r="14">
          <cell r="E14">
            <v>25</v>
          </cell>
        </row>
        <row r="15">
          <cell r="E15">
            <v>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YPF SUR"/>
      <sheetName val="YPF OESTE"/>
      <sheetName val="SPLITS"/>
      <sheetName val="DATABASE"/>
    </sheetNames>
    <sheetDataSet>
      <sheetData sheetId="0" refreshError="1"/>
      <sheetData sheetId="1" refreshError="1"/>
      <sheetData sheetId="2" refreshError="1"/>
      <sheetData sheetId="3"/>
      <sheetData sheetId="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13">
          <cell r="F13">
            <v>3.4139994484293124</v>
          </cell>
        </row>
        <row r="62">
          <cell r="F62">
            <v>0.85</v>
          </cell>
        </row>
        <row r="66">
          <cell r="F66">
            <v>0</v>
          </cell>
        </row>
        <row r="72">
          <cell r="F72">
            <v>0</v>
          </cell>
        </row>
        <row r="74">
          <cell r="F74">
            <v>0</v>
          </cell>
        </row>
      </sheetData>
      <sheetData sheetId="1" refreshError="1">
        <row r="6">
          <cell r="J6">
            <v>273</v>
          </cell>
        </row>
        <row r="7">
          <cell r="G7">
            <v>3050</v>
          </cell>
          <cell r="I7">
            <v>1</v>
          </cell>
        </row>
        <row r="8">
          <cell r="G8">
            <v>3050</v>
          </cell>
          <cell r="I8">
            <v>1</v>
          </cell>
        </row>
        <row r="9">
          <cell r="G9">
            <v>3050</v>
          </cell>
          <cell r="I9">
            <v>1</v>
          </cell>
        </row>
        <row r="10">
          <cell r="G10">
            <v>3050</v>
          </cell>
          <cell r="I10">
            <v>1</v>
          </cell>
        </row>
        <row r="11">
          <cell r="G11">
            <v>3050</v>
          </cell>
          <cell r="I11">
            <v>1</v>
          </cell>
        </row>
        <row r="12">
          <cell r="G12">
            <v>3050</v>
          </cell>
          <cell r="I12">
            <v>1</v>
          </cell>
        </row>
        <row r="13">
          <cell r="G13">
            <v>3050</v>
          </cell>
          <cell r="I13">
            <v>1</v>
          </cell>
        </row>
        <row r="14">
          <cell r="G14">
            <v>3050</v>
          </cell>
          <cell r="I14">
            <v>1</v>
          </cell>
        </row>
        <row r="15">
          <cell r="G15">
            <v>3050</v>
          </cell>
          <cell r="I15">
            <v>1</v>
          </cell>
        </row>
        <row r="16">
          <cell r="G16">
            <v>3050</v>
          </cell>
          <cell r="I16">
            <v>1</v>
          </cell>
        </row>
        <row r="17">
          <cell r="G17">
            <v>3050</v>
          </cell>
          <cell r="I17">
            <v>1</v>
          </cell>
        </row>
        <row r="18">
          <cell r="C18">
            <v>24.333280000000002</v>
          </cell>
          <cell r="D18">
            <v>10</v>
          </cell>
          <cell r="E18">
            <v>7.2999840000000003</v>
          </cell>
          <cell r="F18">
            <v>7.4766424048628419</v>
          </cell>
          <cell r="G18">
            <v>3050</v>
          </cell>
          <cell r="H18">
            <v>34.333280000000002</v>
          </cell>
          <cell r="I18">
            <v>1</v>
          </cell>
        </row>
        <row r="19">
          <cell r="C19">
            <v>39.541580000000003</v>
          </cell>
          <cell r="D19">
            <v>16.25</v>
          </cell>
          <cell r="E19">
            <v>11.862474000000002</v>
          </cell>
          <cell r="F19">
            <v>12.149543907902119</v>
          </cell>
          <cell r="G19">
            <v>3050</v>
          </cell>
          <cell r="H19">
            <v>55.791580000000003</v>
          </cell>
          <cell r="I19">
            <v>1</v>
          </cell>
        </row>
        <row r="20">
          <cell r="C20">
            <v>69.958179999999999</v>
          </cell>
          <cell r="D20">
            <v>28.75</v>
          </cell>
          <cell r="E20">
            <v>20.987454</v>
          </cell>
          <cell r="F20">
            <v>21.495346913980669</v>
          </cell>
          <cell r="G20">
            <v>3050</v>
          </cell>
          <cell r="H20">
            <v>98.708179999999999</v>
          </cell>
          <cell r="I20">
            <v>1</v>
          </cell>
        </row>
        <row r="21">
          <cell r="C21">
            <v>121.6664</v>
          </cell>
          <cell r="D21">
            <v>50</v>
          </cell>
          <cell r="E21">
            <v>36.499919999999996</v>
          </cell>
          <cell r="F21">
            <v>37.383212024314204</v>
          </cell>
          <cell r="G21">
            <v>3050</v>
          </cell>
          <cell r="H21">
            <v>171.66639999999998</v>
          </cell>
          <cell r="I21">
            <v>1</v>
          </cell>
        </row>
        <row r="22">
          <cell r="C22">
            <v>228.12449999999998</v>
          </cell>
          <cell r="D22">
            <v>93.75</v>
          </cell>
          <cell r="E22">
            <v>68.437349999999995</v>
          </cell>
          <cell r="F22">
            <v>70.093522545589138</v>
          </cell>
          <cell r="G22">
            <v>3050</v>
          </cell>
          <cell r="H22">
            <v>321.87449999999995</v>
          </cell>
          <cell r="I22">
            <v>1</v>
          </cell>
        </row>
        <row r="23">
          <cell r="C23">
            <v>252.45778000000001</v>
          </cell>
          <cell r="D23">
            <v>103.75</v>
          </cell>
          <cell r="E23">
            <v>75.737334000000004</v>
          </cell>
          <cell r="F23">
            <v>77.570164950451982</v>
          </cell>
          <cell r="G23">
            <v>3050</v>
          </cell>
          <cell r="H23">
            <v>356.20778000000001</v>
          </cell>
          <cell r="I23">
            <v>1</v>
          </cell>
        </row>
        <row r="24">
          <cell r="C24">
            <v>243.33279999999999</v>
          </cell>
          <cell r="D24">
            <v>172.29262812981457</v>
          </cell>
          <cell r="E24">
            <v>72.999839999999992</v>
          </cell>
          <cell r="F24">
            <v>74.766424048628409</v>
          </cell>
          <cell r="G24">
            <v>3050</v>
          </cell>
          <cell r="H24">
            <v>415.62542812981457</v>
          </cell>
          <cell r="I24">
            <v>1</v>
          </cell>
        </row>
        <row r="25">
          <cell r="C25">
            <v>212.9162</v>
          </cell>
          <cell r="D25">
            <v>598.52064437402714</v>
          </cell>
          <cell r="E25">
            <v>63.874859999999998</v>
          </cell>
          <cell r="F25">
            <v>65.420621042549868</v>
          </cell>
          <cell r="G25">
            <v>3050</v>
          </cell>
          <cell r="H25">
            <v>811.43684437402715</v>
          </cell>
          <cell r="I25">
            <v>1</v>
          </cell>
        </row>
        <row r="26">
          <cell r="C26">
            <v>177.33407664183861</v>
          </cell>
          <cell r="D26">
            <v>761.51864888974603</v>
          </cell>
          <cell r="E26">
            <v>53.200222992551588</v>
          </cell>
          <cell r="F26">
            <v>54.487659585866261</v>
          </cell>
          <cell r="G26">
            <v>3050</v>
          </cell>
          <cell r="H26">
            <v>938.85272553158461</v>
          </cell>
          <cell r="I26">
            <v>1</v>
          </cell>
        </row>
        <row r="27">
          <cell r="C27">
            <v>153.58713213515577</v>
          </cell>
          <cell r="D27">
            <v>1230</v>
          </cell>
          <cell r="E27">
            <v>46.076139640546728</v>
          </cell>
          <cell r="F27">
            <v>47.19117459557355</v>
          </cell>
          <cell r="G27">
            <v>3050</v>
          </cell>
          <cell r="H27">
            <v>1383.5871321351558</v>
          </cell>
          <cell r="I27">
            <v>1</v>
          </cell>
        </row>
        <row r="28">
          <cell r="C28">
            <v>136.42686620844847</v>
          </cell>
          <cell r="D28">
            <v>1764</v>
          </cell>
          <cell r="E28">
            <v>40.928059862534539</v>
          </cell>
          <cell r="F28">
            <v>41.918512138792437</v>
          </cell>
          <cell r="G28">
            <v>3050</v>
          </cell>
          <cell r="H28">
            <v>1900.4268662084485</v>
          </cell>
          <cell r="I28">
            <v>1</v>
          </cell>
        </row>
        <row r="29">
          <cell r="C29">
            <v>123.34902928239745</v>
          </cell>
          <cell r="D29">
            <v>2495</v>
          </cell>
          <cell r="E29">
            <v>37.004708784719234</v>
          </cell>
          <cell r="F29">
            <v>37.90021661409564</v>
          </cell>
          <cell r="G29">
            <v>3050</v>
          </cell>
          <cell r="H29">
            <v>2618.3490292823976</v>
          </cell>
          <cell r="I29">
            <v>1</v>
          </cell>
        </row>
        <row r="30">
          <cell r="C30">
            <v>112.99505934135966</v>
          </cell>
          <cell r="D30">
            <v>2737.00494065864</v>
          </cell>
          <cell r="E30">
            <v>33.898517802407895</v>
          </cell>
          <cell r="F30">
            <v>34.718856323997535</v>
          </cell>
          <cell r="G30">
            <v>3050</v>
          </cell>
          <cell r="H30">
            <v>2850</v>
          </cell>
          <cell r="I30">
            <v>1</v>
          </cell>
        </row>
        <row r="31">
          <cell r="C31">
            <v>104.55894706411743</v>
          </cell>
          <cell r="D31">
            <v>2905.4410529358802</v>
          </cell>
          <cell r="E31">
            <v>31.367684119235228</v>
          </cell>
          <cell r="F31">
            <v>32.126776884472193</v>
          </cell>
          <cell r="G31">
            <v>3050</v>
          </cell>
          <cell r="H31">
            <v>3010</v>
          </cell>
          <cell r="I31">
            <v>1</v>
          </cell>
        </row>
        <row r="32">
          <cell r="C32">
            <v>97.529775516084101</v>
          </cell>
          <cell r="D32">
            <v>2952.4702244839159</v>
          </cell>
          <cell r="E32">
            <v>29.25893265482523</v>
          </cell>
          <cell r="F32">
            <v>29.966993983561121</v>
          </cell>
          <cell r="G32">
            <v>3050</v>
          </cell>
          <cell r="H32">
            <v>3050</v>
          </cell>
          <cell r="I32">
            <v>1</v>
          </cell>
        </row>
        <row r="33">
          <cell r="C33">
            <v>91.566711374059622</v>
          </cell>
          <cell r="D33">
            <v>2958.4332886259403</v>
          </cell>
          <cell r="E33">
            <v>27.470013412217888</v>
          </cell>
          <cell r="F33">
            <v>28.134783191297306</v>
          </cell>
          <cell r="G33">
            <v>3050</v>
          </cell>
          <cell r="H33">
            <v>3050</v>
          </cell>
          <cell r="I33">
            <v>1</v>
          </cell>
        </row>
        <row r="34">
          <cell r="C34">
            <v>86.432949501027224</v>
          </cell>
          <cell r="D34">
            <v>2963.567050498973</v>
          </cell>
          <cell r="E34">
            <v>25.92988485030817</v>
          </cell>
          <cell r="F34">
            <v>26.557383773036303</v>
          </cell>
          <cell r="G34">
            <v>3050</v>
          </cell>
          <cell r="H34">
            <v>3050</v>
          </cell>
          <cell r="I34">
            <v>1</v>
          </cell>
        </row>
        <row r="35">
          <cell r="C35">
            <v>81.958414406300903</v>
          </cell>
          <cell r="D35">
            <v>2968.041585593699</v>
          </cell>
          <cell r="E35">
            <v>24.587524321890271</v>
          </cell>
          <cell r="F35">
            <v>25.182538341952707</v>
          </cell>
          <cell r="G35">
            <v>3050</v>
          </cell>
          <cell r="H35">
            <v>3050</v>
          </cell>
          <cell r="I35">
            <v>1</v>
          </cell>
        </row>
        <row r="36">
          <cell r="C36">
            <v>78.017540844474595</v>
          </cell>
          <cell r="D36">
            <v>2971.9824591555252</v>
          </cell>
          <cell r="E36">
            <v>23.405262253342379</v>
          </cell>
          <cell r="F36">
            <v>23.971665726976287</v>
          </cell>
          <cell r="G36">
            <v>3050</v>
          </cell>
          <cell r="H36">
            <v>3050</v>
          </cell>
          <cell r="I36">
            <v>1</v>
          </cell>
        </row>
        <row r="37">
          <cell r="C37">
            <v>74.515439231660253</v>
          </cell>
          <cell r="D37">
            <v>2975.4845607683396</v>
          </cell>
          <cell r="E37">
            <v>22.354631769498074</v>
          </cell>
          <cell r="F37">
            <v>22.895610159272042</v>
          </cell>
          <cell r="G37">
            <v>3050</v>
          </cell>
          <cell r="H37">
            <v>3050</v>
          </cell>
          <cell r="I37">
            <v>1</v>
          </cell>
        </row>
        <row r="38">
          <cell r="C38">
            <v>71.378955912763814</v>
          </cell>
          <cell r="D38">
            <v>2978.621044087236</v>
          </cell>
          <cell r="E38">
            <v>21.413686773829145</v>
          </cell>
          <cell r="F38">
            <v>21.931894450407228</v>
          </cell>
          <cell r="G38">
            <v>3050</v>
          </cell>
          <cell r="H38">
            <v>3050</v>
          </cell>
          <cell r="I38">
            <v>1</v>
          </cell>
        </row>
        <row r="39">
          <cell r="C39">
            <v>68.550710638567338</v>
          </cell>
          <cell r="D39">
            <v>2981.4492893614329</v>
          </cell>
          <cell r="E39">
            <v>20.565213191570201</v>
          </cell>
          <cell r="F39">
            <v>21.062887947855565</v>
          </cell>
          <cell r="G39">
            <v>3050</v>
          </cell>
          <cell r="H39">
            <v>3050</v>
          </cell>
          <cell r="I39">
            <v>1</v>
          </cell>
        </row>
        <row r="40">
          <cell r="C40">
            <v>65.985009601487775</v>
          </cell>
          <cell r="D40">
            <v>2984.0149903985121</v>
          </cell>
          <cell r="E40">
            <v>19.795502880446332</v>
          </cell>
          <cell r="F40">
            <v>20.274550774567391</v>
          </cell>
          <cell r="G40">
            <v>3050</v>
          </cell>
          <cell r="H40">
            <v>3050</v>
          </cell>
          <cell r="I40">
            <v>1</v>
          </cell>
        </row>
        <row r="41">
          <cell r="C41">
            <v>63.644976501376227</v>
          </cell>
          <cell r="D41">
            <v>2986.3550234986237</v>
          </cell>
          <cell r="E41">
            <v>19.093492950412866</v>
          </cell>
          <cell r="F41">
            <v>19.555552320389548</v>
          </cell>
          <cell r="G41">
            <v>3050</v>
          </cell>
          <cell r="H41">
            <v>3050</v>
          </cell>
          <cell r="I41">
            <v>1</v>
          </cell>
        </row>
        <row r="42">
          <cell r="C42">
            <v>61.500495950151482</v>
          </cell>
          <cell r="D42">
            <v>2988.4995040498484</v>
          </cell>
          <cell r="E42">
            <v>18.450148785045442</v>
          </cell>
          <cell r="F42">
            <v>18.896639332675168</v>
          </cell>
          <cell r="G42">
            <v>3050</v>
          </cell>
          <cell r="H42">
            <v>3050</v>
          </cell>
          <cell r="I42">
            <v>1</v>
          </cell>
        </row>
        <row r="43">
          <cell r="C43">
            <v>59.526711515145593</v>
          </cell>
          <cell r="D43">
            <v>2990.4732884848545</v>
          </cell>
          <cell r="E43">
            <v>17.858013454543677</v>
          </cell>
          <cell r="F43">
            <v>18.290174425156607</v>
          </cell>
          <cell r="G43">
            <v>3050</v>
          </cell>
          <cell r="H43">
            <v>3050</v>
          </cell>
          <cell r="I43">
            <v>1</v>
          </cell>
        </row>
        <row r="44">
          <cell r="C44">
            <v>57.702910438689777</v>
          </cell>
          <cell r="D44">
            <v>2992.2970895613103</v>
          </cell>
          <cell r="E44">
            <v>17.310873131606932</v>
          </cell>
          <cell r="F44">
            <v>17.72979339694076</v>
          </cell>
          <cell r="G44">
            <v>3050</v>
          </cell>
          <cell r="H44">
            <v>3050</v>
          </cell>
          <cell r="I44">
            <v>1</v>
          </cell>
        </row>
        <row r="45">
          <cell r="C45">
            <v>56.011683020200763</v>
          </cell>
          <cell r="D45">
            <v>2993.988316979799</v>
          </cell>
          <cell r="E45">
            <v>16.80350490606023</v>
          </cell>
          <cell r="F45">
            <v>17.21014694429066</v>
          </cell>
          <cell r="G45">
            <v>3050</v>
          </cell>
          <cell r="H45">
            <v>3050</v>
          </cell>
          <cell r="I45">
            <v>1</v>
          </cell>
        </row>
        <row r="46">
          <cell r="C46">
            <v>54.438280406268909</v>
          </cell>
          <cell r="D46">
            <v>2995.5617195937311</v>
          </cell>
          <cell r="E46">
            <v>16.331484121880671</v>
          </cell>
          <cell r="F46">
            <v>16.726703335239804</v>
          </cell>
          <cell r="G46">
            <v>3050</v>
          </cell>
          <cell r="H46">
            <v>3050</v>
          </cell>
          <cell r="I46">
            <v>1</v>
          </cell>
        </row>
        <row r="47">
          <cell r="C47">
            <v>52.970117905149422</v>
          </cell>
          <cell r="D47">
            <v>2997.0298820948506</v>
          </cell>
          <cell r="E47">
            <v>15.891035371544827</v>
          </cell>
          <cell r="F47">
            <v>16.275595798027421</v>
          </cell>
          <cell r="G47">
            <v>3050</v>
          </cell>
          <cell r="H47">
            <v>3050</v>
          </cell>
          <cell r="I47">
            <v>1</v>
          </cell>
        </row>
        <row r="48">
          <cell r="C48">
            <v>51.596386527478096</v>
          </cell>
          <cell r="D48">
            <v>2998.403613472522</v>
          </cell>
          <cell r="E48">
            <v>15.478915958243428</v>
          </cell>
          <cell r="F48">
            <v>15.853503163118024</v>
          </cell>
          <cell r="G48">
            <v>3050</v>
          </cell>
          <cell r="H48">
            <v>3050</v>
          </cell>
          <cell r="I48">
            <v>1</v>
          </cell>
        </row>
        <row r="49">
          <cell r="C49">
            <v>50.307746040616323</v>
          </cell>
          <cell r="D49">
            <v>2999.6922539593838</v>
          </cell>
          <cell r="E49">
            <v>15.092323812184897</v>
          </cell>
          <cell r="F49">
            <v>15.457555551094744</v>
          </cell>
          <cell r="G49">
            <v>3050</v>
          </cell>
          <cell r="H49">
            <v>3050</v>
          </cell>
          <cell r="I49">
            <v>1</v>
          </cell>
        </row>
        <row r="50">
          <cell r="C50">
            <v>49.096080134887984</v>
          </cell>
          <cell r="D50">
            <v>3000.9039198651121</v>
          </cell>
          <cell r="E50">
            <v>14.728824040466394</v>
          </cell>
          <cell r="F50">
            <v>15.085259145049399</v>
          </cell>
          <cell r="G50">
            <v>3050</v>
          </cell>
          <cell r="H50">
            <v>3050</v>
          </cell>
          <cell r="I50">
            <v>1</v>
          </cell>
        </row>
        <row r="51">
          <cell r="C51">
            <v>47.954299427064207</v>
          </cell>
          <cell r="D51">
            <v>3002.0457005729359</v>
          </cell>
          <cell r="E51">
            <v>14.386289828119263</v>
          </cell>
          <cell r="F51">
            <v>14.734435661443017</v>
          </cell>
          <cell r="G51">
            <v>3050</v>
          </cell>
          <cell r="H51">
            <v>3050</v>
          </cell>
          <cell r="I51">
            <v>1</v>
          </cell>
        </row>
        <row r="52">
          <cell r="C52">
            <v>46.876181673071628</v>
          </cell>
          <cell r="D52">
            <v>3003.1238183269284</v>
          </cell>
          <cell r="E52">
            <v>14.062854501921489</v>
          </cell>
          <cell r="F52">
            <v>14.403173253870492</v>
          </cell>
          <cell r="G52">
            <v>3050</v>
          </cell>
          <cell r="H52">
            <v>3050</v>
          </cell>
          <cell r="I52">
            <v>1</v>
          </cell>
        </row>
        <row r="53">
          <cell r="C53">
            <v>45.856241189468676</v>
          </cell>
          <cell r="D53">
            <v>3004.1437588105314</v>
          </cell>
          <cell r="E53">
            <v>13.756872356840603</v>
          </cell>
          <cell r="F53">
            <v>14.089786391509882</v>
          </cell>
          <cell r="G53">
            <v>3050</v>
          </cell>
          <cell r="H53">
            <v>3050</v>
          </cell>
          <cell r="I53">
            <v>1</v>
          </cell>
        </row>
        <row r="54">
          <cell r="G54">
            <v>3050</v>
          </cell>
          <cell r="H54">
            <v>0</v>
          </cell>
          <cell r="I54">
            <v>1</v>
          </cell>
        </row>
        <row r="55">
          <cell r="G55">
            <v>3050</v>
          </cell>
          <cell r="H55">
            <v>0</v>
          </cell>
          <cell r="I55">
            <v>1</v>
          </cell>
        </row>
        <row r="56">
          <cell r="G56">
            <v>3050</v>
          </cell>
          <cell r="H56">
            <v>0</v>
          </cell>
          <cell r="I56">
            <v>1</v>
          </cell>
        </row>
        <row r="57">
          <cell r="G57">
            <v>3050</v>
          </cell>
          <cell r="H57">
            <v>0</v>
          </cell>
          <cell r="I57">
            <v>1</v>
          </cell>
        </row>
        <row r="58">
          <cell r="G58">
            <v>3050</v>
          </cell>
          <cell r="H58">
            <v>0</v>
          </cell>
          <cell r="I58">
            <v>1</v>
          </cell>
        </row>
        <row r="59">
          <cell r="G59">
            <v>3050</v>
          </cell>
          <cell r="H59">
            <v>0</v>
          </cell>
          <cell r="I59">
            <v>1</v>
          </cell>
        </row>
        <row r="60">
          <cell r="G60">
            <v>3050</v>
          </cell>
          <cell r="H60">
            <v>0</v>
          </cell>
          <cell r="I60">
            <v>1</v>
          </cell>
        </row>
        <row r="61">
          <cell r="G61">
            <v>3050</v>
          </cell>
          <cell r="H61">
            <v>0</v>
          </cell>
          <cell r="I61">
            <v>1</v>
          </cell>
        </row>
        <row r="62">
          <cell r="G62">
            <v>3050</v>
          </cell>
          <cell r="H62">
            <v>0</v>
          </cell>
          <cell r="I62">
            <v>1</v>
          </cell>
        </row>
        <row r="63">
          <cell r="G63">
            <v>3050</v>
          </cell>
          <cell r="H63">
            <v>0</v>
          </cell>
          <cell r="I63">
            <v>1</v>
          </cell>
        </row>
        <row r="64">
          <cell r="G64">
            <v>3050</v>
          </cell>
          <cell r="H64">
            <v>0</v>
          </cell>
          <cell r="I64">
            <v>1</v>
          </cell>
        </row>
        <row r="65">
          <cell r="G65">
            <v>3050</v>
          </cell>
          <cell r="H65">
            <v>0</v>
          </cell>
          <cell r="I65">
            <v>1</v>
          </cell>
        </row>
        <row r="66">
          <cell r="G66">
            <v>3050</v>
          </cell>
          <cell r="H66">
            <v>0</v>
          </cell>
          <cell r="I66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rm."/>
      <sheetName val="REP2"/>
      <sheetName val="REP 2003"/>
      <sheetName val="AFE Costos"/>
      <sheetName val="Sheet1"/>
      <sheetName val="AFE00 "/>
      <sheetName val="AFE05 Carátula"/>
      <sheetName val="AFE05 Costos"/>
      <sheetName val="Rep 05"/>
      <sheetName val="Inf.Rep01_0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mización"/>
      <sheetName val="Diseño"/>
      <sheetName val="Pozos"/>
      <sheetName val="Configuración"/>
      <sheetName val="Medición"/>
      <sheetName val="Físicos"/>
      <sheetName val="Eléctricos"/>
      <sheetName val="Proceso"/>
      <sheetName val="RIFTS"/>
      <sheetName val="Coef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2">
          <cell r="J112" t="str">
            <v>Yes</v>
          </cell>
        </row>
        <row r="113">
          <cell r="J113" t="str">
            <v>No</v>
          </cell>
        </row>
        <row r="114">
          <cell r="J114" t="str">
            <v>ERFV</v>
          </cell>
        </row>
        <row r="115">
          <cell r="J115" t="str">
            <v>Invertida</v>
          </cell>
        </row>
        <row r="117">
          <cell r="J117" t="str">
            <v>Yes</v>
          </cell>
        </row>
        <row r="118">
          <cell r="J118" t="str">
            <v>No</v>
          </cell>
        </row>
        <row r="119">
          <cell r="J119" t="str">
            <v>Yes/Parissi</v>
          </cell>
        </row>
        <row r="120">
          <cell r="J120" t="str">
            <v>Parissi</v>
          </cell>
        </row>
        <row r="121">
          <cell r="J121" t="str">
            <v>Yes/ERFV</v>
          </cell>
        </row>
        <row r="122">
          <cell r="J122" t="str">
            <v>ERFV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leccion de recursos"/>
      <sheetName val="Conseptos personal"/>
      <sheetName val="Hoja3"/>
    </sheetNames>
    <sheetDataSet>
      <sheetData sheetId="0"/>
      <sheetData sheetId="1"/>
      <sheetData sheetId="2">
        <row r="2">
          <cell r="A2" t="str">
            <v>Jefe contrato</v>
          </cell>
        </row>
        <row r="3">
          <cell r="A3" t="str">
            <v>Ingeniero de aplicación</v>
          </cell>
        </row>
        <row r="4">
          <cell r="A4" t="str">
            <v>Supervisor de operaciones</v>
          </cell>
        </row>
        <row r="5">
          <cell r="A5" t="str">
            <v>Técnico en SySO</v>
          </cell>
        </row>
        <row r="6">
          <cell r="A6" t="str">
            <v>Técnico laboratorista</v>
          </cell>
        </row>
        <row r="7">
          <cell r="A7" t="str">
            <v>Operador de campo</v>
          </cell>
        </row>
        <row r="8">
          <cell r="A8" t="str">
            <v>Operador de unidad de rellenado</v>
          </cell>
        </row>
        <row r="9">
          <cell r="A9" t="str">
            <v>Operador de logística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"/>
      <sheetName val="B.M."/>
      <sheetName val="CARGA DE DATOS B.E.S. "/>
      <sheetName val="CARGA DE DATOS P.C.P."/>
      <sheetName val="CARGA DE DATOS"/>
      <sheetName val="Graph"/>
      <sheetName val="Resumen Graficos"/>
      <sheetName val="TOTALES"/>
      <sheetName val="ESPERA TRACTOR"/>
      <sheetName val="CAMBIO DE BOMBA"/>
      <sheetName val="PESCA DE V-B"/>
      <sheetName val="PERDIDA DE TBG."/>
      <sheetName val="BOMBEO APRISIONADO"/>
      <sheetName val="RESUMEN ANUAL"/>
      <sheetName val="CORR-INC."/>
      <sheetName val="causas"/>
      <sheetName val="HORAS DE PULLING"/>
      <sheetName val="pres-04"/>
      <sheetName val="5858"/>
      <sheetName val="5859"/>
      <sheetName val="5862"/>
      <sheetName val="SetupImpre"/>
      <sheetName val="AreaImpre"/>
      <sheetName val="MenuPrincipal"/>
      <sheetName val="pulling 2005   DEF"/>
      <sheetName val="Datos IP Teórico"/>
      <sheetName val="PESCA DE V_B"/>
      <sheetName val="PERDIDA DE TBG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  <sheetData sheetId="25"/>
      <sheetData sheetId="26" refreshError="1"/>
      <sheetData sheetId="27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paración"/>
      <sheetName val="Pulling"/>
      <sheetName val="Programa"/>
      <sheetName val="AFE01 Caratula"/>
      <sheetName val="AFE Costos"/>
    </sheetNames>
    <sheetDataSet>
      <sheetData sheetId="0" refreshError="1"/>
      <sheetData sheetId="1" refreshError="1">
        <row r="24">
          <cell r="C24">
            <v>37231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P Mant Plantas"/>
      <sheetName val="Template Elementos PEPs"/>
      <sheetName val="Template Definicion de Py"/>
      <sheetName val="Hoja1"/>
      <sheetName val=" Campos"/>
      <sheetName val="Lista de valores"/>
      <sheetName val="Datos JVA"/>
      <sheetName val="CeCos"/>
      <sheetName val="Lista Plantas"/>
      <sheetName val="Lista Plantas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D2" t="str">
            <v>AR10BAZ715 - A.P.B.</v>
          </cell>
        </row>
        <row r="3">
          <cell r="D3" t="str">
            <v>AR10APZ500 - Alocaciones</v>
          </cell>
        </row>
        <row r="4">
          <cell r="D4" t="str">
            <v>AR10SRZ500 - Alocaciones</v>
          </cell>
        </row>
        <row r="5">
          <cell r="D5" t="str">
            <v>AR1040Z500 - Alocaciones</v>
          </cell>
        </row>
        <row r="6">
          <cell r="D6" t="str">
            <v>AR1046Z500 - Alocaciones</v>
          </cell>
        </row>
        <row r="7">
          <cell r="D7" t="str">
            <v>AR10BCZ500 - Alocaciones</v>
          </cell>
        </row>
        <row r="8">
          <cell r="D8" t="str">
            <v>AR10CDZ500 - Alocaciones</v>
          </cell>
        </row>
        <row r="9">
          <cell r="D9" t="str">
            <v>AR10CK4500 - Alocaciones</v>
          </cell>
        </row>
        <row r="10">
          <cell r="D10" t="str">
            <v>AR10PIZ500 - Alocaciones</v>
          </cell>
        </row>
        <row r="11">
          <cell r="D11" t="str">
            <v>AR10PMZ500 - Alocaciones</v>
          </cell>
        </row>
        <row r="12">
          <cell r="D12" t="str">
            <v>AR40LE2500 - Alocaciones</v>
          </cell>
        </row>
        <row r="13">
          <cell r="D13" t="str">
            <v>AR10AEZ500 - Alocaciones</v>
          </cell>
        </row>
        <row r="14">
          <cell r="D14" t="str">
            <v>AR10FEZ500 - Alocaciones</v>
          </cell>
        </row>
        <row r="15">
          <cell r="D15" t="str">
            <v>AR10CEZ500 - Alocaciones</v>
          </cell>
        </row>
        <row r="16">
          <cell r="D16" t="str">
            <v>AR10SEZ500 - Alocaciones</v>
          </cell>
        </row>
        <row r="17">
          <cell r="D17" t="str">
            <v>AR11CAZ500 - Alocaciones</v>
          </cell>
        </row>
        <row r="18">
          <cell r="D18" t="str">
            <v>AR11SAZ500 - Alocaciones</v>
          </cell>
        </row>
        <row r="19">
          <cell r="D19" t="str">
            <v>AR11SCZ500 - Alocaciones</v>
          </cell>
        </row>
        <row r="20">
          <cell r="D20" t="str">
            <v>AR12FUZ500 - Alocaciones</v>
          </cell>
        </row>
        <row r="21">
          <cell r="D21" t="str">
            <v>AR12FMZ500 - Alocaciones</v>
          </cell>
        </row>
        <row r="22">
          <cell r="D22" t="str">
            <v>AR13BSZ500 - Alocaciones</v>
          </cell>
        </row>
        <row r="23">
          <cell r="D23" t="str">
            <v>AR40LA2500 - Alocaciones</v>
          </cell>
        </row>
        <row r="24">
          <cell r="D24" t="str">
            <v>AR41ACZ500 - Alocaciones</v>
          </cell>
        </row>
        <row r="25">
          <cell r="D25" t="str">
            <v>AR42AFZ500 - Alocaciones</v>
          </cell>
        </row>
        <row r="26">
          <cell r="D26" t="str">
            <v>AR43GCZ500 - Alocaciones</v>
          </cell>
        </row>
        <row r="27">
          <cell r="D27" t="str">
            <v>AR44GSZ500 - Alocaciones</v>
          </cell>
        </row>
        <row r="28">
          <cell r="D28" t="str">
            <v>BO10OGZ500 - Alocaciones</v>
          </cell>
        </row>
        <row r="29">
          <cell r="D29" t="str">
            <v>BO11CIZ500 - Alocaciones</v>
          </cell>
        </row>
        <row r="30">
          <cell r="D30" t="str">
            <v>BO11CNZ500 - Alocaciones</v>
          </cell>
        </row>
        <row r="31">
          <cell r="D31" t="str">
            <v>CL10CH1500 - Alocaciones</v>
          </cell>
        </row>
        <row r="32">
          <cell r="D32" t="str">
            <v>CL10CC1500 - Alocaciones</v>
          </cell>
        </row>
        <row r="33">
          <cell r="D33" t="str">
            <v>CL10CB1500 - Alocaciones</v>
          </cell>
        </row>
        <row r="34">
          <cell r="D34" t="str">
            <v>AR10CDZ515 - Auditoria</v>
          </cell>
        </row>
        <row r="35">
          <cell r="D35" t="str">
            <v>AR10CK4515 - Auditoria</v>
          </cell>
        </row>
        <row r="36">
          <cell r="D36" t="str">
            <v>AR10ANZ515 - Auditoria</v>
          </cell>
        </row>
        <row r="37">
          <cell r="D37" t="str">
            <v>AR10SNZ515 - Auditoria</v>
          </cell>
        </row>
        <row r="38">
          <cell r="D38" t="str">
            <v>AR104NZ515 - Auditoria</v>
          </cell>
        </row>
        <row r="39">
          <cell r="D39" t="str">
            <v>AR106NZ515 - Auditoria</v>
          </cell>
        </row>
        <row r="40">
          <cell r="D40" t="str">
            <v>AR10BNZ515 - Auditoria</v>
          </cell>
        </row>
        <row r="41">
          <cell r="D41" t="str">
            <v>AR40LE2515 - Auditoria</v>
          </cell>
        </row>
        <row r="42">
          <cell r="D42" t="str">
            <v>AR10AEZ515 - Auditoria</v>
          </cell>
        </row>
        <row r="43">
          <cell r="D43" t="str">
            <v>AR10FEZ515 - Auditoria</v>
          </cell>
        </row>
        <row r="44">
          <cell r="D44" t="str">
            <v>AR10BAZ515 - Auditoria</v>
          </cell>
        </row>
        <row r="45">
          <cell r="D45" t="str">
            <v>AR11CNZ515 - Auditoria</v>
          </cell>
        </row>
        <row r="46">
          <cell r="D46" t="str">
            <v>AR11SAZ515 - Auditoria</v>
          </cell>
        </row>
        <row r="47">
          <cell r="D47" t="str">
            <v>AR40LA2515 - Auditoria</v>
          </cell>
        </row>
        <row r="48">
          <cell r="D48" t="str">
            <v>AR41ACZ515 - Auditoria</v>
          </cell>
        </row>
        <row r="49">
          <cell r="D49" t="str">
            <v>AR42AFZ515 - Auditoria</v>
          </cell>
        </row>
        <row r="50">
          <cell r="D50" t="str">
            <v>CL10CH1515 - Auditoria</v>
          </cell>
        </row>
        <row r="51">
          <cell r="D51" t="str">
            <v>CL10CC1515 - Auditoria</v>
          </cell>
        </row>
        <row r="52">
          <cell r="D52" t="str">
            <v>CL10CB1515 - Auditoria</v>
          </cell>
        </row>
        <row r="53">
          <cell r="D53" t="str">
            <v>AR10CD1010 - Boca de Pozo</v>
          </cell>
        </row>
        <row r="54">
          <cell r="D54" t="str">
            <v>AR10CD2010 - Boca de Pozo</v>
          </cell>
        </row>
        <row r="55">
          <cell r="D55" t="str">
            <v>AR10CD3010 - Boca de Pozo</v>
          </cell>
        </row>
        <row r="56">
          <cell r="D56" t="str">
            <v>AR10CD5010 - Boca de Pozo</v>
          </cell>
        </row>
        <row r="57">
          <cell r="D57" t="str">
            <v>AR10CD7010 - Boca de Pozo</v>
          </cell>
        </row>
        <row r="58">
          <cell r="D58" t="str">
            <v>AR10CD8010 - Boca de Pozo</v>
          </cell>
        </row>
        <row r="59">
          <cell r="D59" t="str">
            <v>AR10CD9010 - Boca de Pozo</v>
          </cell>
        </row>
        <row r="60">
          <cell r="D60" t="str">
            <v>AR10CK4010 - Boca de Pozo</v>
          </cell>
        </row>
        <row r="61">
          <cell r="D61" t="str">
            <v>AR10ANZ010 - Boca de Pozo</v>
          </cell>
        </row>
        <row r="62">
          <cell r="D62" t="str">
            <v>AR10SNZ010 - Boca de Pozo</v>
          </cell>
        </row>
        <row r="63">
          <cell r="D63" t="str">
            <v>AR104NZ010 - Boca de Pozo</v>
          </cell>
        </row>
        <row r="64">
          <cell r="D64" t="str">
            <v>AR106NZ010 - Boca de Pozo</v>
          </cell>
        </row>
        <row r="65">
          <cell r="D65" t="str">
            <v>AR10BNZ010 - Boca de Pozo</v>
          </cell>
        </row>
        <row r="66">
          <cell r="D66" t="str">
            <v>AR40LE1010 - Boca de Pozo</v>
          </cell>
        </row>
        <row r="67">
          <cell r="D67" t="str">
            <v>AR40LE2010 - Boca de Pozo</v>
          </cell>
        </row>
        <row r="68">
          <cell r="D68" t="str">
            <v>AR10AE1010 - Boca de Pozo</v>
          </cell>
        </row>
        <row r="69">
          <cell r="D69" t="str">
            <v>AR10AE2010 - Boca de Pozo</v>
          </cell>
        </row>
        <row r="70">
          <cell r="D70" t="str">
            <v>AR10AE3010 - Boca de Pozo</v>
          </cell>
        </row>
        <row r="71">
          <cell r="D71" t="str">
            <v>AR10AE4010 - Boca de Pozo</v>
          </cell>
        </row>
        <row r="72">
          <cell r="D72" t="str">
            <v>AR10AE5010 - Boca de Pozo</v>
          </cell>
        </row>
        <row r="73">
          <cell r="D73" t="str">
            <v>AR10FEZ010 - Boca de Pozo</v>
          </cell>
        </row>
        <row r="74">
          <cell r="D74" t="str">
            <v>AR11CNZ010 - Boca de Pozo</v>
          </cell>
        </row>
        <row r="75">
          <cell r="D75" t="str">
            <v>AR40LA1010 - Boca de Pozo</v>
          </cell>
        </row>
        <row r="76">
          <cell r="D76" t="str">
            <v>AR40LA2010 - Boca de Pozo</v>
          </cell>
        </row>
        <row r="77">
          <cell r="D77" t="str">
            <v>AR41AC1010 - Boca de Pozo</v>
          </cell>
        </row>
        <row r="78">
          <cell r="D78" t="str">
            <v>AR41AC2010 - Boca de Pozo</v>
          </cell>
        </row>
        <row r="79">
          <cell r="D79" t="str">
            <v>AR41AC3010 - Boca de Pozo</v>
          </cell>
        </row>
        <row r="80">
          <cell r="D80" t="str">
            <v>AR41AC4010 - Boca de Pozo</v>
          </cell>
        </row>
        <row r="81">
          <cell r="D81" t="str">
            <v>AR41AC5010 - Boca de Pozo</v>
          </cell>
        </row>
        <row r="82">
          <cell r="D82" t="str">
            <v>AR42AFZ010 - Boca de Pozo</v>
          </cell>
        </row>
        <row r="83">
          <cell r="D83" t="str">
            <v>BO11CIZ010 - Boca de Pozo</v>
          </cell>
        </row>
        <row r="84">
          <cell r="D84" t="str">
            <v>BO11CNZ010 - Boca de Pozo</v>
          </cell>
        </row>
        <row r="85">
          <cell r="D85" t="str">
            <v>CL10CH1010 - Boca de Pozo</v>
          </cell>
        </row>
        <row r="86">
          <cell r="D86" t="str">
            <v>CL10CC1010 - Boca de Pozo</v>
          </cell>
        </row>
        <row r="87">
          <cell r="D87" t="str">
            <v>CL10CB1010 - Boca de Pozo</v>
          </cell>
        </row>
        <row r="88">
          <cell r="D88" t="str">
            <v>AR10CD1140 - Bombas de profundidad</v>
          </cell>
        </row>
        <row r="89">
          <cell r="D89" t="str">
            <v>AR10CD2140 - Bombas de profundidad</v>
          </cell>
        </row>
        <row r="90">
          <cell r="D90" t="str">
            <v>AR10CD3140 - Bombas de profundidad</v>
          </cell>
        </row>
        <row r="91">
          <cell r="D91" t="str">
            <v>AR10CD5140 - Bombas de profundidad</v>
          </cell>
        </row>
        <row r="92">
          <cell r="D92" t="str">
            <v>AR10CD7140 - Bombas de profundidad</v>
          </cell>
        </row>
        <row r="93">
          <cell r="D93" t="str">
            <v>AR10CD8140 - Bombas de profundidad</v>
          </cell>
        </row>
        <row r="94">
          <cell r="D94" t="str">
            <v>AR10CD9140 - Bombas de profundidad</v>
          </cell>
        </row>
        <row r="95">
          <cell r="D95" t="str">
            <v>AR10CK4140 - Bombas de profundidad</v>
          </cell>
        </row>
        <row r="96">
          <cell r="D96" t="str">
            <v>AR10ANZ140 - Bombas de profundidad</v>
          </cell>
        </row>
        <row r="97">
          <cell r="D97" t="str">
            <v>AR10SNZ140 - Bombas de profundidad</v>
          </cell>
        </row>
        <row r="98">
          <cell r="D98" t="str">
            <v>AR104NZ140 - Bombas de profundidad</v>
          </cell>
        </row>
        <row r="99">
          <cell r="D99" t="str">
            <v>AR106NZ140 - Bombas de profundidad</v>
          </cell>
        </row>
        <row r="100">
          <cell r="D100" t="str">
            <v>AR10BNZ140 - Bombas de profundidad</v>
          </cell>
        </row>
        <row r="101">
          <cell r="D101" t="str">
            <v>AR40LE1140 - Bombas de profundidad</v>
          </cell>
        </row>
        <row r="102">
          <cell r="D102" t="str">
            <v>AR40LE2140 - Bombas de profundidad</v>
          </cell>
        </row>
        <row r="103">
          <cell r="D103" t="str">
            <v>AR10AE1140 - Bombas de profundidad</v>
          </cell>
        </row>
        <row r="104">
          <cell r="D104" t="str">
            <v>AR10AE2140 - Bombas de profundidad</v>
          </cell>
        </row>
        <row r="105">
          <cell r="D105" t="str">
            <v>AR10AE3140 - Bombas de profundidad</v>
          </cell>
        </row>
        <row r="106">
          <cell r="D106" t="str">
            <v>AR10AE4140 - Bombas de profundidad</v>
          </cell>
        </row>
        <row r="107">
          <cell r="D107" t="str">
            <v>AR10AE5140 - Bombas de profundidad</v>
          </cell>
        </row>
        <row r="108">
          <cell r="D108" t="str">
            <v>AR10FEZ140 - Bombas de profundidad</v>
          </cell>
        </row>
        <row r="109">
          <cell r="D109" t="str">
            <v>AR11CNZ140 - Bombas de profundidad</v>
          </cell>
        </row>
        <row r="110">
          <cell r="D110" t="str">
            <v>AR40LA1140 - Bombas de profundidad</v>
          </cell>
        </row>
        <row r="111">
          <cell r="D111" t="str">
            <v>AR40LA2140 - Bombas de profundidad</v>
          </cell>
        </row>
        <row r="112">
          <cell r="D112" t="str">
            <v>AR41AC1140 - Bombas de profundidad</v>
          </cell>
        </row>
        <row r="113">
          <cell r="D113" t="str">
            <v>AR41AC2140 - Bombas de profundidad</v>
          </cell>
        </row>
        <row r="114">
          <cell r="D114" t="str">
            <v>AR41AC3140 - Bombas de profundidad</v>
          </cell>
        </row>
        <row r="115">
          <cell r="D115" t="str">
            <v>AR41AC4140 - Bombas de profundidad</v>
          </cell>
        </row>
        <row r="116">
          <cell r="D116" t="str">
            <v>AR41AC5140 - Bombas de profundidad</v>
          </cell>
        </row>
        <row r="117">
          <cell r="D117" t="str">
            <v>AR42AFZ140 - Bombas de profundidad</v>
          </cell>
        </row>
        <row r="118">
          <cell r="D118" t="str">
            <v>BO11CIZ140 - Bombas de profundidad</v>
          </cell>
        </row>
        <row r="119">
          <cell r="D119" t="str">
            <v>BO11CNZ140 - Bombas de profundidad</v>
          </cell>
        </row>
        <row r="120">
          <cell r="D120" t="str">
            <v>CL10CH1140 - Bombas de profundidad</v>
          </cell>
        </row>
        <row r="121">
          <cell r="D121" t="str">
            <v>CL10CC1140 - Bombas de profundidad</v>
          </cell>
        </row>
        <row r="122">
          <cell r="D122" t="str">
            <v>CL10CB1140 - Bombas de profundidad</v>
          </cell>
        </row>
        <row r="123">
          <cell r="D123" t="str">
            <v>AR10BAZ690 - C.A.B.</v>
          </cell>
        </row>
        <row r="124">
          <cell r="D124" t="str">
            <v>AR10ANZ657 - C.O.O. &amp; Operating VP</v>
          </cell>
        </row>
        <row r="125">
          <cell r="D125" t="str">
            <v>AR10SNZ657 - C.O.O. &amp; Operating VP</v>
          </cell>
        </row>
        <row r="126">
          <cell r="D126" t="str">
            <v>AR104NZ657 - C.O.O. &amp; Operating VP</v>
          </cell>
        </row>
        <row r="127">
          <cell r="D127" t="str">
            <v>AR106NZ657 - C.O.O. &amp; Operating VP</v>
          </cell>
        </row>
        <row r="128">
          <cell r="D128" t="str">
            <v>AR10BNZ657 - C.O.O. &amp; Operating VP</v>
          </cell>
        </row>
        <row r="129">
          <cell r="D129" t="str">
            <v>AR10BAZ665 - C.O.O. &amp; Operating VP</v>
          </cell>
        </row>
        <row r="130">
          <cell r="D130" t="str">
            <v>AR11CNZ657 - C.O.O. &amp; Operating VP</v>
          </cell>
        </row>
        <row r="131">
          <cell r="D131" t="str">
            <v>AR11SAZ657 - C.O.O. &amp; Operating VP</v>
          </cell>
        </row>
        <row r="132">
          <cell r="D132" t="str">
            <v>AR10CD1040 - Caminos, Locac. y mov. de Tierra</v>
          </cell>
        </row>
        <row r="133">
          <cell r="D133" t="str">
            <v>AR10CD2040 - Caminos, Locac. y mov. de Tierra</v>
          </cell>
        </row>
        <row r="134">
          <cell r="D134" t="str">
            <v>AR10CD3040 - Caminos, Locac. y mov. de Tierra</v>
          </cell>
        </row>
        <row r="135">
          <cell r="D135" t="str">
            <v>AR10CD5040 - Caminos, Locac. y mov. de Tierra</v>
          </cell>
        </row>
        <row r="136">
          <cell r="D136" t="str">
            <v>AR10CD7040 - Caminos, Locac. y mov. de Tierra</v>
          </cell>
        </row>
        <row r="137">
          <cell r="D137" t="str">
            <v>AR10CD8040 - Caminos, Locac. y mov. de Tierra</v>
          </cell>
        </row>
        <row r="138">
          <cell r="D138" t="str">
            <v>AR10CD9040 - Caminos, Locac. y mov. de Tierra</v>
          </cell>
        </row>
        <row r="139">
          <cell r="D139" t="str">
            <v>AR10CDE040 - Caminos, Locac. y mov. de Tierra</v>
          </cell>
        </row>
        <row r="140">
          <cell r="D140" t="str">
            <v>AR10CDP040 - Caminos, Locac. y mov. de Tierra</v>
          </cell>
        </row>
        <row r="141">
          <cell r="D141" t="str">
            <v>AR10CK4040 - Caminos, Locac. y mov. de Tierra</v>
          </cell>
        </row>
        <row r="142">
          <cell r="D142" t="str">
            <v>AR10ANZ040 - Caminos, Locac. y mov. de Tierra</v>
          </cell>
        </row>
        <row r="143">
          <cell r="D143" t="str">
            <v>AR10SNZ040 - Caminos, Locac. y mov. de Tierra</v>
          </cell>
        </row>
        <row r="144">
          <cell r="D144" t="str">
            <v>AR104NZ040 - Caminos, Locac. y mov. de Tierra</v>
          </cell>
        </row>
        <row r="145">
          <cell r="D145" t="str">
            <v>AR106NZ040 - Caminos, Locac. y mov. de Tierra</v>
          </cell>
        </row>
        <row r="146">
          <cell r="D146" t="str">
            <v>AR10BNZ040 - Caminos, Locac. y mov. de Tierra</v>
          </cell>
        </row>
        <row r="147">
          <cell r="D147" t="str">
            <v>AR40LE1040 - Caminos, Locac. y mov. de Tierra</v>
          </cell>
        </row>
        <row r="148">
          <cell r="D148" t="str">
            <v>AR40LE2040 - Caminos, Locac. y mov. de Tierra</v>
          </cell>
        </row>
        <row r="149">
          <cell r="D149" t="str">
            <v>AR10AE1040 - Caminos, Locac. y mov. de Tierra</v>
          </cell>
        </row>
        <row r="150">
          <cell r="D150" t="str">
            <v>AR10AE2040 - Caminos, Locac. y mov. de Tierra</v>
          </cell>
        </row>
        <row r="151">
          <cell r="D151" t="str">
            <v>AR10AE3040 - Caminos, Locac. y mov. de Tierra</v>
          </cell>
        </row>
        <row r="152">
          <cell r="D152" t="str">
            <v>AR10AE4040 - Caminos, Locac. y mov. de Tierra</v>
          </cell>
        </row>
        <row r="153">
          <cell r="D153" t="str">
            <v>AR10AE6040 - Caminos, Locac. y mov. de Tierra</v>
          </cell>
        </row>
        <row r="154">
          <cell r="D154" t="str">
            <v>AR10AE7040 - Caminos, Locac. y mov. de Tierra</v>
          </cell>
        </row>
        <row r="155">
          <cell r="D155" t="str">
            <v>AR10AE5040 - Caminos, Locac. y mov. de Tierra</v>
          </cell>
        </row>
        <row r="156">
          <cell r="D156" t="str">
            <v>AR10FEZ040 - Caminos, Locac. y mov. de Tierra</v>
          </cell>
        </row>
        <row r="157">
          <cell r="D157" t="str">
            <v>AR11CNZ040 - Caminos, Locac. y mov. de Tierra</v>
          </cell>
        </row>
        <row r="158">
          <cell r="D158" t="str">
            <v>AR40LA1040 - Caminos, Locac. y mov. de Tierra</v>
          </cell>
        </row>
        <row r="159">
          <cell r="D159" t="str">
            <v>AR40LA2040 - Caminos, Locac. y mov. de Tierra</v>
          </cell>
        </row>
        <row r="160">
          <cell r="D160" t="str">
            <v>AR41AC1040 - Caminos, Locac. y mov. de Tierra</v>
          </cell>
        </row>
        <row r="161">
          <cell r="D161" t="str">
            <v>AR41AC2040 - Caminos, Locac. y mov. de Tierra</v>
          </cell>
        </row>
        <row r="162">
          <cell r="D162" t="str">
            <v>AR41AC3040 - Caminos, Locac. y mov. de Tierra</v>
          </cell>
        </row>
        <row r="163">
          <cell r="D163" t="str">
            <v>AR41AC4040 - Caminos, Locac. y mov. de Tierra</v>
          </cell>
        </row>
        <row r="164">
          <cell r="D164" t="str">
            <v>AR41AC6040 - Caminos, Locac. y mov. de Tierra</v>
          </cell>
        </row>
        <row r="165">
          <cell r="D165" t="str">
            <v>AR41AC7040 - Caminos, Locac. y mov. de Tierra</v>
          </cell>
        </row>
        <row r="166">
          <cell r="D166" t="str">
            <v>AR41AC5040 - Caminos, Locac. y mov. de Tierra</v>
          </cell>
        </row>
        <row r="167">
          <cell r="D167" t="str">
            <v>AR42AFZ040 - Caminos, Locac. y mov. de Tierra</v>
          </cell>
        </row>
        <row r="168">
          <cell r="D168" t="str">
            <v>BO11CIZ040 - Caminos, Locac. y mov. de Tierra</v>
          </cell>
        </row>
        <row r="169">
          <cell r="D169" t="str">
            <v>BO11CNZ040 - Caminos, Locac. y mov. de Tierra</v>
          </cell>
        </row>
        <row r="170">
          <cell r="D170" t="str">
            <v>CL10CH1040 - Caminos, Locac. y mov. de Tierra</v>
          </cell>
        </row>
        <row r="171">
          <cell r="D171" t="str">
            <v>CL10CC1040 - Caminos, Locac. y mov. de Tierra</v>
          </cell>
        </row>
        <row r="172">
          <cell r="D172" t="str">
            <v>CL10CB1040 - Caminos, Locac. y mov. de Tierra</v>
          </cell>
        </row>
        <row r="173">
          <cell r="D173" t="str">
            <v>AR10BAZ740 - Chief Executive Officer(C.E.O)</v>
          </cell>
        </row>
        <row r="174">
          <cell r="D174" t="str">
            <v>AR10BAZ735 - Chief Financial Officer (C.F.O)</v>
          </cell>
        </row>
        <row r="175">
          <cell r="D175" t="str">
            <v>AR10CDZ520 - Comercial</v>
          </cell>
        </row>
        <row r="176">
          <cell r="D176" t="str">
            <v>AR10CK4520 - Comercial</v>
          </cell>
        </row>
        <row r="177">
          <cell r="D177" t="str">
            <v>AR10APZ525 - Controller</v>
          </cell>
        </row>
        <row r="178">
          <cell r="D178" t="str">
            <v>AR10SRZ525 - Controller</v>
          </cell>
        </row>
        <row r="179">
          <cell r="D179" t="str">
            <v>AR1040Z525 - Controller</v>
          </cell>
        </row>
        <row r="180">
          <cell r="D180" t="str">
            <v>AR1046Z525 - Controller</v>
          </cell>
        </row>
        <row r="181">
          <cell r="D181" t="str">
            <v>AR10BCZ525 - Controller</v>
          </cell>
        </row>
        <row r="182">
          <cell r="D182" t="str">
            <v>AR10CDZ525 - Controller</v>
          </cell>
        </row>
        <row r="183">
          <cell r="D183" t="str">
            <v>AR10CK4525 - Controller</v>
          </cell>
        </row>
        <row r="184">
          <cell r="D184" t="str">
            <v>AR10ANZ525 - Controller</v>
          </cell>
        </row>
        <row r="185">
          <cell r="D185" t="str">
            <v>AR10SNZ525 - Controller</v>
          </cell>
        </row>
        <row r="186">
          <cell r="D186" t="str">
            <v>AR104NZ525 - Controller</v>
          </cell>
        </row>
        <row r="187">
          <cell r="D187" t="str">
            <v>AR106NZ525 - Controller</v>
          </cell>
        </row>
        <row r="188">
          <cell r="D188" t="str">
            <v>AR10BNZ525 - Controller</v>
          </cell>
        </row>
        <row r="189">
          <cell r="D189" t="str">
            <v>AR40LE2525 - Controller</v>
          </cell>
        </row>
        <row r="190">
          <cell r="D190" t="str">
            <v>AR10AEZ525 - Controller</v>
          </cell>
        </row>
        <row r="191">
          <cell r="D191" t="str">
            <v>AR10FEZ525 - Controller</v>
          </cell>
        </row>
        <row r="192">
          <cell r="D192" t="str">
            <v>AR10CEZ525 - Controller</v>
          </cell>
        </row>
        <row r="193">
          <cell r="D193" t="str">
            <v>AR10SEZ525 - Controller</v>
          </cell>
        </row>
        <row r="194">
          <cell r="D194" t="str">
            <v>AR10BAZ525 - Controller</v>
          </cell>
        </row>
        <row r="195">
          <cell r="D195" t="str">
            <v>AR11CAZ525 - Controller</v>
          </cell>
        </row>
        <row r="196">
          <cell r="D196" t="str">
            <v>AR11CNZ525 - Controller</v>
          </cell>
        </row>
        <row r="197">
          <cell r="D197" t="str">
            <v>AR11SAZ525 - Controller</v>
          </cell>
        </row>
        <row r="198">
          <cell r="D198" t="str">
            <v>AR12FUZ525 - Controller</v>
          </cell>
        </row>
        <row r="199">
          <cell r="D199" t="str">
            <v>AR12FMZ525 - Controller</v>
          </cell>
        </row>
        <row r="200">
          <cell r="D200" t="str">
            <v>AR13BSZ525 - Controller</v>
          </cell>
        </row>
        <row r="201">
          <cell r="D201" t="str">
            <v>AR40LA2525 - Controller</v>
          </cell>
        </row>
        <row r="202">
          <cell r="D202" t="str">
            <v>AR41ACZ525 - Controller</v>
          </cell>
        </row>
        <row r="203">
          <cell r="D203" t="str">
            <v>AR42AFZ525 - Controller</v>
          </cell>
        </row>
        <row r="204">
          <cell r="D204" t="str">
            <v>AR43GCZ525 - Controller</v>
          </cell>
        </row>
        <row r="205">
          <cell r="D205" t="str">
            <v>AR44GSZ525 - Controller</v>
          </cell>
        </row>
        <row r="206">
          <cell r="D206" t="str">
            <v>BO10OGZ525 - Controller</v>
          </cell>
        </row>
        <row r="207">
          <cell r="D207" t="str">
            <v>BO11CIZ525 - Controller</v>
          </cell>
        </row>
        <row r="208">
          <cell r="D208" t="str">
            <v>BO11CNZ525 - Controller</v>
          </cell>
        </row>
        <row r="209">
          <cell r="D209" t="str">
            <v>CL10CH1525 - Controller</v>
          </cell>
        </row>
        <row r="210">
          <cell r="D210" t="str">
            <v>CL10CC1525 - Controller</v>
          </cell>
        </row>
        <row r="211">
          <cell r="D211" t="str">
            <v>CL10CB1525 - Controller</v>
          </cell>
        </row>
        <row r="212">
          <cell r="D212" t="str">
            <v>AR10CDZ880 - Costos improductivos</v>
          </cell>
        </row>
        <row r="213">
          <cell r="D213" t="str">
            <v>AR10CK4880 - Costos improductivos</v>
          </cell>
        </row>
        <row r="214">
          <cell r="D214" t="str">
            <v>AR10ANZ695 - Desarrollo de mercado</v>
          </cell>
        </row>
        <row r="215">
          <cell r="D215" t="str">
            <v>AR10SNZ695 - Desarrollo de mercado</v>
          </cell>
        </row>
        <row r="216">
          <cell r="D216" t="str">
            <v>AR104NZ695 - Desarrollo de mercado</v>
          </cell>
        </row>
        <row r="217">
          <cell r="D217" t="str">
            <v>AR106NZ695 - Desarrollo de mercado</v>
          </cell>
        </row>
        <row r="218">
          <cell r="D218" t="str">
            <v>AR10BNZ695 - Desarrollo de mercado</v>
          </cell>
        </row>
        <row r="219">
          <cell r="D219" t="str">
            <v>AR10BAZ700 - Desarrollo de mercado</v>
          </cell>
        </row>
        <row r="220">
          <cell r="D220" t="str">
            <v>AR11CNZ695 - Desarrollo de mercado</v>
          </cell>
        </row>
        <row r="221">
          <cell r="D221" t="str">
            <v>AR11SAZ695 - Desarrollo de mercado</v>
          </cell>
        </row>
        <row r="222">
          <cell r="D222" t="str">
            <v>AR10APZ530 - Desarrollo De Reservas</v>
          </cell>
        </row>
        <row r="223">
          <cell r="D223" t="str">
            <v>AR10SRZ530 - Desarrollo De Reservas</v>
          </cell>
        </row>
        <row r="224">
          <cell r="D224" t="str">
            <v>AR1040Z530 - Desarrollo De Reservas</v>
          </cell>
        </row>
        <row r="225">
          <cell r="D225" t="str">
            <v>AR1046Z530 - Desarrollo De Reservas</v>
          </cell>
        </row>
        <row r="226">
          <cell r="D226" t="str">
            <v>AR10BCZ530 - Desarrollo De Reservas</v>
          </cell>
        </row>
        <row r="227">
          <cell r="D227" t="str">
            <v>AR10CDZ530 - Desarrollo De Reservas</v>
          </cell>
        </row>
        <row r="228">
          <cell r="D228" t="str">
            <v>AR10CK4530 - Desarrollo De Reservas</v>
          </cell>
        </row>
        <row r="229">
          <cell r="D229" t="str">
            <v>AR10ANZ530 - Desarrollo De Reservas</v>
          </cell>
        </row>
        <row r="230">
          <cell r="D230" t="str">
            <v>AR10SNZ530 - Desarrollo De Reservas</v>
          </cell>
        </row>
        <row r="231">
          <cell r="D231" t="str">
            <v>AR104NZ530 - Desarrollo De Reservas</v>
          </cell>
        </row>
        <row r="232">
          <cell r="D232" t="str">
            <v>AR106NZ530 - Desarrollo De Reservas</v>
          </cell>
        </row>
        <row r="233">
          <cell r="D233" t="str">
            <v>AR10BNZ530 - Desarrollo De Reservas</v>
          </cell>
        </row>
        <row r="234">
          <cell r="D234" t="str">
            <v>AR40LE2530 - Desarrollo De Reservas</v>
          </cell>
        </row>
        <row r="235">
          <cell r="D235" t="str">
            <v>AR10AEZ530 - Desarrollo De Reservas</v>
          </cell>
        </row>
        <row r="236">
          <cell r="D236" t="str">
            <v>AR10FEZ530 - Desarrollo De Reservas</v>
          </cell>
        </row>
        <row r="237">
          <cell r="D237" t="str">
            <v>AR10CEZ530 - Desarrollo De Reservas</v>
          </cell>
        </row>
        <row r="238">
          <cell r="D238" t="str">
            <v>AR10SEZ530 - Desarrollo De Reservas</v>
          </cell>
        </row>
        <row r="239">
          <cell r="D239" t="str">
            <v>AR10BAZ530 - Desarrollo De Reservas</v>
          </cell>
        </row>
        <row r="240">
          <cell r="D240" t="str">
            <v>AR11CAZ530 - Desarrollo De Reservas</v>
          </cell>
        </row>
        <row r="241">
          <cell r="D241" t="str">
            <v>AR11CNZ530 - Desarrollo De Reservas</v>
          </cell>
        </row>
        <row r="242">
          <cell r="D242" t="str">
            <v>AR11SAZ530 - Desarrollo De Reservas</v>
          </cell>
        </row>
        <row r="243">
          <cell r="D243" t="str">
            <v>AR12FUZ530 - Desarrollo De Reservas</v>
          </cell>
        </row>
        <row r="244">
          <cell r="D244" t="str">
            <v>AR12FMZ530 - Desarrollo De Reservas</v>
          </cell>
        </row>
        <row r="245">
          <cell r="D245" t="str">
            <v>AR13BSZ530 - Desarrollo De Reservas</v>
          </cell>
        </row>
        <row r="246">
          <cell r="D246" t="str">
            <v>AR40LA2530 - Desarrollo De Reservas</v>
          </cell>
        </row>
        <row r="247">
          <cell r="D247" t="str">
            <v>AR41ACZ530 - Desarrollo De Reservas</v>
          </cell>
        </row>
        <row r="248">
          <cell r="D248" t="str">
            <v>AR42AFZ530 - Desarrollo De Reservas</v>
          </cell>
        </row>
        <row r="249">
          <cell r="D249" t="str">
            <v>AR43GCZ530 - Desarrollo De Reservas</v>
          </cell>
        </row>
        <row r="250">
          <cell r="D250" t="str">
            <v>AR44GSZ530 - Desarrollo De Reservas</v>
          </cell>
        </row>
        <row r="251">
          <cell r="D251" t="str">
            <v>BO10OGZ530 - Desarrollo De Reservas</v>
          </cell>
        </row>
        <row r="252">
          <cell r="D252" t="str">
            <v>BO11CIZ530 - Desarrollo De Reservas</v>
          </cell>
        </row>
        <row r="253">
          <cell r="D253" t="str">
            <v>BO11CNZ530 - Desarrollo De Reservas</v>
          </cell>
        </row>
        <row r="254">
          <cell r="D254" t="str">
            <v>CL10CH1530 - Desarrollo De Reservas</v>
          </cell>
        </row>
        <row r="255">
          <cell r="D255" t="str">
            <v>CL10CC1530 - Desarrollo De Reservas</v>
          </cell>
        </row>
        <row r="256">
          <cell r="D256" t="str">
            <v>CL10CB1530 - Desarrollo De Reservas</v>
          </cell>
        </row>
        <row r="257">
          <cell r="D257" t="str">
            <v>AR10CDZ535 - Energía</v>
          </cell>
        </row>
        <row r="258">
          <cell r="D258" t="str">
            <v>AR10CK4535 - Energía</v>
          </cell>
        </row>
        <row r="259">
          <cell r="D259" t="str">
            <v>AR10CD1001 - Eq. Mult. 1</v>
          </cell>
        </row>
        <row r="260">
          <cell r="D260" t="str">
            <v>AR10CD2001 - Eq. Mult. 1</v>
          </cell>
        </row>
        <row r="261">
          <cell r="D261" t="str">
            <v>AR10CD3001 - Eq. Mult. 1</v>
          </cell>
        </row>
        <row r="262">
          <cell r="D262" t="str">
            <v>AR10CD5001 - Eq. Mult. 1</v>
          </cell>
        </row>
        <row r="263">
          <cell r="D263" t="str">
            <v>AR10CD7001 - Eq. Mult. 1</v>
          </cell>
        </row>
        <row r="264">
          <cell r="D264" t="str">
            <v>AR10CD8001 - Eq. Mult. 1</v>
          </cell>
        </row>
        <row r="265">
          <cell r="D265" t="str">
            <v>AR10CD9001 - Eq. Mult. 1</v>
          </cell>
        </row>
        <row r="266">
          <cell r="D266" t="str">
            <v>AR10CDE001 - Eq. Mult. 1</v>
          </cell>
        </row>
        <row r="267">
          <cell r="D267" t="str">
            <v>AR10CDP001 - Eq. Mult. 1</v>
          </cell>
        </row>
        <row r="268">
          <cell r="D268" t="str">
            <v>AR10CK4001 - Eq. Mult. 1</v>
          </cell>
        </row>
        <row r="269">
          <cell r="D269" t="str">
            <v>AR10CD1002 - Eq. Mult. 2</v>
          </cell>
        </row>
        <row r="270">
          <cell r="D270" t="str">
            <v>AR10CD2002 - Eq. Mult. 2</v>
          </cell>
        </row>
        <row r="271">
          <cell r="D271" t="str">
            <v>AR10CD3002 - Eq. Mult. 2</v>
          </cell>
        </row>
        <row r="272">
          <cell r="D272" t="str">
            <v>AR10CD5002 - Eq. Mult. 2</v>
          </cell>
        </row>
        <row r="273">
          <cell r="D273" t="str">
            <v>AR10CD7002 - Eq. Mult. 2</v>
          </cell>
        </row>
        <row r="274">
          <cell r="D274" t="str">
            <v>AR10CD8002 - Eq. Mult. 2</v>
          </cell>
        </row>
        <row r="275">
          <cell r="D275" t="str">
            <v>AR10CD9002 - Eq. Mult. 2</v>
          </cell>
        </row>
        <row r="276">
          <cell r="D276" t="str">
            <v>AR10CDE002 - Eq. Mult. 2</v>
          </cell>
        </row>
        <row r="277">
          <cell r="D277" t="str">
            <v>AR10CDP002 - Eq. Mult. 2</v>
          </cell>
        </row>
        <row r="278">
          <cell r="D278" t="str">
            <v>AR10CK4002 - Eq. Mult. 2</v>
          </cell>
        </row>
        <row r="279">
          <cell r="D279" t="str">
            <v>AR10CD1003 - Eq. Mult. 3</v>
          </cell>
        </row>
        <row r="280">
          <cell r="D280" t="str">
            <v>AR10CD2003 - Eq. Mult. 3</v>
          </cell>
        </row>
        <row r="281">
          <cell r="D281" t="str">
            <v>AR10CD3003 - Eq. Mult. 3</v>
          </cell>
        </row>
        <row r="282">
          <cell r="D282" t="str">
            <v>AR10CD5003 - Eq. Mult. 3</v>
          </cell>
        </row>
        <row r="283">
          <cell r="D283" t="str">
            <v>AR10CD7003 - Eq. Mult. 3</v>
          </cell>
        </row>
        <row r="284">
          <cell r="D284" t="str">
            <v>AR10CD8003 - Eq. Mult. 3</v>
          </cell>
        </row>
        <row r="285">
          <cell r="D285" t="str">
            <v>AR10CD9003 - Eq. Mult. 3</v>
          </cell>
        </row>
        <row r="286">
          <cell r="D286" t="str">
            <v>AR10CK4003 - Eq. Mult. 3</v>
          </cell>
        </row>
        <row r="287">
          <cell r="D287" t="str">
            <v>AR10CD1008 - Eq. Mult. 8</v>
          </cell>
        </row>
        <row r="288">
          <cell r="D288" t="str">
            <v>AR10CD2008 - Eq. Mult. 8</v>
          </cell>
        </row>
        <row r="289">
          <cell r="D289" t="str">
            <v>AR10CD3008 - Eq. Mult. 8</v>
          </cell>
        </row>
        <row r="290">
          <cell r="D290" t="str">
            <v>AR10CD5008 - Eq. Mult. 8</v>
          </cell>
        </row>
        <row r="291">
          <cell r="D291" t="str">
            <v>AR10CD7008 - Eq. Mult. 8</v>
          </cell>
        </row>
        <row r="292">
          <cell r="D292" t="str">
            <v>AR10CD8008 - Eq. Mult. 8</v>
          </cell>
        </row>
        <row r="293">
          <cell r="D293" t="str">
            <v>AR10CD9008 - Eq. Mult. 8</v>
          </cell>
        </row>
        <row r="294">
          <cell r="D294" t="str">
            <v>AR10CK4008 - Eq. Mult. 8</v>
          </cell>
        </row>
        <row r="295">
          <cell r="D295" t="str">
            <v>AR10CD1130 - ESP</v>
          </cell>
        </row>
        <row r="296">
          <cell r="D296" t="str">
            <v>AR10CD2130 - ESP</v>
          </cell>
        </row>
        <row r="297">
          <cell r="D297" t="str">
            <v>AR10CD3130 - ESP</v>
          </cell>
        </row>
        <row r="298">
          <cell r="D298" t="str">
            <v>AR10CD5130 - ESP</v>
          </cell>
        </row>
        <row r="299">
          <cell r="D299" t="str">
            <v>AR10CD7130 - ESP</v>
          </cell>
        </row>
        <row r="300">
          <cell r="D300" t="str">
            <v>AR10CD8130 - ESP</v>
          </cell>
        </row>
        <row r="301">
          <cell r="D301" t="str">
            <v>AR10CD9130 - ESP</v>
          </cell>
        </row>
        <row r="302">
          <cell r="D302" t="str">
            <v>AR10CK4130 - ESP</v>
          </cell>
        </row>
        <row r="303">
          <cell r="D303" t="str">
            <v>AR10ANZ130 - ESP</v>
          </cell>
        </row>
        <row r="304">
          <cell r="D304" t="str">
            <v>AR10SNZ130 - ESP</v>
          </cell>
        </row>
        <row r="305">
          <cell r="D305" t="str">
            <v>AR104NZ130 - ESP</v>
          </cell>
        </row>
        <row r="306">
          <cell r="D306" t="str">
            <v>AR106NZ130 - ESP</v>
          </cell>
        </row>
        <row r="307">
          <cell r="D307" t="str">
            <v>AR10BNZ130 - ESP</v>
          </cell>
        </row>
        <row r="308">
          <cell r="D308" t="str">
            <v>AR40LE1130 - ESP</v>
          </cell>
        </row>
        <row r="309">
          <cell r="D309" t="str">
            <v>AR40LE2130 - ESP</v>
          </cell>
        </row>
        <row r="310">
          <cell r="D310" t="str">
            <v>AR10AE1130 - ESP</v>
          </cell>
        </row>
        <row r="311">
          <cell r="D311" t="str">
            <v>AR10AE2130 - ESP</v>
          </cell>
        </row>
        <row r="312">
          <cell r="D312" t="str">
            <v>AR10AE3130 - ESP</v>
          </cell>
        </row>
        <row r="313">
          <cell r="D313" t="str">
            <v>AR10AE4130 - ESP</v>
          </cell>
        </row>
        <row r="314">
          <cell r="D314" t="str">
            <v>AR10AE5130 - ESP</v>
          </cell>
        </row>
        <row r="315">
          <cell r="D315" t="str">
            <v>AR10FEZ130 - ESP</v>
          </cell>
        </row>
        <row r="316">
          <cell r="D316" t="str">
            <v>AR11CNZ130 - ESP</v>
          </cell>
        </row>
        <row r="317">
          <cell r="D317" t="str">
            <v>AR40LA1130 - ESP</v>
          </cell>
        </row>
        <row r="318">
          <cell r="D318" t="str">
            <v>AR40LA2130 - ESP</v>
          </cell>
        </row>
        <row r="319">
          <cell r="D319" t="str">
            <v>AR41AC1130 - ESP</v>
          </cell>
        </row>
        <row r="320">
          <cell r="D320" t="str">
            <v>AR41AC2130 - ESP</v>
          </cell>
        </row>
        <row r="321">
          <cell r="D321" t="str">
            <v>AR41AC3130 - ESP</v>
          </cell>
        </row>
        <row r="322">
          <cell r="D322" t="str">
            <v>AR41AC4130 - ESP</v>
          </cell>
        </row>
        <row r="323">
          <cell r="D323" t="str">
            <v>AR41AC5130 - ESP</v>
          </cell>
        </row>
        <row r="324">
          <cell r="D324" t="str">
            <v>AR42AFZ130 - ESP</v>
          </cell>
        </row>
        <row r="325">
          <cell r="D325" t="str">
            <v>BO11CIZ130 - ESP</v>
          </cell>
        </row>
        <row r="326">
          <cell r="D326" t="str">
            <v>BO11CNZ130 - ESP</v>
          </cell>
        </row>
        <row r="327">
          <cell r="D327" t="str">
            <v>CL10CH1130 - ESP</v>
          </cell>
        </row>
        <row r="328">
          <cell r="D328" t="str">
            <v>CL10CC1130 - ESP</v>
          </cell>
        </row>
        <row r="329">
          <cell r="D329" t="str">
            <v>CL10CB1130 - ESP</v>
          </cell>
        </row>
        <row r="330">
          <cell r="D330" t="str">
            <v>AR10CDZ540 - Excelencia Operativa</v>
          </cell>
        </row>
        <row r="331">
          <cell r="D331" t="str">
            <v>AR10CK4540 - Excelencia Operativa</v>
          </cell>
        </row>
        <row r="332">
          <cell r="D332" t="str">
            <v>AR10APZ675 - Exploración</v>
          </cell>
        </row>
        <row r="333">
          <cell r="D333" t="str">
            <v>AR10SRZ675 - Exploración</v>
          </cell>
        </row>
        <row r="334">
          <cell r="D334" t="str">
            <v>AR1040Z675 - Exploración</v>
          </cell>
        </row>
        <row r="335">
          <cell r="D335" t="str">
            <v>AR1046Z675 - Exploración</v>
          </cell>
        </row>
        <row r="336">
          <cell r="D336" t="str">
            <v>AR10BCZ675 - Exploración</v>
          </cell>
        </row>
        <row r="337">
          <cell r="D337" t="str">
            <v>AR10ANZ670 - Exploración</v>
          </cell>
        </row>
        <row r="338">
          <cell r="D338" t="str">
            <v>AR10SNZ670 - Exploración</v>
          </cell>
        </row>
        <row r="339">
          <cell r="D339" t="str">
            <v>AR104NZ670 - Exploración</v>
          </cell>
        </row>
        <row r="340">
          <cell r="D340" t="str">
            <v>AR106NZ670 - Exploración</v>
          </cell>
        </row>
        <row r="341">
          <cell r="D341" t="str">
            <v>AR10BNZ670 - Exploración</v>
          </cell>
        </row>
        <row r="342">
          <cell r="D342" t="str">
            <v>AR40LE2675 - Exploración</v>
          </cell>
        </row>
        <row r="343">
          <cell r="D343" t="str">
            <v>AR10AEZ675 - Exploración</v>
          </cell>
        </row>
        <row r="344">
          <cell r="D344" t="str">
            <v>AR10FEZ675 - Exploración</v>
          </cell>
        </row>
        <row r="345">
          <cell r="D345" t="str">
            <v>AR10CEZ675 - Exploración</v>
          </cell>
        </row>
        <row r="346">
          <cell r="D346" t="str">
            <v>AR10SEZ675 - Exploración</v>
          </cell>
        </row>
        <row r="347">
          <cell r="D347" t="str">
            <v>AR10BAZ675 - Exploración</v>
          </cell>
        </row>
        <row r="348">
          <cell r="D348" t="str">
            <v>AR11CAZ675 - Exploración</v>
          </cell>
        </row>
        <row r="349">
          <cell r="D349" t="str">
            <v>AR11CNZ670 - Exploración</v>
          </cell>
        </row>
        <row r="350">
          <cell r="D350" t="str">
            <v>AR11SAZ670 - Exploración</v>
          </cell>
        </row>
        <row r="351">
          <cell r="D351" t="str">
            <v>AR12FUZ675 - Exploración</v>
          </cell>
        </row>
        <row r="352">
          <cell r="D352" t="str">
            <v>AR12FMZ675 - Exploración</v>
          </cell>
        </row>
        <row r="353">
          <cell r="D353" t="str">
            <v>AR13BSZ675 - Exploración</v>
          </cell>
        </row>
        <row r="354">
          <cell r="D354" t="str">
            <v>AR40LA2675 - Exploración</v>
          </cell>
        </row>
        <row r="355">
          <cell r="D355" t="str">
            <v>AR41ACZ675 - Exploración</v>
          </cell>
        </row>
        <row r="356">
          <cell r="D356" t="str">
            <v>AR42AFZ675 - Exploración</v>
          </cell>
        </row>
        <row r="357">
          <cell r="D357" t="str">
            <v>AR43GCZ675 - Exploración</v>
          </cell>
        </row>
        <row r="358">
          <cell r="D358" t="str">
            <v>AR44GSZ675 - Exploración</v>
          </cell>
        </row>
        <row r="359">
          <cell r="D359" t="str">
            <v>BO10OGZ675 - Exploración</v>
          </cell>
        </row>
        <row r="360">
          <cell r="D360" t="str">
            <v>BO11CIZ675 - Exploración</v>
          </cell>
        </row>
        <row r="361">
          <cell r="D361" t="str">
            <v>BO11CNZ675 - Exploración</v>
          </cell>
        </row>
        <row r="362">
          <cell r="D362" t="str">
            <v>CL10CH1675 - Exploración</v>
          </cell>
        </row>
        <row r="363">
          <cell r="D363" t="str">
            <v>CL10CC1675 - Exploración</v>
          </cell>
        </row>
        <row r="364">
          <cell r="D364" t="str">
            <v>CL10CB1675 - Exploración</v>
          </cell>
        </row>
        <row r="365">
          <cell r="D365" t="str">
            <v>AR10ANZ715 - Finanzas Corporativas de Capital</v>
          </cell>
        </row>
        <row r="366">
          <cell r="D366" t="str">
            <v>AR10SNZ715 - Finanzas Corporativas de Capital</v>
          </cell>
        </row>
        <row r="367">
          <cell r="D367" t="str">
            <v>AR104NZ715 - Finanzas Corporativas de Capital</v>
          </cell>
        </row>
        <row r="368">
          <cell r="D368" t="str">
            <v>AR106NZ715 - Finanzas Corporativas de Capital</v>
          </cell>
        </row>
        <row r="369">
          <cell r="D369" t="str">
            <v>AR10BNZ715 - Finanzas Corporativas de Capital</v>
          </cell>
        </row>
        <row r="370">
          <cell r="D370" t="str">
            <v>AR10BAZ720 - Finanzas Corporativas de Capital</v>
          </cell>
        </row>
        <row r="371">
          <cell r="D371" t="str">
            <v>AR11CNZ715 - Finanzas Corporativas de Capital</v>
          </cell>
        </row>
        <row r="372">
          <cell r="D372" t="str">
            <v>AR11SAZ715 - Finanzas Corporativas de Capital</v>
          </cell>
        </row>
        <row r="373">
          <cell r="D373" t="str">
            <v>AR10APZ545 - Finanzas Y Planeamiento</v>
          </cell>
        </row>
        <row r="374">
          <cell r="D374" t="str">
            <v>AR10SRZ545 - Finanzas Y Planeamiento</v>
          </cell>
        </row>
        <row r="375">
          <cell r="D375" t="str">
            <v>AR1040Z545 - Finanzas Y Planeamiento</v>
          </cell>
        </row>
        <row r="376">
          <cell r="D376" t="str">
            <v>AR1046Z545 - Finanzas Y Planeamiento</v>
          </cell>
        </row>
        <row r="377">
          <cell r="D377" t="str">
            <v>AR10BCZ545 - Finanzas Y Planeamiento</v>
          </cell>
        </row>
        <row r="378">
          <cell r="D378" t="str">
            <v>AR10CDZ545 - Finanzas Y Planeamiento</v>
          </cell>
        </row>
        <row r="379">
          <cell r="D379" t="str">
            <v>AR10CK4545 - Finanzas Y Planeamiento</v>
          </cell>
        </row>
        <row r="380">
          <cell r="D380" t="str">
            <v>AR10ANZ545 - Finanzas Y Planeamiento</v>
          </cell>
        </row>
        <row r="381">
          <cell r="D381" t="str">
            <v>AR10SNZ545 - Finanzas Y Planeamiento</v>
          </cell>
        </row>
        <row r="382">
          <cell r="D382" t="str">
            <v>AR104NZ545 - Finanzas Y Planeamiento</v>
          </cell>
        </row>
        <row r="383">
          <cell r="D383" t="str">
            <v>AR106NZ545 - Finanzas Y Planeamiento</v>
          </cell>
        </row>
        <row r="384">
          <cell r="D384" t="str">
            <v>AR10BNZ545 - Finanzas Y Planeamiento</v>
          </cell>
        </row>
        <row r="385">
          <cell r="D385" t="str">
            <v>AR40LE2545 - Finanzas Y Planeamiento</v>
          </cell>
        </row>
        <row r="386">
          <cell r="D386" t="str">
            <v>AR10FEZ545 - Finanzas Y Planeamiento</v>
          </cell>
        </row>
        <row r="387">
          <cell r="D387" t="str">
            <v>AR10CEZ545 - Finanzas Y Planeamiento</v>
          </cell>
        </row>
        <row r="388">
          <cell r="D388" t="str">
            <v>AR10SEZ545 - Finanzas Y Planeamiento</v>
          </cell>
        </row>
        <row r="389">
          <cell r="D389" t="str">
            <v>AR10BAZ545 - Finanzas Y Planeamiento</v>
          </cell>
        </row>
        <row r="390">
          <cell r="D390" t="str">
            <v>AR11CAZ545 - Finanzas Y Planeamiento</v>
          </cell>
        </row>
        <row r="391">
          <cell r="D391" t="str">
            <v>AR11CNZ545 - Finanzas Y Planeamiento</v>
          </cell>
        </row>
        <row r="392">
          <cell r="D392" t="str">
            <v>AR11SAZ545 - Finanzas Y Planeamiento</v>
          </cell>
        </row>
        <row r="393">
          <cell r="D393" t="str">
            <v>AR12FUZ545 - Finanzas Y Planeamiento</v>
          </cell>
        </row>
        <row r="394">
          <cell r="D394" t="str">
            <v>AR12FMZ545 - Finanzas Y Planeamiento</v>
          </cell>
        </row>
        <row r="395">
          <cell r="D395" t="str">
            <v>AR13BSZ545 - Finanzas Y Planeamiento</v>
          </cell>
        </row>
        <row r="396">
          <cell r="D396" t="str">
            <v>AR40LA2545 - Finanzas Y Planeamiento</v>
          </cell>
        </row>
        <row r="397">
          <cell r="D397" t="str">
            <v>AR42AFZ545 - Finanzas Y Planeamiento</v>
          </cell>
        </row>
        <row r="398">
          <cell r="D398" t="str">
            <v>AR43GCZ545 - Finanzas Y Planeamiento</v>
          </cell>
        </row>
        <row r="399">
          <cell r="D399" t="str">
            <v>AR44GSZ545 - Finanzas Y Planeamiento</v>
          </cell>
        </row>
        <row r="400">
          <cell r="D400" t="str">
            <v>BO10OGZ545 - Finanzas Y Planeamiento</v>
          </cell>
        </row>
        <row r="401">
          <cell r="D401" t="str">
            <v>BO11CIZ545 - Finanzas Y Planeamiento</v>
          </cell>
        </row>
        <row r="402">
          <cell r="D402" t="str">
            <v>BO11CNZ545 - Finanzas Y Planeamiento</v>
          </cell>
        </row>
        <row r="403">
          <cell r="D403" t="str">
            <v>CL10CH1545 - Finanzas Y Planeamiento</v>
          </cell>
        </row>
        <row r="404">
          <cell r="D404" t="str">
            <v>CL10CC1545 - Finanzas Y Planeamiento</v>
          </cell>
        </row>
        <row r="405">
          <cell r="D405" t="str">
            <v>CL10CB1545 - Finanzas Y Planeamiento</v>
          </cell>
        </row>
        <row r="406">
          <cell r="D406" t="str">
            <v>AR10APZ860 - Gas</v>
          </cell>
        </row>
        <row r="407">
          <cell r="D407" t="str">
            <v>AR10SRZ860 - Gas</v>
          </cell>
        </row>
        <row r="408">
          <cell r="D408" t="str">
            <v>AR11CAZ860 - Gas</v>
          </cell>
        </row>
        <row r="409">
          <cell r="D409" t="str">
            <v>AR10CD1160 - Gas lift</v>
          </cell>
        </row>
        <row r="410">
          <cell r="D410" t="str">
            <v>AR10CD2160 - Gas lift</v>
          </cell>
        </row>
        <row r="411">
          <cell r="D411" t="str">
            <v>AR10CD3160 - Gas lift</v>
          </cell>
        </row>
        <row r="412">
          <cell r="D412" t="str">
            <v>AR10CD5160 - Gas lift</v>
          </cell>
        </row>
        <row r="413">
          <cell r="D413" t="str">
            <v>AR10CD7160 - Gas lift</v>
          </cell>
        </row>
        <row r="414">
          <cell r="D414" t="str">
            <v>AR10CD8160 - Gas lift</v>
          </cell>
        </row>
        <row r="415">
          <cell r="D415" t="str">
            <v>AR10CD9160 - Gas lift</v>
          </cell>
        </row>
        <row r="416">
          <cell r="D416" t="str">
            <v>AR10CK4160 - Gas lift</v>
          </cell>
        </row>
        <row r="417">
          <cell r="D417" t="str">
            <v>AR10ANZ160 - Gas lift</v>
          </cell>
        </row>
        <row r="418">
          <cell r="D418" t="str">
            <v>AR10SNZ160 - Gas lift</v>
          </cell>
        </row>
        <row r="419">
          <cell r="D419" t="str">
            <v>AR104NZ160 - Gas lift</v>
          </cell>
        </row>
        <row r="420">
          <cell r="D420" t="str">
            <v>AR106NZ160 - Gas lift</v>
          </cell>
        </row>
        <row r="421">
          <cell r="D421" t="str">
            <v>AR10BNZ160 - Gas lift</v>
          </cell>
        </row>
        <row r="422">
          <cell r="D422" t="str">
            <v>AR40LE1160 - Gas lift</v>
          </cell>
        </row>
        <row r="423">
          <cell r="D423" t="str">
            <v>AR40LE2160 - Gas lift</v>
          </cell>
        </row>
        <row r="424">
          <cell r="D424" t="str">
            <v>AR10AE1160 - Gas lift</v>
          </cell>
        </row>
        <row r="425">
          <cell r="D425" t="str">
            <v>AR10AE2160 - Gas lift</v>
          </cell>
        </row>
        <row r="426">
          <cell r="D426" t="str">
            <v>AR10AE3160 - Gas lift</v>
          </cell>
        </row>
        <row r="427">
          <cell r="D427" t="str">
            <v>AR10AE4160 - Gas lift</v>
          </cell>
        </row>
        <row r="428">
          <cell r="D428" t="str">
            <v>AR10AE5160 - Gas lift</v>
          </cell>
        </row>
        <row r="429">
          <cell r="D429" t="str">
            <v>AR10FEZ160 - Gas lift</v>
          </cell>
        </row>
        <row r="430">
          <cell r="D430" t="str">
            <v>AR11CNZ160 - Gas lift</v>
          </cell>
        </row>
        <row r="431">
          <cell r="D431" t="str">
            <v>AR40LA1160 - Gas lift</v>
          </cell>
        </row>
        <row r="432">
          <cell r="D432" t="str">
            <v>AR40LA2160 - Gas lift</v>
          </cell>
        </row>
        <row r="433">
          <cell r="D433" t="str">
            <v>AR41AC1160 - Gas lift</v>
          </cell>
        </row>
        <row r="434">
          <cell r="D434" t="str">
            <v>AR41AC2160 - Gas lift</v>
          </cell>
        </row>
        <row r="435">
          <cell r="D435" t="str">
            <v>AR41AC3160 - Gas lift</v>
          </cell>
        </row>
        <row r="436">
          <cell r="D436" t="str">
            <v>AR41AC4160 - Gas lift</v>
          </cell>
        </row>
        <row r="437">
          <cell r="D437" t="str">
            <v>AR41AC5160 - Gas lift</v>
          </cell>
        </row>
        <row r="438">
          <cell r="D438" t="str">
            <v>AR42AFZ160 - Gas lift</v>
          </cell>
        </row>
        <row r="439">
          <cell r="D439" t="str">
            <v>BO11CIZ160 - Gas lift</v>
          </cell>
        </row>
        <row r="440">
          <cell r="D440" t="str">
            <v>BO11CNZ160 - Gas lift</v>
          </cell>
        </row>
        <row r="441">
          <cell r="D441" t="str">
            <v>CL10CH1160 - Gas lift</v>
          </cell>
        </row>
        <row r="442">
          <cell r="D442" t="str">
            <v>CL10CC1160 - Gas lift</v>
          </cell>
        </row>
        <row r="443">
          <cell r="D443" t="str">
            <v>CL10CB1160 - Gas lift</v>
          </cell>
        </row>
        <row r="444">
          <cell r="D444" t="str">
            <v>AR10LAZ860 - Gas Transportation</v>
          </cell>
        </row>
        <row r="445">
          <cell r="D445" t="str">
            <v>AR10ACZ860 - Gas Transportation</v>
          </cell>
        </row>
        <row r="446">
          <cell r="D446" t="str">
            <v>AR10GCZ860 - Gas Transportation</v>
          </cell>
        </row>
        <row r="447">
          <cell r="D447" t="str">
            <v>AR10GSZ860 - Gas Transportation</v>
          </cell>
        </row>
        <row r="448">
          <cell r="D448" t="str">
            <v>AR10CD1860 - Gas Transportation</v>
          </cell>
        </row>
        <row r="449">
          <cell r="D449" t="str">
            <v>AR10CD2860 - Gas Transportation</v>
          </cell>
        </row>
        <row r="450">
          <cell r="D450" t="str">
            <v>AR10CD3860 - Gas Transportation</v>
          </cell>
        </row>
        <row r="451">
          <cell r="D451" t="str">
            <v>AR10CD5860 - Gas Transportation</v>
          </cell>
        </row>
        <row r="452">
          <cell r="D452" t="str">
            <v>AR10CD7860 - Gas Transportation</v>
          </cell>
        </row>
        <row r="453">
          <cell r="D453" t="str">
            <v>AR10CD8860 - Gas Transportation</v>
          </cell>
        </row>
        <row r="454">
          <cell r="D454" t="str">
            <v>AR10CD9860 - Gas Transportation</v>
          </cell>
        </row>
        <row r="455">
          <cell r="D455" t="str">
            <v>AR10CDZ860 - Gas Transportation</v>
          </cell>
        </row>
        <row r="456">
          <cell r="D456" t="str">
            <v>AR10CK4860 - Gas Transportation</v>
          </cell>
        </row>
        <row r="457">
          <cell r="D457" t="str">
            <v>AR10ANZ860 - Gas Transportation</v>
          </cell>
        </row>
        <row r="458">
          <cell r="D458" t="str">
            <v>AR10SNZ860 - Gas Transportation</v>
          </cell>
        </row>
        <row r="459">
          <cell r="D459" t="str">
            <v>AR40LE2860 - Gas Transportation</v>
          </cell>
        </row>
        <row r="460">
          <cell r="D460" t="str">
            <v>AR10AEZ860 - Gas Transportation</v>
          </cell>
        </row>
        <row r="461">
          <cell r="D461" t="str">
            <v>AR11CNZ860 - Gas Transportation</v>
          </cell>
        </row>
        <row r="462">
          <cell r="D462" t="str">
            <v>AR11SAZ860 - Gas Transportation</v>
          </cell>
        </row>
        <row r="463">
          <cell r="D463" t="str">
            <v>AR12FUZ860 - Gas Transportation</v>
          </cell>
        </row>
        <row r="464">
          <cell r="D464" t="str">
            <v>AR12FMZ860 - Gas Transportation</v>
          </cell>
        </row>
        <row r="465">
          <cell r="D465" t="str">
            <v>AR40LA2860 - Gas Transportation</v>
          </cell>
        </row>
        <row r="466">
          <cell r="D466" t="str">
            <v>AR41ACZ860 - Gas Transportation</v>
          </cell>
        </row>
        <row r="467">
          <cell r="D467" t="str">
            <v>CL10CH1860 - Gas Transportation</v>
          </cell>
        </row>
        <row r="468">
          <cell r="D468" t="str">
            <v>CL10CC1860 - Gas Transportation</v>
          </cell>
        </row>
        <row r="469">
          <cell r="D469" t="str">
            <v>CL10CB1860 - Gas Transportation</v>
          </cell>
        </row>
        <row r="470">
          <cell r="D470" t="str">
            <v>AR10BAZ725 - Gcia de aseg. del desarrollo</v>
          </cell>
        </row>
        <row r="471">
          <cell r="D471" t="str">
            <v>AR10CD1910 - Geofísica</v>
          </cell>
        </row>
        <row r="472">
          <cell r="D472" t="str">
            <v>AR10CD2910 - Geofísica</v>
          </cell>
        </row>
        <row r="473">
          <cell r="D473" t="str">
            <v>AR10CD3910 - Geofísica</v>
          </cell>
        </row>
        <row r="474">
          <cell r="D474" t="str">
            <v>AR10CD5910 - Geofísica</v>
          </cell>
        </row>
        <row r="475">
          <cell r="D475" t="str">
            <v>AR10CD7910 - Geofísica</v>
          </cell>
        </row>
        <row r="476">
          <cell r="D476" t="str">
            <v>AR10CD8910 - Geofísica</v>
          </cell>
        </row>
        <row r="477">
          <cell r="D477" t="str">
            <v>AR10CD9910 - Geofísica</v>
          </cell>
        </row>
        <row r="478">
          <cell r="D478" t="str">
            <v>AR10CDZ910 - Geofísica</v>
          </cell>
        </row>
        <row r="479">
          <cell r="D479" t="str">
            <v>AR10CK4910 - Geofísica</v>
          </cell>
        </row>
        <row r="480">
          <cell r="D480" t="str">
            <v>AR10PIZ910 - Geofísica</v>
          </cell>
        </row>
        <row r="481">
          <cell r="D481" t="str">
            <v>AR10PMZ910 - Geofísica</v>
          </cell>
        </row>
        <row r="482">
          <cell r="D482" t="str">
            <v>AR10ANZ910 - Geofísica</v>
          </cell>
        </row>
        <row r="483">
          <cell r="D483" t="str">
            <v>AR10SNZ910 - Geofísica</v>
          </cell>
        </row>
        <row r="484">
          <cell r="D484" t="str">
            <v>AR104NZ910 - Geofísica</v>
          </cell>
        </row>
        <row r="485">
          <cell r="D485" t="str">
            <v>AR106NZ910 - Geofísica</v>
          </cell>
        </row>
        <row r="486">
          <cell r="D486" t="str">
            <v>AR10BNZ910 - Geofísica</v>
          </cell>
        </row>
        <row r="487">
          <cell r="D487" t="str">
            <v>AR40LE1910 - Geofísica</v>
          </cell>
        </row>
        <row r="488">
          <cell r="D488" t="str">
            <v>AR40LE2910 - Geofísica</v>
          </cell>
        </row>
        <row r="489">
          <cell r="D489" t="str">
            <v>AR40LE2910 - Geofísica</v>
          </cell>
        </row>
        <row r="490">
          <cell r="D490" t="str">
            <v>AR10AE1910 - Geofísica</v>
          </cell>
        </row>
        <row r="491">
          <cell r="D491" t="str">
            <v>AR10AE2910 - Geofísica</v>
          </cell>
        </row>
        <row r="492">
          <cell r="D492" t="str">
            <v>AR10AE3910 - Geofísica</v>
          </cell>
        </row>
        <row r="493">
          <cell r="D493" t="str">
            <v>AR10AE4910 - Geofísica</v>
          </cell>
        </row>
        <row r="494">
          <cell r="D494" t="str">
            <v>AR10AE5910 - Geofísica</v>
          </cell>
        </row>
        <row r="495">
          <cell r="D495" t="str">
            <v>AR10AEZ910 - Geofísica</v>
          </cell>
        </row>
        <row r="496">
          <cell r="D496" t="str">
            <v>AR10CEZ910 - Geofísica</v>
          </cell>
        </row>
        <row r="497">
          <cell r="D497" t="str">
            <v>AR10SEZ910 - Geofísica</v>
          </cell>
        </row>
        <row r="498">
          <cell r="D498" t="str">
            <v>AR11CNZ910 - Geofísica</v>
          </cell>
        </row>
        <row r="499">
          <cell r="D499" t="str">
            <v>AR13BSZ910 - Geofísica</v>
          </cell>
        </row>
        <row r="500">
          <cell r="D500" t="str">
            <v>AR40LA1910 - Geofísica</v>
          </cell>
        </row>
        <row r="501">
          <cell r="D501" t="str">
            <v>AR40LA2910 - Geofísica</v>
          </cell>
        </row>
        <row r="502">
          <cell r="D502" t="str">
            <v>AR40LA2910 - Geofísica</v>
          </cell>
        </row>
        <row r="503">
          <cell r="D503" t="str">
            <v>AR41AC1910 - Geofísica</v>
          </cell>
        </row>
        <row r="504">
          <cell r="D504" t="str">
            <v>AR41AC2910 - Geofísica</v>
          </cell>
        </row>
        <row r="505">
          <cell r="D505" t="str">
            <v>AR41AC3910 - Geofísica</v>
          </cell>
        </row>
        <row r="506">
          <cell r="D506" t="str">
            <v>AR41AC4910 - Geofísica</v>
          </cell>
        </row>
        <row r="507">
          <cell r="D507" t="str">
            <v>AR41AC5910 - Geofísica</v>
          </cell>
        </row>
        <row r="508">
          <cell r="D508" t="str">
            <v>AR41ACZ910 - Geofísica</v>
          </cell>
        </row>
        <row r="509">
          <cell r="D509" t="str">
            <v>AR43GCZ910 - Geofísica</v>
          </cell>
        </row>
        <row r="510">
          <cell r="D510" t="str">
            <v>AR44GSZ910 - Geofísica</v>
          </cell>
        </row>
        <row r="511">
          <cell r="D511" t="str">
            <v>BO11CIZ910 - Geofísica</v>
          </cell>
        </row>
        <row r="512">
          <cell r="D512" t="str">
            <v>BO11CNZ910 - Geofísica</v>
          </cell>
        </row>
        <row r="513">
          <cell r="D513" t="str">
            <v>CL10CH1910 - Geofísica</v>
          </cell>
        </row>
        <row r="514">
          <cell r="D514" t="str">
            <v>CL10CC1910 - Geofísica</v>
          </cell>
        </row>
        <row r="515">
          <cell r="D515" t="str">
            <v>CL10CB1910 - Geofísica</v>
          </cell>
        </row>
        <row r="516">
          <cell r="D516" t="str">
            <v>AR10CD1905 - Geología</v>
          </cell>
        </row>
        <row r="517">
          <cell r="D517" t="str">
            <v>AR10CD2905 - Geología</v>
          </cell>
        </row>
        <row r="518">
          <cell r="D518" t="str">
            <v>AR10CD3905 - Geología</v>
          </cell>
        </row>
        <row r="519">
          <cell r="D519" t="str">
            <v>AR10CD5905 - Geología</v>
          </cell>
        </row>
        <row r="520">
          <cell r="D520" t="str">
            <v>AR10CD7905 - Geología</v>
          </cell>
        </row>
        <row r="521">
          <cell r="D521" t="str">
            <v>AR10CD8905 - Geología</v>
          </cell>
        </row>
        <row r="522">
          <cell r="D522" t="str">
            <v>AR10CD9905 - Geología</v>
          </cell>
        </row>
        <row r="523">
          <cell r="D523" t="str">
            <v>AR10CDZ905 - Geología</v>
          </cell>
        </row>
        <row r="524">
          <cell r="D524" t="str">
            <v>AR10CK4905 - Geología</v>
          </cell>
        </row>
        <row r="525">
          <cell r="D525" t="str">
            <v>AR10PIZ905 - Geología</v>
          </cell>
        </row>
        <row r="526">
          <cell r="D526" t="str">
            <v>AR10PMZ905 - Geología</v>
          </cell>
        </row>
        <row r="527">
          <cell r="D527" t="str">
            <v>AR10ANZ905 - Geología</v>
          </cell>
        </row>
        <row r="528">
          <cell r="D528" t="str">
            <v>AR10SNZ905 - Geología</v>
          </cell>
        </row>
        <row r="529">
          <cell r="D529" t="str">
            <v>AR104NZ905 - Geología</v>
          </cell>
        </row>
        <row r="530">
          <cell r="D530" t="str">
            <v>AR106NZ905 - Geología</v>
          </cell>
        </row>
        <row r="531">
          <cell r="D531" t="str">
            <v>AR10BNZ905 - Geología</v>
          </cell>
        </row>
        <row r="532">
          <cell r="D532" t="str">
            <v>AR40LE1905 - Geología</v>
          </cell>
        </row>
        <row r="533">
          <cell r="D533" t="str">
            <v>AR40LE2905 - Geología</v>
          </cell>
        </row>
        <row r="534">
          <cell r="D534" t="str">
            <v>AR40LE2905 - Geología</v>
          </cell>
        </row>
        <row r="535">
          <cell r="D535" t="str">
            <v>AR10AE1905 - Geología</v>
          </cell>
        </row>
        <row r="536">
          <cell r="D536" t="str">
            <v>AR10AE2905 - Geología</v>
          </cell>
        </row>
        <row r="537">
          <cell r="D537" t="str">
            <v>AR10AE3905 - Geología</v>
          </cell>
        </row>
        <row r="538">
          <cell r="D538" t="str">
            <v>AR10AE4905 - Geología</v>
          </cell>
        </row>
        <row r="539">
          <cell r="D539" t="str">
            <v>AR10AE5905 - Geología</v>
          </cell>
        </row>
        <row r="540">
          <cell r="D540" t="str">
            <v>AR10AEZ905 - Geología</v>
          </cell>
        </row>
        <row r="541">
          <cell r="D541" t="str">
            <v>AR10CEZ905 - Geología</v>
          </cell>
        </row>
        <row r="542">
          <cell r="D542" t="str">
            <v>AR10SEZ905 - Geología</v>
          </cell>
        </row>
        <row r="543">
          <cell r="D543" t="str">
            <v>AR11CNZ905 - Geología</v>
          </cell>
        </row>
        <row r="544">
          <cell r="D544" t="str">
            <v>AR13BSZ905 - Geología</v>
          </cell>
        </row>
        <row r="545">
          <cell r="D545" t="str">
            <v>AR40LA1905 - Geología</v>
          </cell>
        </row>
        <row r="546">
          <cell r="D546" t="str">
            <v>AR40LA2905 - Geología</v>
          </cell>
        </row>
        <row r="547">
          <cell r="D547" t="str">
            <v>AR40LA2905 - Geología</v>
          </cell>
        </row>
        <row r="548">
          <cell r="D548" t="str">
            <v>AR41AC1905 - Geología</v>
          </cell>
        </row>
        <row r="549">
          <cell r="D549" t="str">
            <v>AR41AC2905 - Geología</v>
          </cell>
        </row>
        <row r="550">
          <cell r="D550" t="str">
            <v>AR41AC3905 - Geología</v>
          </cell>
        </row>
        <row r="551">
          <cell r="D551" t="str">
            <v>AR41AC4905 - Geología</v>
          </cell>
        </row>
        <row r="552">
          <cell r="D552" t="str">
            <v>AR41AC5905 - Geología</v>
          </cell>
        </row>
        <row r="553">
          <cell r="D553" t="str">
            <v>AR41ACZ905 - Geología</v>
          </cell>
        </row>
        <row r="554">
          <cell r="D554" t="str">
            <v>AR43GCZ905 - Geología</v>
          </cell>
        </row>
        <row r="555">
          <cell r="D555" t="str">
            <v>AR44GSZ905 - Geología</v>
          </cell>
        </row>
        <row r="556">
          <cell r="D556" t="str">
            <v>BO11CIZ905 - Geología</v>
          </cell>
        </row>
        <row r="557">
          <cell r="D557" t="str">
            <v>BO11CNZ905 - Geología</v>
          </cell>
        </row>
        <row r="558">
          <cell r="D558" t="str">
            <v>CL10CH1905 - Geología</v>
          </cell>
        </row>
        <row r="559">
          <cell r="D559" t="str">
            <v>CL10CC1905 - Geología</v>
          </cell>
        </row>
        <row r="560">
          <cell r="D560" t="str">
            <v>CL10CB1905 - Geología</v>
          </cell>
        </row>
        <row r="561">
          <cell r="D561" t="str">
            <v>AR10CDZ550 - Gerencia De Servicios</v>
          </cell>
        </row>
        <row r="562">
          <cell r="D562" t="str">
            <v>AR10CK4550 - Gerencia De Servicios</v>
          </cell>
        </row>
        <row r="563">
          <cell r="D563" t="str">
            <v>AR10CDZ555 - Gerencia U.G.</v>
          </cell>
        </row>
        <row r="564">
          <cell r="D564" t="str">
            <v>AR10CK4555 - Gerencia U.G.</v>
          </cell>
        </row>
        <row r="565">
          <cell r="D565" t="str">
            <v>AR10CD1810 - Gestión de residuos</v>
          </cell>
        </row>
        <row r="566">
          <cell r="D566" t="str">
            <v>AR10CD2810 - Gestión de residuos</v>
          </cell>
        </row>
        <row r="567">
          <cell r="D567" t="str">
            <v>AR10CD3810 - Gestión de residuos</v>
          </cell>
        </row>
        <row r="568">
          <cell r="D568" t="str">
            <v>AR10CD5810 - Gestión de residuos</v>
          </cell>
        </row>
        <row r="569">
          <cell r="D569" t="str">
            <v>AR10CD7810 - Gestión de residuos</v>
          </cell>
        </row>
        <row r="570">
          <cell r="D570" t="str">
            <v>AR10CD8810 - Gestión de residuos</v>
          </cell>
        </row>
        <row r="571">
          <cell r="D571" t="str">
            <v>AR10CD9810 - Gestión de residuos</v>
          </cell>
        </row>
        <row r="572">
          <cell r="D572" t="str">
            <v>AR10CDE810 - Gestión de residuos</v>
          </cell>
        </row>
        <row r="573">
          <cell r="D573" t="str">
            <v>AR10CDP810 - Gestión de residuos</v>
          </cell>
        </row>
        <row r="574">
          <cell r="D574" t="str">
            <v>AR10CDZ810 - Gestión de residuos</v>
          </cell>
        </row>
        <row r="575">
          <cell r="D575" t="str">
            <v>AR10CK4810 - Gestión de residuos</v>
          </cell>
        </row>
        <row r="576">
          <cell r="D576" t="str">
            <v>AR10ANZ810 - Gestión de residuos</v>
          </cell>
        </row>
        <row r="577">
          <cell r="D577" t="str">
            <v>AR10SNZ810 - Gestión de residuos</v>
          </cell>
        </row>
        <row r="578">
          <cell r="D578" t="str">
            <v>AR10SNZ810 - Gestión de residuos</v>
          </cell>
        </row>
        <row r="579">
          <cell r="D579" t="str">
            <v>AR106NZ810 - Gestión de residuos</v>
          </cell>
        </row>
        <row r="580">
          <cell r="D580" t="str">
            <v>AR10BNZ810 - Gestión de residuos</v>
          </cell>
        </row>
        <row r="581">
          <cell r="D581" t="str">
            <v>AR40LE1810 - Gestión de residuos</v>
          </cell>
        </row>
        <row r="582">
          <cell r="D582" t="str">
            <v>AR40LE2810 - Gestión de residuos</v>
          </cell>
        </row>
        <row r="583">
          <cell r="D583" t="str">
            <v>AR40LE2810 - Gestión de residuos</v>
          </cell>
        </row>
        <row r="584">
          <cell r="D584" t="str">
            <v>AR10AE1810 - Gestión de residuos</v>
          </cell>
        </row>
        <row r="585">
          <cell r="D585" t="str">
            <v>AR10AE2810 - Gestión de residuos</v>
          </cell>
        </row>
        <row r="586">
          <cell r="D586" t="str">
            <v>AR10AE3810 - Gestión de residuos</v>
          </cell>
        </row>
        <row r="587">
          <cell r="D587" t="str">
            <v>AR10AE4810 - Gestión de residuos</v>
          </cell>
        </row>
        <row r="588">
          <cell r="D588" t="str">
            <v>AR10AE6810 - Gestión de residuos</v>
          </cell>
        </row>
        <row r="589">
          <cell r="D589" t="str">
            <v>AR10AE7810 - Gestión de residuos</v>
          </cell>
        </row>
        <row r="590">
          <cell r="D590" t="str">
            <v>AR10AE5810 - Gestión de residuos</v>
          </cell>
        </row>
        <row r="591">
          <cell r="D591" t="str">
            <v>AR10AEZ810 - Gestión de residuos</v>
          </cell>
        </row>
        <row r="592">
          <cell r="D592" t="str">
            <v>AR10CEZ810 - Gestión de residuos</v>
          </cell>
        </row>
        <row r="593">
          <cell r="D593" t="str">
            <v>AR10SEZ810 - Gestión de residuos</v>
          </cell>
        </row>
        <row r="594">
          <cell r="D594" t="str">
            <v>AR11CNZ810 - Gestión de residuos</v>
          </cell>
        </row>
        <row r="595">
          <cell r="D595" t="str">
            <v>AR11SAZ810 - Gestión de residuos</v>
          </cell>
        </row>
        <row r="596">
          <cell r="D596" t="str">
            <v>AR13BSZ810 - Gestión de residuos</v>
          </cell>
        </row>
        <row r="597">
          <cell r="D597" t="str">
            <v>AR40LA1810 - Gestión de residuos</v>
          </cell>
        </row>
        <row r="598">
          <cell r="D598" t="str">
            <v>AR40LA2810 - Gestión de residuos</v>
          </cell>
        </row>
        <row r="599">
          <cell r="D599" t="str">
            <v>AR40LA2810 - Gestión de residuos</v>
          </cell>
        </row>
        <row r="600">
          <cell r="D600" t="str">
            <v>AR41AC1810 - Gestión de residuos</v>
          </cell>
        </row>
        <row r="601">
          <cell r="D601" t="str">
            <v>AR41AC2810 - Gestión de residuos</v>
          </cell>
        </row>
        <row r="602">
          <cell r="D602" t="str">
            <v>AR41AC3810 - Gestión de residuos</v>
          </cell>
        </row>
        <row r="603">
          <cell r="D603" t="str">
            <v>AR41AC4810 - Gestión de residuos</v>
          </cell>
        </row>
        <row r="604">
          <cell r="D604" t="str">
            <v>AR41AC6810 - Gestión de residuos</v>
          </cell>
        </row>
        <row r="605">
          <cell r="D605" t="str">
            <v>AR41AC7810 - Gestión de residuos</v>
          </cell>
        </row>
        <row r="606">
          <cell r="D606" t="str">
            <v>AR41AC5810 - Gestión de residuos</v>
          </cell>
        </row>
        <row r="607">
          <cell r="D607" t="str">
            <v>AR41ACZ810 - Gestión de residuos</v>
          </cell>
        </row>
        <row r="608">
          <cell r="D608" t="str">
            <v>AR43GCZ810 - Gestión de residuos</v>
          </cell>
        </row>
        <row r="609">
          <cell r="D609" t="str">
            <v>AR44GSZ810 - Gestión de residuos</v>
          </cell>
        </row>
        <row r="610">
          <cell r="D610" t="str">
            <v>BO11CIZ810 - Gestión de residuos</v>
          </cell>
        </row>
        <row r="611">
          <cell r="D611" t="str">
            <v>BO11CNZ810 - Gestión de residuos</v>
          </cell>
        </row>
        <row r="612">
          <cell r="D612" t="str">
            <v>CL10CH1810 - Gestión de residuos</v>
          </cell>
        </row>
        <row r="613">
          <cell r="D613" t="str">
            <v>CL10CC1810 - Gestión de residuos</v>
          </cell>
        </row>
        <row r="614">
          <cell r="D614" t="str">
            <v>CL10CB1810 - Gestión de residuos</v>
          </cell>
        </row>
        <row r="615">
          <cell r="D615" t="str">
            <v>AR10APZ565 - Inf. Technology</v>
          </cell>
        </row>
        <row r="616">
          <cell r="D616" t="str">
            <v>AR10SRZ565 - Inf. Technology</v>
          </cell>
        </row>
        <row r="617">
          <cell r="D617" t="str">
            <v>AR1040Z565 - Inf. Technology</v>
          </cell>
        </row>
        <row r="618">
          <cell r="D618" t="str">
            <v>AR1046Z565 - Inf. Technology</v>
          </cell>
        </row>
        <row r="619">
          <cell r="D619" t="str">
            <v>AR10BCZ565 - Inf. Technology</v>
          </cell>
        </row>
        <row r="620">
          <cell r="D620" t="str">
            <v>AR10CDZ565 - Inf. Technology</v>
          </cell>
        </row>
        <row r="621">
          <cell r="D621" t="str">
            <v>AR10CK4565 - Inf. Technology</v>
          </cell>
        </row>
        <row r="622">
          <cell r="D622" t="str">
            <v>AR40LE2565 - Inf. Technology</v>
          </cell>
        </row>
        <row r="623">
          <cell r="D623" t="str">
            <v>AR10AEZ565 - Inf. Technology</v>
          </cell>
        </row>
        <row r="624">
          <cell r="D624" t="str">
            <v>AR10FEZ565 - Inf. Technology</v>
          </cell>
        </row>
        <row r="625">
          <cell r="D625" t="str">
            <v>AR10CEZ565 - Inf. Technology</v>
          </cell>
        </row>
        <row r="626">
          <cell r="D626" t="str">
            <v>AR10SEZ565 - Inf. Technology</v>
          </cell>
        </row>
        <row r="627">
          <cell r="D627" t="str">
            <v>AR11CAZ565 - Inf. Technology</v>
          </cell>
        </row>
        <row r="628">
          <cell r="D628" t="str">
            <v>AR40LA2565 - Inf. Technology</v>
          </cell>
        </row>
        <row r="629">
          <cell r="D629" t="str">
            <v>AR41ACZ565 - Inf. Technology</v>
          </cell>
        </row>
        <row r="630">
          <cell r="D630" t="str">
            <v>AR42AFZ565 - Inf. Technology</v>
          </cell>
        </row>
        <row r="631">
          <cell r="D631" t="str">
            <v>AR43GCZ565 - Inf. Technology</v>
          </cell>
        </row>
        <row r="632">
          <cell r="D632" t="str">
            <v>AR44GSZ565 - Inf. Technology</v>
          </cell>
        </row>
        <row r="633">
          <cell r="D633" t="str">
            <v>BO10OGZ565 - Inf. Technology</v>
          </cell>
        </row>
        <row r="634">
          <cell r="D634" t="str">
            <v>BO11CIZ565 - Inf. Technology</v>
          </cell>
        </row>
        <row r="635">
          <cell r="D635" t="str">
            <v>BO11CNZ565 - Inf. Technology</v>
          </cell>
        </row>
        <row r="636">
          <cell r="D636" t="str">
            <v>CL10CH1565 - Inf. Technology</v>
          </cell>
        </row>
        <row r="637">
          <cell r="D637" t="str">
            <v>CL10CC1565 - Inf. Technology</v>
          </cell>
        </row>
        <row r="638">
          <cell r="D638" t="str">
            <v>CL10CB1565 - Inf. Technology</v>
          </cell>
        </row>
        <row r="639">
          <cell r="D639" t="str">
            <v>AR10APZ656 - Information Tech.</v>
          </cell>
        </row>
        <row r="640">
          <cell r="D640" t="str">
            <v>AR10SRZ656 - Information Tech.</v>
          </cell>
        </row>
        <row r="641">
          <cell r="D641" t="str">
            <v>AR1040Z656 - Information Tech.</v>
          </cell>
        </row>
        <row r="642">
          <cell r="D642" t="str">
            <v>AR1046Z656 - Information Tech.</v>
          </cell>
        </row>
        <row r="643">
          <cell r="D643" t="str">
            <v>AR10BCZ656 - Information Tech.</v>
          </cell>
        </row>
        <row r="644">
          <cell r="D644" t="str">
            <v>AR10ANZ660 - Information Tech.</v>
          </cell>
        </row>
        <row r="645">
          <cell r="D645" t="str">
            <v>AR10SNZ660 - Information Tech.</v>
          </cell>
        </row>
        <row r="646">
          <cell r="D646" t="str">
            <v>AR104NZ660 - Information Tech.</v>
          </cell>
        </row>
        <row r="647">
          <cell r="D647" t="str">
            <v>AR106NZ660 - Information Tech.</v>
          </cell>
        </row>
        <row r="648">
          <cell r="D648" t="str">
            <v>AR10BNZ660 - Information Tech.</v>
          </cell>
        </row>
        <row r="649">
          <cell r="D649" t="str">
            <v>AR40LE2656 - Information Tech.</v>
          </cell>
        </row>
        <row r="650">
          <cell r="D650" t="str">
            <v>AR10AEZ656 - Information Tech.</v>
          </cell>
        </row>
        <row r="651">
          <cell r="D651" t="str">
            <v>AR10FEZ656 - Information Tech.</v>
          </cell>
        </row>
        <row r="652">
          <cell r="D652" t="str">
            <v>AR10CEZ656 - Information Tech.</v>
          </cell>
        </row>
        <row r="653">
          <cell r="D653" t="str">
            <v>AR10SEZ656 - Information Tech.</v>
          </cell>
        </row>
        <row r="654">
          <cell r="D654" t="str">
            <v>AR10BAZ656 - Information Tech.</v>
          </cell>
        </row>
        <row r="655">
          <cell r="D655" t="str">
            <v>AR11CAZ656 - Information Tech.</v>
          </cell>
        </row>
        <row r="656">
          <cell r="D656" t="str">
            <v>AR11CNZ660 - Information Tech.</v>
          </cell>
        </row>
        <row r="657">
          <cell r="D657" t="str">
            <v>AR11SAZ660 - Information Tech.</v>
          </cell>
        </row>
        <row r="658">
          <cell r="D658" t="str">
            <v>AR40LA2656 - Information Tech.</v>
          </cell>
        </row>
        <row r="659">
          <cell r="D659" t="str">
            <v>AR41ACZ656 - Information Tech.</v>
          </cell>
        </row>
        <row r="660">
          <cell r="D660" t="str">
            <v>AR42AFZ656 - Information Tech.</v>
          </cell>
        </row>
        <row r="661">
          <cell r="D661" t="str">
            <v>AR43GCZ656 - Information Tech.</v>
          </cell>
        </row>
        <row r="662">
          <cell r="D662" t="str">
            <v>AR44GSZ656 - Information Tech.</v>
          </cell>
        </row>
        <row r="663">
          <cell r="D663" t="str">
            <v>BO10OGZ656 - Information Tech.</v>
          </cell>
        </row>
        <row r="664">
          <cell r="D664" t="str">
            <v>BO11CIZ656 - Information Tech.</v>
          </cell>
        </row>
        <row r="665">
          <cell r="D665" t="str">
            <v>BO11CNZ656 - Information Tech.</v>
          </cell>
        </row>
        <row r="666">
          <cell r="D666" t="str">
            <v>CL10CH1656 - Information Tech.</v>
          </cell>
        </row>
        <row r="667">
          <cell r="D667" t="str">
            <v>CL10CC1656 - Information Tech.</v>
          </cell>
        </row>
        <row r="668">
          <cell r="D668" t="str">
            <v>CL10CB1656 - Information Tech.</v>
          </cell>
        </row>
        <row r="669">
          <cell r="D669" t="str">
            <v xml:space="preserve">AR10CDZ570 - Ing De Prod Y Recup Sec </v>
          </cell>
        </row>
        <row r="670">
          <cell r="D670" t="str">
            <v xml:space="preserve">AR10CK4570 - Ing De Prod Y Recup Sec </v>
          </cell>
        </row>
        <row r="671">
          <cell r="D671" t="str">
            <v>AR10ANZ705 - Ingeniería de Procesos y Pro P</v>
          </cell>
        </row>
        <row r="672">
          <cell r="D672" t="str">
            <v>AR10SNZ705 - Ingeniería de Procesos y Pro P</v>
          </cell>
        </row>
        <row r="673">
          <cell r="D673" t="str">
            <v>AR104NZ705 - Ingeniería de Procesos y Pro P</v>
          </cell>
        </row>
        <row r="674">
          <cell r="D674" t="str">
            <v>AR106NZ705 - Ingeniería de Procesos y Pro P</v>
          </cell>
        </row>
        <row r="675">
          <cell r="D675" t="str">
            <v>AR10BNZ705 - Ingeniería de Procesos y Pro P</v>
          </cell>
        </row>
        <row r="676">
          <cell r="D676" t="str">
            <v>AR10BAZ710 - Ingeniería de Procesos y Pro P</v>
          </cell>
        </row>
        <row r="677">
          <cell r="D677" t="str">
            <v>AR11CNZ705 - Ingeniería de Procesos y Pro P</v>
          </cell>
        </row>
        <row r="678">
          <cell r="D678" t="str">
            <v>AR11SAZ705 - Ingeniería de Procesos y Pro P</v>
          </cell>
        </row>
        <row r="679">
          <cell r="D679" t="str">
            <v>AR10CDZ575 - Ingenieria De Procesos y Proy (GIPP)</v>
          </cell>
        </row>
        <row r="680">
          <cell r="D680" t="str">
            <v>AR10CK4575 - Ingenieria De Procesos y Proy (GIPP)</v>
          </cell>
        </row>
        <row r="681">
          <cell r="D681" t="str">
            <v>AR10CD1100 - Ingeniería de producción &amp; Recuperación Secundaria</v>
          </cell>
        </row>
        <row r="682">
          <cell r="D682" t="str">
            <v>AR10CD2100 - Ingeniería de producción &amp; Recuperación Secundaria</v>
          </cell>
        </row>
        <row r="683">
          <cell r="D683" t="str">
            <v>AR10CD3100 - Ingeniería de producción &amp; Recuperación Secundaria</v>
          </cell>
        </row>
        <row r="684">
          <cell r="D684" t="str">
            <v>AR10CD5100 - Ingeniería de producción &amp; Recuperación Secundaria</v>
          </cell>
        </row>
        <row r="685">
          <cell r="D685" t="str">
            <v>AR10CD7100 - Ingeniería de producción &amp; Recuperación Secundaria</v>
          </cell>
        </row>
        <row r="686">
          <cell r="D686" t="str">
            <v>AR10CD8100 - Ingeniería de producción &amp; Recuperación Secundaria</v>
          </cell>
        </row>
        <row r="687">
          <cell r="D687" t="str">
            <v>AR10CD9100 - Ingeniería de producción &amp; Recuperación Secundaria</v>
          </cell>
        </row>
        <row r="688">
          <cell r="D688" t="str">
            <v>AR10CK4100 - Ingeniería de producción &amp; Recuperación Secundaria</v>
          </cell>
        </row>
        <row r="689">
          <cell r="D689" t="str">
            <v>AR10ANZ100 - Ingeniería de producción &amp; Recuperación Secundaria</v>
          </cell>
        </row>
        <row r="690">
          <cell r="D690" t="str">
            <v>AR10SNZ100 - Ingeniería de producción &amp; Recuperación Secundaria</v>
          </cell>
        </row>
        <row r="691">
          <cell r="D691" t="str">
            <v>AR104NZ100 - Ingeniería de producción &amp; Recuperación Secundaria</v>
          </cell>
        </row>
        <row r="692">
          <cell r="D692" t="str">
            <v>AR106NZ100 - Ingeniería de producción &amp; Recuperación Secundaria</v>
          </cell>
        </row>
        <row r="693">
          <cell r="D693" t="str">
            <v>AR10BNZ100 - Ingeniería de producción &amp; Recuperación Secundaria</v>
          </cell>
        </row>
        <row r="694">
          <cell r="D694" t="str">
            <v>AR40LE1100 - Ingeniería de producción &amp; Recuperación Secundaria</v>
          </cell>
        </row>
        <row r="695">
          <cell r="D695" t="str">
            <v>AR40LE2100 - Ingeniería de producción &amp; Recuperación Secundaria</v>
          </cell>
        </row>
        <row r="696">
          <cell r="D696" t="str">
            <v>AR10AE1100 - Ingeniería de producción &amp; Recuperación Secundaria</v>
          </cell>
        </row>
        <row r="697">
          <cell r="D697" t="str">
            <v>AR10AE2100 - Ingeniería de producción &amp; Recuperación Secundaria</v>
          </cell>
        </row>
        <row r="698">
          <cell r="D698" t="str">
            <v>AR10AE3100 - Ingeniería de producción &amp; Recuperación Secundaria</v>
          </cell>
        </row>
        <row r="699">
          <cell r="D699" t="str">
            <v>AR10AE4100 - Ingeniería de producción &amp; Recuperación Secundaria</v>
          </cell>
        </row>
        <row r="700">
          <cell r="D700" t="str">
            <v>AR10AE5100 - Ingeniería de producción &amp; Recuperación Secundaria</v>
          </cell>
        </row>
        <row r="701">
          <cell r="D701" t="str">
            <v>AR10FEZ100 - Ingeniería de producción &amp; Recuperación Secundaria</v>
          </cell>
        </row>
        <row r="702">
          <cell r="D702" t="str">
            <v>AR11CNZ100 - Ingeniería de producción &amp; Recuperación Secundaria</v>
          </cell>
        </row>
        <row r="703">
          <cell r="D703" t="str">
            <v>AR40LA1100 - Ingeniería de producción &amp; Recuperación Secundaria</v>
          </cell>
        </row>
        <row r="704">
          <cell r="D704" t="str">
            <v>AR40LA2100 - Ingeniería de producción &amp; Recuperación Secundaria</v>
          </cell>
        </row>
        <row r="705">
          <cell r="D705" t="str">
            <v>AR41AC1100 - Ingeniería de producción &amp; Recuperación Secundaria</v>
          </cell>
        </row>
        <row r="706">
          <cell r="D706" t="str">
            <v>AR41AC2100 - Ingeniería de producción &amp; Recuperación Secundaria</v>
          </cell>
        </row>
        <row r="707">
          <cell r="D707" t="str">
            <v>AR41AC3100 - Ingeniería de producción &amp; Recuperación Secundaria</v>
          </cell>
        </row>
        <row r="708">
          <cell r="D708" t="str">
            <v>AR41AC4100 - Ingeniería de producción &amp; Recuperación Secundaria</v>
          </cell>
        </row>
        <row r="709">
          <cell r="D709" t="str">
            <v>AR41AC5100 - Ingeniería de producción &amp; Recuperación Secundaria</v>
          </cell>
        </row>
        <row r="710">
          <cell r="D710" t="str">
            <v>AR42AFZ100 - Ingeniería de producción &amp; Recuperación Secundaria</v>
          </cell>
        </row>
        <row r="711">
          <cell r="D711" t="str">
            <v>BO11CIZ100 - Ingeniería de producción &amp; Recuperación Secundaria</v>
          </cell>
        </row>
        <row r="712">
          <cell r="D712" t="str">
            <v>BO11CNZ100 - Ingeniería de producción &amp; Recuperación Secundaria</v>
          </cell>
        </row>
        <row r="713">
          <cell r="D713" t="str">
            <v>CL10CH1100 - Ingeniería de producción &amp; Recuperación Secundaria</v>
          </cell>
        </row>
        <row r="714">
          <cell r="D714" t="str">
            <v>CL10CC1100 - Ingeniería de producción &amp; Recuperación Secundaria</v>
          </cell>
        </row>
        <row r="715">
          <cell r="D715" t="str">
            <v>CL10CB1100 - Ingeniería de producción &amp; Recuperación Secundaria</v>
          </cell>
        </row>
        <row r="716">
          <cell r="D716" t="str">
            <v>AR10CD1030 - Instalaciones de Superficie</v>
          </cell>
        </row>
        <row r="717">
          <cell r="D717" t="str">
            <v>AR10CD2030 - Instalaciones de Superficie</v>
          </cell>
        </row>
        <row r="718">
          <cell r="D718" t="str">
            <v>AR10CD3030 - Instalaciones de Superficie</v>
          </cell>
        </row>
        <row r="719">
          <cell r="D719" t="str">
            <v>AR10CD5030 - Instalaciones de Superficie</v>
          </cell>
        </row>
        <row r="720">
          <cell r="D720" t="str">
            <v>AR10CD7030 - Instalaciones de Superficie</v>
          </cell>
        </row>
        <row r="721">
          <cell r="D721" t="str">
            <v>AR10CD8030 - Instalaciones de Superficie</v>
          </cell>
        </row>
        <row r="722">
          <cell r="D722" t="str">
            <v>AR10CD9030 - Instalaciones de Superficie</v>
          </cell>
        </row>
        <row r="723">
          <cell r="D723" t="str">
            <v>AR10CDE030 - Instalaciones de Superficie</v>
          </cell>
        </row>
        <row r="724">
          <cell r="D724" t="str">
            <v>AR10CDP030 - Instalaciones de Superficie</v>
          </cell>
        </row>
        <row r="725">
          <cell r="D725" t="str">
            <v>AR10CK4030 - Instalaciones de Superficie</v>
          </cell>
        </row>
        <row r="726">
          <cell r="D726" t="str">
            <v>AR10ANZ030 - Instalaciones de Superficie</v>
          </cell>
        </row>
        <row r="727">
          <cell r="D727" t="str">
            <v>AR10SNZ030 - Instalaciones de Superficie</v>
          </cell>
        </row>
        <row r="728">
          <cell r="D728" t="str">
            <v>AR104NZ030 - Instalaciones de Superficie</v>
          </cell>
        </row>
        <row r="729">
          <cell r="D729" t="str">
            <v>AR106NZ030 - Instalaciones de Superficie</v>
          </cell>
        </row>
        <row r="730">
          <cell r="D730" t="str">
            <v>AR10BNZ030 - Instalaciones de Superficie</v>
          </cell>
        </row>
        <row r="731">
          <cell r="D731" t="str">
            <v>AR40LE1030 - Instalaciones de Superficie</v>
          </cell>
        </row>
        <row r="732">
          <cell r="D732" t="str">
            <v>AR40LE2030 - Instalaciones de Superficie</v>
          </cell>
        </row>
        <row r="733">
          <cell r="D733" t="str">
            <v>AR10AE1030 - Instalaciones de Superficie</v>
          </cell>
        </row>
        <row r="734">
          <cell r="D734" t="str">
            <v>AR10AE2030 - Instalaciones de Superficie</v>
          </cell>
        </row>
        <row r="735">
          <cell r="D735" t="str">
            <v>AR10AE3030 - Instalaciones de Superficie</v>
          </cell>
        </row>
        <row r="736">
          <cell r="D736" t="str">
            <v>AR10AE4030 - Instalaciones de Superficie</v>
          </cell>
        </row>
        <row r="737">
          <cell r="D737" t="str">
            <v>AR10AE6030 - Instalaciones de Superficie</v>
          </cell>
        </row>
        <row r="738">
          <cell r="D738" t="str">
            <v>AR10AE7030 - Instalaciones de Superficie</v>
          </cell>
        </row>
        <row r="739">
          <cell r="D739" t="str">
            <v>AR10AE5030 - Instalaciones de Superficie</v>
          </cell>
        </row>
        <row r="740">
          <cell r="D740" t="str">
            <v>AR10FEZ030 - Instalaciones de Superficie</v>
          </cell>
        </row>
        <row r="741">
          <cell r="D741" t="str">
            <v>AR11CNZ030 - Instalaciones de Superficie</v>
          </cell>
        </row>
        <row r="742">
          <cell r="D742" t="str">
            <v>AR40LA1030 - Instalaciones de Superficie</v>
          </cell>
        </row>
        <row r="743">
          <cell r="D743" t="str">
            <v>AR40LA2030 - Instalaciones de Superficie</v>
          </cell>
        </row>
        <row r="744">
          <cell r="D744" t="str">
            <v>AR41AC1030 - Instalaciones de Superficie</v>
          </cell>
        </row>
        <row r="745">
          <cell r="D745" t="str">
            <v>AR41AC2030 - Instalaciones de Superficie</v>
          </cell>
        </row>
        <row r="746">
          <cell r="D746" t="str">
            <v>AR41AC3030 - Instalaciones de Superficie</v>
          </cell>
        </row>
        <row r="747">
          <cell r="D747" t="str">
            <v>AR41AC4030 - Instalaciones de Superficie</v>
          </cell>
        </row>
        <row r="748">
          <cell r="D748" t="str">
            <v>AR41AC6030 - Instalaciones de Superficie</v>
          </cell>
        </row>
        <row r="749">
          <cell r="D749" t="str">
            <v>AR41AC7030 - Instalaciones de Superficie</v>
          </cell>
        </row>
        <row r="750">
          <cell r="D750" t="str">
            <v>AR41AC5030 - Instalaciones de Superficie</v>
          </cell>
        </row>
        <row r="751">
          <cell r="D751" t="str">
            <v>AR42AFZ030 - Instalaciones de Superficie</v>
          </cell>
        </row>
        <row r="752">
          <cell r="D752" t="str">
            <v>BO11CIZ030 - Instalaciones de Superficie</v>
          </cell>
        </row>
        <row r="753">
          <cell r="D753" t="str">
            <v>BO11CNZ030 - Instalaciones de Superficie</v>
          </cell>
        </row>
        <row r="754">
          <cell r="D754" t="str">
            <v>CL10CH1030 - Instalaciones de Superficie</v>
          </cell>
        </row>
        <row r="755">
          <cell r="D755" t="str">
            <v>CL10CC1030 - Instalaciones de Superficie</v>
          </cell>
        </row>
        <row r="756">
          <cell r="D756" t="str">
            <v>CL10CB1030 - Instalaciones de Superficie</v>
          </cell>
        </row>
        <row r="757">
          <cell r="D757" t="str">
            <v>AR10CD1200 - Integridad &amp; Corrosión</v>
          </cell>
        </row>
        <row r="758">
          <cell r="D758" t="str">
            <v>AR10CD2200 - Integridad &amp; Corrosión</v>
          </cell>
        </row>
        <row r="759">
          <cell r="D759" t="str">
            <v>AR10CD3200 - Integridad &amp; Corrosión</v>
          </cell>
        </row>
        <row r="760">
          <cell r="D760" t="str">
            <v>AR10CD5200 - Integridad &amp; Corrosión</v>
          </cell>
        </row>
        <row r="761">
          <cell r="D761" t="str">
            <v>AR10CD7200 - Integridad &amp; Corrosión</v>
          </cell>
        </row>
        <row r="762">
          <cell r="D762" t="str">
            <v>AR10CD8200 - Integridad &amp; Corrosión</v>
          </cell>
        </row>
        <row r="763">
          <cell r="D763" t="str">
            <v>AR10CD9200 - Integridad &amp; Corrosión</v>
          </cell>
        </row>
        <row r="764">
          <cell r="D764" t="str">
            <v>AR10CDE200 - Integridad &amp; Corrosión</v>
          </cell>
        </row>
        <row r="765">
          <cell r="D765" t="str">
            <v>AR10CDP200 - Integridad &amp; Corrosión</v>
          </cell>
        </row>
        <row r="766">
          <cell r="D766" t="str">
            <v>AR10CK4200 - Integridad &amp; Corrosión</v>
          </cell>
        </row>
        <row r="767">
          <cell r="D767" t="str">
            <v>AR10ANZ200 - Integridad &amp; Corrosión</v>
          </cell>
        </row>
        <row r="768">
          <cell r="D768" t="str">
            <v>AR10SNZ200 - Integridad &amp; Corrosión</v>
          </cell>
        </row>
        <row r="769">
          <cell r="D769" t="str">
            <v>AR104NZ200 - Integridad &amp; Corrosión</v>
          </cell>
        </row>
        <row r="770">
          <cell r="D770" t="str">
            <v>AR106NZ200 - Integridad &amp; Corrosión</v>
          </cell>
        </row>
        <row r="771">
          <cell r="D771" t="str">
            <v>AR10BNZ200 - Integridad &amp; Corrosión</v>
          </cell>
        </row>
        <row r="772">
          <cell r="D772" t="str">
            <v>AR40LE1200 - Integridad &amp; Corrosión</v>
          </cell>
        </row>
        <row r="773">
          <cell r="D773" t="str">
            <v>AR40LE2200 - Integridad &amp; Corrosión</v>
          </cell>
        </row>
        <row r="774">
          <cell r="D774" t="str">
            <v>AR10AE1200 - Integridad &amp; Corrosión</v>
          </cell>
        </row>
        <row r="775">
          <cell r="D775" t="str">
            <v>AR10AE2200 - Integridad &amp; Corrosión</v>
          </cell>
        </row>
        <row r="776">
          <cell r="D776" t="str">
            <v>AR10AE3200 - Integridad &amp; Corrosión</v>
          </cell>
        </row>
        <row r="777">
          <cell r="D777" t="str">
            <v>AR10AE4200 - Integridad &amp; Corrosión</v>
          </cell>
        </row>
        <row r="778">
          <cell r="D778" t="str">
            <v>AR10AE6200 - Integridad &amp; Corrosión</v>
          </cell>
        </row>
        <row r="779">
          <cell r="D779" t="str">
            <v>AR10AE7200 - Integridad &amp; Corrosión</v>
          </cell>
        </row>
        <row r="780">
          <cell r="D780" t="str">
            <v>AR10AE5200 - Integridad &amp; Corrosión</v>
          </cell>
        </row>
        <row r="781">
          <cell r="D781" t="str">
            <v>AR10FEZ200 - Integridad &amp; Corrosión</v>
          </cell>
        </row>
        <row r="782">
          <cell r="D782" t="str">
            <v>AR11CNZ200 - Integridad &amp; Corrosión</v>
          </cell>
        </row>
        <row r="783">
          <cell r="D783" t="str">
            <v>AR40LA1200 - Integridad &amp; Corrosión</v>
          </cell>
        </row>
        <row r="784">
          <cell r="D784" t="str">
            <v>AR40LA2200 - Integridad &amp; Corrosión</v>
          </cell>
        </row>
        <row r="785">
          <cell r="D785" t="str">
            <v>AR41AC1200 - Integridad &amp; Corrosión</v>
          </cell>
        </row>
        <row r="786">
          <cell r="D786" t="str">
            <v>AR41AC2200 - Integridad &amp; Corrosión</v>
          </cell>
        </row>
        <row r="787">
          <cell r="D787" t="str">
            <v>AR41AC3200 - Integridad &amp; Corrosión</v>
          </cell>
        </row>
        <row r="788">
          <cell r="D788" t="str">
            <v>AR41AC4200 - Integridad &amp; Corrosión</v>
          </cell>
        </row>
        <row r="789">
          <cell r="D789" t="str">
            <v>AR41AC6200 - Integridad &amp; Corrosión</v>
          </cell>
        </row>
        <row r="790">
          <cell r="D790" t="str">
            <v>AR41AC7200 - Integridad &amp; Corrosión</v>
          </cell>
        </row>
        <row r="791">
          <cell r="D791" t="str">
            <v>AR41AC5200 - Integridad &amp; Corrosión</v>
          </cell>
        </row>
        <row r="792">
          <cell r="D792" t="str">
            <v>AR42AFZ200 - Integridad &amp; Corrosión</v>
          </cell>
        </row>
        <row r="793">
          <cell r="D793" t="str">
            <v>BO11CIZ200 - Integridad &amp; Corrosión</v>
          </cell>
        </row>
        <row r="794">
          <cell r="D794" t="str">
            <v>BO11CNZ200 - Integridad &amp; Corrosión</v>
          </cell>
        </row>
        <row r="795">
          <cell r="D795" t="str">
            <v>CL10CH1200 - Integridad &amp; Corrosión</v>
          </cell>
        </row>
        <row r="796">
          <cell r="D796" t="str">
            <v>CL10CC1200 - Integridad &amp; Corrosión</v>
          </cell>
        </row>
        <row r="797">
          <cell r="D797" t="str">
            <v>CL10CB1200 - Integridad &amp; Corrosión</v>
          </cell>
        </row>
        <row r="798">
          <cell r="D798" t="str">
            <v>AR10CDZ580 - Integridad y Procesos</v>
          </cell>
        </row>
        <row r="799">
          <cell r="D799" t="str">
            <v>AR10CK4580 - Integridad y Procesos</v>
          </cell>
        </row>
        <row r="800">
          <cell r="D800" t="str">
            <v>AR10CD1020 - Lineas de Cond. De Prod P/G/A</v>
          </cell>
        </row>
        <row r="801">
          <cell r="D801" t="str">
            <v>AR10CD2020 - Lineas de Cond. De Prod P/G/A</v>
          </cell>
        </row>
        <row r="802">
          <cell r="D802" t="str">
            <v>AR10CD3020 - Lineas de Cond. De Prod P/G/A</v>
          </cell>
        </row>
        <row r="803">
          <cell r="D803" t="str">
            <v>AR10CD5020 - Lineas de Cond. De Prod P/G/A</v>
          </cell>
        </row>
        <row r="804">
          <cell r="D804" t="str">
            <v>AR10CD7020 - Lineas de Cond. De Prod P/G/A</v>
          </cell>
        </row>
        <row r="805">
          <cell r="D805" t="str">
            <v>AR10CD8020 - Lineas de Cond. De Prod P/G/A</v>
          </cell>
        </row>
        <row r="806">
          <cell r="D806" t="str">
            <v>AR10CD9020 - Lineas de Cond. De Prod P/G/A</v>
          </cell>
        </row>
        <row r="807">
          <cell r="D807" t="str">
            <v>AR10CDP020 - Lineas de Cond. De Prod P/G/A</v>
          </cell>
        </row>
        <row r="808">
          <cell r="D808" t="str">
            <v>AR10CK4020 - Lineas de Cond. De Prod P/G/A</v>
          </cell>
        </row>
        <row r="809">
          <cell r="D809" t="str">
            <v>AR10ANZ020 - Lineas de Cond. De Prod P/G/A</v>
          </cell>
        </row>
        <row r="810">
          <cell r="D810" t="str">
            <v>AR10SNZ020 - Lineas de Cond. De Prod P/G/A</v>
          </cell>
        </row>
        <row r="811">
          <cell r="D811" t="str">
            <v>AR104NZ020 - Lineas de Cond. De Prod P/G/A</v>
          </cell>
        </row>
        <row r="812">
          <cell r="D812" t="str">
            <v>AR106NZ020 - Lineas de Cond. De Prod P/G/A</v>
          </cell>
        </row>
        <row r="813">
          <cell r="D813" t="str">
            <v>AR10BNZ020 - Lineas de Cond. De Prod P/G/A</v>
          </cell>
        </row>
        <row r="814">
          <cell r="D814" t="str">
            <v>AR40LE1020 - Lineas de Cond. De Prod P/G/A</v>
          </cell>
        </row>
        <row r="815">
          <cell r="D815" t="str">
            <v>AR40LE2020 - Lineas de Cond. De Prod P/G/A</v>
          </cell>
        </row>
        <row r="816">
          <cell r="D816" t="str">
            <v>AR10AE1020 - Lineas de Cond. De Prod P/G/A</v>
          </cell>
        </row>
        <row r="817">
          <cell r="D817" t="str">
            <v>AR10AE2020 - Lineas de Cond. De Prod P/G/A</v>
          </cell>
        </row>
        <row r="818">
          <cell r="D818" t="str">
            <v>AR10AE3020 - Lineas de Cond. De Prod P/G/A</v>
          </cell>
        </row>
        <row r="819">
          <cell r="D819" t="str">
            <v>AR10AE4020 - Lineas de Cond. De Prod P/G/A</v>
          </cell>
        </row>
        <row r="820">
          <cell r="D820" t="str">
            <v>AR10AE6020 - Lineas de Cond. De Prod P/G/A</v>
          </cell>
        </row>
        <row r="821">
          <cell r="D821" t="str">
            <v>AR10AE7020 - Lineas de Cond. De Prod P/G/A</v>
          </cell>
        </row>
        <row r="822">
          <cell r="D822" t="str">
            <v>AR10AE5020 - Lineas de Cond. De Prod P/G/A</v>
          </cell>
        </row>
        <row r="823">
          <cell r="D823" t="str">
            <v>AR10FEZ020 - Lineas de Cond. De Prod P/G/A</v>
          </cell>
        </row>
        <row r="824">
          <cell r="D824" t="str">
            <v>AR11CNZ020 - Lineas de Cond. De Prod P/G/A</v>
          </cell>
        </row>
        <row r="825">
          <cell r="D825" t="str">
            <v>AR40LA1020 - Lineas de Cond. De Prod P/G/A</v>
          </cell>
        </row>
        <row r="826">
          <cell r="D826" t="str">
            <v>AR40LA2020 - Lineas de Cond. De Prod P/G/A</v>
          </cell>
        </row>
        <row r="827">
          <cell r="D827" t="str">
            <v>AR41AC1020 - Lineas de Cond. De Prod P/G/A</v>
          </cell>
        </row>
        <row r="828">
          <cell r="D828" t="str">
            <v>AR41AC2020 - Lineas de Cond. De Prod P/G/A</v>
          </cell>
        </row>
        <row r="829">
          <cell r="D829" t="str">
            <v>AR41AC3020 - Lineas de Cond. De Prod P/G/A</v>
          </cell>
        </row>
        <row r="830">
          <cell r="D830" t="str">
            <v>AR41AC4020 - Lineas de Cond. De Prod P/G/A</v>
          </cell>
        </row>
        <row r="831">
          <cell r="D831" t="str">
            <v>AR41AC6020 - Lineas de Cond. De Prod P/G/A</v>
          </cell>
        </row>
        <row r="832">
          <cell r="D832" t="str">
            <v>AR41AC7020 - Lineas de Cond. De Prod P/G/A</v>
          </cell>
        </row>
        <row r="833">
          <cell r="D833" t="str">
            <v>AR41AC5020 - Lineas de Cond. De Prod P/G/A</v>
          </cell>
        </row>
        <row r="834">
          <cell r="D834" t="str">
            <v>AR42AFZ020 - Lineas de Cond. De Prod P/G/A</v>
          </cell>
        </row>
        <row r="835">
          <cell r="D835" t="str">
            <v>BO11CIZ020 - Lineas de Cond. De Prod P/G/A</v>
          </cell>
        </row>
        <row r="836">
          <cell r="D836" t="str">
            <v>BO11CNZ020 - Lineas de Cond. De Prod P/G/A</v>
          </cell>
        </row>
        <row r="837">
          <cell r="D837" t="str">
            <v>CL10CH1020 - Lineas de Cond. De Prod P/G/A</v>
          </cell>
        </row>
        <row r="838">
          <cell r="D838" t="str">
            <v>CL10CC1020 - Lineas de Cond. De Prod P/G/A</v>
          </cell>
        </row>
        <row r="839">
          <cell r="D839" t="str">
            <v>CL10CB1020 - Lineas de Cond. De Prod P/G/A</v>
          </cell>
        </row>
        <row r="840">
          <cell r="D840" t="str">
            <v>AR10APZ585 - Logística - Soporte y Ss. de negocios</v>
          </cell>
        </row>
        <row r="841">
          <cell r="D841" t="str">
            <v>AR10SRZ585 - Logística - Soporte y Ss. de negocios</v>
          </cell>
        </row>
        <row r="842">
          <cell r="D842" t="str">
            <v>AR10CDZ585 - Logística - Soporte y Ss. de negocios</v>
          </cell>
        </row>
        <row r="843">
          <cell r="D843" t="str">
            <v>AR10CK4585 - Logística - Soporte y Ss. de negocios</v>
          </cell>
        </row>
        <row r="844">
          <cell r="D844" t="str">
            <v>AR10ANZ585 - Logística - Soporte y Ss. de negocios</v>
          </cell>
        </row>
        <row r="845">
          <cell r="D845" t="str">
            <v>AR10SNZ585 - Logística - Soporte y Ss. de negocios</v>
          </cell>
        </row>
        <row r="846">
          <cell r="D846" t="str">
            <v>AR104NZ585 - Logística - Soporte y Ss. de negocios</v>
          </cell>
        </row>
        <row r="847">
          <cell r="D847" t="str">
            <v>AR106NZ585 - Logística - Soporte y Ss. de negocios</v>
          </cell>
        </row>
        <row r="848">
          <cell r="D848" t="str">
            <v>AR10BNZ585 - Logística - Soporte y Ss. de negocios</v>
          </cell>
        </row>
        <row r="849">
          <cell r="D849" t="str">
            <v>AR40LE2585 - Logística - Soporte y Ss. de negocios</v>
          </cell>
        </row>
        <row r="850">
          <cell r="D850" t="str">
            <v>AR10AEZ585 - Logística - Soporte y Ss. de negocios</v>
          </cell>
        </row>
        <row r="851">
          <cell r="D851" t="str">
            <v>AR10FEZ585 - Logística - Soporte y Ss. de negocios</v>
          </cell>
        </row>
        <row r="852">
          <cell r="D852" t="str">
            <v>AR10CEZ585 - Logística - Soporte y Ss. de negocios</v>
          </cell>
        </row>
        <row r="853">
          <cell r="D853" t="str">
            <v>AR10SEZ585 - Logística - Soporte y Ss. de negocios</v>
          </cell>
        </row>
        <row r="854">
          <cell r="D854" t="str">
            <v>AR10BAZ585 - Logística - Soporte y Ss. de negocios</v>
          </cell>
        </row>
        <row r="855">
          <cell r="D855" t="str">
            <v>AR11CAZ585 - Logística - Soporte y Ss. de negocios</v>
          </cell>
        </row>
        <row r="856">
          <cell r="D856" t="str">
            <v>AR11CAZ585 - Logística - Soporte y Ss. de negocios</v>
          </cell>
        </row>
        <row r="857">
          <cell r="D857" t="str">
            <v>AR11CNZ585 - Logística - Soporte y Ss. de negocios</v>
          </cell>
        </row>
        <row r="858">
          <cell r="D858" t="str">
            <v>AR11SAZ585 - Logística - Soporte y Ss. de negocios</v>
          </cell>
        </row>
        <row r="859">
          <cell r="D859" t="str">
            <v>AR12FUZ585 - Logística - Soporte y Ss. de negocios</v>
          </cell>
        </row>
        <row r="860">
          <cell r="D860" t="str">
            <v>AR12FMZ585 - Logística - Soporte y Ss. de negocios</v>
          </cell>
        </row>
        <row r="861">
          <cell r="D861" t="str">
            <v>AR13BSZ585 - Logística - Soporte y Ss. de negocios</v>
          </cell>
        </row>
        <row r="862">
          <cell r="D862" t="str">
            <v>AR40LA2585 - Logística - Soporte y Ss. de negocios</v>
          </cell>
        </row>
        <row r="863">
          <cell r="D863" t="str">
            <v>AR41ACZ585 - Logística - Soporte y Ss. de negocios</v>
          </cell>
        </row>
        <row r="864">
          <cell r="D864" t="str">
            <v>AR42AFZ585 - Logística - Soporte y Ss. de negocios</v>
          </cell>
        </row>
        <row r="865">
          <cell r="D865" t="str">
            <v>AR43GCZ585 - Logística - Soporte y Ss. de negocios</v>
          </cell>
        </row>
        <row r="866">
          <cell r="D866" t="str">
            <v>AR44GSZ585 - Logística - Soporte y Ss. de negocios</v>
          </cell>
        </row>
        <row r="867">
          <cell r="D867" t="str">
            <v>BO10OGZ585 - Logística - Soporte y Ss. de negocios</v>
          </cell>
        </row>
        <row r="868">
          <cell r="D868" t="str">
            <v>BO11CIZ585 - Logística - Soporte y Ss. de negocios</v>
          </cell>
        </row>
        <row r="869">
          <cell r="D869" t="str">
            <v>BO11CNZ585 - Logística - Soporte y Ss. de negocios</v>
          </cell>
        </row>
        <row r="870">
          <cell r="D870" t="str">
            <v>CL10CH1585 - Logística - Soporte y Ss. de negocios</v>
          </cell>
        </row>
        <row r="871">
          <cell r="D871" t="str">
            <v>CL10CC1585 - Logística - Soporte y Ss. de negocios</v>
          </cell>
        </row>
        <row r="872">
          <cell r="D872" t="str">
            <v>CL10CB1585 - Logística - Soporte y Ss. de negocios</v>
          </cell>
        </row>
        <row r="873">
          <cell r="D873" t="str">
            <v>AR10CDZ590 - Mantenimiento</v>
          </cell>
        </row>
        <row r="874">
          <cell r="D874" t="str">
            <v>AR10CK4590 - Mantenimiento</v>
          </cell>
        </row>
        <row r="875">
          <cell r="D875" t="str">
            <v>AR10CD1220 - Mantenimiento AIB</v>
          </cell>
        </row>
        <row r="876">
          <cell r="D876" t="str">
            <v>AR10CD2220 - Mantenimiento AIB</v>
          </cell>
        </row>
        <row r="877">
          <cell r="D877" t="str">
            <v>AR10CD3220 - Mantenimiento AIB</v>
          </cell>
        </row>
        <row r="878">
          <cell r="D878" t="str">
            <v>AR10CD5220 - Mantenimiento AIB</v>
          </cell>
        </row>
        <row r="879">
          <cell r="D879" t="str">
            <v>AR10CD7220 - Mantenimiento AIB</v>
          </cell>
        </row>
        <row r="880">
          <cell r="D880" t="str">
            <v>AR10CD8220 - Mantenimiento AIB</v>
          </cell>
        </row>
        <row r="881">
          <cell r="D881" t="str">
            <v>AR10CD9220 - Mantenimiento AIB</v>
          </cell>
        </row>
        <row r="882">
          <cell r="D882" t="str">
            <v>AR10CK4220 - Mantenimiento AIB</v>
          </cell>
        </row>
        <row r="883">
          <cell r="D883" t="str">
            <v>AR10ANZ220 - Mantenimiento AIB</v>
          </cell>
        </row>
        <row r="884">
          <cell r="D884" t="str">
            <v>AR10SNZ220 - Mantenimiento AIB</v>
          </cell>
        </row>
        <row r="885">
          <cell r="D885" t="str">
            <v>AR104NZ220 - Mantenimiento AIB</v>
          </cell>
        </row>
        <row r="886">
          <cell r="D886" t="str">
            <v>AR106NZ220 - Mantenimiento AIB</v>
          </cell>
        </row>
        <row r="887">
          <cell r="D887" t="str">
            <v>AR10BNZ220 - Mantenimiento AIB</v>
          </cell>
        </row>
        <row r="888">
          <cell r="D888" t="str">
            <v>AR40LE1220 - Mantenimiento AIB</v>
          </cell>
        </row>
        <row r="889">
          <cell r="D889" t="str">
            <v>AR40LE2220 - Mantenimiento AIB</v>
          </cell>
        </row>
        <row r="890">
          <cell r="D890" t="str">
            <v>AR10AE1220 - Mantenimiento AIB</v>
          </cell>
        </row>
        <row r="891">
          <cell r="D891" t="str">
            <v>AR10AE2220 - Mantenimiento AIB</v>
          </cell>
        </row>
        <row r="892">
          <cell r="D892" t="str">
            <v>AR10AE3220 - Mantenimiento AIB</v>
          </cell>
        </row>
        <row r="893">
          <cell r="D893" t="str">
            <v>AR10AE4220 - Mantenimiento AIB</v>
          </cell>
        </row>
        <row r="894">
          <cell r="D894" t="str">
            <v>AR10AE6220 - Mantenimiento AIB</v>
          </cell>
        </row>
        <row r="895">
          <cell r="D895" t="str">
            <v>AR10AE7220 - Mantenimiento AIB</v>
          </cell>
        </row>
        <row r="896">
          <cell r="D896" t="str">
            <v>AR10AE5220 - Mantenimiento AIB</v>
          </cell>
        </row>
        <row r="897">
          <cell r="D897" t="str">
            <v>AR10FEZ220 - Mantenimiento AIB</v>
          </cell>
        </row>
        <row r="898">
          <cell r="D898" t="str">
            <v>AR11CNZ220 - Mantenimiento AIB</v>
          </cell>
        </row>
        <row r="899">
          <cell r="D899" t="str">
            <v>AR40LA1220 - Mantenimiento AIB</v>
          </cell>
        </row>
        <row r="900">
          <cell r="D900" t="str">
            <v>AR40LA2220 - Mantenimiento AIB</v>
          </cell>
        </row>
        <row r="901">
          <cell r="D901" t="str">
            <v>AR41AC1220 - Mantenimiento AIB</v>
          </cell>
        </row>
        <row r="902">
          <cell r="D902" t="str">
            <v>AR41AC2220 - Mantenimiento AIB</v>
          </cell>
        </row>
        <row r="903">
          <cell r="D903" t="str">
            <v>AR41AC3220 - Mantenimiento AIB</v>
          </cell>
        </row>
        <row r="904">
          <cell r="D904" t="str">
            <v>AR41AC4220 - Mantenimiento AIB</v>
          </cell>
        </row>
        <row r="905">
          <cell r="D905" t="str">
            <v>AR41AC6220 - Mantenimiento AIB</v>
          </cell>
        </row>
        <row r="906">
          <cell r="D906" t="str">
            <v>AR41AC7220 - Mantenimiento AIB</v>
          </cell>
        </row>
        <row r="907">
          <cell r="D907" t="str">
            <v>AR41AC5220 - Mantenimiento AIB</v>
          </cell>
        </row>
        <row r="908">
          <cell r="D908" t="str">
            <v>AR42AFZ220 - Mantenimiento AIB</v>
          </cell>
        </row>
        <row r="909">
          <cell r="D909" t="str">
            <v>BO11CIZ220 - Mantenimiento AIB</v>
          </cell>
        </row>
        <row r="910">
          <cell r="D910" t="str">
            <v>BO11CNZ220 - Mantenimiento AIB</v>
          </cell>
        </row>
        <row r="911">
          <cell r="D911" t="str">
            <v>CL10CH1220 - Mantenimiento AIB</v>
          </cell>
        </row>
        <row r="912">
          <cell r="D912" t="str">
            <v>CL10CC1220 - Mantenimiento AIB</v>
          </cell>
        </row>
        <row r="913">
          <cell r="D913" t="str">
            <v>CL10CB1220 - Mantenimiento AIB</v>
          </cell>
        </row>
        <row r="914">
          <cell r="D914" t="str">
            <v>AR10CD1210 - Mantenimiento Automatización</v>
          </cell>
        </row>
        <row r="915">
          <cell r="D915" t="str">
            <v>AR10CD2210 - Mantenimiento Automatización</v>
          </cell>
        </row>
        <row r="916">
          <cell r="D916" t="str">
            <v>AR10CD3210 - Mantenimiento Automatización</v>
          </cell>
        </row>
        <row r="917">
          <cell r="D917" t="str">
            <v>AR10CD5210 - Mantenimiento Automatización</v>
          </cell>
        </row>
        <row r="918">
          <cell r="D918" t="str">
            <v>AR10CD7210 - Mantenimiento Automatización</v>
          </cell>
        </row>
        <row r="919">
          <cell r="D919" t="str">
            <v>AR10CD8210 - Mantenimiento Automatización</v>
          </cell>
        </row>
        <row r="920">
          <cell r="D920" t="str">
            <v>AR10CD9210 - Mantenimiento Automatización</v>
          </cell>
        </row>
        <row r="921">
          <cell r="D921" t="str">
            <v>AR10CDE210 - Mantenimiento Automatización</v>
          </cell>
        </row>
        <row r="922">
          <cell r="D922" t="str">
            <v>AR10CDP210 - Mantenimiento Automatización</v>
          </cell>
        </row>
        <row r="923">
          <cell r="D923" t="str">
            <v>AR10CK4210 - Mantenimiento Automatización</v>
          </cell>
        </row>
        <row r="924">
          <cell r="D924" t="str">
            <v>AR10ANZ210 - Mantenimiento Automatización</v>
          </cell>
        </row>
        <row r="925">
          <cell r="D925" t="str">
            <v>AR10SNZ210 - Mantenimiento Automatización</v>
          </cell>
        </row>
        <row r="926">
          <cell r="D926" t="str">
            <v>AR104NZ210 - Mantenimiento Automatización</v>
          </cell>
        </row>
        <row r="927">
          <cell r="D927" t="str">
            <v>AR106NZ210 - Mantenimiento Automatización</v>
          </cell>
        </row>
        <row r="928">
          <cell r="D928" t="str">
            <v>AR10BNZ210 - Mantenimiento Automatización</v>
          </cell>
        </row>
        <row r="929">
          <cell r="D929" t="str">
            <v>AR40LE1210 - Mantenimiento Automatización</v>
          </cell>
        </row>
        <row r="930">
          <cell r="D930" t="str">
            <v>AR40LE2210 - Mantenimiento Automatización</v>
          </cell>
        </row>
        <row r="931">
          <cell r="D931" t="str">
            <v>AR10AE1210 - Mantenimiento Automatización</v>
          </cell>
        </row>
        <row r="932">
          <cell r="D932" t="str">
            <v>AR10AE2210 - Mantenimiento Automatización</v>
          </cell>
        </row>
        <row r="933">
          <cell r="D933" t="str">
            <v>AR10AE3210 - Mantenimiento Automatización</v>
          </cell>
        </row>
        <row r="934">
          <cell r="D934" t="str">
            <v>AR10AE4210 - Mantenimiento Automatización</v>
          </cell>
        </row>
        <row r="935">
          <cell r="D935" t="str">
            <v>AR10AE6210 - Mantenimiento Automatización</v>
          </cell>
        </row>
        <row r="936">
          <cell r="D936" t="str">
            <v>AR10AE7210 - Mantenimiento Automatización</v>
          </cell>
        </row>
        <row r="937">
          <cell r="D937" t="str">
            <v>AR10AE5210 - Mantenimiento Automatización</v>
          </cell>
        </row>
        <row r="938">
          <cell r="D938" t="str">
            <v>AR10FEZ210 - Mantenimiento Automatización</v>
          </cell>
        </row>
        <row r="939">
          <cell r="D939" t="str">
            <v>AR11CNZ210 - Mantenimiento Automatización</v>
          </cell>
        </row>
        <row r="940">
          <cell r="D940" t="str">
            <v>AR40LA1210 - Mantenimiento Automatización</v>
          </cell>
        </row>
        <row r="941">
          <cell r="D941" t="str">
            <v>AR40LA2210 - Mantenimiento Automatización</v>
          </cell>
        </row>
        <row r="942">
          <cell r="D942" t="str">
            <v>AR41AC1210 - Mantenimiento Automatización</v>
          </cell>
        </row>
        <row r="943">
          <cell r="D943" t="str">
            <v>AR41AC2210 - Mantenimiento Automatización</v>
          </cell>
        </row>
        <row r="944">
          <cell r="D944" t="str">
            <v>AR41AC3210 - Mantenimiento Automatización</v>
          </cell>
        </row>
        <row r="945">
          <cell r="D945" t="str">
            <v>AR41AC4210 - Mantenimiento Automatización</v>
          </cell>
        </row>
        <row r="946">
          <cell r="D946" t="str">
            <v>AR41AC6210 - Mantenimiento Automatización</v>
          </cell>
        </row>
        <row r="947">
          <cell r="D947" t="str">
            <v>AR41AC7210 - Mantenimiento Automatización</v>
          </cell>
        </row>
        <row r="948">
          <cell r="D948" t="str">
            <v>AR41AC5210 - Mantenimiento Automatización</v>
          </cell>
        </row>
        <row r="949">
          <cell r="D949" t="str">
            <v>AR42AFZ210 - Mantenimiento Automatización</v>
          </cell>
        </row>
        <row r="950">
          <cell r="D950" t="str">
            <v>BO11CIZ210 - Mantenimiento Automatización</v>
          </cell>
        </row>
        <row r="951">
          <cell r="D951" t="str">
            <v>BO11CNZ210 - Mantenimiento Automatización</v>
          </cell>
        </row>
        <row r="952">
          <cell r="D952" t="str">
            <v>CL10CH1210 - Mantenimiento Automatización</v>
          </cell>
        </row>
        <row r="953">
          <cell r="D953" t="str">
            <v>CL10CC1210 - Mantenimiento Automatización</v>
          </cell>
        </row>
        <row r="954">
          <cell r="D954" t="str">
            <v>CL10CB1210 - Mantenimiento Automatización</v>
          </cell>
        </row>
        <row r="955">
          <cell r="D955" t="str">
            <v>AR10CD1270 - Mantenimiento de Ductos</v>
          </cell>
        </row>
        <row r="956">
          <cell r="D956" t="str">
            <v>AR10CD2270 - Mantenimiento de Ductos</v>
          </cell>
        </row>
        <row r="957">
          <cell r="D957" t="str">
            <v>AR10CD3270 - Mantenimiento de Ductos</v>
          </cell>
        </row>
        <row r="958">
          <cell r="D958" t="str">
            <v>AR10CD5270 - Mantenimiento de Ductos</v>
          </cell>
        </row>
        <row r="959">
          <cell r="D959" t="str">
            <v>AR10CD7270 - Mantenimiento de Ductos</v>
          </cell>
        </row>
        <row r="960">
          <cell r="D960" t="str">
            <v>AR10CD8270 - Mantenimiento de Ductos</v>
          </cell>
        </row>
        <row r="961">
          <cell r="D961" t="str">
            <v>AR10CD9270 - Mantenimiento de Ductos</v>
          </cell>
        </row>
        <row r="962">
          <cell r="D962" t="str">
            <v>AR10CDP270 - Mantenimiento de Ductos</v>
          </cell>
        </row>
        <row r="963">
          <cell r="D963" t="str">
            <v>AR10CK4270 - Mantenimiento de Ductos</v>
          </cell>
        </row>
        <row r="964">
          <cell r="D964" t="str">
            <v>AR10ANZ270 - Mantenimiento de Ductos</v>
          </cell>
        </row>
        <row r="965">
          <cell r="D965" t="str">
            <v>AR10SNZ270 - Mantenimiento de Ductos</v>
          </cell>
        </row>
        <row r="966">
          <cell r="D966" t="str">
            <v>AR104NZ270 - Mantenimiento de Ductos</v>
          </cell>
        </row>
        <row r="967">
          <cell r="D967" t="str">
            <v>AR106NZ270 - Mantenimiento de Ductos</v>
          </cell>
        </row>
        <row r="968">
          <cell r="D968" t="str">
            <v>AR10BNZ270 - Mantenimiento de Ductos</v>
          </cell>
        </row>
        <row r="969">
          <cell r="D969" t="str">
            <v>AR40LE1270 - Mantenimiento de Ductos</v>
          </cell>
        </row>
        <row r="970">
          <cell r="D970" t="str">
            <v>AR40LE2270 - Mantenimiento de Ductos</v>
          </cell>
        </row>
        <row r="971">
          <cell r="D971" t="str">
            <v>AR10AE1270 - Mantenimiento de Ductos</v>
          </cell>
        </row>
        <row r="972">
          <cell r="D972" t="str">
            <v>AR10AE2270 - Mantenimiento de Ductos</v>
          </cell>
        </row>
        <row r="973">
          <cell r="D973" t="str">
            <v>AR10AE3270 - Mantenimiento de Ductos</v>
          </cell>
        </row>
        <row r="974">
          <cell r="D974" t="str">
            <v>AR10AE4270 - Mantenimiento de Ductos</v>
          </cell>
        </row>
        <row r="975">
          <cell r="D975" t="str">
            <v>AR10AE6270 - Mantenimiento de Ductos</v>
          </cell>
        </row>
        <row r="976">
          <cell r="D976" t="str">
            <v>AR10AE7270 - Mantenimiento de Ductos</v>
          </cell>
        </row>
        <row r="977">
          <cell r="D977" t="str">
            <v>AR10AE5270 - Mantenimiento de Ductos</v>
          </cell>
        </row>
        <row r="978">
          <cell r="D978" t="str">
            <v>AR10FEZ270 - Mantenimiento de Ductos</v>
          </cell>
        </row>
        <row r="979">
          <cell r="D979" t="str">
            <v>AR11CNZ270 - Mantenimiento de Ductos</v>
          </cell>
        </row>
        <row r="980">
          <cell r="D980" t="str">
            <v>AR40LA1270 - Mantenimiento de Ductos</v>
          </cell>
        </row>
        <row r="981">
          <cell r="D981" t="str">
            <v>AR40LA2270 - Mantenimiento de Ductos</v>
          </cell>
        </row>
        <row r="982">
          <cell r="D982" t="str">
            <v>AR41AC1270 - Mantenimiento de Ductos</v>
          </cell>
        </row>
        <row r="983">
          <cell r="D983" t="str">
            <v>AR41AC2270 - Mantenimiento de Ductos</v>
          </cell>
        </row>
        <row r="984">
          <cell r="D984" t="str">
            <v>AR41AC3270 - Mantenimiento de Ductos</v>
          </cell>
        </row>
        <row r="985">
          <cell r="D985" t="str">
            <v>AR41AC4270 - Mantenimiento de Ductos</v>
          </cell>
        </row>
        <row r="986">
          <cell r="D986" t="str">
            <v>AR41AC6270 - Mantenimiento de Ductos</v>
          </cell>
        </row>
        <row r="987">
          <cell r="D987" t="str">
            <v>AR41AC7270 - Mantenimiento de Ductos</v>
          </cell>
        </row>
        <row r="988">
          <cell r="D988" t="str">
            <v>AR41AC5270 - Mantenimiento de Ductos</v>
          </cell>
        </row>
        <row r="989">
          <cell r="D989" t="str">
            <v>AR42AFZ270 - Mantenimiento de Ductos</v>
          </cell>
        </row>
        <row r="990">
          <cell r="D990" t="str">
            <v>BO11CIZ270 - Mantenimiento de Ductos</v>
          </cell>
        </row>
        <row r="991">
          <cell r="D991" t="str">
            <v>BO11CNZ270 - Mantenimiento de Ductos</v>
          </cell>
        </row>
        <row r="992">
          <cell r="D992" t="str">
            <v>CL10CH1270 - Mantenimiento de Ductos</v>
          </cell>
        </row>
        <row r="993">
          <cell r="D993" t="str">
            <v>CL10CC1270 - Mantenimiento de Ductos</v>
          </cell>
        </row>
        <row r="994">
          <cell r="D994" t="str">
            <v>CL10CB1270 - Mantenimiento de Ductos</v>
          </cell>
        </row>
        <row r="995">
          <cell r="D995" t="str">
            <v>AR10CD1280 - Mantenimiento de Otras plantas</v>
          </cell>
        </row>
        <row r="996">
          <cell r="D996" t="str">
            <v>AR10CD2280 - Mantenimiento de Otras plantas</v>
          </cell>
        </row>
        <row r="997">
          <cell r="D997" t="str">
            <v>AR10CD3280 - Mantenimiento de Otras plantas</v>
          </cell>
        </row>
        <row r="998">
          <cell r="D998" t="str">
            <v>AR10CD5280 - Mantenimiento de Otras plantas</v>
          </cell>
        </row>
        <row r="999">
          <cell r="D999" t="str">
            <v>AR10CD7280 - Mantenimiento de Otras plantas</v>
          </cell>
        </row>
        <row r="1000">
          <cell r="D1000" t="str">
            <v>AR10CD8280 - Mantenimiento de Otras plantas</v>
          </cell>
        </row>
        <row r="1001">
          <cell r="D1001" t="str">
            <v>AR10CD9280 - Mantenimiento de Otras plantas</v>
          </cell>
        </row>
        <row r="1002">
          <cell r="D1002" t="str">
            <v>AR10CDP280 - Mantenimiento de Otras plantas</v>
          </cell>
        </row>
        <row r="1003">
          <cell r="D1003" t="str">
            <v>AR10CK4280 - Mantenimiento de Otras plantas</v>
          </cell>
        </row>
        <row r="1004">
          <cell r="D1004" t="str">
            <v>AR10ANZ280 - Mantenimiento de Otras plantas</v>
          </cell>
        </row>
        <row r="1005">
          <cell r="D1005" t="str">
            <v>AR10SNZ280 - Mantenimiento de Otras plantas</v>
          </cell>
        </row>
        <row r="1006">
          <cell r="D1006" t="str">
            <v>AR104NZ280 - Mantenimiento de Otras plantas</v>
          </cell>
        </row>
        <row r="1007">
          <cell r="D1007" t="str">
            <v>AR106NZ280 - Mantenimiento de Otras plantas</v>
          </cell>
        </row>
        <row r="1008">
          <cell r="D1008" t="str">
            <v>AR10BNZ280 - Mantenimiento de Otras plantas</v>
          </cell>
        </row>
        <row r="1009">
          <cell r="D1009" t="str">
            <v>AR40LE1280 - Mantenimiento de Otras plantas</v>
          </cell>
        </row>
        <row r="1010">
          <cell r="D1010" t="str">
            <v>AR40LE2280 - Mantenimiento de Otras plantas</v>
          </cell>
        </row>
        <row r="1011">
          <cell r="D1011" t="str">
            <v>AR10AE1280 - Mantenimiento de Otras plantas</v>
          </cell>
        </row>
        <row r="1012">
          <cell r="D1012" t="str">
            <v>AR10AE2280 - Mantenimiento de Otras plantas</v>
          </cell>
        </row>
        <row r="1013">
          <cell r="D1013" t="str">
            <v>AR10AE3280 - Mantenimiento de Otras plantas</v>
          </cell>
        </row>
        <row r="1014">
          <cell r="D1014" t="str">
            <v>AR10AE4280 - Mantenimiento de Otras plantas</v>
          </cell>
        </row>
        <row r="1015">
          <cell r="D1015" t="str">
            <v>AR10AE6280 - Mantenimiento de Otras plantas</v>
          </cell>
        </row>
        <row r="1016">
          <cell r="D1016" t="str">
            <v>AR10AE7280 - Mantenimiento de Otras plantas</v>
          </cell>
        </row>
        <row r="1017">
          <cell r="D1017" t="str">
            <v>AR10AE5280 - Mantenimiento de Otras plantas</v>
          </cell>
        </row>
        <row r="1018">
          <cell r="D1018" t="str">
            <v>AR10FEZ280 - Mantenimiento de Otras plantas</v>
          </cell>
        </row>
        <row r="1019">
          <cell r="D1019" t="str">
            <v>AR11CNZ280 - Mantenimiento de Otras plantas</v>
          </cell>
        </row>
        <row r="1020">
          <cell r="D1020" t="str">
            <v>AR40LA1280 - Mantenimiento de Otras plantas</v>
          </cell>
        </row>
        <row r="1021">
          <cell r="D1021" t="str">
            <v>AR40LA2280 - Mantenimiento de Otras plantas</v>
          </cell>
        </row>
        <row r="1022">
          <cell r="D1022" t="str">
            <v>AR41AC1280 - Mantenimiento de Otras plantas</v>
          </cell>
        </row>
        <row r="1023">
          <cell r="D1023" t="str">
            <v>AR41AC2280 - Mantenimiento de Otras plantas</v>
          </cell>
        </row>
        <row r="1024">
          <cell r="D1024" t="str">
            <v>AR41AC3280 - Mantenimiento de Otras plantas</v>
          </cell>
        </row>
        <row r="1025">
          <cell r="D1025" t="str">
            <v>AR41AC4280 - Mantenimiento de Otras plantas</v>
          </cell>
        </row>
        <row r="1026">
          <cell r="D1026" t="str">
            <v>AR41AC6280 - Mantenimiento de Otras plantas</v>
          </cell>
        </row>
        <row r="1027">
          <cell r="D1027" t="str">
            <v>AR41AC7280 - Mantenimiento de Otras plantas</v>
          </cell>
        </row>
        <row r="1028">
          <cell r="D1028" t="str">
            <v>AR41AC5280 - Mantenimiento de Otras plantas</v>
          </cell>
        </row>
        <row r="1029">
          <cell r="D1029" t="str">
            <v>AR42AFZ280 - Mantenimiento de Otras plantas</v>
          </cell>
        </row>
        <row r="1030">
          <cell r="D1030" t="str">
            <v>BO11CIZ280 - Mantenimiento de Otras plantas</v>
          </cell>
        </row>
        <row r="1031">
          <cell r="D1031" t="str">
            <v>BO11CNZ280 - Mantenimiento de Otras plantas</v>
          </cell>
        </row>
        <row r="1032">
          <cell r="D1032" t="str">
            <v>CL10CH1280 - Mantenimiento de Otras plantas</v>
          </cell>
        </row>
        <row r="1033">
          <cell r="D1033" t="str">
            <v>CL10CC1280 - Mantenimiento de Otras plantas</v>
          </cell>
        </row>
        <row r="1034">
          <cell r="D1034" t="str">
            <v>CL10CB1280 - Mantenimiento de Otras plantas</v>
          </cell>
        </row>
        <row r="1035">
          <cell r="D1035" t="str">
            <v>AR10CD1290 - Mantenimiento Distribución Eléctrica</v>
          </cell>
        </row>
        <row r="1036">
          <cell r="D1036" t="str">
            <v>AR10CD2290 - Mantenimiento Distribución Eléctrica</v>
          </cell>
        </row>
        <row r="1037">
          <cell r="D1037" t="str">
            <v>AR10CD3290 - Mantenimiento Distribución Eléctrica</v>
          </cell>
        </row>
        <row r="1038">
          <cell r="D1038" t="str">
            <v>AR10CD5290 - Mantenimiento Distribución Eléctrica</v>
          </cell>
        </row>
        <row r="1039">
          <cell r="D1039" t="str">
            <v>AR10CD7290 - Mantenimiento Distribución Eléctrica</v>
          </cell>
        </row>
        <row r="1040">
          <cell r="D1040" t="str">
            <v>AR10CD8290 - Mantenimiento Distribución Eléctrica</v>
          </cell>
        </row>
        <row r="1041">
          <cell r="D1041" t="str">
            <v>AR10CD9290 - Mantenimiento Distribución Eléctrica</v>
          </cell>
        </row>
        <row r="1042">
          <cell r="D1042" t="str">
            <v>AR10CDE290 - Mantenimiento Distribución Eléctrica</v>
          </cell>
        </row>
        <row r="1043">
          <cell r="D1043" t="str">
            <v>AR10CK4290 - Mantenimiento Distribución Eléctrica</v>
          </cell>
        </row>
        <row r="1044">
          <cell r="D1044" t="str">
            <v>AR10ANZ290 - Mantenimiento Distribución Eléctrica</v>
          </cell>
        </row>
        <row r="1045">
          <cell r="D1045" t="str">
            <v>AR10SNZ290 - Mantenimiento Distribución Eléctrica</v>
          </cell>
        </row>
        <row r="1046">
          <cell r="D1046" t="str">
            <v>AR104NZ290 - Mantenimiento Distribución Eléctrica</v>
          </cell>
        </row>
        <row r="1047">
          <cell r="D1047" t="str">
            <v>AR106NZ290 - Mantenimiento Distribución Eléctrica</v>
          </cell>
        </row>
        <row r="1048">
          <cell r="D1048" t="str">
            <v>AR10BNZ290 - Mantenimiento Distribución Eléctrica</v>
          </cell>
        </row>
        <row r="1049">
          <cell r="D1049" t="str">
            <v>AR40LE1290 - Mantenimiento Distribución Eléctrica</v>
          </cell>
        </row>
        <row r="1050">
          <cell r="D1050" t="str">
            <v>AR40LE2290 - Mantenimiento Distribución Eléctrica</v>
          </cell>
        </row>
        <row r="1051">
          <cell r="D1051" t="str">
            <v>AR10AE1290 - Mantenimiento Distribución Eléctrica</v>
          </cell>
        </row>
        <row r="1052">
          <cell r="D1052" t="str">
            <v>AR10AE2290 - Mantenimiento Distribución Eléctrica</v>
          </cell>
        </row>
        <row r="1053">
          <cell r="D1053" t="str">
            <v>AR10AE3290 - Mantenimiento Distribución Eléctrica</v>
          </cell>
        </row>
        <row r="1054">
          <cell r="D1054" t="str">
            <v>AR10AE4290 - Mantenimiento Distribución Eléctrica</v>
          </cell>
        </row>
        <row r="1055">
          <cell r="D1055" t="str">
            <v>AR10AE6290 - Mantenimiento Distribución Eléctrica</v>
          </cell>
        </row>
        <row r="1056">
          <cell r="D1056" t="str">
            <v>AR10AE7290 - Mantenimiento Distribución Eléctrica</v>
          </cell>
        </row>
        <row r="1057">
          <cell r="D1057" t="str">
            <v>AR10AE5290 - Mantenimiento Distribución Eléctrica</v>
          </cell>
        </row>
        <row r="1058">
          <cell r="D1058" t="str">
            <v>AR10FEZ290 - Mantenimiento Distribución Eléctrica</v>
          </cell>
        </row>
        <row r="1059">
          <cell r="D1059" t="str">
            <v>AR11CNZ290 - Mantenimiento Distribución Eléctrica</v>
          </cell>
        </row>
        <row r="1060">
          <cell r="D1060" t="str">
            <v>AR40LA1290 - Mantenimiento Distribución Eléctrica</v>
          </cell>
        </row>
        <row r="1061">
          <cell r="D1061" t="str">
            <v>AR40LA2290 - Mantenimiento Distribución Eléctrica</v>
          </cell>
        </row>
        <row r="1062">
          <cell r="D1062" t="str">
            <v>AR41AC1290 - Mantenimiento Distribución Eléctrica</v>
          </cell>
        </row>
        <row r="1063">
          <cell r="D1063" t="str">
            <v>AR41AC2290 - Mantenimiento Distribución Eléctrica</v>
          </cell>
        </row>
        <row r="1064">
          <cell r="D1064" t="str">
            <v>AR41AC3290 - Mantenimiento Distribución Eléctrica</v>
          </cell>
        </row>
        <row r="1065">
          <cell r="D1065" t="str">
            <v>AR41AC4290 - Mantenimiento Distribución Eléctrica</v>
          </cell>
        </row>
        <row r="1066">
          <cell r="D1066" t="str">
            <v>AR41AC6290 - Mantenimiento Distribución Eléctrica</v>
          </cell>
        </row>
        <row r="1067">
          <cell r="D1067" t="str">
            <v>AR41AC7290 - Mantenimiento Distribución Eléctrica</v>
          </cell>
        </row>
        <row r="1068">
          <cell r="D1068" t="str">
            <v>AR41AC5290 - Mantenimiento Distribución Eléctrica</v>
          </cell>
        </row>
        <row r="1069">
          <cell r="D1069" t="str">
            <v>AR42AFZ290 - Mantenimiento Distribución Eléctrica</v>
          </cell>
        </row>
        <row r="1070">
          <cell r="D1070" t="str">
            <v>BO11CIZ290 - Mantenimiento Distribución Eléctrica</v>
          </cell>
        </row>
        <row r="1071">
          <cell r="D1071" t="str">
            <v>BO11CNZ290 - Mantenimiento Distribución Eléctrica</v>
          </cell>
        </row>
        <row r="1072">
          <cell r="D1072" t="str">
            <v>CL10CH1290 - Mantenimiento Distribución Eléctrica</v>
          </cell>
        </row>
        <row r="1073">
          <cell r="D1073" t="str">
            <v>CL10CC1290 - Mantenimiento Distribución Eléctrica</v>
          </cell>
        </row>
        <row r="1074">
          <cell r="D1074" t="str">
            <v>CL10CB1290 - Mantenimiento Distribución Eléctrica</v>
          </cell>
        </row>
        <row r="1075">
          <cell r="D1075" t="str">
            <v>AR10CD1300 - Mantenimiento Generación Eléctrica</v>
          </cell>
        </row>
        <row r="1076">
          <cell r="D1076" t="str">
            <v>AR10CD2300 - Mantenimiento Generación Eléctrica</v>
          </cell>
        </row>
        <row r="1077">
          <cell r="D1077" t="str">
            <v>AR10CD3300 - Mantenimiento Generación Eléctrica</v>
          </cell>
        </row>
        <row r="1078">
          <cell r="D1078" t="str">
            <v>AR10CD5300 - Mantenimiento Generación Eléctrica</v>
          </cell>
        </row>
        <row r="1079">
          <cell r="D1079" t="str">
            <v>AR10CD7300 - Mantenimiento Generación Eléctrica</v>
          </cell>
        </row>
        <row r="1080">
          <cell r="D1080" t="str">
            <v>AR10CD8300 - Mantenimiento Generación Eléctrica</v>
          </cell>
        </row>
        <row r="1081">
          <cell r="D1081" t="str">
            <v>AR10CD9300 - Mantenimiento Generación Eléctrica</v>
          </cell>
        </row>
        <row r="1082">
          <cell r="D1082" t="str">
            <v>AR10CDE300 - Mantenimiento Generación Eléctrica</v>
          </cell>
        </row>
        <row r="1083">
          <cell r="D1083" t="str">
            <v>AR10CK4300 - Mantenimiento Generación Eléctrica</v>
          </cell>
        </row>
        <row r="1084">
          <cell r="D1084" t="str">
            <v>AR10ANZ300 - Mantenimiento Generación Eléctrica</v>
          </cell>
        </row>
        <row r="1085">
          <cell r="D1085" t="str">
            <v>AR10SNZ300 - Mantenimiento Generación Eléctrica</v>
          </cell>
        </row>
        <row r="1086">
          <cell r="D1086" t="str">
            <v>AR104NZ300 - Mantenimiento Generación Eléctrica</v>
          </cell>
        </row>
        <row r="1087">
          <cell r="D1087" t="str">
            <v>AR106NZ300 - Mantenimiento Generación Eléctrica</v>
          </cell>
        </row>
        <row r="1088">
          <cell r="D1088" t="str">
            <v>AR10BNZ300 - Mantenimiento Generación Eléctrica</v>
          </cell>
        </row>
        <row r="1089">
          <cell r="D1089" t="str">
            <v>AR40LE1300 - Mantenimiento Generación Eléctrica</v>
          </cell>
        </row>
        <row r="1090">
          <cell r="D1090" t="str">
            <v>AR40LE2300 - Mantenimiento Generación Eléctrica</v>
          </cell>
        </row>
        <row r="1091">
          <cell r="D1091" t="str">
            <v>AR10AE1300 - Mantenimiento Generación Eléctrica</v>
          </cell>
        </row>
        <row r="1092">
          <cell r="D1092" t="str">
            <v>AR10AE2300 - Mantenimiento Generación Eléctrica</v>
          </cell>
        </row>
        <row r="1093">
          <cell r="D1093" t="str">
            <v>AR10AE3300 - Mantenimiento Generación Eléctrica</v>
          </cell>
        </row>
        <row r="1094">
          <cell r="D1094" t="str">
            <v>AR10AE4300 - Mantenimiento Generación Eléctrica</v>
          </cell>
        </row>
        <row r="1095">
          <cell r="D1095" t="str">
            <v>AR10AE6300 - Mantenimiento Generación Eléctrica</v>
          </cell>
        </row>
        <row r="1096">
          <cell r="D1096" t="str">
            <v>AR10AE7300 - Mantenimiento Generación Eléctrica</v>
          </cell>
        </row>
        <row r="1097">
          <cell r="D1097" t="str">
            <v>AR10AE5300 - Mantenimiento Generación Eléctrica</v>
          </cell>
        </row>
        <row r="1098">
          <cell r="D1098" t="str">
            <v>AR10FEZ300 - Mantenimiento Generación Eléctrica</v>
          </cell>
        </row>
        <row r="1099">
          <cell r="D1099" t="str">
            <v>AR11CNZ300 - Mantenimiento Generación Eléctrica</v>
          </cell>
        </row>
        <row r="1100">
          <cell r="D1100" t="str">
            <v>AR40LA1300 - Mantenimiento Generación Eléctrica</v>
          </cell>
        </row>
        <row r="1101">
          <cell r="D1101" t="str">
            <v>AR40LA2300 - Mantenimiento Generación Eléctrica</v>
          </cell>
        </row>
        <row r="1102">
          <cell r="D1102" t="str">
            <v>AR41AC1300 - Mantenimiento Generación Eléctrica</v>
          </cell>
        </row>
        <row r="1103">
          <cell r="D1103" t="str">
            <v>AR41AC2300 - Mantenimiento Generación Eléctrica</v>
          </cell>
        </row>
        <row r="1104">
          <cell r="D1104" t="str">
            <v>AR41AC3300 - Mantenimiento Generación Eléctrica</v>
          </cell>
        </row>
        <row r="1105">
          <cell r="D1105" t="str">
            <v>AR41AC4300 - Mantenimiento Generación Eléctrica</v>
          </cell>
        </row>
        <row r="1106">
          <cell r="D1106" t="str">
            <v>AR41AC6300 - Mantenimiento Generación Eléctrica</v>
          </cell>
        </row>
        <row r="1107">
          <cell r="D1107" t="str">
            <v>AR41AC7300 - Mantenimiento Generación Eléctrica</v>
          </cell>
        </row>
        <row r="1108">
          <cell r="D1108" t="str">
            <v>AR41AC5300 - Mantenimiento Generación Eléctrica</v>
          </cell>
        </row>
        <row r="1109">
          <cell r="D1109" t="str">
            <v>AR42AFZ300 - Mantenimiento Generación Eléctrica</v>
          </cell>
        </row>
        <row r="1110">
          <cell r="D1110" t="str">
            <v>BO11CIZ300 - Mantenimiento Generación Eléctrica</v>
          </cell>
        </row>
        <row r="1111">
          <cell r="D1111" t="str">
            <v>BO11CNZ300 - Mantenimiento Generación Eléctrica</v>
          </cell>
        </row>
        <row r="1112">
          <cell r="D1112" t="str">
            <v>CL10CH1300 - Mantenimiento Generación Eléctrica</v>
          </cell>
        </row>
        <row r="1113">
          <cell r="D1113" t="str">
            <v>CL10CC1300 - Mantenimiento Generación Eléctrica</v>
          </cell>
        </row>
        <row r="1114">
          <cell r="D1114" t="str">
            <v>CL10CB1300 - Mantenimiento Generación Eléctrica</v>
          </cell>
        </row>
        <row r="1115">
          <cell r="D1115" t="str">
            <v>AR10CD1240 - Mantenimiento PIAS</v>
          </cell>
        </row>
        <row r="1116">
          <cell r="D1116" t="str">
            <v>AR10CD2240 - Mantenimiento PIAS</v>
          </cell>
        </row>
        <row r="1117">
          <cell r="D1117" t="str">
            <v>AR10CD3240 - Mantenimiento PIAS</v>
          </cell>
        </row>
        <row r="1118">
          <cell r="D1118" t="str">
            <v>AR10CD5240 - Mantenimiento PIAS</v>
          </cell>
        </row>
        <row r="1119">
          <cell r="D1119" t="str">
            <v>AR10CD7240 - Mantenimiento PIAS</v>
          </cell>
        </row>
        <row r="1120">
          <cell r="D1120" t="str">
            <v>AR10CD8240 - Mantenimiento PIAS</v>
          </cell>
        </row>
        <row r="1121">
          <cell r="D1121" t="str">
            <v>AR10CD9240 - Mantenimiento PIAS</v>
          </cell>
        </row>
        <row r="1122">
          <cell r="D1122" t="str">
            <v>AR10CK4240 - Mantenimiento PIAS</v>
          </cell>
        </row>
        <row r="1123">
          <cell r="D1123" t="str">
            <v>AR10ANZ240 - Mantenimiento PIAS</v>
          </cell>
        </row>
        <row r="1124">
          <cell r="D1124" t="str">
            <v>AR10SNZ240 - Mantenimiento PIAS</v>
          </cell>
        </row>
        <row r="1125">
          <cell r="D1125" t="str">
            <v>AR104NZ240 - Mantenimiento PIAS</v>
          </cell>
        </row>
        <row r="1126">
          <cell r="D1126" t="str">
            <v>AR106NZ240 - Mantenimiento PIAS</v>
          </cell>
        </row>
        <row r="1127">
          <cell r="D1127" t="str">
            <v>AR10BNZ240 - Mantenimiento PIAS</v>
          </cell>
        </row>
        <row r="1128">
          <cell r="D1128" t="str">
            <v>AR40LE1240 - Mantenimiento PIAS</v>
          </cell>
        </row>
        <row r="1129">
          <cell r="D1129" t="str">
            <v>AR40LE2240 - Mantenimiento PIAS</v>
          </cell>
        </row>
        <row r="1130">
          <cell r="D1130" t="str">
            <v>AR10AE1240 - Mantenimiento PIAS</v>
          </cell>
        </row>
        <row r="1131">
          <cell r="D1131" t="str">
            <v>AR10AE2240 - Mantenimiento PIAS</v>
          </cell>
        </row>
        <row r="1132">
          <cell r="D1132" t="str">
            <v>AR10AE3240 - Mantenimiento PIAS</v>
          </cell>
        </row>
        <row r="1133">
          <cell r="D1133" t="str">
            <v>AR10AE4240 - Mantenimiento PIAS</v>
          </cell>
        </row>
        <row r="1134">
          <cell r="D1134" t="str">
            <v>AR10AE6240 - Mantenimiento PIAS</v>
          </cell>
        </row>
        <row r="1135">
          <cell r="D1135" t="str">
            <v>AR10AE7240 - Mantenimiento PIAS</v>
          </cell>
        </row>
        <row r="1136">
          <cell r="D1136" t="str">
            <v>AR10AE5240 - Mantenimiento PIAS</v>
          </cell>
        </row>
        <row r="1137">
          <cell r="D1137" t="str">
            <v>AR10FEZ240 - Mantenimiento PIAS</v>
          </cell>
        </row>
        <row r="1138">
          <cell r="D1138" t="str">
            <v>AR11CNZ240 - Mantenimiento PIAS</v>
          </cell>
        </row>
        <row r="1139">
          <cell r="D1139" t="str">
            <v>AR40LA1240 - Mantenimiento PIAS</v>
          </cell>
        </row>
        <row r="1140">
          <cell r="D1140" t="str">
            <v>AR40LA2240 - Mantenimiento PIAS</v>
          </cell>
        </row>
        <row r="1141">
          <cell r="D1141" t="str">
            <v>AR41AC1240 - Mantenimiento PIAS</v>
          </cell>
        </row>
        <row r="1142">
          <cell r="D1142" t="str">
            <v>AR41AC2240 - Mantenimiento PIAS</v>
          </cell>
        </row>
        <row r="1143">
          <cell r="D1143" t="str">
            <v>AR41AC3240 - Mantenimiento PIAS</v>
          </cell>
        </row>
        <row r="1144">
          <cell r="D1144" t="str">
            <v>AR41AC4240 - Mantenimiento PIAS</v>
          </cell>
        </row>
        <row r="1145">
          <cell r="D1145" t="str">
            <v>AR41AC6240 - Mantenimiento PIAS</v>
          </cell>
        </row>
        <row r="1146">
          <cell r="D1146" t="str">
            <v>AR41AC7240 - Mantenimiento PIAS</v>
          </cell>
        </row>
        <row r="1147">
          <cell r="D1147" t="str">
            <v>AR41AC5240 - Mantenimiento PIAS</v>
          </cell>
        </row>
        <row r="1148">
          <cell r="D1148" t="str">
            <v>AR42AFZ240 - Mantenimiento PIAS</v>
          </cell>
        </row>
        <row r="1149">
          <cell r="D1149" t="str">
            <v>BO11CIZ240 - Mantenimiento PIAS</v>
          </cell>
        </row>
        <row r="1150">
          <cell r="D1150" t="str">
            <v>BO11CNZ240 - Mantenimiento PIAS</v>
          </cell>
        </row>
        <row r="1151">
          <cell r="D1151" t="str">
            <v>CL10CH1240 - Mantenimiento PIAS</v>
          </cell>
        </row>
        <row r="1152">
          <cell r="D1152" t="str">
            <v>CL10CC1240 - Mantenimiento PIAS</v>
          </cell>
        </row>
        <row r="1153">
          <cell r="D1153" t="str">
            <v>CL10CB1240 - Mantenimiento PIAS</v>
          </cell>
        </row>
        <row r="1154">
          <cell r="D1154" t="str">
            <v>AR10CD1250 - Mantenimiento Plantas Compresión</v>
          </cell>
        </row>
        <row r="1155">
          <cell r="D1155" t="str">
            <v>AR10CD2250 - Mantenimiento Plantas Compresión</v>
          </cell>
        </row>
        <row r="1156">
          <cell r="D1156" t="str">
            <v>AR10CD3250 - Mantenimiento Plantas Compresión</v>
          </cell>
        </row>
        <row r="1157">
          <cell r="D1157" t="str">
            <v>AR10CD5250 - Mantenimiento Plantas Compresión</v>
          </cell>
        </row>
        <row r="1158">
          <cell r="D1158" t="str">
            <v>AR10CD7250 - Mantenimiento Plantas Compresión</v>
          </cell>
        </row>
        <row r="1159">
          <cell r="D1159" t="str">
            <v>AR10CD8250 - Mantenimiento Plantas Compresión</v>
          </cell>
        </row>
        <row r="1160">
          <cell r="D1160" t="str">
            <v>AR10CD9250 - Mantenimiento Plantas Compresión</v>
          </cell>
        </row>
        <row r="1161">
          <cell r="D1161" t="str">
            <v>AR10CDP250 - Mantenimiento Plantas Compresión</v>
          </cell>
        </row>
        <row r="1162">
          <cell r="D1162" t="str">
            <v>AR10CK4250 - Mantenimiento Plantas Compresión</v>
          </cell>
        </row>
        <row r="1163">
          <cell r="D1163" t="str">
            <v>AR10ANZ250 - Mantenimiento Plantas Compresión</v>
          </cell>
        </row>
        <row r="1164">
          <cell r="D1164" t="str">
            <v>AR10SNZ250 - Mantenimiento Plantas Compresión</v>
          </cell>
        </row>
        <row r="1165">
          <cell r="D1165" t="str">
            <v>AR104NZ250 - Mantenimiento Plantas Compresión</v>
          </cell>
        </row>
        <row r="1166">
          <cell r="D1166" t="str">
            <v>AR106NZ250 - Mantenimiento Plantas Compresión</v>
          </cell>
        </row>
        <row r="1167">
          <cell r="D1167" t="str">
            <v>AR10BNZ250 - Mantenimiento Plantas Compresión</v>
          </cell>
        </row>
        <row r="1168">
          <cell r="D1168" t="str">
            <v>AR40LE1250 - Mantenimiento Plantas Compresión</v>
          </cell>
        </row>
        <row r="1169">
          <cell r="D1169" t="str">
            <v>AR40LE2250 - Mantenimiento Plantas Compresión</v>
          </cell>
        </row>
        <row r="1170">
          <cell r="D1170" t="str">
            <v>AR10AE1250 - Mantenimiento Plantas Compresión</v>
          </cell>
        </row>
        <row r="1171">
          <cell r="D1171" t="str">
            <v>AR10AE2250 - Mantenimiento Plantas Compresión</v>
          </cell>
        </row>
        <row r="1172">
          <cell r="D1172" t="str">
            <v>AR10AE3250 - Mantenimiento Plantas Compresión</v>
          </cell>
        </row>
        <row r="1173">
          <cell r="D1173" t="str">
            <v>AR10AE4250 - Mantenimiento Plantas Compresión</v>
          </cell>
        </row>
        <row r="1174">
          <cell r="D1174" t="str">
            <v>AR10AE6250 - Mantenimiento Plantas Compresión</v>
          </cell>
        </row>
        <row r="1175">
          <cell r="D1175" t="str">
            <v>AR10AE7250 - Mantenimiento Plantas Compresión</v>
          </cell>
        </row>
        <row r="1176">
          <cell r="D1176" t="str">
            <v>AR10AE5250 - Mantenimiento Plantas Compresión</v>
          </cell>
        </row>
        <row r="1177">
          <cell r="D1177" t="str">
            <v>AR10FEZ250 - Mantenimiento Plantas Compresión</v>
          </cell>
        </row>
        <row r="1178">
          <cell r="D1178" t="str">
            <v>AR11CNZ250 - Mantenimiento Plantas Compresión</v>
          </cell>
        </row>
        <row r="1179">
          <cell r="D1179" t="str">
            <v>AR40LA1250 - Mantenimiento Plantas Compresión</v>
          </cell>
        </row>
        <row r="1180">
          <cell r="D1180" t="str">
            <v>AR40LA2250 - Mantenimiento Plantas Compresión</v>
          </cell>
        </row>
        <row r="1181">
          <cell r="D1181" t="str">
            <v>AR41AC1250 - Mantenimiento Plantas Compresión</v>
          </cell>
        </row>
        <row r="1182">
          <cell r="D1182" t="str">
            <v>AR41AC2250 - Mantenimiento Plantas Compresión</v>
          </cell>
        </row>
        <row r="1183">
          <cell r="D1183" t="str">
            <v>AR41AC3250 - Mantenimiento Plantas Compresión</v>
          </cell>
        </row>
        <row r="1184">
          <cell r="D1184" t="str">
            <v>AR41AC4250 - Mantenimiento Plantas Compresión</v>
          </cell>
        </row>
        <row r="1185">
          <cell r="D1185" t="str">
            <v>AR41AC6250 - Mantenimiento Plantas Compresión</v>
          </cell>
        </row>
        <row r="1186">
          <cell r="D1186" t="str">
            <v>AR41AC7250 - Mantenimiento Plantas Compresión</v>
          </cell>
        </row>
        <row r="1187">
          <cell r="D1187" t="str">
            <v>AR41AC5250 - Mantenimiento Plantas Compresión</v>
          </cell>
        </row>
        <row r="1188">
          <cell r="D1188" t="str">
            <v>AR42AFZ250 - Mantenimiento Plantas Compresión</v>
          </cell>
        </row>
        <row r="1189">
          <cell r="D1189" t="str">
            <v>BO11CIZ250 - Mantenimiento Plantas Compresión</v>
          </cell>
        </row>
        <row r="1190">
          <cell r="D1190" t="str">
            <v>BO11CNZ250 - Mantenimiento Plantas Compresión</v>
          </cell>
        </row>
        <row r="1191">
          <cell r="D1191" t="str">
            <v>CL10CH1250 - Mantenimiento Plantas Compresión</v>
          </cell>
        </row>
        <row r="1192">
          <cell r="D1192" t="str">
            <v>CL10CC1250 - Mantenimiento Plantas Compresión</v>
          </cell>
        </row>
        <row r="1193">
          <cell r="D1193" t="str">
            <v>CL10CB1250 - Mantenimiento Plantas Compresión</v>
          </cell>
        </row>
        <row r="1194">
          <cell r="D1194" t="str">
            <v>AR10CD1230 - Mantenimiento Plantas Tratamiento</v>
          </cell>
        </row>
        <row r="1195">
          <cell r="D1195" t="str">
            <v>AR10CD2230 - Mantenimiento Plantas Tratamiento</v>
          </cell>
        </row>
        <row r="1196">
          <cell r="D1196" t="str">
            <v>AR10CD3230 - Mantenimiento Plantas Tratamiento</v>
          </cell>
        </row>
        <row r="1197">
          <cell r="D1197" t="str">
            <v>AR10CD5230 - Mantenimiento Plantas Tratamiento</v>
          </cell>
        </row>
        <row r="1198">
          <cell r="D1198" t="str">
            <v>AR10CD7230 - Mantenimiento Plantas Tratamiento</v>
          </cell>
        </row>
        <row r="1199">
          <cell r="D1199" t="str">
            <v>AR10CD8230 - Mantenimiento Plantas Tratamiento</v>
          </cell>
        </row>
        <row r="1200">
          <cell r="D1200" t="str">
            <v>AR10CD9230 - Mantenimiento Plantas Tratamiento</v>
          </cell>
        </row>
        <row r="1201">
          <cell r="D1201" t="str">
            <v>AR10CDP230 - Mantenimiento Plantas Tratamiento</v>
          </cell>
        </row>
        <row r="1202">
          <cell r="D1202" t="str">
            <v>AR10CK4230 - Mantenimiento Plantas Tratamiento</v>
          </cell>
        </row>
        <row r="1203">
          <cell r="D1203" t="str">
            <v>AR10ANZ230 - Mantenimiento Plantas Tratamiento</v>
          </cell>
        </row>
        <row r="1204">
          <cell r="D1204" t="str">
            <v>AR10SNZ230 - Mantenimiento Plantas Tratamiento</v>
          </cell>
        </row>
        <row r="1205">
          <cell r="D1205" t="str">
            <v>AR104NZ230 - Mantenimiento Plantas Tratamiento</v>
          </cell>
        </row>
        <row r="1206">
          <cell r="D1206" t="str">
            <v>AR106NZ230 - Mantenimiento Plantas Tratamiento</v>
          </cell>
        </row>
        <row r="1207">
          <cell r="D1207" t="str">
            <v>AR10BNZ230 - Mantenimiento Plantas Tratamiento</v>
          </cell>
        </row>
        <row r="1208">
          <cell r="D1208" t="str">
            <v>AR40LE1230 - Mantenimiento Plantas Tratamiento</v>
          </cell>
        </row>
        <row r="1209">
          <cell r="D1209" t="str">
            <v>AR40LE2230 - Mantenimiento Plantas Tratamiento</v>
          </cell>
        </row>
        <row r="1210">
          <cell r="D1210" t="str">
            <v>AR10AE1230 - Mantenimiento Plantas Tratamiento</v>
          </cell>
        </row>
        <row r="1211">
          <cell r="D1211" t="str">
            <v>AR10AE2230 - Mantenimiento Plantas Tratamiento</v>
          </cell>
        </row>
        <row r="1212">
          <cell r="D1212" t="str">
            <v>AR10AE3230 - Mantenimiento Plantas Tratamiento</v>
          </cell>
        </row>
        <row r="1213">
          <cell r="D1213" t="str">
            <v>AR10AE4230 - Mantenimiento Plantas Tratamiento</v>
          </cell>
        </row>
        <row r="1214">
          <cell r="D1214" t="str">
            <v>AR10AE6230 - Mantenimiento Plantas Tratamiento</v>
          </cell>
        </row>
        <row r="1215">
          <cell r="D1215" t="str">
            <v>AR10AE7230 - Mantenimiento Plantas Tratamiento</v>
          </cell>
        </row>
        <row r="1216">
          <cell r="D1216" t="str">
            <v>AR10AE5230 - Mantenimiento Plantas Tratamiento</v>
          </cell>
        </row>
        <row r="1217">
          <cell r="D1217" t="str">
            <v>AR10FEZ230 - Mantenimiento Plantas Tratamiento</v>
          </cell>
        </row>
        <row r="1218">
          <cell r="D1218" t="str">
            <v>AR11CNZ230 - Mantenimiento Plantas Tratamiento</v>
          </cell>
        </row>
        <row r="1219">
          <cell r="D1219" t="str">
            <v>AR40LA1230 - Mantenimiento Plantas Tratamiento</v>
          </cell>
        </row>
        <row r="1220">
          <cell r="D1220" t="str">
            <v>AR40LA2230 - Mantenimiento Plantas Tratamiento</v>
          </cell>
        </row>
        <row r="1221">
          <cell r="D1221" t="str">
            <v>AR41AC1230 - Mantenimiento Plantas Tratamiento</v>
          </cell>
        </row>
        <row r="1222">
          <cell r="D1222" t="str">
            <v>AR41AC2230 - Mantenimiento Plantas Tratamiento</v>
          </cell>
        </row>
        <row r="1223">
          <cell r="D1223" t="str">
            <v>AR41AC3230 - Mantenimiento Plantas Tratamiento</v>
          </cell>
        </row>
        <row r="1224">
          <cell r="D1224" t="str">
            <v>AR41AC4230 - Mantenimiento Plantas Tratamiento</v>
          </cell>
        </row>
        <row r="1225">
          <cell r="D1225" t="str">
            <v>AR41AC6230 - Mantenimiento Plantas Tratamiento</v>
          </cell>
        </row>
        <row r="1226">
          <cell r="D1226" t="str">
            <v>AR41AC7230 - Mantenimiento Plantas Tratamiento</v>
          </cell>
        </row>
        <row r="1227">
          <cell r="D1227" t="str">
            <v>AR41AC5230 - Mantenimiento Plantas Tratamiento</v>
          </cell>
        </row>
        <row r="1228">
          <cell r="D1228" t="str">
            <v>AR42AFZ230 - Mantenimiento Plantas Tratamiento</v>
          </cell>
        </row>
        <row r="1229">
          <cell r="D1229" t="str">
            <v>BO11CIZ230 - Mantenimiento Plantas Tratamiento</v>
          </cell>
        </row>
        <row r="1230">
          <cell r="D1230" t="str">
            <v>BO11CNZ230 - Mantenimiento Plantas Tratamiento</v>
          </cell>
        </row>
        <row r="1231">
          <cell r="D1231" t="str">
            <v>CL10CH1230 - Mantenimiento Plantas Tratamiento</v>
          </cell>
        </row>
        <row r="1232">
          <cell r="D1232" t="str">
            <v>CL10CC1230 - Mantenimiento Plantas Tratamiento</v>
          </cell>
        </row>
        <row r="1233">
          <cell r="D1233" t="str">
            <v>CL10CB1230 - Mantenimiento Plantas Tratamiento</v>
          </cell>
        </row>
        <row r="1234">
          <cell r="D1234" t="str">
            <v>AR10CD1260 - Mantenimiento Vehiculos</v>
          </cell>
        </row>
        <row r="1235">
          <cell r="D1235" t="str">
            <v>AR10CD2260 - Mantenimiento Vehiculos</v>
          </cell>
        </row>
        <row r="1236">
          <cell r="D1236" t="str">
            <v>AR10CD3260 - Mantenimiento Vehiculos</v>
          </cell>
        </row>
        <row r="1237">
          <cell r="D1237" t="str">
            <v>AR10CD5260 - Mantenimiento Vehiculos</v>
          </cell>
        </row>
        <row r="1238">
          <cell r="D1238" t="str">
            <v>AR10CD7260 - Mantenimiento Vehiculos</v>
          </cell>
        </row>
        <row r="1239">
          <cell r="D1239" t="str">
            <v>AR10CD8260 - Mantenimiento Vehiculos</v>
          </cell>
        </row>
        <row r="1240">
          <cell r="D1240" t="str">
            <v>AR10CD9260 - Mantenimiento Vehiculos</v>
          </cell>
        </row>
        <row r="1241">
          <cell r="D1241" t="str">
            <v>AR10CDP260 - Mantenimiento Vehiculos</v>
          </cell>
        </row>
        <row r="1242">
          <cell r="D1242" t="str">
            <v>AR10CK4260 - Mantenimiento Vehiculos</v>
          </cell>
        </row>
        <row r="1243">
          <cell r="D1243" t="str">
            <v>AR10ANZ260 - Mantenimiento Vehiculos</v>
          </cell>
        </row>
        <row r="1244">
          <cell r="D1244" t="str">
            <v>AR10SNZ260 - Mantenimiento Vehiculos</v>
          </cell>
        </row>
        <row r="1245">
          <cell r="D1245" t="str">
            <v>AR104NZ260 - Mantenimiento Vehiculos</v>
          </cell>
        </row>
        <row r="1246">
          <cell r="D1246" t="str">
            <v>AR106NZ260 - Mantenimiento Vehiculos</v>
          </cell>
        </row>
        <row r="1247">
          <cell r="D1247" t="str">
            <v>AR10BNZ260 - Mantenimiento Vehiculos</v>
          </cell>
        </row>
        <row r="1248">
          <cell r="D1248" t="str">
            <v>AR40LE1260 - Mantenimiento Vehiculos</v>
          </cell>
        </row>
        <row r="1249">
          <cell r="D1249" t="str">
            <v>AR40LE2260 - Mantenimiento Vehiculos</v>
          </cell>
        </row>
        <row r="1250">
          <cell r="D1250" t="str">
            <v>AR10AE1260 - Mantenimiento Vehiculos</v>
          </cell>
        </row>
        <row r="1251">
          <cell r="D1251" t="str">
            <v>AR10AE2260 - Mantenimiento Vehiculos</v>
          </cell>
        </row>
        <row r="1252">
          <cell r="D1252" t="str">
            <v>AR10AE3260 - Mantenimiento Vehiculos</v>
          </cell>
        </row>
        <row r="1253">
          <cell r="D1253" t="str">
            <v>AR10AE4260 - Mantenimiento Vehiculos</v>
          </cell>
        </row>
        <row r="1254">
          <cell r="D1254" t="str">
            <v>AR10AE6260 - Mantenimiento Vehiculos</v>
          </cell>
        </row>
        <row r="1255">
          <cell r="D1255" t="str">
            <v>AR10AE7260 - Mantenimiento Vehiculos</v>
          </cell>
        </row>
        <row r="1256">
          <cell r="D1256" t="str">
            <v>AR10AE5260 - Mantenimiento Vehiculos</v>
          </cell>
        </row>
        <row r="1257">
          <cell r="D1257" t="str">
            <v>AR10FEZ260 - Mantenimiento Vehiculos</v>
          </cell>
        </row>
        <row r="1258">
          <cell r="D1258" t="str">
            <v>AR11CNZ260 - Mantenimiento Vehiculos</v>
          </cell>
        </row>
        <row r="1259">
          <cell r="D1259" t="str">
            <v>AR40LA1260 - Mantenimiento Vehiculos</v>
          </cell>
        </row>
        <row r="1260">
          <cell r="D1260" t="str">
            <v>AR40LA2260 - Mantenimiento Vehiculos</v>
          </cell>
        </row>
        <row r="1261">
          <cell r="D1261" t="str">
            <v>AR41AC1260 - Mantenimiento Vehiculos</v>
          </cell>
        </row>
        <row r="1262">
          <cell r="D1262" t="str">
            <v>AR41AC2260 - Mantenimiento Vehiculos</v>
          </cell>
        </row>
        <row r="1263">
          <cell r="D1263" t="str">
            <v>AR41AC3260 - Mantenimiento Vehiculos</v>
          </cell>
        </row>
        <row r="1264">
          <cell r="D1264" t="str">
            <v>AR41AC4260 - Mantenimiento Vehiculos</v>
          </cell>
        </row>
        <row r="1265">
          <cell r="D1265" t="str">
            <v>AR41AC6260 - Mantenimiento Vehiculos</v>
          </cell>
        </row>
        <row r="1266">
          <cell r="D1266" t="str">
            <v>AR41AC7260 - Mantenimiento Vehiculos</v>
          </cell>
        </row>
        <row r="1267">
          <cell r="D1267" t="str">
            <v>AR41AC5260 - Mantenimiento Vehiculos</v>
          </cell>
        </row>
        <row r="1268">
          <cell r="D1268" t="str">
            <v>AR42AFZ260 - Mantenimiento Vehiculos</v>
          </cell>
        </row>
        <row r="1269">
          <cell r="D1269" t="str">
            <v>BO11CIZ260 - Mantenimiento Vehiculos</v>
          </cell>
        </row>
        <row r="1270">
          <cell r="D1270" t="str">
            <v>BO11CNZ260 - Mantenimiento Vehiculos</v>
          </cell>
        </row>
        <row r="1271">
          <cell r="D1271" t="str">
            <v>CL10CH1260 - Mantenimiento Vehiculos</v>
          </cell>
        </row>
        <row r="1272">
          <cell r="D1272" t="str">
            <v>CL10CC1260 - Mantenimiento Vehiculos</v>
          </cell>
        </row>
        <row r="1273">
          <cell r="D1273" t="str">
            <v>CL10CB1260 - Mantenimiento Vehiculos</v>
          </cell>
        </row>
        <row r="1274">
          <cell r="D1274" t="str">
            <v>AR10APZ595 - Medio Ambiente</v>
          </cell>
        </row>
        <row r="1275">
          <cell r="D1275" t="str">
            <v>AR10SRZ595 - Medio Ambiente</v>
          </cell>
        </row>
        <row r="1276">
          <cell r="D1276" t="str">
            <v>AR1040Z595 - Medio Ambiente</v>
          </cell>
        </row>
        <row r="1277">
          <cell r="D1277" t="str">
            <v>AR1046Z595 - Medio Ambiente</v>
          </cell>
        </row>
        <row r="1278">
          <cell r="D1278" t="str">
            <v>AR10BCZ595 - Medio Ambiente</v>
          </cell>
        </row>
        <row r="1279">
          <cell r="D1279" t="str">
            <v>AR10CDZ595 - Medio Ambiente</v>
          </cell>
        </row>
        <row r="1280">
          <cell r="D1280" t="str">
            <v>AR10CK4595 - Medio Ambiente</v>
          </cell>
        </row>
        <row r="1281">
          <cell r="D1281" t="str">
            <v>AR10ANZ595 - Medio Ambiente</v>
          </cell>
        </row>
        <row r="1282">
          <cell r="D1282" t="str">
            <v>AR10SNZ595 - Medio Ambiente</v>
          </cell>
        </row>
        <row r="1283">
          <cell r="D1283" t="str">
            <v>AR104NZ595 - Medio Ambiente</v>
          </cell>
        </row>
        <row r="1284">
          <cell r="D1284" t="str">
            <v>AR106NZ595 - Medio Ambiente</v>
          </cell>
        </row>
        <row r="1285">
          <cell r="D1285" t="str">
            <v>AR10BNZ595 - Medio Ambiente</v>
          </cell>
        </row>
        <row r="1286">
          <cell r="D1286" t="str">
            <v>AR40LE2595 - Medio Ambiente</v>
          </cell>
        </row>
        <row r="1287">
          <cell r="D1287" t="str">
            <v>AR10AEZ595 - Medio Ambiente</v>
          </cell>
        </row>
        <row r="1288">
          <cell r="D1288" t="str">
            <v>AR10FEZ595 - Medio Ambiente</v>
          </cell>
        </row>
        <row r="1289">
          <cell r="D1289" t="str">
            <v>AR10BAZ595 - Medio Ambiente</v>
          </cell>
        </row>
        <row r="1290">
          <cell r="D1290" t="str">
            <v>AR11CNZ595 - Medio Ambiente</v>
          </cell>
        </row>
        <row r="1291">
          <cell r="D1291" t="str">
            <v>AR11SAZ595 - Medio Ambiente</v>
          </cell>
        </row>
        <row r="1292">
          <cell r="D1292" t="str">
            <v>AR12FUZ595 - Medio Ambiente</v>
          </cell>
        </row>
        <row r="1293">
          <cell r="D1293" t="str">
            <v>AR12FMZ595 - Medio Ambiente</v>
          </cell>
        </row>
        <row r="1294">
          <cell r="D1294" t="str">
            <v>AR13BSZ595 - Medio Ambiente</v>
          </cell>
        </row>
        <row r="1295">
          <cell r="D1295" t="str">
            <v>AR40LA2595 - Medio Ambiente</v>
          </cell>
        </row>
        <row r="1296">
          <cell r="D1296" t="str">
            <v>AR41ACZ595 - Medio Ambiente</v>
          </cell>
        </row>
        <row r="1297">
          <cell r="D1297" t="str">
            <v>AR42AFZ595 - Medio Ambiente</v>
          </cell>
        </row>
        <row r="1298">
          <cell r="D1298" t="str">
            <v>CL10CH1595 - Medio Ambiente</v>
          </cell>
        </row>
        <row r="1299">
          <cell r="D1299" t="str">
            <v>CL10CC1595 - Medio Ambiente</v>
          </cell>
        </row>
        <row r="1300">
          <cell r="D1300" t="str">
            <v>CL10CB1595 - Medio Ambiente</v>
          </cell>
        </row>
        <row r="1301">
          <cell r="D1301" t="str">
            <v>AR10APZ850 - Oil</v>
          </cell>
        </row>
        <row r="1302">
          <cell r="D1302" t="str">
            <v>AR10SRZ850 - Oil</v>
          </cell>
        </row>
        <row r="1303">
          <cell r="D1303" t="str">
            <v>AR11CAZ850 - Oil</v>
          </cell>
        </row>
        <row r="1304">
          <cell r="D1304" t="str">
            <v>AR10LAZ850 - Oil Transportation</v>
          </cell>
        </row>
        <row r="1305">
          <cell r="D1305" t="str">
            <v>AR10ACZ850 - Oil Transportation</v>
          </cell>
        </row>
        <row r="1306">
          <cell r="D1306" t="str">
            <v>AR10GCZ850 - Oil Transportation</v>
          </cell>
        </row>
        <row r="1307">
          <cell r="D1307" t="str">
            <v>AR10GSZ850 - Oil Transportation</v>
          </cell>
        </row>
        <row r="1308">
          <cell r="D1308" t="str">
            <v>AR10CD1850 - Oil Transportation</v>
          </cell>
        </row>
        <row r="1309">
          <cell r="D1309" t="str">
            <v>AR10CD2850 - Oil Transportation</v>
          </cell>
        </row>
        <row r="1310">
          <cell r="D1310" t="str">
            <v>AR10CD3850 - Oil Transportation</v>
          </cell>
        </row>
        <row r="1311">
          <cell r="D1311" t="str">
            <v>AR10CD5850 - Oil Transportation</v>
          </cell>
        </row>
        <row r="1312">
          <cell r="D1312" t="str">
            <v>AR10CD7850 - Oil Transportation</v>
          </cell>
        </row>
        <row r="1313">
          <cell r="D1313" t="str">
            <v>AR10CD8850 - Oil Transportation</v>
          </cell>
        </row>
        <row r="1314">
          <cell r="D1314" t="str">
            <v>AR10CD9850 - Oil Transportation</v>
          </cell>
        </row>
        <row r="1315">
          <cell r="D1315" t="str">
            <v>AR10CDZ850 - Oil Transportation</v>
          </cell>
        </row>
        <row r="1316">
          <cell r="D1316" t="str">
            <v>AR10CK4850 - Oil Transportation</v>
          </cell>
        </row>
        <row r="1317">
          <cell r="D1317" t="str">
            <v>AR10ANZ850 - Oil Transportation</v>
          </cell>
        </row>
        <row r="1318">
          <cell r="D1318" t="str">
            <v>AR10SNZ850 - Oil Transportation</v>
          </cell>
        </row>
        <row r="1319">
          <cell r="D1319" t="str">
            <v>AR40LE2850 - Oil Transportation</v>
          </cell>
        </row>
        <row r="1320">
          <cell r="D1320" t="str">
            <v>AR10AEZ850 - Oil Transportation</v>
          </cell>
        </row>
        <row r="1321">
          <cell r="D1321" t="str">
            <v>AR11CNZ850 - Oil Transportation</v>
          </cell>
        </row>
        <row r="1322">
          <cell r="D1322" t="str">
            <v>AR11SAZ850 - Oil Transportation</v>
          </cell>
        </row>
        <row r="1323">
          <cell r="D1323" t="str">
            <v>AR12FUZ850 - Oil Transportation</v>
          </cell>
        </row>
        <row r="1324">
          <cell r="D1324" t="str">
            <v>AR12FMZ850 - Oil Transportation</v>
          </cell>
        </row>
        <row r="1325">
          <cell r="D1325" t="str">
            <v>AR40LA2850 - Oil Transportation</v>
          </cell>
        </row>
        <row r="1326">
          <cell r="D1326" t="str">
            <v>AR41ACZ850 - Oil Transportation</v>
          </cell>
        </row>
        <row r="1327">
          <cell r="D1327" t="str">
            <v>CL10CH1850 - Oil Transportation</v>
          </cell>
        </row>
        <row r="1328">
          <cell r="D1328" t="str">
            <v>CL10CC1850 - Oil Transportation</v>
          </cell>
        </row>
        <row r="1329">
          <cell r="D1329" t="str">
            <v>CL10CB1850 - Oil Transportation</v>
          </cell>
        </row>
        <row r="1330">
          <cell r="D1330" t="str">
            <v>AR10APZ657 - Op., Tecnal, Seg y Microinformatica</v>
          </cell>
        </row>
        <row r="1331">
          <cell r="D1331" t="str">
            <v>AR10SRZ657 - Op., Tecnal, Seg y Microinformatica</v>
          </cell>
        </row>
        <row r="1332">
          <cell r="D1332" t="str">
            <v>AR1040Z657 - Op., Tecnal, Seg y Microinformatica</v>
          </cell>
        </row>
        <row r="1333">
          <cell r="D1333" t="str">
            <v>AR1046Z657 - Op., Tecnal, Seg y Microinformatica</v>
          </cell>
        </row>
        <row r="1334">
          <cell r="D1334" t="str">
            <v>AR10BCZ657 - Op., Tecnal, Seg y Microinformatica</v>
          </cell>
        </row>
        <row r="1335">
          <cell r="D1335" t="str">
            <v>AR40LE2657 - Op., Tecnal, Seg y Microinformatica</v>
          </cell>
        </row>
        <row r="1336">
          <cell r="D1336" t="str">
            <v>AR10AEZ657 - Op., Tecnal, Seg y Microinformatica</v>
          </cell>
        </row>
        <row r="1337">
          <cell r="D1337" t="str">
            <v>AR10FEZ657 - Op., Tecnal, Seg y Microinformatica</v>
          </cell>
        </row>
        <row r="1338">
          <cell r="D1338" t="str">
            <v>AR10CEZ657 - Op., Tecnal, Seg y Microinformatica</v>
          </cell>
        </row>
        <row r="1339">
          <cell r="D1339" t="str">
            <v>AR10SEZ657 - Op., Tecnal, Seg y Microinformatica</v>
          </cell>
        </row>
        <row r="1340">
          <cell r="D1340" t="str">
            <v>AR10BAZ657 - Op., Tecnal, Seg y Microinformatica</v>
          </cell>
        </row>
        <row r="1341">
          <cell r="D1341" t="str">
            <v>AR11CAZ657 - Op., Tecnal, Seg y Microinformatica</v>
          </cell>
        </row>
        <row r="1342">
          <cell r="D1342" t="str">
            <v>AR12FUZ657 - Op., Tecnal, Seg y Microinformatica</v>
          </cell>
        </row>
        <row r="1343">
          <cell r="D1343" t="str">
            <v>AR12FMZ657 - Op., Tecnal, Seg y Microinformatica</v>
          </cell>
        </row>
        <row r="1344">
          <cell r="D1344" t="str">
            <v>AR13BSZ657 - Op., Tecnal, Seg y Microinformatica</v>
          </cell>
        </row>
        <row r="1345">
          <cell r="D1345" t="str">
            <v>AR40LA2657 - Op., Tecnal, Seg y Microinformatica</v>
          </cell>
        </row>
        <row r="1346">
          <cell r="D1346" t="str">
            <v>AR41ACZ657 - Op., Tecnal, Seg y Microinformatica</v>
          </cell>
        </row>
        <row r="1347">
          <cell r="D1347" t="str">
            <v>AR42AFZ657 - Op., Tecnal, Seg y Microinformatica</v>
          </cell>
        </row>
        <row r="1348">
          <cell r="D1348" t="str">
            <v>AR43GCZ657 - Op., Tecnal, Seg y Microinformatica</v>
          </cell>
        </row>
        <row r="1349">
          <cell r="D1349" t="str">
            <v>AR44GSZ657 - Op., Tecnal, Seg y Microinformatica</v>
          </cell>
        </row>
        <row r="1350">
          <cell r="D1350" t="str">
            <v>BO10OGZ657 - Op., Tecnal, Seg y Microinformatica</v>
          </cell>
        </row>
        <row r="1351">
          <cell r="D1351" t="str">
            <v>BO11CIZ657 - Op., Tecnal, Seg y Microinformatica</v>
          </cell>
        </row>
        <row r="1352">
          <cell r="D1352" t="str">
            <v>BO11CNZ657 - Op., Tecnal, Seg y Microinformatica</v>
          </cell>
        </row>
        <row r="1353">
          <cell r="D1353" t="str">
            <v>CL10CH1657 - Op., Tecnal, Seg y Microinformatica</v>
          </cell>
        </row>
        <row r="1354">
          <cell r="D1354" t="str">
            <v>CL10CC1657 - Op., Tecnal, Seg y Microinformatica</v>
          </cell>
        </row>
        <row r="1355">
          <cell r="D1355" t="str">
            <v>CL10CB1657 - Op., Tecnal, Seg y Microinformatica</v>
          </cell>
        </row>
        <row r="1356">
          <cell r="D1356" t="str">
            <v>AR10ANZ000 - Operación del distrito</v>
          </cell>
        </row>
        <row r="1357">
          <cell r="D1357" t="str">
            <v>AR10SNZ000 - Operación del distrito</v>
          </cell>
        </row>
        <row r="1358">
          <cell r="D1358" t="str">
            <v>AR104NZ000 - Operación del distrito</v>
          </cell>
        </row>
        <row r="1359">
          <cell r="D1359" t="str">
            <v>AR106NZ000 - Operación del distrito</v>
          </cell>
        </row>
        <row r="1360">
          <cell r="D1360" t="str">
            <v>AR10BNZ000 - Operación del distrito</v>
          </cell>
        </row>
        <row r="1361">
          <cell r="D1361" t="str">
            <v>AR11CNZ000 - Operación del distrito</v>
          </cell>
        </row>
        <row r="1362">
          <cell r="D1362" t="str">
            <v>AR10CDZ600 - Operaciones de Petróleo</v>
          </cell>
        </row>
        <row r="1363">
          <cell r="D1363" t="str">
            <v>AR10CK4600 - Operaciones de Petróleo</v>
          </cell>
        </row>
        <row r="1364">
          <cell r="D1364" t="str">
            <v>AR10AEZ600 - Operaciones de Petróleo</v>
          </cell>
        </row>
        <row r="1365">
          <cell r="D1365" t="str">
            <v>AR41ACZ600 - Operaciones de Petróleo</v>
          </cell>
        </row>
        <row r="1366">
          <cell r="D1366" t="str">
            <v>AR10CD1150 - PCP</v>
          </cell>
        </row>
        <row r="1367">
          <cell r="D1367" t="str">
            <v>AR10CD2150 - PCP</v>
          </cell>
        </row>
        <row r="1368">
          <cell r="D1368" t="str">
            <v>AR10CD3150 - PCP</v>
          </cell>
        </row>
        <row r="1369">
          <cell r="D1369" t="str">
            <v>AR10CD5150 - PCP</v>
          </cell>
        </row>
        <row r="1370">
          <cell r="D1370" t="str">
            <v>AR10CD7150 - PCP</v>
          </cell>
        </row>
        <row r="1371">
          <cell r="D1371" t="str">
            <v>AR10CD8150 - PCP</v>
          </cell>
        </row>
        <row r="1372">
          <cell r="D1372" t="str">
            <v>AR10CD9150 - PCP</v>
          </cell>
        </row>
        <row r="1373">
          <cell r="D1373" t="str">
            <v>AR10CK4150 - PCP</v>
          </cell>
        </row>
        <row r="1374">
          <cell r="D1374" t="str">
            <v>AR10ANZ150 - PCP</v>
          </cell>
        </row>
        <row r="1375">
          <cell r="D1375" t="str">
            <v>AR10SNZ150 - PCP</v>
          </cell>
        </row>
        <row r="1376">
          <cell r="D1376" t="str">
            <v>AR104NZ150 - PCP</v>
          </cell>
        </row>
        <row r="1377">
          <cell r="D1377" t="str">
            <v>AR106NZ150 - PCP</v>
          </cell>
        </row>
        <row r="1378">
          <cell r="D1378" t="str">
            <v>AR10BNZ150 - PCP</v>
          </cell>
        </row>
        <row r="1379">
          <cell r="D1379" t="str">
            <v>AR40LE1150 - PCP</v>
          </cell>
        </row>
        <row r="1380">
          <cell r="D1380" t="str">
            <v>AR40LE2150 - PCP</v>
          </cell>
        </row>
        <row r="1381">
          <cell r="D1381" t="str">
            <v>AR10AE1150 - PCP</v>
          </cell>
        </row>
        <row r="1382">
          <cell r="D1382" t="str">
            <v>AR10AE2150 - PCP</v>
          </cell>
        </row>
        <row r="1383">
          <cell r="D1383" t="str">
            <v>AR10AE3150 - PCP</v>
          </cell>
        </row>
        <row r="1384">
          <cell r="D1384" t="str">
            <v>AR10AE4150 - PCP</v>
          </cell>
        </row>
        <row r="1385">
          <cell r="D1385" t="str">
            <v>AR10AE5150 - PCP</v>
          </cell>
        </row>
        <row r="1386">
          <cell r="D1386" t="str">
            <v>AR10FEZ150 - PCP</v>
          </cell>
        </row>
        <row r="1387">
          <cell r="D1387" t="str">
            <v>AR11CNZ150 - PCP</v>
          </cell>
        </row>
        <row r="1388">
          <cell r="D1388" t="str">
            <v>AR40LA1150 - PCP</v>
          </cell>
        </row>
        <row r="1389">
          <cell r="D1389" t="str">
            <v>AR40LA2150 - PCP</v>
          </cell>
        </row>
        <row r="1390">
          <cell r="D1390" t="str">
            <v>AR41AC1150 - PCP</v>
          </cell>
        </row>
        <row r="1391">
          <cell r="D1391" t="str">
            <v>AR41AC2150 - PCP</v>
          </cell>
        </row>
        <row r="1392">
          <cell r="D1392" t="str">
            <v>AR41AC3150 - PCP</v>
          </cell>
        </row>
        <row r="1393">
          <cell r="D1393" t="str">
            <v>AR41AC4150 - PCP</v>
          </cell>
        </row>
        <row r="1394">
          <cell r="D1394" t="str">
            <v>AR41AC5150 - PCP</v>
          </cell>
        </row>
        <row r="1395">
          <cell r="D1395" t="str">
            <v>AR42AFZ150 - PCP</v>
          </cell>
        </row>
        <row r="1396">
          <cell r="D1396" t="str">
            <v>BO11CIZ150 - PCP</v>
          </cell>
        </row>
        <row r="1397">
          <cell r="D1397" t="str">
            <v>BO11CNZ150 - PCP</v>
          </cell>
        </row>
        <row r="1398">
          <cell r="D1398" t="str">
            <v>CL10CH1150 - PCP</v>
          </cell>
        </row>
        <row r="1399">
          <cell r="D1399" t="str">
            <v>CL10CC1150 - PCP</v>
          </cell>
        </row>
        <row r="1400">
          <cell r="D1400" t="str">
            <v>CL10CB1150 - PCP</v>
          </cell>
        </row>
        <row r="1401">
          <cell r="D1401" t="str">
            <v>AR10APZ685 - Perforación</v>
          </cell>
        </row>
        <row r="1402">
          <cell r="D1402" t="str">
            <v>AR10SRZ685 - Perforación</v>
          </cell>
        </row>
        <row r="1403">
          <cell r="D1403" t="str">
            <v>AR1040Z685 - Perforación</v>
          </cell>
        </row>
        <row r="1404">
          <cell r="D1404" t="str">
            <v>AR1046Z685 - Perforación</v>
          </cell>
        </row>
        <row r="1405">
          <cell r="D1405" t="str">
            <v>AR10BCZ685 - Perforación</v>
          </cell>
        </row>
        <row r="1406">
          <cell r="D1406" t="str">
            <v>AR10ANZ680 - Perforación</v>
          </cell>
        </row>
        <row r="1407">
          <cell r="D1407" t="str">
            <v>AR10SNZ680 - Perforación</v>
          </cell>
        </row>
        <row r="1408">
          <cell r="D1408" t="str">
            <v>AR104NZ680 - Perforación</v>
          </cell>
        </row>
        <row r="1409">
          <cell r="D1409" t="str">
            <v>AR106NZ680 - Perforación</v>
          </cell>
        </row>
        <row r="1410">
          <cell r="D1410" t="str">
            <v>AR10BNZ680 - Perforación</v>
          </cell>
        </row>
        <row r="1411">
          <cell r="D1411" t="str">
            <v>AR40LE2685 - Perforación</v>
          </cell>
        </row>
        <row r="1412">
          <cell r="D1412" t="str">
            <v>AR10AEZ685 - Perforación</v>
          </cell>
        </row>
        <row r="1413">
          <cell r="D1413" t="str">
            <v>AR10FEZ685 - Perforación</v>
          </cell>
        </row>
        <row r="1414">
          <cell r="D1414" t="str">
            <v>AR10CEZ685 - Perforación</v>
          </cell>
        </row>
        <row r="1415">
          <cell r="D1415" t="str">
            <v>AR10SEZ685 - Perforación</v>
          </cell>
        </row>
        <row r="1416">
          <cell r="D1416" t="str">
            <v>AR10BAZ685 - Perforación</v>
          </cell>
        </row>
        <row r="1417">
          <cell r="D1417" t="str">
            <v>AR11CAZ685 - Perforación</v>
          </cell>
        </row>
        <row r="1418">
          <cell r="D1418" t="str">
            <v>AR11CNZ680 - Perforación</v>
          </cell>
        </row>
        <row r="1419">
          <cell r="D1419" t="str">
            <v>AR11SAZ680 - Perforación</v>
          </cell>
        </row>
        <row r="1420">
          <cell r="D1420" t="str">
            <v>AR12FUZ685 - Perforación</v>
          </cell>
        </row>
        <row r="1421">
          <cell r="D1421" t="str">
            <v>AR12FMZ685 - Perforación</v>
          </cell>
        </row>
        <row r="1422">
          <cell r="D1422" t="str">
            <v>AR13BSZ685 - Perforación</v>
          </cell>
        </row>
        <row r="1423">
          <cell r="D1423" t="str">
            <v>AR40LA2685 - Perforación</v>
          </cell>
        </row>
        <row r="1424">
          <cell r="D1424" t="str">
            <v>AR41ACZ685 - Perforación</v>
          </cell>
        </row>
        <row r="1425">
          <cell r="D1425" t="str">
            <v>AR42AFZ685 - Perforación</v>
          </cell>
        </row>
        <row r="1426">
          <cell r="D1426" t="str">
            <v>AR43GCZ685 - Perforación</v>
          </cell>
        </row>
        <row r="1427">
          <cell r="D1427" t="str">
            <v>AR44GSZ685 - Perforación</v>
          </cell>
        </row>
        <row r="1428">
          <cell r="D1428" t="str">
            <v>BO10OGZ685 - Perforación</v>
          </cell>
        </row>
        <row r="1429">
          <cell r="D1429" t="str">
            <v>BO11CIZ685 - Perforación</v>
          </cell>
        </row>
        <row r="1430">
          <cell r="D1430" t="str">
            <v>BO11CNZ685 - Perforación</v>
          </cell>
        </row>
        <row r="1431">
          <cell r="D1431" t="str">
            <v>CL10CH1685 - Perforación</v>
          </cell>
        </row>
        <row r="1432">
          <cell r="D1432" t="str">
            <v>CL10CC1685 - Perforación</v>
          </cell>
        </row>
        <row r="1433">
          <cell r="D1433" t="str">
            <v>CL10CB1685 - Perforación</v>
          </cell>
        </row>
        <row r="1434">
          <cell r="D1434" t="str">
            <v>AR10APZ605 - Perforacion y Completación</v>
          </cell>
        </row>
        <row r="1435">
          <cell r="D1435" t="str">
            <v>AR10SRZ605 - Perforacion y Completación</v>
          </cell>
        </row>
        <row r="1436">
          <cell r="D1436" t="str">
            <v>AR1040Z605 - Perforacion y Completación</v>
          </cell>
        </row>
        <row r="1437">
          <cell r="D1437" t="str">
            <v>AR1046Z605 - Perforacion y Completación</v>
          </cell>
        </row>
        <row r="1438">
          <cell r="D1438" t="str">
            <v>AR10BCZ605 - Perforacion y Completación</v>
          </cell>
        </row>
        <row r="1439">
          <cell r="D1439" t="str">
            <v>AR10CDZ605 - Perforacion y Completación</v>
          </cell>
        </row>
        <row r="1440">
          <cell r="D1440" t="str">
            <v>AR10CK4605 - Perforacion y Completación</v>
          </cell>
        </row>
        <row r="1441">
          <cell r="D1441" t="str">
            <v>AR40LE2605 - Perforacion y Completación</v>
          </cell>
        </row>
        <row r="1442">
          <cell r="D1442" t="str">
            <v>AR10AEZ605 - Perforacion y Completación</v>
          </cell>
        </row>
        <row r="1443">
          <cell r="D1443" t="str">
            <v>AR10FEZ605 - Perforacion y Completación</v>
          </cell>
        </row>
        <row r="1444">
          <cell r="D1444" t="str">
            <v>AR10CEZ605 - Perforacion y Completación</v>
          </cell>
        </row>
        <row r="1445">
          <cell r="D1445" t="str">
            <v>AR10SEZ605 - Perforacion y Completación</v>
          </cell>
        </row>
        <row r="1446">
          <cell r="D1446" t="str">
            <v>AR11CAZ605 - Perforacion y Completación</v>
          </cell>
        </row>
        <row r="1447">
          <cell r="D1447" t="str">
            <v>AR40LA2605 - Perforacion y Completación</v>
          </cell>
        </row>
        <row r="1448">
          <cell r="D1448" t="str">
            <v>AR41ACZ605 - Perforacion y Completación</v>
          </cell>
        </row>
        <row r="1449">
          <cell r="D1449" t="str">
            <v>AR42AFZ605 - Perforacion y Completación</v>
          </cell>
        </row>
        <row r="1450">
          <cell r="D1450" t="str">
            <v>AR43GCZ605 - Perforacion y Completación</v>
          </cell>
        </row>
        <row r="1451">
          <cell r="D1451" t="str">
            <v>AR44GSZ605 - Perforacion y Completación</v>
          </cell>
        </row>
        <row r="1452">
          <cell r="D1452" t="str">
            <v>BO10OGZ605 - Perforacion y Completación</v>
          </cell>
        </row>
        <row r="1453">
          <cell r="D1453" t="str">
            <v>BO11CIZ605 - Perforacion y Completación</v>
          </cell>
        </row>
        <row r="1454">
          <cell r="D1454" t="str">
            <v>BO11CNZ605 - Perforacion y Completación</v>
          </cell>
        </row>
        <row r="1455">
          <cell r="D1455" t="str">
            <v>CL10CH1605 - Perforacion y Completación</v>
          </cell>
        </row>
        <row r="1456">
          <cell r="D1456" t="str">
            <v>CL10CC1605 - Perforacion y Completación</v>
          </cell>
        </row>
        <row r="1457">
          <cell r="D1457" t="str">
            <v>CL10CB1605 - Perforacion y Completación</v>
          </cell>
        </row>
        <row r="1458">
          <cell r="D1458" t="str">
            <v>AR10APZ610 - Planeam. Econ. &amp; Ev. Negocios</v>
          </cell>
        </row>
        <row r="1459">
          <cell r="D1459" t="str">
            <v>AR10SRZ610 - Planeam. Econ. &amp; Ev. Negocios</v>
          </cell>
        </row>
        <row r="1460">
          <cell r="D1460" t="str">
            <v>AR1040Z610 - Planeam. Econ. &amp; Ev. Negocios</v>
          </cell>
        </row>
        <row r="1461">
          <cell r="D1461" t="str">
            <v>AR1046Z610 - Planeam. Econ. &amp; Ev. Negocios</v>
          </cell>
        </row>
        <row r="1462">
          <cell r="D1462" t="str">
            <v>AR10BCZ610 - Planeam. Econ. &amp; Ev. Negocios</v>
          </cell>
        </row>
        <row r="1463">
          <cell r="D1463" t="str">
            <v>AR10CDZ610 - Planeam. Econ. &amp; Ev. Negocios</v>
          </cell>
        </row>
        <row r="1464">
          <cell r="D1464" t="str">
            <v>AR10CK4610 - Planeam. Econ. &amp; Ev. Negocios</v>
          </cell>
        </row>
        <row r="1465">
          <cell r="D1465" t="str">
            <v>AR10ANZ610 - Planeam. Econ. &amp; Ev. Negocios</v>
          </cell>
        </row>
        <row r="1466">
          <cell r="D1466" t="str">
            <v>AR10SNZ610 - Planeam. Econ. &amp; Ev. Negocios</v>
          </cell>
        </row>
        <row r="1467">
          <cell r="D1467" t="str">
            <v>AR104NZ610 - Planeam. Econ. &amp; Ev. Negocios</v>
          </cell>
        </row>
        <row r="1468">
          <cell r="D1468" t="str">
            <v>AR106NZ610 - Planeam. Econ. &amp; Ev. Negocios</v>
          </cell>
        </row>
        <row r="1469">
          <cell r="D1469" t="str">
            <v>AR10BNZ610 - Planeam. Econ. &amp; Ev. Negocios</v>
          </cell>
        </row>
        <row r="1470">
          <cell r="D1470" t="str">
            <v>AR40LE2610 - Planeam. Econ. &amp; Ev. Negocios</v>
          </cell>
        </row>
        <row r="1471">
          <cell r="D1471" t="str">
            <v>AR10AEZ610 - Planeam. Econ. &amp; Ev. Negocios</v>
          </cell>
        </row>
        <row r="1472">
          <cell r="D1472" t="str">
            <v>AR10FEZ610 - Planeam. Econ. &amp; Ev. Negocios</v>
          </cell>
        </row>
        <row r="1473">
          <cell r="D1473" t="str">
            <v>AR10CEZ610 - Planeam. Econ. &amp; Ev. Negocios</v>
          </cell>
        </row>
        <row r="1474">
          <cell r="D1474" t="str">
            <v>AR10SEZ610 - Planeam. Econ. &amp; Ev. Negocios</v>
          </cell>
        </row>
        <row r="1475">
          <cell r="D1475" t="str">
            <v>AR10BAZ610 - Planeam. Econ. &amp; Ev. Negocios</v>
          </cell>
        </row>
        <row r="1476">
          <cell r="D1476" t="str">
            <v>AR11CAZ610 - Planeam. Econ. &amp; Ev. Negocios</v>
          </cell>
        </row>
        <row r="1477">
          <cell r="D1477" t="str">
            <v>AR11CNZ610 - Planeam. Econ. &amp; Ev. Negocios</v>
          </cell>
        </row>
        <row r="1478">
          <cell r="D1478" t="str">
            <v>AR11SAZ610 - Planeam. Econ. &amp; Ev. Negocios</v>
          </cell>
        </row>
        <row r="1479">
          <cell r="D1479" t="str">
            <v>AR12FUZ610 - Planeam. Econ. &amp; Ev. Negocios</v>
          </cell>
        </row>
        <row r="1480">
          <cell r="D1480" t="str">
            <v>AR12FMZ610 - Planeam. Econ. &amp; Ev. Negocios</v>
          </cell>
        </row>
        <row r="1481">
          <cell r="D1481" t="str">
            <v>AR13BSZ610 - Planeam. Econ. &amp; Ev. Negocios</v>
          </cell>
        </row>
        <row r="1482">
          <cell r="D1482" t="str">
            <v>AR40LA2610 - Planeam. Econ. &amp; Ev. Negocios</v>
          </cell>
        </row>
        <row r="1483">
          <cell r="D1483" t="str">
            <v>AR41ACZ610 - Planeam. Econ. &amp; Ev. Negocios</v>
          </cell>
        </row>
        <row r="1484">
          <cell r="D1484" t="str">
            <v>AR42AFZ610 - Planeam. Econ. &amp; Ev. Negocios</v>
          </cell>
        </row>
        <row r="1485">
          <cell r="D1485" t="str">
            <v>AR43GCZ610 - Planeam. Econ. &amp; Ev. Negocios</v>
          </cell>
        </row>
        <row r="1486">
          <cell r="D1486" t="str">
            <v>AR44GSZ610 - Planeam. Econ. &amp; Ev. Negocios</v>
          </cell>
        </row>
        <row r="1487">
          <cell r="D1487" t="str">
            <v>BO10OGZ610 - Planeam. Econ. &amp; Ev. Negocios</v>
          </cell>
        </row>
        <row r="1488">
          <cell r="D1488" t="str">
            <v>BO11CIZ610 - Planeam. Econ. &amp; Ev. Negocios</v>
          </cell>
        </row>
        <row r="1489">
          <cell r="D1489" t="str">
            <v>BO11CNZ610 - Planeam. Econ. &amp; Ev. Negocios</v>
          </cell>
        </row>
        <row r="1490">
          <cell r="D1490" t="str">
            <v>CL10CH1610 - Planeam. Econ. &amp; Ev. Negocios</v>
          </cell>
        </row>
        <row r="1491">
          <cell r="D1491" t="str">
            <v>CL10CC1610 - Planeam. Econ. &amp; Ev. Negocios</v>
          </cell>
        </row>
        <row r="1492">
          <cell r="D1492" t="str">
            <v>CL10CB1610 - Planeam. Econ. &amp; Ev. Negocios</v>
          </cell>
        </row>
        <row r="1493">
          <cell r="D1493" t="str">
            <v>AR10CD1170 - Plunger lift</v>
          </cell>
        </row>
        <row r="1494">
          <cell r="D1494" t="str">
            <v>AR10CD2170 - Plunger lift</v>
          </cell>
        </row>
        <row r="1495">
          <cell r="D1495" t="str">
            <v>AR10CD3170 - Plunger lift</v>
          </cell>
        </row>
        <row r="1496">
          <cell r="D1496" t="str">
            <v>AR10CD5170 - Plunger lift</v>
          </cell>
        </row>
        <row r="1497">
          <cell r="D1497" t="str">
            <v>AR10CD7170 - Plunger lift</v>
          </cell>
        </row>
        <row r="1498">
          <cell r="D1498" t="str">
            <v>AR10CD8170 - Plunger lift</v>
          </cell>
        </row>
        <row r="1499">
          <cell r="D1499" t="str">
            <v>AR10CD9170 - Plunger lift</v>
          </cell>
        </row>
        <row r="1500">
          <cell r="D1500" t="str">
            <v>AR10CK4170 - Plunger lift</v>
          </cell>
        </row>
        <row r="1501">
          <cell r="D1501" t="str">
            <v>AR10ANZ170 - Plunger lift</v>
          </cell>
        </row>
        <row r="1502">
          <cell r="D1502" t="str">
            <v>AR10SNZ170 - Plunger lift</v>
          </cell>
        </row>
        <row r="1503">
          <cell r="D1503" t="str">
            <v>AR104NZ170 - Plunger lift</v>
          </cell>
        </row>
        <row r="1504">
          <cell r="D1504" t="str">
            <v>AR106NZ170 - Plunger lift</v>
          </cell>
        </row>
        <row r="1505">
          <cell r="D1505" t="str">
            <v>AR10BNZ170 - Plunger lift</v>
          </cell>
        </row>
        <row r="1506">
          <cell r="D1506" t="str">
            <v>AR40LE1170 - Plunger lift</v>
          </cell>
        </row>
        <row r="1507">
          <cell r="D1507" t="str">
            <v>AR40LE2170 - Plunger lift</v>
          </cell>
        </row>
        <row r="1508">
          <cell r="D1508" t="str">
            <v>AR10AE1170 - Plunger lift</v>
          </cell>
        </row>
        <row r="1509">
          <cell r="D1509" t="str">
            <v>AR10AE2170 - Plunger lift</v>
          </cell>
        </row>
        <row r="1510">
          <cell r="D1510" t="str">
            <v>AR10AE3170 - Plunger lift</v>
          </cell>
        </row>
        <row r="1511">
          <cell r="D1511" t="str">
            <v>AR10AE4170 - Plunger lift</v>
          </cell>
        </row>
        <row r="1512">
          <cell r="D1512" t="str">
            <v>AR10AE5170 - Plunger lift</v>
          </cell>
        </row>
        <row r="1513">
          <cell r="D1513" t="str">
            <v>AR10FEZ170 - Plunger lift</v>
          </cell>
        </row>
        <row r="1514">
          <cell r="D1514" t="str">
            <v>AR11CNZ170 - Plunger lift</v>
          </cell>
        </row>
        <row r="1515">
          <cell r="D1515" t="str">
            <v>AR40LA1170 - Plunger lift</v>
          </cell>
        </row>
        <row r="1516">
          <cell r="D1516" t="str">
            <v>AR40LA2170 - Plunger lift</v>
          </cell>
        </row>
        <row r="1517">
          <cell r="D1517" t="str">
            <v>AR41AC1170 - Plunger lift</v>
          </cell>
        </row>
        <row r="1518">
          <cell r="D1518" t="str">
            <v>AR41AC2170 - Plunger lift</v>
          </cell>
        </row>
        <row r="1519">
          <cell r="D1519" t="str">
            <v>AR41AC3170 - Plunger lift</v>
          </cell>
        </row>
        <row r="1520">
          <cell r="D1520" t="str">
            <v>AR41AC4170 - Plunger lift</v>
          </cell>
        </row>
        <row r="1521">
          <cell r="D1521" t="str">
            <v>AR41AC5170 - Plunger lift</v>
          </cell>
        </row>
        <row r="1522">
          <cell r="D1522" t="str">
            <v>AR42AFZ170 - Plunger lift</v>
          </cell>
        </row>
        <row r="1523">
          <cell r="D1523" t="str">
            <v>BO11CIZ170 - Plunger lift</v>
          </cell>
        </row>
        <row r="1524">
          <cell r="D1524" t="str">
            <v>BO11CNZ170 - Plunger lift</v>
          </cell>
        </row>
        <row r="1525">
          <cell r="D1525" t="str">
            <v>CL10CH1170 - Plunger lift</v>
          </cell>
        </row>
        <row r="1526">
          <cell r="D1526" t="str">
            <v>CL10CC1170 - Plunger lift</v>
          </cell>
        </row>
        <row r="1527">
          <cell r="D1527" t="str">
            <v>CL10CB1170 - Plunger lift</v>
          </cell>
        </row>
        <row r="1528">
          <cell r="D1528" t="str">
            <v>AR10CDZ615 - Prensa</v>
          </cell>
        </row>
        <row r="1529">
          <cell r="D1529" t="str">
            <v>AR10CK4615 - Prensa</v>
          </cell>
        </row>
        <row r="1530">
          <cell r="D1530" t="str">
            <v>AR40LE2615 - Prensa</v>
          </cell>
        </row>
        <row r="1531">
          <cell r="D1531" t="str">
            <v>AR10AEZ615 - Prensa</v>
          </cell>
        </row>
        <row r="1532">
          <cell r="D1532" t="str">
            <v>AR10FEZ615 - Prensa</v>
          </cell>
        </row>
        <row r="1533">
          <cell r="D1533" t="str">
            <v>AR10CEZ615 - Prensa</v>
          </cell>
        </row>
        <row r="1534">
          <cell r="D1534" t="str">
            <v>AR10SEZ615 - Prensa</v>
          </cell>
        </row>
        <row r="1535">
          <cell r="D1535" t="str">
            <v>AR11CAZ615 - Prensa</v>
          </cell>
        </row>
        <row r="1536">
          <cell r="D1536" t="str">
            <v>AR40LA2615 - Prensa</v>
          </cell>
        </row>
        <row r="1537">
          <cell r="D1537" t="str">
            <v>AR41ACZ615 - Prensa</v>
          </cell>
        </row>
        <row r="1538">
          <cell r="D1538" t="str">
            <v>AR42AFZ615 - Prensa</v>
          </cell>
        </row>
        <row r="1539">
          <cell r="D1539" t="str">
            <v>AR43GCZ615 - Prensa</v>
          </cell>
        </row>
        <row r="1540">
          <cell r="D1540" t="str">
            <v>AR44GSZ615 - Prensa</v>
          </cell>
        </row>
        <row r="1541">
          <cell r="D1541" t="str">
            <v>BO10OGZ615 - Prensa</v>
          </cell>
        </row>
        <row r="1542">
          <cell r="D1542" t="str">
            <v>BO11CIZ615 - Prensa</v>
          </cell>
        </row>
        <row r="1543">
          <cell r="D1543" t="str">
            <v>BO11CNZ615 - Prensa</v>
          </cell>
        </row>
        <row r="1544">
          <cell r="D1544" t="str">
            <v>CL10CH1615 - Prensa</v>
          </cell>
        </row>
        <row r="1545">
          <cell r="D1545" t="str">
            <v>CL10CC1615 - Prensa</v>
          </cell>
        </row>
        <row r="1546">
          <cell r="D1546" t="str">
            <v>CL10CB1615 - Prensa</v>
          </cell>
        </row>
        <row r="1547">
          <cell r="D1547" t="str">
            <v>AR10CD1000 - Programación y operación gral. Distrito</v>
          </cell>
        </row>
        <row r="1548">
          <cell r="D1548" t="str">
            <v>AR10CD2000 - Programación y operación gral. Distrito</v>
          </cell>
        </row>
        <row r="1549">
          <cell r="D1549" t="str">
            <v>AR10CD3000 - Programación y operación gral. Distrito</v>
          </cell>
        </row>
        <row r="1550">
          <cell r="D1550" t="str">
            <v>AR10CD5000 - Programación y operación gral. Distrito</v>
          </cell>
        </row>
        <row r="1551">
          <cell r="D1551" t="str">
            <v>AR10CD7000 - Programación y operación gral. Distrito</v>
          </cell>
        </row>
        <row r="1552">
          <cell r="D1552" t="str">
            <v>AR10CD8000 - Programación y operación gral. Distrito</v>
          </cell>
        </row>
        <row r="1553">
          <cell r="D1553" t="str">
            <v>AR10CD9000 - Programación y operación gral. Distrito</v>
          </cell>
        </row>
        <row r="1554">
          <cell r="D1554" t="str">
            <v>AR10CDE000 - Programación y operación gral. Distrito</v>
          </cell>
        </row>
        <row r="1555">
          <cell r="D1555" t="str">
            <v>AR10CDP000 - Programación y operación gral. Distrito</v>
          </cell>
        </row>
        <row r="1556">
          <cell r="D1556" t="str">
            <v>AR10CDZ000 - Programación y operación gral. Distrito</v>
          </cell>
        </row>
        <row r="1557">
          <cell r="D1557" t="str">
            <v>AR10CK4000 - Programación y operación gral. Distrito</v>
          </cell>
        </row>
        <row r="1558">
          <cell r="D1558" t="str">
            <v>AR40LE1000 - Programación y operación gral. Distrito</v>
          </cell>
        </row>
        <row r="1559">
          <cell r="D1559" t="str">
            <v>AR40LE2000 - Programación y operación gral. Distrito</v>
          </cell>
        </row>
        <row r="1560">
          <cell r="D1560" t="str">
            <v>AR40LE2000 - Programación y operación gral. Distrito</v>
          </cell>
        </row>
        <row r="1561">
          <cell r="D1561" t="str">
            <v>AR10AE1000 - Programación y operación gral. Distrito</v>
          </cell>
        </row>
        <row r="1562">
          <cell r="D1562" t="str">
            <v>AR10AE2000 - Programación y operación gral. Distrito</v>
          </cell>
        </row>
        <row r="1563">
          <cell r="D1563" t="str">
            <v>AR10AE3000 - Programación y operación gral. Distrito</v>
          </cell>
        </row>
        <row r="1564">
          <cell r="D1564" t="str">
            <v>AR10AE4000 - Programación y operación gral. Distrito</v>
          </cell>
        </row>
        <row r="1565">
          <cell r="D1565" t="str">
            <v>AR10AE5000 - Programación y operación gral. Distrito</v>
          </cell>
        </row>
        <row r="1566">
          <cell r="D1566" t="str">
            <v>AR10FEZ000 - Programación y operación gral. Distrito</v>
          </cell>
        </row>
        <row r="1567">
          <cell r="D1567" t="str">
            <v>AR40LA1000 - Programación y operación gral. Distrito</v>
          </cell>
        </row>
        <row r="1568">
          <cell r="D1568" t="str">
            <v>AR40LA2000 - Programación y operación gral. Distrito</v>
          </cell>
        </row>
        <row r="1569">
          <cell r="D1569" t="str">
            <v>AR40LA2000 - Programación y operación gral. Distrito</v>
          </cell>
        </row>
        <row r="1570">
          <cell r="D1570" t="str">
            <v>AR41AC1000 - Programación y operación gral. Distrito</v>
          </cell>
        </row>
        <row r="1571">
          <cell r="D1571" t="str">
            <v>AR41AC2000 - Programación y operación gral. Distrito</v>
          </cell>
        </row>
        <row r="1572">
          <cell r="D1572" t="str">
            <v>AR41AC3000 - Programación y operación gral. Distrito</v>
          </cell>
        </row>
        <row r="1573">
          <cell r="D1573" t="str">
            <v>AR41AC4000 - Programación y operación gral. Distrito</v>
          </cell>
        </row>
        <row r="1574">
          <cell r="D1574" t="str">
            <v>AR41AC5000 - Programación y operación gral. Distrito</v>
          </cell>
        </row>
        <row r="1575">
          <cell r="D1575" t="str">
            <v>AR42AFZ000 - Programación y operación gral. Distrito</v>
          </cell>
        </row>
        <row r="1576">
          <cell r="D1576" t="str">
            <v>BO11CIZ000 - Programación y operación gral. Distrito</v>
          </cell>
        </row>
        <row r="1577">
          <cell r="D1577" t="str">
            <v>BO11CNZ000 - Programación y operación gral. Distrito</v>
          </cell>
        </row>
        <row r="1578">
          <cell r="D1578" t="str">
            <v>CL10CH1000 - Programación y operación gral. Distrito</v>
          </cell>
        </row>
        <row r="1579">
          <cell r="D1579" t="str">
            <v>CL10CC1000 - Programación y operación gral. Distrito</v>
          </cell>
        </row>
        <row r="1580">
          <cell r="D1580" t="str">
            <v>CL10CB1000 - Programación y operación gral. Distrito</v>
          </cell>
        </row>
        <row r="1581">
          <cell r="D1581" t="str">
            <v>AR10CDZ620 - Proyectos y Obras (GPI)</v>
          </cell>
        </row>
        <row r="1582">
          <cell r="D1582" t="str">
            <v>AR10CK4620 - Proyectos y Obras (GPI)</v>
          </cell>
        </row>
        <row r="1583">
          <cell r="D1583" t="str">
            <v>AR10CDZ625 - Recursos Humanos</v>
          </cell>
        </row>
        <row r="1584">
          <cell r="D1584" t="str">
            <v>AR10CK4625 - Recursos Humanos</v>
          </cell>
        </row>
        <row r="1585">
          <cell r="D1585" t="str">
            <v>AR10ANZ625 - Recursos Humanos</v>
          </cell>
        </row>
        <row r="1586">
          <cell r="D1586" t="str">
            <v>AR10SNZ625 - Recursos Humanos</v>
          </cell>
        </row>
        <row r="1587">
          <cell r="D1587" t="str">
            <v>AR104NZ625 - Recursos Humanos</v>
          </cell>
        </row>
        <row r="1588">
          <cell r="D1588" t="str">
            <v>AR106NZ625 - Recursos Humanos</v>
          </cell>
        </row>
        <row r="1589">
          <cell r="D1589" t="str">
            <v>AR10BNZ625 - Recursos Humanos</v>
          </cell>
        </row>
        <row r="1590">
          <cell r="D1590" t="str">
            <v>AR40LE2625 - Recursos Humanos</v>
          </cell>
        </row>
        <row r="1591">
          <cell r="D1591" t="str">
            <v>AR10AEZ625 - Recursos Humanos</v>
          </cell>
        </row>
        <row r="1592">
          <cell r="D1592" t="str">
            <v>AR10FEZ625 - Recursos Humanos</v>
          </cell>
        </row>
        <row r="1593">
          <cell r="D1593" t="str">
            <v>AR10CEZ625 - Recursos Humanos</v>
          </cell>
        </row>
        <row r="1594">
          <cell r="D1594" t="str">
            <v>AR10SEZ625 - Recursos Humanos</v>
          </cell>
        </row>
        <row r="1595">
          <cell r="D1595" t="str">
            <v>AR10BAZ625 - Recursos Humanos</v>
          </cell>
        </row>
        <row r="1596">
          <cell r="D1596" t="str">
            <v>AR11CAZ625 - Recursos Humanos</v>
          </cell>
        </row>
        <row r="1597">
          <cell r="D1597" t="str">
            <v>AR11CNZ625 - Recursos Humanos</v>
          </cell>
        </row>
        <row r="1598">
          <cell r="D1598" t="str">
            <v>AR11SAZ625 - Recursos Humanos</v>
          </cell>
        </row>
        <row r="1599">
          <cell r="D1599" t="str">
            <v>AR40LA2625 - Recursos Humanos</v>
          </cell>
        </row>
        <row r="1600">
          <cell r="D1600" t="str">
            <v>AR41ACZ625 - Recursos Humanos</v>
          </cell>
        </row>
        <row r="1601">
          <cell r="D1601" t="str">
            <v>AR42AFZ625 - Recursos Humanos</v>
          </cell>
        </row>
        <row r="1602">
          <cell r="D1602" t="str">
            <v>AR43GCZ625 - Recursos Humanos</v>
          </cell>
        </row>
        <row r="1603">
          <cell r="D1603" t="str">
            <v>AR44GSZ625 - Recursos Humanos</v>
          </cell>
        </row>
        <row r="1604">
          <cell r="D1604" t="str">
            <v>BO10OGZ625 - Recursos Humanos</v>
          </cell>
        </row>
        <row r="1605">
          <cell r="D1605" t="str">
            <v>BO11CIZ625 - Recursos Humanos</v>
          </cell>
        </row>
        <row r="1606">
          <cell r="D1606" t="str">
            <v>BO11CNZ625 - Recursos Humanos</v>
          </cell>
        </row>
        <row r="1607">
          <cell r="D1607" t="str">
            <v>CL10CH1625 - Recursos Humanos</v>
          </cell>
        </row>
        <row r="1608">
          <cell r="D1608" t="str">
            <v>CL10CC1625 - Recursos Humanos</v>
          </cell>
        </row>
        <row r="1609">
          <cell r="D1609" t="str">
            <v>CL10CB1625 - Recursos Humanos</v>
          </cell>
        </row>
        <row r="1610">
          <cell r="D1610" t="str">
            <v>AR10CDZ630 - Relaciones Laborales</v>
          </cell>
        </row>
        <row r="1611">
          <cell r="D1611" t="str">
            <v>AR10CK4630 - Relaciones Laborales</v>
          </cell>
        </row>
        <row r="1612">
          <cell r="D1612" t="str">
            <v>AR40LE2630 - Relaciones Laborales</v>
          </cell>
        </row>
        <row r="1613">
          <cell r="D1613" t="str">
            <v>AR10AEZ630 - Relaciones Laborales</v>
          </cell>
        </row>
        <row r="1614">
          <cell r="D1614" t="str">
            <v>AR10FEZ630 - Relaciones Laborales</v>
          </cell>
        </row>
        <row r="1615">
          <cell r="D1615" t="str">
            <v>AR10CEZ630 - Relaciones Laborales</v>
          </cell>
        </row>
        <row r="1616">
          <cell r="D1616" t="str">
            <v>AR10SEZ630 - Relaciones Laborales</v>
          </cell>
        </row>
        <row r="1617">
          <cell r="D1617" t="str">
            <v>AR10BAZ630 - Relaciones Laborales</v>
          </cell>
        </row>
        <row r="1618">
          <cell r="D1618" t="str">
            <v>AR11CAZ630 - Relaciones Laborales</v>
          </cell>
        </row>
        <row r="1619">
          <cell r="D1619" t="str">
            <v>AR40LA2630 - Relaciones Laborales</v>
          </cell>
        </row>
        <row r="1620">
          <cell r="D1620" t="str">
            <v>AR41ACZ630 - Relaciones Laborales</v>
          </cell>
        </row>
        <row r="1621">
          <cell r="D1621" t="str">
            <v>AR42AFZ630 - Relaciones Laborales</v>
          </cell>
        </row>
        <row r="1622">
          <cell r="D1622" t="str">
            <v>AR43GCZ630 - Relaciones Laborales</v>
          </cell>
        </row>
        <row r="1623">
          <cell r="D1623" t="str">
            <v>AR44GSZ630 - Relaciones Laborales</v>
          </cell>
        </row>
        <row r="1624">
          <cell r="D1624" t="str">
            <v>BO10OGZ630 - Relaciones Laborales</v>
          </cell>
        </row>
        <row r="1625">
          <cell r="D1625" t="str">
            <v>BO11CIZ630 - Relaciones Laborales</v>
          </cell>
        </row>
        <row r="1626">
          <cell r="D1626" t="str">
            <v>BO11CNZ630 - Relaciones Laborales</v>
          </cell>
        </row>
        <row r="1627">
          <cell r="D1627" t="str">
            <v>CL10CH1630 - Relaciones Laborales</v>
          </cell>
        </row>
        <row r="1628">
          <cell r="D1628" t="str">
            <v>CL10CC1630 - Relaciones Laborales</v>
          </cell>
        </row>
        <row r="1629">
          <cell r="D1629" t="str">
            <v>CL10CB1630 - Relaciones Laborales</v>
          </cell>
        </row>
        <row r="1630">
          <cell r="D1630" t="str">
            <v>AR10CD1800 - Remediación ambiental</v>
          </cell>
        </row>
        <row r="1631">
          <cell r="D1631" t="str">
            <v>AR10CD2800 - Remediación ambiental</v>
          </cell>
        </row>
        <row r="1632">
          <cell r="D1632" t="str">
            <v>AR10CD3800 - Remediación ambiental</v>
          </cell>
        </row>
        <row r="1633">
          <cell r="D1633" t="str">
            <v>AR10CD5800 - Remediación ambiental</v>
          </cell>
        </row>
        <row r="1634">
          <cell r="D1634" t="str">
            <v>AR10CD7800 - Remediación ambiental</v>
          </cell>
        </row>
        <row r="1635">
          <cell r="D1635" t="str">
            <v>AR10CD8800 - Remediación ambiental</v>
          </cell>
        </row>
        <row r="1636">
          <cell r="D1636" t="str">
            <v>AR10CD9800 - Remediación ambiental</v>
          </cell>
        </row>
        <row r="1637">
          <cell r="D1637" t="str">
            <v>AR10CDE800 - Remediación ambiental</v>
          </cell>
        </row>
        <row r="1638">
          <cell r="D1638" t="str">
            <v>AR10CDP800 - Remediación ambiental</v>
          </cell>
        </row>
        <row r="1639">
          <cell r="D1639" t="str">
            <v>AR10CDZ800 - Remediación ambiental</v>
          </cell>
        </row>
        <row r="1640">
          <cell r="D1640" t="str">
            <v>AR10CK4800 - Remediación ambiental</v>
          </cell>
        </row>
        <row r="1641">
          <cell r="D1641" t="str">
            <v>AR10ANZ800 - Remediación ambiental</v>
          </cell>
        </row>
        <row r="1642">
          <cell r="D1642" t="str">
            <v>AR10SNZ800 - Remediación ambiental</v>
          </cell>
        </row>
        <row r="1643">
          <cell r="D1643" t="str">
            <v>AR10SNZ800 - Remediación ambiental</v>
          </cell>
        </row>
        <row r="1644">
          <cell r="D1644" t="str">
            <v>AR106NZ800 - Remediación ambiental</v>
          </cell>
        </row>
        <row r="1645">
          <cell r="D1645" t="str">
            <v>AR10BNZ800 - Remediación ambiental</v>
          </cell>
        </row>
        <row r="1646">
          <cell r="D1646" t="str">
            <v>AR40LE1800 - Remediación ambiental</v>
          </cell>
        </row>
        <row r="1647">
          <cell r="D1647" t="str">
            <v>AR40LE2800 - Remediación ambiental</v>
          </cell>
        </row>
        <row r="1648">
          <cell r="D1648" t="str">
            <v>AR40LE2800 - Remediación ambiental</v>
          </cell>
        </row>
        <row r="1649">
          <cell r="D1649" t="str">
            <v>AR10AE1800 - Remediación ambiental</v>
          </cell>
        </row>
        <row r="1650">
          <cell r="D1650" t="str">
            <v>AR10AE2800 - Remediación ambiental</v>
          </cell>
        </row>
        <row r="1651">
          <cell r="D1651" t="str">
            <v>AR10AE3800 - Remediación ambiental</v>
          </cell>
        </row>
        <row r="1652">
          <cell r="D1652" t="str">
            <v>AR10AE4800 - Remediación ambiental</v>
          </cell>
        </row>
        <row r="1653">
          <cell r="D1653" t="str">
            <v>AR10AE6800 - Remediación ambiental</v>
          </cell>
        </row>
        <row r="1654">
          <cell r="D1654" t="str">
            <v>AR10AE7800 - Remediación ambiental</v>
          </cell>
        </row>
        <row r="1655">
          <cell r="D1655" t="str">
            <v>AR10AE5800 - Remediación ambiental</v>
          </cell>
        </row>
        <row r="1656">
          <cell r="D1656" t="str">
            <v>AR10AEZ800 - Remediación ambiental</v>
          </cell>
        </row>
        <row r="1657">
          <cell r="D1657" t="str">
            <v>AR10CEZ800 - Remediación ambiental</v>
          </cell>
        </row>
        <row r="1658">
          <cell r="D1658" t="str">
            <v>AR10SEZ800 - Remediación ambiental</v>
          </cell>
        </row>
        <row r="1659">
          <cell r="D1659" t="str">
            <v>AR11CNZ800 - Remediación ambiental</v>
          </cell>
        </row>
        <row r="1660">
          <cell r="D1660" t="str">
            <v>AR11SAZ800 - Remediación ambiental</v>
          </cell>
        </row>
        <row r="1661">
          <cell r="D1661" t="str">
            <v>AR13BSZ800 - Remediación ambiental</v>
          </cell>
        </row>
        <row r="1662">
          <cell r="D1662" t="str">
            <v>AR40LA1800 - Remediación ambiental</v>
          </cell>
        </row>
        <row r="1663">
          <cell r="D1663" t="str">
            <v>AR40LA2800 - Remediación ambiental</v>
          </cell>
        </row>
        <row r="1664">
          <cell r="D1664" t="str">
            <v>AR40LA2800 - Remediación ambiental</v>
          </cell>
        </row>
        <row r="1665">
          <cell r="D1665" t="str">
            <v>AR41AC1800 - Remediación ambiental</v>
          </cell>
        </row>
        <row r="1666">
          <cell r="D1666" t="str">
            <v>AR41AC2800 - Remediación ambiental</v>
          </cell>
        </row>
        <row r="1667">
          <cell r="D1667" t="str">
            <v>AR41AC3800 - Remediación ambiental</v>
          </cell>
        </row>
        <row r="1668">
          <cell r="D1668" t="str">
            <v>AR41AC4800 - Remediación ambiental</v>
          </cell>
        </row>
        <row r="1669">
          <cell r="D1669" t="str">
            <v>AR41AC6800 - Remediación ambiental</v>
          </cell>
        </row>
        <row r="1670">
          <cell r="D1670" t="str">
            <v>AR41AC7800 - Remediación ambiental</v>
          </cell>
        </row>
        <row r="1671">
          <cell r="D1671" t="str">
            <v>AR41AC5800 - Remediación ambiental</v>
          </cell>
        </row>
        <row r="1672">
          <cell r="D1672" t="str">
            <v>AR41ACZ800 - Remediación ambiental</v>
          </cell>
        </row>
        <row r="1673">
          <cell r="D1673" t="str">
            <v>AR43GCZ800 - Remediación ambiental</v>
          </cell>
        </row>
        <row r="1674">
          <cell r="D1674" t="str">
            <v>AR44GSZ800 - Remediación ambiental</v>
          </cell>
        </row>
        <row r="1675">
          <cell r="D1675" t="str">
            <v>BO11CIZ800 - Remediación ambiental</v>
          </cell>
        </row>
        <row r="1676">
          <cell r="D1676" t="str">
            <v>BO11CNZ800 - Remediación ambiental</v>
          </cell>
        </row>
        <row r="1677">
          <cell r="D1677" t="str">
            <v>CL10CH1800 - Remediación ambiental</v>
          </cell>
        </row>
        <row r="1678">
          <cell r="D1678" t="str">
            <v>CL10CC1800 - Remediación ambiental</v>
          </cell>
        </row>
        <row r="1679">
          <cell r="D1679" t="str">
            <v>CL10CB1800 - Remediación ambiental</v>
          </cell>
        </row>
        <row r="1680">
          <cell r="D1680" t="str">
            <v>AR10CD1120 - Servicios a pozos inyectores</v>
          </cell>
        </row>
        <row r="1681">
          <cell r="D1681" t="str">
            <v>AR10CD2120 - Servicios a pozos inyectores</v>
          </cell>
        </row>
        <row r="1682">
          <cell r="D1682" t="str">
            <v>AR10CD3120 - Servicios a pozos inyectores</v>
          </cell>
        </row>
        <row r="1683">
          <cell r="D1683" t="str">
            <v>AR10CD5120 - Servicios a pozos inyectores</v>
          </cell>
        </row>
        <row r="1684">
          <cell r="D1684" t="str">
            <v>AR10CD7120 - Servicios a pozos inyectores</v>
          </cell>
        </row>
        <row r="1685">
          <cell r="D1685" t="str">
            <v>AR10CD8120 - Servicios a pozos inyectores</v>
          </cell>
        </row>
        <row r="1686">
          <cell r="D1686" t="str">
            <v>AR10CD9120 - Servicios a pozos inyectores</v>
          </cell>
        </row>
        <row r="1687">
          <cell r="D1687" t="str">
            <v>AR10CK4120 - Servicios a pozos inyectores</v>
          </cell>
        </row>
        <row r="1688">
          <cell r="D1688" t="str">
            <v>AR10ANZ120 - Servicios a pozos inyectores</v>
          </cell>
        </row>
        <row r="1689">
          <cell r="D1689" t="str">
            <v>AR10SNZ120 - Servicios a pozos inyectores</v>
          </cell>
        </row>
        <row r="1690">
          <cell r="D1690" t="str">
            <v>AR104NZ120 - Servicios a pozos inyectores</v>
          </cell>
        </row>
        <row r="1691">
          <cell r="D1691" t="str">
            <v>AR106NZ120 - Servicios a pozos inyectores</v>
          </cell>
        </row>
        <row r="1692">
          <cell r="D1692" t="str">
            <v>AR10BNZ120 - Servicios a pozos inyectores</v>
          </cell>
        </row>
        <row r="1693">
          <cell r="D1693" t="str">
            <v>AR40LE1120 - Servicios a pozos inyectores</v>
          </cell>
        </row>
        <row r="1694">
          <cell r="D1694" t="str">
            <v>AR40LE2120 - Servicios a pozos inyectores</v>
          </cell>
        </row>
        <row r="1695">
          <cell r="D1695" t="str">
            <v>AR10AE1120 - Servicios a pozos inyectores</v>
          </cell>
        </row>
        <row r="1696">
          <cell r="D1696" t="str">
            <v>AR10AE2120 - Servicios a pozos inyectores</v>
          </cell>
        </row>
        <row r="1697">
          <cell r="D1697" t="str">
            <v>AR10AE3120 - Servicios a pozos inyectores</v>
          </cell>
        </row>
        <row r="1698">
          <cell r="D1698" t="str">
            <v>AR10AE4120 - Servicios a pozos inyectores</v>
          </cell>
        </row>
        <row r="1699">
          <cell r="D1699" t="str">
            <v>AR10AE5120 - Servicios a pozos inyectores</v>
          </cell>
        </row>
        <row r="1700">
          <cell r="D1700" t="str">
            <v>AR10FEZ120 - Servicios a pozos inyectores</v>
          </cell>
        </row>
        <row r="1701">
          <cell r="D1701" t="str">
            <v>AR11CNZ120 - Servicios a pozos inyectores</v>
          </cell>
        </row>
        <row r="1702">
          <cell r="D1702" t="str">
            <v>AR40LA1120 - Servicios a pozos inyectores</v>
          </cell>
        </row>
        <row r="1703">
          <cell r="D1703" t="str">
            <v>AR40LA2120 - Servicios a pozos inyectores</v>
          </cell>
        </row>
        <row r="1704">
          <cell r="D1704" t="str">
            <v>AR41AC1120 - Servicios a pozos inyectores</v>
          </cell>
        </row>
        <row r="1705">
          <cell r="D1705" t="str">
            <v>AR41AC2120 - Servicios a pozos inyectores</v>
          </cell>
        </row>
        <row r="1706">
          <cell r="D1706" t="str">
            <v>AR41AC3120 - Servicios a pozos inyectores</v>
          </cell>
        </row>
        <row r="1707">
          <cell r="D1707" t="str">
            <v>AR41AC4120 - Servicios a pozos inyectores</v>
          </cell>
        </row>
        <row r="1708">
          <cell r="D1708" t="str">
            <v>AR41AC5120 - Servicios a pozos inyectores</v>
          </cell>
        </row>
        <row r="1709">
          <cell r="D1709" t="str">
            <v>AR42AFZ120 - Servicios a pozos inyectores</v>
          </cell>
        </row>
        <row r="1710">
          <cell r="D1710" t="str">
            <v>BO11CIZ120 - Servicios a pozos inyectores</v>
          </cell>
        </row>
        <row r="1711">
          <cell r="D1711" t="str">
            <v>BO11CNZ120 - Servicios a pozos inyectores</v>
          </cell>
        </row>
        <row r="1712">
          <cell r="D1712" t="str">
            <v>CL10CH1120 - Servicios a pozos inyectores</v>
          </cell>
        </row>
        <row r="1713">
          <cell r="D1713" t="str">
            <v>CL10CC1120 - Servicios a pozos inyectores</v>
          </cell>
        </row>
        <row r="1714">
          <cell r="D1714" t="str">
            <v>CL10CB1120 - Servicios a pozos inyectores</v>
          </cell>
        </row>
        <row r="1715">
          <cell r="D1715" t="str">
            <v>AR10CD1110 - Servicios a pozos productores</v>
          </cell>
        </row>
        <row r="1716">
          <cell r="D1716" t="str">
            <v>AR10CD2110 - Servicios a pozos productores</v>
          </cell>
        </row>
        <row r="1717">
          <cell r="D1717" t="str">
            <v>AR10CD3110 - Servicios a pozos productores</v>
          </cell>
        </row>
        <row r="1718">
          <cell r="D1718" t="str">
            <v>AR10CD5110 - Servicios a pozos productores</v>
          </cell>
        </row>
        <row r="1719">
          <cell r="D1719" t="str">
            <v>AR10CD7110 - Servicios a pozos productores</v>
          </cell>
        </row>
        <row r="1720">
          <cell r="D1720" t="str">
            <v>AR10CD8110 - Servicios a pozos productores</v>
          </cell>
        </row>
        <row r="1721">
          <cell r="D1721" t="str">
            <v>AR10CD9110 - Servicios a pozos productores</v>
          </cell>
        </row>
        <row r="1722">
          <cell r="D1722" t="str">
            <v>AR10CK4110 - Servicios a pozos productores</v>
          </cell>
        </row>
        <row r="1723">
          <cell r="D1723" t="str">
            <v>AR10ANZ110 - Servicios a pozos productores</v>
          </cell>
        </row>
        <row r="1724">
          <cell r="D1724" t="str">
            <v>AR10SNZ110 - Servicios a pozos productores</v>
          </cell>
        </row>
        <row r="1725">
          <cell r="D1725" t="str">
            <v>AR104NZ110 - Servicios a pozos productores</v>
          </cell>
        </row>
        <row r="1726">
          <cell r="D1726" t="str">
            <v>AR106NZ110 - Servicios a pozos productores</v>
          </cell>
        </row>
        <row r="1727">
          <cell r="D1727" t="str">
            <v>AR10BNZ110 - Servicios a pozos productores</v>
          </cell>
        </row>
        <row r="1728">
          <cell r="D1728" t="str">
            <v>AR40LE1110 - Servicios a pozos productores</v>
          </cell>
        </row>
        <row r="1729">
          <cell r="D1729" t="str">
            <v>AR40LE2110 - Servicios a pozos productores</v>
          </cell>
        </row>
        <row r="1730">
          <cell r="D1730" t="str">
            <v>AR10AE1110 - Servicios a pozos productores</v>
          </cell>
        </row>
        <row r="1731">
          <cell r="D1731" t="str">
            <v>AR10AE2110 - Servicios a pozos productores</v>
          </cell>
        </row>
        <row r="1732">
          <cell r="D1732" t="str">
            <v>AR10AE3110 - Servicios a pozos productores</v>
          </cell>
        </row>
        <row r="1733">
          <cell r="D1733" t="str">
            <v>AR10AE4110 - Servicios a pozos productores</v>
          </cell>
        </row>
        <row r="1734">
          <cell r="D1734" t="str">
            <v>AR10AE5110 - Servicios a pozos productores</v>
          </cell>
        </row>
        <row r="1735">
          <cell r="D1735" t="str">
            <v>AR10FEZ110 - Servicios a pozos productores</v>
          </cell>
        </row>
        <row r="1736">
          <cell r="D1736" t="str">
            <v>AR11CNZ110 - Servicios a pozos productores</v>
          </cell>
        </row>
        <row r="1737">
          <cell r="D1737" t="str">
            <v>AR40LA1110 - Servicios a pozos productores</v>
          </cell>
        </row>
        <row r="1738">
          <cell r="D1738" t="str">
            <v>AR40LA2110 - Servicios a pozos productores</v>
          </cell>
        </row>
        <row r="1739">
          <cell r="D1739" t="str">
            <v>AR41AC1110 - Servicios a pozos productores</v>
          </cell>
        </row>
        <row r="1740">
          <cell r="D1740" t="str">
            <v>AR41AC2110 - Servicios a pozos productores</v>
          </cell>
        </row>
        <row r="1741">
          <cell r="D1741" t="str">
            <v>AR41AC3110 - Servicios a pozos productores</v>
          </cell>
        </row>
        <row r="1742">
          <cell r="D1742" t="str">
            <v>AR41AC4110 - Servicios a pozos productores</v>
          </cell>
        </row>
        <row r="1743">
          <cell r="D1743" t="str">
            <v>AR41AC5110 - Servicios a pozos productores</v>
          </cell>
        </row>
        <row r="1744">
          <cell r="D1744" t="str">
            <v>AR42AFZ110 - Servicios a pozos productores</v>
          </cell>
        </row>
        <row r="1745">
          <cell r="D1745" t="str">
            <v>BO11CIZ110 - Servicios a pozos productores</v>
          </cell>
        </row>
        <row r="1746">
          <cell r="D1746" t="str">
            <v>BO11CNZ110 - Servicios a pozos productores</v>
          </cell>
        </row>
        <row r="1747">
          <cell r="D1747" t="str">
            <v>CL10CH1110 - Servicios a pozos productores</v>
          </cell>
        </row>
        <row r="1748">
          <cell r="D1748" t="str">
            <v>CL10CC1110 - Servicios a pozos productores</v>
          </cell>
        </row>
        <row r="1749">
          <cell r="D1749" t="str">
            <v>CL10CB1110 - Servicios a pozos productores</v>
          </cell>
        </row>
        <row r="1750">
          <cell r="D1750" t="str">
            <v>AR10CDZ650 - Servicios De Pozos</v>
          </cell>
        </row>
        <row r="1751">
          <cell r="D1751" t="str">
            <v>AR10CK4650 - Servicios De Pozos</v>
          </cell>
        </row>
        <row r="1752">
          <cell r="D1752" t="str">
            <v>AR10CD1410 - Servicios logísticos</v>
          </cell>
        </row>
        <row r="1753">
          <cell r="D1753" t="str">
            <v>AR10CD2410 - Servicios logísticos</v>
          </cell>
        </row>
        <row r="1754">
          <cell r="D1754" t="str">
            <v>AR10CD3410 - Servicios logísticos</v>
          </cell>
        </row>
        <row r="1755">
          <cell r="D1755" t="str">
            <v>AR10CD5410 - Servicios logísticos</v>
          </cell>
        </row>
        <row r="1756">
          <cell r="D1756" t="str">
            <v>AR10CD7410 - Servicios logísticos</v>
          </cell>
        </row>
        <row r="1757">
          <cell r="D1757" t="str">
            <v>AR10CD8410 - Servicios logísticos</v>
          </cell>
        </row>
        <row r="1758">
          <cell r="D1758" t="str">
            <v>AR10CD9410 - Servicios logísticos</v>
          </cell>
        </row>
        <row r="1759">
          <cell r="D1759" t="str">
            <v>AR10CDE410 - Servicios logísticos</v>
          </cell>
        </row>
        <row r="1760">
          <cell r="D1760" t="str">
            <v>AR10CDP410 - Servicios logísticos</v>
          </cell>
        </row>
        <row r="1761">
          <cell r="D1761" t="str">
            <v>AR10CDZ410 - Servicios logísticos</v>
          </cell>
        </row>
        <row r="1762">
          <cell r="D1762" t="str">
            <v>AR10CK4410 - Servicios logísticos</v>
          </cell>
        </row>
        <row r="1763">
          <cell r="D1763" t="str">
            <v>AR10ANZ410 - Servicios logísticos</v>
          </cell>
        </row>
        <row r="1764">
          <cell r="D1764" t="str">
            <v>AR10SNZ410 - Servicios logísticos</v>
          </cell>
        </row>
        <row r="1765">
          <cell r="D1765" t="str">
            <v>AR104NZ410 - Servicios logísticos</v>
          </cell>
        </row>
        <row r="1766">
          <cell r="D1766" t="str">
            <v>AR106NZ410 - Servicios logísticos</v>
          </cell>
        </row>
        <row r="1767">
          <cell r="D1767" t="str">
            <v>AR10BNZ410 - Servicios logísticos</v>
          </cell>
        </row>
        <row r="1768">
          <cell r="D1768" t="str">
            <v>AR40LE1410 - Servicios logísticos</v>
          </cell>
        </row>
        <row r="1769">
          <cell r="D1769" t="str">
            <v>AR40LE2410 - Servicios logísticos</v>
          </cell>
        </row>
        <row r="1770">
          <cell r="D1770" t="str">
            <v>AR40LE2410 - Servicios logísticos</v>
          </cell>
        </row>
        <row r="1771">
          <cell r="D1771" t="str">
            <v>AR10AE1410 - Servicios logísticos</v>
          </cell>
        </row>
        <row r="1772">
          <cell r="D1772" t="str">
            <v>AR10AE2410 - Servicios logísticos</v>
          </cell>
        </row>
        <row r="1773">
          <cell r="D1773" t="str">
            <v>AR10AE3410 - Servicios logísticos</v>
          </cell>
        </row>
        <row r="1774">
          <cell r="D1774" t="str">
            <v>AR10AE4410 - Servicios logísticos</v>
          </cell>
        </row>
        <row r="1775">
          <cell r="D1775" t="str">
            <v>AR10AE6410 - Servicios logísticos</v>
          </cell>
        </row>
        <row r="1776">
          <cell r="D1776" t="str">
            <v>AR10AE7410 - Servicios logísticos</v>
          </cell>
        </row>
        <row r="1777">
          <cell r="D1777" t="str">
            <v>AR10AE5410 - Servicios logísticos</v>
          </cell>
        </row>
        <row r="1778">
          <cell r="D1778" t="str">
            <v>AR10AEZ410 - Servicios logísticos</v>
          </cell>
        </row>
        <row r="1779">
          <cell r="D1779" t="str">
            <v>AR10FEZ410 - Servicios logísticos</v>
          </cell>
        </row>
        <row r="1780">
          <cell r="D1780" t="str">
            <v>AR11CNZ410 - Servicios logísticos</v>
          </cell>
        </row>
        <row r="1781">
          <cell r="D1781" t="str">
            <v>AR40LA1410 - Servicios logísticos</v>
          </cell>
        </row>
        <row r="1782">
          <cell r="D1782" t="str">
            <v>AR40LA2410 - Servicios logísticos</v>
          </cell>
        </row>
        <row r="1783">
          <cell r="D1783" t="str">
            <v>AR40LA2410 - Servicios logísticos</v>
          </cell>
        </row>
        <row r="1784">
          <cell r="D1784" t="str">
            <v>AR41AC1410 - Servicios logísticos</v>
          </cell>
        </row>
        <row r="1785">
          <cell r="D1785" t="str">
            <v>AR41AC2410 - Servicios logísticos</v>
          </cell>
        </row>
        <row r="1786">
          <cell r="D1786" t="str">
            <v>AR41AC3410 - Servicios logísticos</v>
          </cell>
        </row>
        <row r="1787">
          <cell r="D1787" t="str">
            <v>AR41AC4410 - Servicios logísticos</v>
          </cell>
        </row>
        <row r="1788">
          <cell r="D1788" t="str">
            <v>AR41AC6410 - Servicios logísticos</v>
          </cell>
        </row>
        <row r="1789">
          <cell r="D1789" t="str">
            <v>AR41AC7410 - Servicios logísticos</v>
          </cell>
        </row>
        <row r="1790">
          <cell r="D1790" t="str">
            <v>AR41AC5410 - Servicios logísticos</v>
          </cell>
        </row>
        <row r="1791">
          <cell r="D1791" t="str">
            <v>AR41ACZ410 - Servicios logísticos</v>
          </cell>
        </row>
        <row r="1792">
          <cell r="D1792" t="str">
            <v>AR42AFZ410 - Servicios logísticos</v>
          </cell>
        </row>
        <row r="1793">
          <cell r="D1793" t="str">
            <v>BO11CIZ410 - Servicios logísticos</v>
          </cell>
        </row>
        <row r="1794">
          <cell r="D1794" t="str">
            <v>BO11CNZ410 - Servicios logísticos</v>
          </cell>
        </row>
        <row r="1795">
          <cell r="D1795" t="str">
            <v>CL10CH1410 - Servicios logísticos</v>
          </cell>
        </row>
        <row r="1796">
          <cell r="D1796" t="str">
            <v>CL10CC1410 - Servicios logísticos</v>
          </cell>
        </row>
        <row r="1797">
          <cell r="D1797" t="str">
            <v>CL10CB1410 - Servicios logísticos</v>
          </cell>
        </row>
        <row r="1798">
          <cell r="D1798" t="str">
            <v>AR10APZ655 - Telecomunicaciones</v>
          </cell>
        </row>
        <row r="1799">
          <cell r="D1799" t="str">
            <v>AR10SRZ655 - Telecomunicaciones</v>
          </cell>
        </row>
        <row r="1800">
          <cell r="D1800" t="str">
            <v>AR1040Z655 - Telecomunicaciones</v>
          </cell>
        </row>
        <row r="1801">
          <cell r="D1801" t="str">
            <v>AR1046Z655 - Telecomunicaciones</v>
          </cell>
        </row>
        <row r="1802">
          <cell r="D1802" t="str">
            <v>AR10BCZ655 - Telecomunicaciones</v>
          </cell>
        </row>
        <row r="1803">
          <cell r="D1803" t="str">
            <v>AR10CDZ655 - Telecomunicaciones</v>
          </cell>
        </row>
        <row r="1804">
          <cell r="D1804" t="str">
            <v>AR10CK4655 - Telecomunicaciones</v>
          </cell>
        </row>
        <row r="1805">
          <cell r="D1805" t="str">
            <v>AR40LE2655 - Telecomunicaciones</v>
          </cell>
        </row>
        <row r="1806">
          <cell r="D1806" t="str">
            <v>AR10AEZ655 - Telecomunicaciones</v>
          </cell>
        </row>
        <row r="1807">
          <cell r="D1807" t="str">
            <v>AR10FEZ655 - Telecomunicaciones</v>
          </cell>
        </row>
        <row r="1808">
          <cell r="D1808" t="str">
            <v>AR10CEZ655 - Telecomunicaciones</v>
          </cell>
        </row>
        <row r="1809">
          <cell r="D1809" t="str">
            <v>AR10SEZ655 - Telecomunicaciones</v>
          </cell>
        </row>
        <row r="1810">
          <cell r="D1810" t="str">
            <v>AR10BAZ655 - Telecomunicaciones</v>
          </cell>
        </row>
        <row r="1811">
          <cell r="D1811" t="str">
            <v>AR11CAZ655 - Telecomunicaciones</v>
          </cell>
        </row>
        <row r="1812">
          <cell r="D1812" t="str">
            <v>AR40LA2655 - Telecomunicaciones</v>
          </cell>
        </row>
        <row r="1813">
          <cell r="D1813" t="str">
            <v>AR41ACZ655 - Telecomunicaciones</v>
          </cell>
        </row>
        <row r="1814">
          <cell r="D1814" t="str">
            <v>AR42AFZ655 - Telecomunicaciones</v>
          </cell>
        </row>
        <row r="1815">
          <cell r="D1815" t="str">
            <v>AR43GCZ655 - Telecomunicaciones</v>
          </cell>
        </row>
        <row r="1816">
          <cell r="D1816" t="str">
            <v>AR44GSZ655 - Telecomunicaciones</v>
          </cell>
        </row>
        <row r="1817">
          <cell r="D1817" t="str">
            <v>BO10OGZ655 - Telecomunicaciones</v>
          </cell>
        </row>
        <row r="1818">
          <cell r="D1818" t="str">
            <v>BO11CIZ655 - Telecomunicaciones</v>
          </cell>
        </row>
        <row r="1819">
          <cell r="D1819" t="str">
            <v>BO11CNZ655 - Telecomunicaciones</v>
          </cell>
        </row>
        <row r="1820">
          <cell r="D1820" t="str">
            <v>CL10CH1655 - Telecomunicaciones</v>
          </cell>
        </row>
        <row r="1821">
          <cell r="D1821" t="str">
            <v>CL10CC1655 - Telecomunicaciones</v>
          </cell>
        </row>
        <row r="1822">
          <cell r="D1822" t="str">
            <v>CL10CB1655 - Telecomunicaciones</v>
          </cell>
        </row>
        <row r="1823">
          <cell r="D1823" t="str">
            <v>AR40LE2670 - VP de Operaciones de Gas</v>
          </cell>
        </row>
        <row r="1824">
          <cell r="D1824" t="str">
            <v>AR10AEZ670 - VP de Operaciones de Gas</v>
          </cell>
        </row>
        <row r="1825">
          <cell r="D1825" t="str">
            <v>AR10FEZ670 - VP de Operaciones de Gas</v>
          </cell>
        </row>
        <row r="1826">
          <cell r="D1826" t="str">
            <v>AR10CEZ670 - VP de Operaciones de Gas</v>
          </cell>
        </row>
        <row r="1827">
          <cell r="D1827" t="str">
            <v>AR10SEZ670 - VP de Operaciones de Gas</v>
          </cell>
        </row>
        <row r="1828">
          <cell r="D1828" t="str">
            <v>AR10BAZ670 - VP de Operaciones de Gas</v>
          </cell>
        </row>
        <row r="1829">
          <cell r="D1829" t="str">
            <v>AR11CAZ670 - VP de Operaciones de Gas</v>
          </cell>
        </row>
        <row r="1830">
          <cell r="D1830" t="str">
            <v>AR40LA2670 - VP de Operaciones de Gas</v>
          </cell>
        </row>
        <row r="1831">
          <cell r="D1831" t="str">
            <v>AR41ACZ670 - VP de Operaciones de Gas</v>
          </cell>
        </row>
        <row r="1832">
          <cell r="D1832" t="str">
            <v>AR42AFZ670 - VP de Operaciones de Gas</v>
          </cell>
        </row>
        <row r="1833">
          <cell r="D1833" t="str">
            <v>AR43GCZ670 - VP de Operaciones de Gas</v>
          </cell>
        </row>
        <row r="1834">
          <cell r="D1834" t="str">
            <v>AR44GSZ670 - VP de Operaciones de Gas</v>
          </cell>
        </row>
        <row r="1835">
          <cell r="D1835" t="str">
            <v>BO10OGZ670 - VP de Operaciones de Gas</v>
          </cell>
        </row>
        <row r="1836">
          <cell r="D1836" t="str">
            <v>BO11CIZ670 - VP de Operaciones de Gas</v>
          </cell>
        </row>
        <row r="1837">
          <cell r="D1837" t="str">
            <v>BO11CNZ670 - VP de Operaciones de Gas</v>
          </cell>
        </row>
        <row r="1838">
          <cell r="D1838" t="str">
            <v>CL10CH1670 - VP de Operaciones de Gas</v>
          </cell>
        </row>
        <row r="1839">
          <cell r="D1839" t="str">
            <v>CL10CC1670 - VP de Operaciones de Gas</v>
          </cell>
        </row>
        <row r="1840">
          <cell r="D1840" t="str">
            <v>CL10CB1670 - VP de Operaciones de Gas</v>
          </cell>
        </row>
        <row r="1841">
          <cell r="D1841" t="str">
            <v>AR10BAZ680 - VP desarrollo de Negocios</v>
          </cell>
        </row>
        <row r="1842">
          <cell r="D1842" t="str">
            <v>AR10BAZ745 - VP Op. Offshore</v>
          </cell>
        </row>
      </sheetData>
      <sheetData sheetId="8"/>
      <sheetData sheetId="9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GRAMA"/>
      <sheetName val="CHART"/>
      <sheetName val="WO 1"/>
      <sheetName val="WO 2"/>
      <sheetName val="TI 1"/>
      <sheetName val="Datos"/>
      <sheetName val="Production"/>
      <sheetName val="Planilla"/>
      <sheetName val="Output"/>
      <sheetName val="Sens"/>
      <sheetName val="Instructivo"/>
    </sheetNames>
    <sheetDataSet>
      <sheetData sheetId="0" refreshError="1"/>
      <sheetData sheetId="1" refreshError="1"/>
      <sheetData sheetId="2" refreshError="1">
        <row r="53">
          <cell r="Q53">
            <v>2.9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>
        <row r="8">
          <cell r="BG8">
            <v>59.900348735632186</v>
          </cell>
          <cell r="BH8">
            <v>9.9999999999999995E-7</v>
          </cell>
        </row>
        <row r="9">
          <cell r="B9">
            <v>1</v>
          </cell>
          <cell r="C9">
            <v>12</v>
          </cell>
          <cell r="BG9">
            <v>0</v>
          </cell>
          <cell r="BH9">
            <v>0</v>
          </cell>
          <cell r="BI9">
            <v>0</v>
          </cell>
          <cell r="BJ9">
            <v>1.3541754761615554</v>
          </cell>
          <cell r="BK9">
            <v>0</v>
          </cell>
          <cell r="BL9">
            <v>0</v>
          </cell>
          <cell r="BM9">
            <v>0</v>
          </cell>
        </row>
        <row r="10">
          <cell r="B10">
            <v>2</v>
          </cell>
          <cell r="C10">
            <v>12</v>
          </cell>
          <cell r="BG10">
            <v>0</v>
          </cell>
          <cell r="BH10">
            <v>0</v>
          </cell>
          <cell r="BI10">
            <v>0</v>
          </cell>
          <cell r="BJ10">
            <v>1.0210576139694219</v>
          </cell>
          <cell r="BK10">
            <v>0</v>
          </cell>
          <cell r="BL10">
            <v>0</v>
          </cell>
          <cell r="BM10">
            <v>0</v>
          </cell>
        </row>
        <row r="11">
          <cell r="B11">
            <v>3</v>
          </cell>
          <cell r="C11">
            <v>12</v>
          </cell>
          <cell r="BG11">
            <v>0</v>
          </cell>
          <cell r="BH11">
            <v>0</v>
          </cell>
          <cell r="BI11">
            <v>0</v>
          </cell>
          <cell r="BJ11">
            <v>0.80124098557855672</v>
          </cell>
          <cell r="BK11">
            <v>0</v>
          </cell>
          <cell r="BL11">
            <v>0</v>
          </cell>
          <cell r="BM11">
            <v>0</v>
          </cell>
        </row>
        <row r="12">
          <cell r="B12">
            <v>4</v>
          </cell>
          <cell r="C12">
            <v>12</v>
          </cell>
          <cell r="BG12">
            <v>0</v>
          </cell>
          <cell r="BH12">
            <v>0</v>
          </cell>
          <cell r="BI12">
            <v>0</v>
          </cell>
          <cell r="BJ12">
            <v>0.62874720112524696</v>
          </cell>
          <cell r="BK12">
            <v>0</v>
          </cell>
          <cell r="BL12">
            <v>0</v>
          </cell>
          <cell r="BM12">
            <v>0</v>
          </cell>
        </row>
        <row r="13">
          <cell r="B13">
            <v>5</v>
          </cell>
          <cell r="C13">
            <v>12</v>
          </cell>
          <cell r="BG13">
            <v>0</v>
          </cell>
          <cell r="BH13">
            <v>0</v>
          </cell>
          <cell r="BI13">
            <v>0</v>
          </cell>
          <cell r="BJ13">
            <v>0.49338844372442914</v>
          </cell>
          <cell r="BK13">
            <v>0</v>
          </cell>
          <cell r="BL13">
            <v>0</v>
          </cell>
          <cell r="BM13">
            <v>0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RESUMEN INV EXPLORA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Budget 2000 Vs. Fct 8+4 "/>
      <sheetName val="RESUMEN PROD"/>
      <sheetName val="PROD TOTAL"/>
      <sheetName val="PROD DIA Y MES"/>
      <sheetName val="PRECIOS GAS"/>
      <sheetName val="PRECIOS OIL"/>
      <sheetName val="CASHFLO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1">
          <cell r="N1" t="str">
            <v>U$S 000</v>
          </cell>
        </row>
        <row r="2">
          <cell r="A2" t="str">
            <v>INVESTMENT AND DEVELOPMENT PLAN YEAR 2000</v>
          </cell>
        </row>
        <row r="3">
          <cell r="A3" t="str">
            <v>NEUQUEN OFFICE - BUDGET 2000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B14">
            <v>0</v>
          </cell>
          <cell r="C14">
            <v>0</v>
          </cell>
          <cell r="D14">
            <v>100</v>
          </cell>
          <cell r="E14">
            <v>100</v>
          </cell>
          <cell r="F14">
            <v>100</v>
          </cell>
          <cell r="G14">
            <v>100</v>
          </cell>
          <cell r="H14">
            <v>100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500</v>
          </cell>
        </row>
        <row r="15">
          <cell r="A15" t="str">
            <v xml:space="preserve">        Neuquén Base</v>
          </cell>
          <cell r="D15">
            <v>100</v>
          </cell>
          <cell r="E15">
            <v>100</v>
          </cell>
          <cell r="F15">
            <v>100</v>
          </cell>
          <cell r="G15">
            <v>100</v>
          </cell>
          <cell r="H15">
            <v>100</v>
          </cell>
          <cell r="N15">
            <v>500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Gasoline Line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19">
          <cell r="A19" t="str">
            <v xml:space="preserve">        Deferred</v>
          </cell>
          <cell r="N19">
            <v>0</v>
          </cell>
        </row>
        <row r="21">
          <cell r="A21" t="str">
            <v>Gas Project</v>
          </cell>
          <cell r="N21">
            <v>0</v>
          </cell>
        </row>
        <row r="23">
          <cell r="A23" t="str">
            <v>Gas Lift / Plunger Lift</v>
          </cell>
          <cell r="N23">
            <v>0</v>
          </cell>
        </row>
        <row r="24">
          <cell r="N24">
            <v>0</v>
          </cell>
        </row>
        <row r="26">
          <cell r="A26" t="str">
            <v>Vehicles</v>
          </cell>
          <cell r="D26">
            <v>36</v>
          </cell>
          <cell r="N26">
            <v>36</v>
          </cell>
        </row>
        <row r="27">
          <cell r="D27">
            <v>2</v>
          </cell>
          <cell r="N27">
            <v>2</v>
          </cell>
        </row>
        <row r="29">
          <cell r="A29" t="str">
            <v>Miscellaneous</v>
          </cell>
          <cell r="B29">
            <v>5.7</v>
          </cell>
          <cell r="C29">
            <v>43.5</v>
          </cell>
          <cell r="N29">
            <v>49.2</v>
          </cell>
        </row>
        <row r="30">
          <cell r="N30">
            <v>0</v>
          </cell>
        </row>
        <row r="31">
          <cell r="A31" t="str">
            <v>Total Capitalized</v>
          </cell>
          <cell r="B31">
            <v>5.7</v>
          </cell>
          <cell r="C31">
            <v>43.5</v>
          </cell>
          <cell r="D31">
            <v>136</v>
          </cell>
          <cell r="E31">
            <v>100</v>
          </cell>
          <cell r="F31">
            <v>100</v>
          </cell>
          <cell r="G31">
            <v>100</v>
          </cell>
          <cell r="H31">
            <v>100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585.20000000000005</v>
          </cell>
        </row>
        <row r="33">
          <cell r="A33" t="str">
            <v>Workovers</v>
          </cell>
          <cell r="N33">
            <v>0</v>
          </cell>
        </row>
        <row r="34">
          <cell r="N34">
            <v>0</v>
          </cell>
        </row>
        <row r="36">
          <cell r="A36" t="str">
            <v>Conversions &amp; Sel. Inyec.</v>
          </cell>
          <cell r="N36">
            <v>0</v>
          </cell>
        </row>
        <row r="37">
          <cell r="N37">
            <v>0</v>
          </cell>
        </row>
        <row r="39">
          <cell r="A39" t="str">
            <v>Water Disposal System</v>
          </cell>
          <cell r="N39">
            <v>0</v>
          </cell>
        </row>
        <row r="40">
          <cell r="N40">
            <v>0</v>
          </cell>
        </row>
        <row r="42">
          <cell r="A42" t="str">
            <v>Repair Oil &amp; Gas Line</v>
          </cell>
          <cell r="N42">
            <v>0</v>
          </cell>
        </row>
        <row r="44">
          <cell r="A44" t="str">
            <v>Core Analysis</v>
          </cell>
          <cell r="N44">
            <v>0</v>
          </cell>
        </row>
        <row r="46">
          <cell r="A46" t="str">
            <v>Testing</v>
          </cell>
          <cell r="N46">
            <v>0</v>
          </cell>
        </row>
        <row r="49">
          <cell r="A49" t="str">
            <v>Enviroment</v>
          </cell>
          <cell r="N49">
            <v>0</v>
          </cell>
        </row>
        <row r="52">
          <cell r="A52" t="str">
            <v>Road &amp; Dirt Works</v>
          </cell>
          <cell r="N52">
            <v>0</v>
          </cell>
        </row>
        <row r="54">
          <cell r="A54" t="str">
            <v>Miscellaneous Studies</v>
          </cell>
          <cell r="N54">
            <v>0</v>
          </cell>
        </row>
        <row r="56">
          <cell r="A56" t="str">
            <v>Miscellaneous</v>
          </cell>
          <cell r="N56">
            <v>0</v>
          </cell>
        </row>
        <row r="58">
          <cell r="A58" t="str">
            <v>Abandoned Well</v>
          </cell>
          <cell r="N58">
            <v>0</v>
          </cell>
        </row>
        <row r="60">
          <cell r="A60" t="str">
            <v>Total Non Capitalized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Total Investiments</v>
          </cell>
          <cell r="B61">
            <v>5.7</v>
          </cell>
          <cell r="C61">
            <v>43.5</v>
          </cell>
          <cell r="D61">
            <v>136</v>
          </cell>
          <cell r="E61">
            <v>100</v>
          </cell>
          <cell r="F61">
            <v>100</v>
          </cell>
          <cell r="G61">
            <v>100</v>
          </cell>
          <cell r="H61">
            <v>100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585.20000000000005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 de la empresa"/>
      <sheetName val="Experiencia"/>
      <sheetName val="Hoja1"/>
      <sheetName val="Cobertura"/>
      <sheetName val="Estructura de Costos"/>
      <sheetName val="Resumen Financiero"/>
      <sheetName val="Proveedores"/>
      <sheetName val="Competencia"/>
      <sheetName val="Preguntas Directas"/>
    </sheetNames>
    <sheetDataSet>
      <sheetData sheetId="0" refreshError="1"/>
      <sheetData sheetId="1" refreshError="1"/>
      <sheetData sheetId="2">
        <row r="3">
          <cell r="F3" t="str">
            <v>Seleccionar</v>
          </cell>
        </row>
        <row r="4">
          <cell r="F4" t="str">
            <v>X</v>
          </cell>
        </row>
        <row r="5">
          <cell r="F5" t="str">
            <v>Sin cobertura</v>
          </cell>
        </row>
        <row r="6">
          <cell r="F6" t="str">
            <v>Otro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 de la empresa"/>
      <sheetName val="Experiencia"/>
      <sheetName val="Cobertura"/>
      <sheetName val="Aspectos Financieros"/>
      <sheetName val="Competencia"/>
      <sheetName val="Preguntas Directas"/>
      <sheetName val="Proveedores-Insumos"/>
    </sheetNames>
    <sheetDataSet>
      <sheetData sheetId="0"/>
      <sheetData sheetId="1"/>
      <sheetData sheetId="2">
        <row r="12">
          <cell r="K12" t="str">
            <v>X</v>
          </cell>
        </row>
        <row r="13">
          <cell r="K13" t="str">
            <v>Sin Cobertura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EF. C"/>
      <sheetName val="COEF_ C"/>
      <sheetName val="Informe"/>
      <sheetName val="AREA100"/>
      <sheetName val="AREA200"/>
      <sheetName val="AREA300"/>
      <sheetName val="AREA400"/>
      <sheetName val="AREA600"/>
      <sheetName val="AREA700"/>
      <sheetName val="AREA900"/>
      <sheetName val="AREA1000"/>
      <sheetName val="AREA1100"/>
      <sheetName val="AREA1200"/>
      <sheetName val="AREA1300"/>
      <sheetName val="AREA1400"/>
      <sheetName val="AREA1500"/>
      <sheetName val="AREA1600"/>
      <sheetName val="instrumentos"/>
      <sheetName val="PPIO."/>
      <sheetName val="Hoja1"/>
      <sheetName val="EQUIPOS"/>
      <sheetName val="PLANTA DE ALCOHOL"/>
      <sheetName val="INSTRUMENTOS DE SERVICIO"/>
      <sheetName val="CLORINADOR, ABLANDADOR Y CALENT"/>
      <sheetName val="Caratula"/>
      <sheetName val="Graficos LRP"/>
      <sheetName val="PE 2005-2009"/>
      <sheetName val="COEF__C"/>
      <sheetName val="COEF__C1"/>
      <sheetName val="Base"/>
      <sheetName val="Sheet 2"/>
    </sheetNames>
    <sheetDataSet>
      <sheetData sheetId="0" refreshError="1">
        <row r="5">
          <cell r="A5">
            <v>1.01</v>
          </cell>
          <cell r="B5">
            <v>317</v>
          </cell>
        </row>
        <row r="6">
          <cell r="A6">
            <v>1.02</v>
          </cell>
          <cell r="B6">
            <v>318</v>
          </cell>
        </row>
        <row r="7">
          <cell r="A7">
            <v>1.03</v>
          </cell>
          <cell r="B7">
            <v>319</v>
          </cell>
        </row>
        <row r="8">
          <cell r="A8">
            <v>1.04</v>
          </cell>
          <cell r="B8">
            <v>320</v>
          </cell>
        </row>
        <row r="9">
          <cell r="A9">
            <v>1.05</v>
          </cell>
          <cell r="B9">
            <v>321</v>
          </cell>
        </row>
        <row r="10">
          <cell r="A10">
            <v>1.06</v>
          </cell>
          <cell r="B10">
            <v>322</v>
          </cell>
        </row>
        <row r="11">
          <cell r="A11">
            <v>1.07</v>
          </cell>
          <cell r="B11">
            <v>323</v>
          </cell>
        </row>
        <row r="12">
          <cell r="A12">
            <v>1.08</v>
          </cell>
          <cell r="B12">
            <v>325</v>
          </cell>
        </row>
        <row r="13">
          <cell r="A13">
            <v>1.0900000000000001</v>
          </cell>
          <cell r="B13">
            <v>326</v>
          </cell>
        </row>
        <row r="14">
          <cell r="A14">
            <v>1.1000000000000001</v>
          </cell>
          <cell r="B14">
            <v>327</v>
          </cell>
        </row>
        <row r="15">
          <cell r="A15">
            <v>1.1100000000000001</v>
          </cell>
          <cell r="B15">
            <v>328</v>
          </cell>
        </row>
        <row r="16">
          <cell r="A16">
            <v>1.1200000000000001</v>
          </cell>
          <cell r="B16">
            <v>329</v>
          </cell>
        </row>
        <row r="17">
          <cell r="A17">
            <v>1.1299999999999999</v>
          </cell>
          <cell r="B17">
            <v>330</v>
          </cell>
        </row>
        <row r="18">
          <cell r="A18">
            <v>1.1399999999999999</v>
          </cell>
          <cell r="B18">
            <v>331</v>
          </cell>
        </row>
        <row r="19">
          <cell r="A19">
            <v>1.1499999999999999</v>
          </cell>
          <cell r="B19">
            <v>332</v>
          </cell>
        </row>
        <row r="20">
          <cell r="A20">
            <v>1.1599999999999999</v>
          </cell>
          <cell r="B20">
            <v>333</v>
          </cell>
        </row>
        <row r="21">
          <cell r="A21">
            <v>1.17</v>
          </cell>
          <cell r="B21">
            <v>334</v>
          </cell>
        </row>
        <row r="22">
          <cell r="A22">
            <v>1.18</v>
          </cell>
          <cell r="B22">
            <v>335</v>
          </cell>
        </row>
        <row r="23">
          <cell r="A23">
            <v>1.19</v>
          </cell>
          <cell r="B23">
            <v>336</v>
          </cell>
        </row>
        <row r="24">
          <cell r="A24">
            <v>1.2</v>
          </cell>
          <cell r="B24">
            <v>337</v>
          </cell>
        </row>
        <row r="25">
          <cell r="A25">
            <v>1.21</v>
          </cell>
          <cell r="B25">
            <v>338</v>
          </cell>
        </row>
        <row r="26">
          <cell r="A26">
            <v>1.22</v>
          </cell>
          <cell r="B26">
            <v>339</v>
          </cell>
        </row>
        <row r="27">
          <cell r="A27">
            <v>1.23</v>
          </cell>
          <cell r="B27">
            <v>340</v>
          </cell>
        </row>
        <row r="28">
          <cell r="A28">
            <v>1.24</v>
          </cell>
          <cell r="B28">
            <v>341</v>
          </cell>
        </row>
        <row r="29">
          <cell r="A29">
            <v>1.25</v>
          </cell>
          <cell r="B29">
            <v>342</v>
          </cell>
        </row>
        <row r="30">
          <cell r="A30">
            <v>1.26</v>
          </cell>
          <cell r="B30">
            <v>343</v>
          </cell>
        </row>
        <row r="31">
          <cell r="A31">
            <v>1.27</v>
          </cell>
          <cell r="B31">
            <v>344</v>
          </cell>
        </row>
        <row r="32">
          <cell r="A32">
            <v>1.28</v>
          </cell>
          <cell r="B32">
            <v>345</v>
          </cell>
        </row>
        <row r="33">
          <cell r="A33">
            <v>1.29</v>
          </cell>
          <cell r="B33">
            <v>346</v>
          </cell>
        </row>
        <row r="34">
          <cell r="A34">
            <v>1.3</v>
          </cell>
          <cell r="B34">
            <v>347</v>
          </cell>
        </row>
        <row r="35">
          <cell r="A35">
            <v>1.31</v>
          </cell>
          <cell r="B35">
            <v>348</v>
          </cell>
        </row>
        <row r="36">
          <cell r="A36">
            <v>1.32</v>
          </cell>
          <cell r="B36">
            <v>349</v>
          </cell>
        </row>
        <row r="37">
          <cell r="A37">
            <v>1.33</v>
          </cell>
          <cell r="B37">
            <v>350</v>
          </cell>
        </row>
        <row r="38">
          <cell r="A38">
            <v>1.34</v>
          </cell>
          <cell r="B38">
            <v>351</v>
          </cell>
        </row>
        <row r="39">
          <cell r="A39">
            <v>1.35</v>
          </cell>
          <cell r="B39">
            <v>352</v>
          </cell>
        </row>
        <row r="40">
          <cell r="A40">
            <v>1.36</v>
          </cell>
          <cell r="B40">
            <v>353</v>
          </cell>
        </row>
        <row r="41">
          <cell r="A41">
            <v>1.37</v>
          </cell>
          <cell r="B41">
            <v>353</v>
          </cell>
        </row>
        <row r="42">
          <cell r="A42">
            <v>1.38</v>
          </cell>
          <cell r="B42">
            <v>354</v>
          </cell>
        </row>
        <row r="43">
          <cell r="A43">
            <v>1.39</v>
          </cell>
          <cell r="B43">
            <v>355</v>
          </cell>
        </row>
        <row r="44">
          <cell r="A44">
            <v>1.4</v>
          </cell>
          <cell r="B44">
            <v>356</v>
          </cell>
        </row>
        <row r="45">
          <cell r="A45">
            <v>1.41</v>
          </cell>
          <cell r="B45">
            <v>357</v>
          </cell>
        </row>
        <row r="46">
          <cell r="A46">
            <v>1.42</v>
          </cell>
          <cell r="B46">
            <v>358</v>
          </cell>
        </row>
        <row r="47">
          <cell r="A47">
            <v>1.43</v>
          </cell>
          <cell r="B47">
            <v>359</v>
          </cell>
        </row>
        <row r="48">
          <cell r="A48">
            <v>1.44</v>
          </cell>
          <cell r="B48">
            <v>360</v>
          </cell>
        </row>
        <row r="49">
          <cell r="A49">
            <v>1.45</v>
          </cell>
          <cell r="B49">
            <v>360</v>
          </cell>
        </row>
        <row r="50">
          <cell r="A50">
            <v>1.46</v>
          </cell>
          <cell r="B50">
            <v>361</v>
          </cell>
        </row>
        <row r="51">
          <cell r="A51">
            <v>1.47</v>
          </cell>
          <cell r="B51">
            <v>362</v>
          </cell>
        </row>
        <row r="52">
          <cell r="A52">
            <v>1.48</v>
          </cell>
          <cell r="B52">
            <v>363</v>
          </cell>
        </row>
        <row r="53">
          <cell r="A53">
            <v>1.49</v>
          </cell>
          <cell r="B53">
            <v>364</v>
          </cell>
        </row>
        <row r="54">
          <cell r="A54">
            <v>1.5</v>
          </cell>
          <cell r="B54">
            <v>365</v>
          </cell>
        </row>
        <row r="55">
          <cell r="A55">
            <v>1.51</v>
          </cell>
          <cell r="B55">
            <v>365</v>
          </cell>
        </row>
        <row r="56">
          <cell r="A56">
            <v>1.52</v>
          </cell>
          <cell r="B56">
            <v>366</v>
          </cell>
        </row>
        <row r="57">
          <cell r="A57">
            <v>1.53</v>
          </cell>
          <cell r="B57">
            <v>367</v>
          </cell>
        </row>
        <row r="58">
          <cell r="A58">
            <v>1.54</v>
          </cell>
          <cell r="B58">
            <v>368</v>
          </cell>
        </row>
        <row r="59">
          <cell r="A59">
            <v>1.55</v>
          </cell>
          <cell r="B59">
            <v>369</v>
          </cell>
        </row>
        <row r="60">
          <cell r="A60">
            <v>1.56</v>
          </cell>
          <cell r="B60">
            <v>369</v>
          </cell>
        </row>
        <row r="61">
          <cell r="A61">
            <v>1.57</v>
          </cell>
          <cell r="B61">
            <v>370</v>
          </cell>
        </row>
        <row r="62">
          <cell r="A62">
            <v>1.58</v>
          </cell>
          <cell r="B62">
            <v>371</v>
          </cell>
        </row>
        <row r="63">
          <cell r="A63">
            <v>1.59</v>
          </cell>
          <cell r="B63">
            <v>372</v>
          </cell>
        </row>
        <row r="64">
          <cell r="A64">
            <v>1.6</v>
          </cell>
          <cell r="B64">
            <v>373</v>
          </cell>
        </row>
        <row r="65">
          <cell r="A65">
            <v>1.61</v>
          </cell>
          <cell r="B65">
            <v>373</v>
          </cell>
        </row>
        <row r="66">
          <cell r="A66">
            <v>1.62</v>
          </cell>
          <cell r="B66">
            <v>374</v>
          </cell>
        </row>
        <row r="67">
          <cell r="A67">
            <v>1.63</v>
          </cell>
          <cell r="B67">
            <v>375</v>
          </cell>
        </row>
        <row r="68">
          <cell r="A68">
            <v>1.64</v>
          </cell>
          <cell r="B68">
            <v>376</v>
          </cell>
        </row>
        <row r="69">
          <cell r="A69">
            <v>1.65</v>
          </cell>
          <cell r="B69">
            <v>376</v>
          </cell>
        </row>
        <row r="70">
          <cell r="A70">
            <v>1.66</v>
          </cell>
          <cell r="B70">
            <v>377</v>
          </cell>
        </row>
        <row r="71">
          <cell r="A71">
            <v>1.67</v>
          </cell>
          <cell r="B71">
            <v>378</v>
          </cell>
        </row>
        <row r="72">
          <cell r="A72">
            <v>1.68</v>
          </cell>
          <cell r="B72">
            <v>379</v>
          </cell>
        </row>
        <row r="73">
          <cell r="A73">
            <v>1.69</v>
          </cell>
          <cell r="B73">
            <v>379</v>
          </cell>
        </row>
        <row r="74">
          <cell r="A74">
            <v>1.7</v>
          </cell>
          <cell r="B74">
            <v>380</v>
          </cell>
        </row>
        <row r="75">
          <cell r="A75">
            <v>1.71</v>
          </cell>
          <cell r="B75">
            <v>381</v>
          </cell>
        </row>
        <row r="76">
          <cell r="A76">
            <v>1.72</v>
          </cell>
          <cell r="B76">
            <v>382</v>
          </cell>
        </row>
        <row r="77">
          <cell r="A77">
            <v>1.73</v>
          </cell>
          <cell r="B77">
            <v>382</v>
          </cell>
        </row>
        <row r="78">
          <cell r="A78">
            <v>1.74</v>
          </cell>
          <cell r="B78">
            <v>383</v>
          </cell>
        </row>
        <row r="79">
          <cell r="A79">
            <v>1.75</v>
          </cell>
          <cell r="B79">
            <v>384</v>
          </cell>
        </row>
        <row r="80">
          <cell r="A80">
            <v>1.76</v>
          </cell>
          <cell r="B80">
            <v>384</v>
          </cell>
        </row>
        <row r="81">
          <cell r="A81">
            <v>1.77</v>
          </cell>
          <cell r="B81">
            <v>385</v>
          </cell>
        </row>
        <row r="82">
          <cell r="A82">
            <v>1.78</v>
          </cell>
          <cell r="B82">
            <v>386</v>
          </cell>
        </row>
        <row r="83">
          <cell r="A83">
            <v>1.79</v>
          </cell>
          <cell r="B83">
            <v>386</v>
          </cell>
        </row>
        <row r="84">
          <cell r="A84">
            <v>1.8</v>
          </cell>
          <cell r="B84">
            <v>387</v>
          </cell>
        </row>
        <row r="85">
          <cell r="A85">
            <v>1.81</v>
          </cell>
          <cell r="B85">
            <v>388</v>
          </cell>
        </row>
        <row r="86">
          <cell r="A86">
            <v>1.82</v>
          </cell>
          <cell r="B86">
            <v>389</v>
          </cell>
        </row>
        <row r="87">
          <cell r="A87">
            <v>1.83</v>
          </cell>
          <cell r="B87">
            <v>389</v>
          </cell>
        </row>
        <row r="88">
          <cell r="A88">
            <v>1.84</v>
          </cell>
          <cell r="B88">
            <v>390</v>
          </cell>
        </row>
        <row r="89">
          <cell r="A89">
            <v>1.85</v>
          </cell>
          <cell r="B89">
            <v>391</v>
          </cell>
        </row>
        <row r="90">
          <cell r="A90">
            <v>1.86</v>
          </cell>
          <cell r="B90">
            <v>391</v>
          </cell>
        </row>
        <row r="91">
          <cell r="A91">
            <v>1.87</v>
          </cell>
          <cell r="B91">
            <v>392</v>
          </cell>
        </row>
        <row r="92">
          <cell r="A92">
            <v>1.88</v>
          </cell>
          <cell r="B92">
            <v>393</v>
          </cell>
        </row>
        <row r="93">
          <cell r="A93">
            <v>1.89</v>
          </cell>
          <cell r="B93">
            <v>393</v>
          </cell>
        </row>
        <row r="94">
          <cell r="A94">
            <v>1.9</v>
          </cell>
          <cell r="B94">
            <v>394</v>
          </cell>
        </row>
        <row r="95">
          <cell r="A95">
            <v>1.91</v>
          </cell>
          <cell r="B95">
            <v>395</v>
          </cell>
        </row>
        <row r="96">
          <cell r="A96">
            <v>1.92</v>
          </cell>
          <cell r="B96">
            <v>395</v>
          </cell>
        </row>
        <row r="97">
          <cell r="A97">
            <v>1.93</v>
          </cell>
          <cell r="B97">
            <v>396</v>
          </cell>
        </row>
        <row r="98">
          <cell r="A98">
            <v>1.94</v>
          </cell>
          <cell r="B98">
            <v>397</v>
          </cell>
        </row>
        <row r="99">
          <cell r="A99">
            <v>1.95</v>
          </cell>
          <cell r="B99">
            <v>397</v>
          </cell>
        </row>
        <row r="100">
          <cell r="A100">
            <v>1.96</v>
          </cell>
          <cell r="B100">
            <v>398</v>
          </cell>
        </row>
        <row r="101">
          <cell r="A101">
            <v>1.97</v>
          </cell>
          <cell r="B101">
            <v>398</v>
          </cell>
        </row>
        <row r="102">
          <cell r="A102">
            <v>1.98</v>
          </cell>
          <cell r="B102">
            <v>399</v>
          </cell>
        </row>
        <row r="103">
          <cell r="A103">
            <v>1.99</v>
          </cell>
          <cell r="B103">
            <v>400</v>
          </cell>
        </row>
        <row r="104">
          <cell r="A104">
            <v>2</v>
          </cell>
          <cell r="B104">
            <v>400</v>
          </cell>
        </row>
      </sheetData>
      <sheetData sheetId="1">
        <row r="5">
          <cell r="A5">
            <v>1.01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 de la empresa"/>
      <sheetName val="Experiencia"/>
      <sheetName val="Proveedores"/>
      <sheetName val="Info financiera"/>
      <sheetName val="Facturación Tottus"/>
      <sheetName val="Maquinaria"/>
      <sheetName val="Hoja1"/>
      <sheetName val="Preguntas Directas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Seleccionar tipo de servicio</v>
          </cell>
          <cell r="B1" t="str">
            <v>Seleccionar tipo de Cliente</v>
          </cell>
          <cell r="D1" t="str">
            <v>seleccionar</v>
          </cell>
          <cell r="E1" t="str">
            <v>Seleccionar tipo máquina</v>
          </cell>
          <cell r="F1" t="str">
            <v>Seleccionar modalidad</v>
          </cell>
          <cell r="G1" t="str">
            <v>Seleccionar Región</v>
          </cell>
          <cell r="H1" t="str">
            <v>Seleccionar</v>
          </cell>
        </row>
        <row r="2">
          <cell r="A2" t="str">
            <v>1.- Servicio de Aseo y mantención de limpieza (contrato vigente)</v>
          </cell>
          <cell r="B2" t="str">
            <v>Centro comercial</v>
          </cell>
          <cell r="D2" t="str">
            <v>si</v>
          </cell>
          <cell r="E2" t="str">
            <v>Abrillantadora Alta Velocidad Baterías</v>
          </cell>
          <cell r="F2" t="str">
            <v>Arriendo</v>
          </cell>
          <cell r="G2" t="str">
            <v>II Antofagasta</v>
          </cell>
          <cell r="H2" t="str">
            <v>Telefónico</v>
          </cell>
        </row>
        <row r="3">
          <cell r="A3" t="str">
            <v>2.- Servicios especiales de aseo (vidrios en altura, escalas mecánicas, etc.)</v>
          </cell>
          <cell r="B3" t="str">
            <v>Multitienda</v>
          </cell>
          <cell r="D3" t="str">
            <v>no</v>
          </cell>
          <cell r="E3" t="str">
            <v>Abrillantadora Baja Velocidad Eléctrica</v>
          </cell>
          <cell r="F3" t="str">
            <v>Leasing</v>
          </cell>
          <cell r="G3" t="str">
            <v>V Valparaíso</v>
          </cell>
          <cell r="H3" t="str">
            <v>Web</v>
          </cell>
        </row>
        <row r="4">
          <cell r="A4" t="str">
            <v>3.- Ambos  (1 y 2)</v>
          </cell>
          <cell r="B4" t="str">
            <v>Supermercado</v>
          </cell>
          <cell r="E4" t="str">
            <v>Aspiradora Polvo Agua</v>
          </cell>
          <cell r="F4" t="str">
            <v>Otro</v>
          </cell>
          <cell r="G4" t="str">
            <v>VI Libertador Gral. Bernardo O'Higgins</v>
          </cell>
          <cell r="H4" t="str">
            <v>Otro</v>
          </cell>
        </row>
        <row r="5">
          <cell r="A5" t="str">
            <v xml:space="preserve">4.- Otros </v>
          </cell>
          <cell r="E5" t="str">
            <v>Abrillantadora Alta Velocidad Eléctrica</v>
          </cell>
          <cell r="F5" t="str">
            <v xml:space="preserve">Propia </v>
          </cell>
          <cell r="G5" t="str">
            <v>XIII Región Metropolitana (RM)</v>
          </cell>
        </row>
        <row r="6">
          <cell r="E6" t="str">
            <v>Vacuolavadora Hombre Caminando</v>
          </cell>
        </row>
        <row r="7">
          <cell r="E7" t="str">
            <v>Vacuolavadora Hombre a Bordo</v>
          </cell>
        </row>
        <row r="8">
          <cell r="E8" t="str">
            <v>Lavadora Abrillantadora</v>
          </cell>
        </row>
        <row r="9">
          <cell r="E9" t="str">
            <v>Abrillantadora Alta Velocidad Gas</v>
          </cell>
        </row>
        <row r="10">
          <cell r="E10" t="str">
            <v xml:space="preserve">Barredora Aspiradora  Hombre Caminando </v>
          </cell>
        </row>
        <row r="11">
          <cell r="E11" t="str">
            <v>Barredora Aspiradora Hombre a Bordo</v>
          </cell>
        </row>
        <row r="12">
          <cell r="E12" t="str">
            <v>Barredora de calle</v>
          </cell>
        </row>
        <row r="13">
          <cell r="E13" t="str">
            <v>Lavadora Escalera Mecánica</v>
          </cell>
        </row>
        <row r="14">
          <cell r="E14" t="str">
            <v>Otra</v>
          </cell>
        </row>
      </sheetData>
      <sheetData sheetId="7"/>
      <sheetData sheetId="8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sagregado total"/>
      <sheetName val="Desagregado por item"/>
      <sheetName val="Historico de Aumentos"/>
      <sheetName val="Cuadro de Resultados"/>
      <sheetName val="Preciario"/>
      <sheetName val="Estructura ACTUAL EE"/>
      <sheetName val="Personal FASP EE"/>
      <sheetName val="RRHH"/>
      <sheetName val="Analisis Ingresos"/>
      <sheetName val="Supervisores"/>
      <sheetName val="Estructura ACTUAL"/>
      <sheetName val="Propuestas (no tocar)"/>
      <sheetName val="Personal FASP"/>
      <sheetName val="Personal FC"/>
      <sheetName val="EPP y Vestuario"/>
      <sheetName val="Vehículos"/>
      <sheetName val="Gastos Varios"/>
      <sheetName val="sin efec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as"/>
      <sheetName val="501 Base"/>
      <sheetName val="501"/>
      <sheetName val="501 Aclara"/>
      <sheetName val="Pasaje Budget Plus"/>
    </sheetNames>
    <sheetDataSet>
      <sheetData sheetId="0" refreshError="1">
        <row r="4">
          <cell r="D4">
            <v>3</v>
          </cell>
        </row>
        <row r="5">
          <cell r="D5">
            <v>3</v>
          </cell>
        </row>
        <row r="6">
          <cell r="D6">
            <v>3</v>
          </cell>
        </row>
        <row r="7">
          <cell r="D7">
            <v>3</v>
          </cell>
        </row>
        <row r="8">
          <cell r="D8">
            <v>3</v>
          </cell>
        </row>
        <row r="9">
          <cell r="D9">
            <v>3</v>
          </cell>
        </row>
        <row r="10">
          <cell r="D10">
            <v>3</v>
          </cell>
        </row>
        <row r="11">
          <cell r="D11">
            <v>3</v>
          </cell>
        </row>
        <row r="12">
          <cell r="D12">
            <v>3</v>
          </cell>
        </row>
        <row r="13">
          <cell r="D13">
            <v>3</v>
          </cell>
        </row>
        <row r="14">
          <cell r="D14">
            <v>3</v>
          </cell>
        </row>
        <row r="15">
          <cell r="D15">
            <v>3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UBROS"/>
    </sheetNames>
    <sheetDataSet>
      <sheetData sheetId="0" refreshError="1">
        <row r="2">
          <cell r="A2" t="str">
            <v>CUENTA OBJETO</v>
          </cell>
          <cell r="B2" t="str">
            <v>Rubro</v>
          </cell>
        </row>
        <row r="3">
          <cell r="A3" t="str">
            <v>5281</v>
          </cell>
          <cell r="B3" t="str">
            <v>04 - Sueldos y Cargas Sociales</v>
          </cell>
        </row>
        <row r="4">
          <cell r="A4" t="str">
            <v>5281</v>
          </cell>
          <cell r="B4" t="str">
            <v>04 - Sueldos y Cargas Sociales</v>
          </cell>
        </row>
        <row r="5">
          <cell r="A5" t="str">
            <v>5281</v>
          </cell>
          <cell r="B5" t="str">
            <v>04 - Sueldos y Cargas Sociales</v>
          </cell>
        </row>
        <row r="6">
          <cell r="A6" t="str">
            <v>5281</v>
          </cell>
          <cell r="B6" t="str">
            <v>04 - Sueldos y Cargas Sociales</v>
          </cell>
        </row>
        <row r="7">
          <cell r="A7" t="str">
            <v>5281</v>
          </cell>
          <cell r="B7" t="str">
            <v>04 - Sueldos y Cargas Sociales</v>
          </cell>
        </row>
        <row r="8">
          <cell r="A8" t="str">
            <v>5281</v>
          </cell>
          <cell r="B8" t="str">
            <v>04 - Sueldos y Cargas Sociales</v>
          </cell>
        </row>
        <row r="9">
          <cell r="A9" t="str">
            <v>5281</v>
          </cell>
          <cell r="B9" t="str">
            <v>04 - Sueldos y Cargas Sociales</v>
          </cell>
        </row>
        <row r="10">
          <cell r="A10" t="str">
            <v>5281</v>
          </cell>
          <cell r="B10" t="str">
            <v>04 - Sueldos y Cargas Sociales</v>
          </cell>
        </row>
        <row r="11">
          <cell r="A11" t="str">
            <v>5321</v>
          </cell>
          <cell r="B11" t="str">
            <v>04 - Sueldos y Cargas Sociales</v>
          </cell>
        </row>
        <row r="12">
          <cell r="A12" t="str">
            <v>5321</v>
          </cell>
          <cell r="B12" t="str">
            <v>04 - Sueldos y Cargas Sociales</v>
          </cell>
        </row>
        <row r="13">
          <cell r="A13" t="str">
            <v>5321</v>
          </cell>
          <cell r="B13" t="str">
            <v>04 - Sueldos y Cargas Sociales</v>
          </cell>
        </row>
        <row r="14">
          <cell r="A14" t="str">
            <v>5321</v>
          </cell>
          <cell r="B14" t="str">
            <v>04 - Sueldos y Cargas Sociales</v>
          </cell>
        </row>
        <row r="15">
          <cell r="A15" t="str">
            <v>5321</v>
          </cell>
          <cell r="B15" t="str">
            <v>04 - Sueldos y Cargas Sociales</v>
          </cell>
        </row>
        <row r="16">
          <cell r="A16" t="str">
            <v>5321</v>
          </cell>
          <cell r="B16" t="str">
            <v>04 - Sueldos y Cargas Sociales</v>
          </cell>
        </row>
        <row r="17">
          <cell r="A17" t="str">
            <v>5321</v>
          </cell>
          <cell r="B17" t="str">
            <v>04 - Sueldos y Cargas Sociales</v>
          </cell>
        </row>
        <row r="18">
          <cell r="A18" t="str">
            <v>5321</v>
          </cell>
          <cell r="B18" t="str">
            <v>04 - Sueldos y Cargas Sociales</v>
          </cell>
        </row>
        <row r="19">
          <cell r="A19" t="str">
            <v>5432</v>
          </cell>
          <cell r="B19" t="str">
            <v>04 - Sueldos y Cargas Sociales</v>
          </cell>
        </row>
        <row r="20">
          <cell r="A20" t="str">
            <v>5432</v>
          </cell>
          <cell r="B20" t="str">
            <v>04 - Sueldos y Cargas Sociales</v>
          </cell>
        </row>
        <row r="21">
          <cell r="A21" t="str">
            <v>5432</v>
          </cell>
          <cell r="B21" t="str">
            <v>04 - Sueldos y Cargas Sociales</v>
          </cell>
        </row>
        <row r="22">
          <cell r="A22" t="str">
            <v>5432</v>
          </cell>
          <cell r="B22" t="str">
            <v>04 - Sueldos y Cargas Sociales</v>
          </cell>
        </row>
        <row r="23">
          <cell r="A23" t="str">
            <v>5432</v>
          </cell>
          <cell r="B23" t="str">
            <v>04 - Sueldos y Cargas Sociales</v>
          </cell>
        </row>
        <row r="24">
          <cell r="A24" t="str">
            <v>5432</v>
          </cell>
          <cell r="B24" t="str">
            <v>04 - Sueldos y Cargas Sociales</v>
          </cell>
        </row>
        <row r="25">
          <cell r="A25" t="str">
            <v>5432</v>
          </cell>
          <cell r="B25" t="str">
            <v>04 - Sueldos y Cargas Sociales</v>
          </cell>
        </row>
        <row r="26">
          <cell r="A26" t="str">
            <v>5432</v>
          </cell>
          <cell r="B26" t="str">
            <v>04 - Sueldos y Cargas Sociales</v>
          </cell>
        </row>
        <row r="27">
          <cell r="A27" t="str">
            <v>5435</v>
          </cell>
          <cell r="B27" t="str">
            <v>04 - Sueldos y Cargas Sociales</v>
          </cell>
        </row>
        <row r="28">
          <cell r="A28" t="str">
            <v>5435</v>
          </cell>
          <cell r="B28" t="str">
            <v>04 - Sueldos y Cargas Sociales</v>
          </cell>
        </row>
        <row r="29">
          <cell r="A29" t="str">
            <v>5435</v>
          </cell>
          <cell r="B29" t="str">
            <v>04 - Sueldos y Cargas Sociales</v>
          </cell>
        </row>
        <row r="30">
          <cell r="A30" t="str">
            <v>5435</v>
          </cell>
          <cell r="B30" t="str">
            <v>04 - Sueldos y Cargas Sociales</v>
          </cell>
        </row>
        <row r="31">
          <cell r="A31" t="str">
            <v>5435</v>
          </cell>
          <cell r="B31" t="str">
            <v>04 - Sueldos y Cargas Sociales</v>
          </cell>
        </row>
        <row r="32">
          <cell r="A32" t="str">
            <v>5435</v>
          </cell>
          <cell r="B32" t="str">
            <v>04 - Sueldos y Cargas Sociales</v>
          </cell>
        </row>
        <row r="33">
          <cell r="A33" t="str">
            <v>5435</v>
          </cell>
          <cell r="B33" t="str">
            <v>04 - Sueldos y Cargas Sociales</v>
          </cell>
        </row>
        <row r="34">
          <cell r="A34" t="str">
            <v>5435</v>
          </cell>
          <cell r="B34" t="str">
            <v>04 - Sueldos y Cargas Sociales</v>
          </cell>
        </row>
        <row r="35">
          <cell r="A35" t="str">
            <v>5451</v>
          </cell>
          <cell r="B35" t="str">
            <v>04 - Sueldos y Cargas Sociales</v>
          </cell>
        </row>
        <row r="36">
          <cell r="A36" t="str">
            <v>5451</v>
          </cell>
          <cell r="B36" t="str">
            <v>04 - Sueldos y Cargas Sociales</v>
          </cell>
        </row>
        <row r="37">
          <cell r="A37" t="str">
            <v>5451</v>
          </cell>
          <cell r="B37" t="str">
            <v>04 - Sueldos y Cargas Sociales</v>
          </cell>
        </row>
        <row r="38">
          <cell r="A38" t="str">
            <v>5451</v>
          </cell>
          <cell r="B38" t="str">
            <v>04 - Sueldos y Cargas Sociales</v>
          </cell>
        </row>
        <row r="39">
          <cell r="A39" t="str">
            <v>5451</v>
          </cell>
          <cell r="B39" t="str">
            <v>04 - Sueldos y Cargas Sociales</v>
          </cell>
        </row>
        <row r="40">
          <cell r="A40" t="str">
            <v>5451</v>
          </cell>
          <cell r="B40" t="str">
            <v>04 - Sueldos y Cargas Sociales</v>
          </cell>
        </row>
        <row r="41">
          <cell r="A41" t="str">
            <v>5451</v>
          </cell>
          <cell r="B41" t="str">
            <v>04 - Sueldos y Cargas Sociales</v>
          </cell>
        </row>
        <row r="42">
          <cell r="A42" t="str">
            <v>5451</v>
          </cell>
          <cell r="B42" t="str">
            <v>04 - Sueldos y Cargas Sociales</v>
          </cell>
        </row>
        <row r="43">
          <cell r="A43" t="str">
            <v>5452</v>
          </cell>
          <cell r="B43" t="str">
            <v>04 - Sueldos y Cargas Sociales</v>
          </cell>
        </row>
        <row r="44">
          <cell r="A44" t="str">
            <v>5452</v>
          </cell>
          <cell r="B44" t="str">
            <v>04 - Sueldos y Cargas Sociales</v>
          </cell>
        </row>
        <row r="45">
          <cell r="A45" t="str">
            <v>5452</v>
          </cell>
          <cell r="B45" t="str">
            <v>04 - Sueldos y Cargas Sociales</v>
          </cell>
        </row>
        <row r="46">
          <cell r="A46" t="str">
            <v>5452</v>
          </cell>
          <cell r="B46" t="str">
            <v>04 - Sueldos y Cargas Sociales</v>
          </cell>
        </row>
        <row r="47">
          <cell r="A47" t="str">
            <v>5452</v>
          </cell>
          <cell r="B47" t="str">
            <v>04 - Sueldos y Cargas Sociales</v>
          </cell>
        </row>
        <row r="48">
          <cell r="A48" t="str">
            <v>5452</v>
          </cell>
          <cell r="B48" t="str">
            <v>04 - Sueldos y Cargas Sociales</v>
          </cell>
        </row>
        <row r="49">
          <cell r="A49" t="str">
            <v>5452</v>
          </cell>
          <cell r="B49" t="str">
            <v>04 - Sueldos y Cargas Sociales</v>
          </cell>
        </row>
        <row r="50">
          <cell r="A50" t="str">
            <v>5452</v>
          </cell>
          <cell r="B50" t="str">
            <v>04 - Sueldos y Cargas Sociales</v>
          </cell>
        </row>
        <row r="51">
          <cell r="A51" t="str">
            <v>5453</v>
          </cell>
          <cell r="B51" t="str">
            <v>04 - Sueldos y Cargas Sociales</v>
          </cell>
        </row>
        <row r="52">
          <cell r="A52" t="str">
            <v>5453</v>
          </cell>
          <cell r="B52" t="str">
            <v>04 - Sueldos y Cargas Sociales</v>
          </cell>
        </row>
        <row r="53">
          <cell r="A53" t="str">
            <v>5453</v>
          </cell>
          <cell r="B53" t="str">
            <v>04 - Sueldos y Cargas Sociales</v>
          </cell>
        </row>
        <row r="54">
          <cell r="A54" t="str">
            <v>5453</v>
          </cell>
          <cell r="B54" t="str">
            <v>04 - Sueldos y Cargas Sociales</v>
          </cell>
        </row>
        <row r="55">
          <cell r="A55" t="str">
            <v>5453</v>
          </cell>
          <cell r="B55" t="str">
            <v>04 - Sueldos y Cargas Sociales</v>
          </cell>
        </row>
        <row r="56">
          <cell r="A56" t="str">
            <v>5453</v>
          </cell>
          <cell r="B56" t="str">
            <v>04 - Sueldos y Cargas Sociales</v>
          </cell>
        </row>
        <row r="57">
          <cell r="A57" t="str">
            <v>5453</v>
          </cell>
          <cell r="B57" t="str">
            <v>04 - Sueldos y Cargas Sociales</v>
          </cell>
        </row>
        <row r="58">
          <cell r="A58" t="str">
            <v>5453</v>
          </cell>
          <cell r="B58" t="str">
            <v>04 - Sueldos y Cargas Sociales</v>
          </cell>
        </row>
        <row r="59">
          <cell r="A59" t="str">
            <v>5521</v>
          </cell>
          <cell r="B59" t="str">
            <v>04 - Sueldos y Cargas Sociales</v>
          </cell>
        </row>
        <row r="60">
          <cell r="A60" t="str">
            <v>5521</v>
          </cell>
          <cell r="B60" t="str">
            <v>04 - Sueldos y Cargas Sociales</v>
          </cell>
        </row>
        <row r="61">
          <cell r="A61" t="str">
            <v>5521</v>
          </cell>
          <cell r="B61" t="str">
            <v>04 - Sueldos y Cargas Sociales</v>
          </cell>
        </row>
        <row r="62">
          <cell r="A62" t="str">
            <v>5521</v>
          </cell>
          <cell r="B62" t="str">
            <v>04 - Sueldos y Cargas Sociales</v>
          </cell>
        </row>
        <row r="63">
          <cell r="A63" t="str">
            <v>5521</v>
          </cell>
          <cell r="B63" t="str">
            <v>04 - Sueldos y Cargas Sociales</v>
          </cell>
        </row>
        <row r="64">
          <cell r="A64" t="str">
            <v>5521</v>
          </cell>
          <cell r="B64" t="str">
            <v>04 - Sueldos y Cargas Sociales</v>
          </cell>
        </row>
        <row r="65">
          <cell r="A65" t="str">
            <v>5521</v>
          </cell>
          <cell r="B65" t="str">
            <v>04 - Sueldos y Cargas Sociales</v>
          </cell>
        </row>
        <row r="66">
          <cell r="A66" t="str">
            <v>5521</v>
          </cell>
          <cell r="B66" t="str">
            <v>04 - Sueldos y Cargas Sociales</v>
          </cell>
        </row>
        <row r="67">
          <cell r="A67" t="str">
            <v>5521</v>
          </cell>
          <cell r="B67" t="str">
            <v>04 - Sueldos y Cargas Sociales</v>
          </cell>
        </row>
        <row r="68">
          <cell r="A68" t="str">
            <v>5527</v>
          </cell>
          <cell r="B68" t="str">
            <v>04 - Sueldos y Cargas Sociales</v>
          </cell>
        </row>
        <row r="69">
          <cell r="A69" t="str">
            <v>5527</v>
          </cell>
          <cell r="B69" t="str">
            <v>04 - Sueldos y Cargas Sociales</v>
          </cell>
        </row>
        <row r="70">
          <cell r="A70" t="str">
            <v>5527</v>
          </cell>
          <cell r="B70" t="str">
            <v>04 - Sueldos y Cargas Sociales</v>
          </cell>
        </row>
        <row r="71">
          <cell r="A71" t="str">
            <v>5527</v>
          </cell>
          <cell r="B71" t="str">
            <v>04 - Sueldos y Cargas Sociales</v>
          </cell>
        </row>
        <row r="72">
          <cell r="A72" t="str">
            <v>5527</v>
          </cell>
          <cell r="B72" t="str">
            <v>04 - Sueldos y Cargas Sociales</v>
          </cell>
        </row>
        <row r="73">
          <cell r="A73" t="str">
            <v>5527</v>
          </cell>
          <cell r="B73" t="str">
            <v>04 - Sueldos y Cargas Sociales</v>
          </cell>
        </row>
        <row r="74">
          <cell r="A74" t="str">
            <v>5527</v>
          </cell>
          <cell r="B74" t="str">
            <v>04 - Sueldos y Cargas Sociales</v>
          </cell>
        </row>
        <row r="75">
          <cell r="A75" t="str">
            <v>5527</v>
          </cell>
          <cell r="B75" t="str">
            <v>04 - Sueldos y Cargas Sociales</v>
          </cell>
        </row>
        <row r="76">
          <cell r="A76" t="str">
            <v>5527</v>
          </cell>
          <cell r="B76" t="str">
            <v>04 - Sueldos y Cargas Sociales</v>
          </cell>
        </row>
        <row r="77">
          <cell r="A77" t="str">
            <v>5534.02</v>
          </cell>
          <cell r="B77" t="str">
            <v>11 - Otros Gastos</v>
          </cell>
        </row>
        <row r="78">
          <cell r="A78" t="str">
            <v>5534.02</v>
          </cell>
          <cell r="B78" t="str">
            <v>04 - Sueldos y Cargas Sociales</v>
          </cell>
        </row>
        <row r="79">
          <cell r="A79" t="str">
            <v>5534.02</v>
          </cell>
          <cell r="B79" t="str">
            <v>04 - Sueldos y Cargas Sociales</v>
          </cell>
        </row>
        <row r="80">
          <cell r="A80" t="str">
            <v>5534.02</v>
          </cell>
          <cell r="B80" t="str">
            <v>04 - Sueldos y Cargas Sociales</v>
          </cell>
        </row>
        <row r="81">
          <cell r="A81" t="str">
            <v>5534.02</v>
          </cell>
          <cell r="B81" t="str">
            <v>04 - Sueldos y Cargas Sociales</v>
          </cell>
        </row>
        <row r="82">
          <cell r="A82" t="str">
            <v>5535</v>
          </cell>
          <cell r="B82" t="str">
            <v>04 - Sueldos y Cargas Sociales</v>
          </cell>
        </row>
        <row r="83">
          <cell r="A83" t="str">
            <v>5535</v>
          </cell>
          <cell r="B83" t="str">
            <v>04 - Sueldos y Cargas Sociales</v>
          </cell>
        </row>
        <row r="84">
          <cell r="A84" t="str">
            <v>5535</v>
          </cell>
          <cell r="B84" t="str">
            <v>04 - Sueldos y Cargas Sociales</v>
          </cell>
        </row>
        <row r="85">
          <cell r="A85" t="str">
            <v>5535</v>
          </cell>
          <cell r="B85" t="str">
            <v>04 - Sueldos y Cargas Sociales</v>
          </cell>
        </row>
        <row r="86">
          <cell r="A86" t="str">
            <v>5535</v>
          </cell>
          <cell r="B86" t="str">
            <v>04 - Sueldos y Cargas Sociales</v>
          </cell>
        </row>
        <row r="87">
          <cell r="A87" t="str">
            <v>5536</v>
          </cell>
          <cell r="B87" t="str">
            <v>04 - Sueldos y Cargas Sociales</v>
          </cell>
        </row>
        <row r="88">
          <cell r="A88" t="str">
            <v>5537</v>
          </cell>
          <cell r="B88" t="str">
            <v>04 - Sueldos y Cargas Sociales</v>
          </cell>
        </row>
        <row r="89">
          <cell r="A89" t="str">
            <v>5537</v>
          </cell>
          <cell r="B89" t="str">
            <v>04 - Sueldos y Cargas Sociales</v>
          </cell>
        </row>
        <row r="90">
          <cell r="A90" t="str">
            <v>5537</v>
          </cell>
          <cell r="B90" t="str">
            <v>04 - Sueldos y Cargas Sociales</v>
          </cell>
        </row>
        <row r="91">
          <cell r="A91" t="str">
            <v>5537</v>
          </cell>
          <cell r="B91" t="str">
            <v>04 - Sueldos y Cargas Sociales</v>
          </cell>
        </row>
        <row r="92">
          <cell r="A92" t="str">
            <v>5537</v>
          </cell>
          <cell r="B92" t="str">
            <v>04 - Sueldos y Cargas Sociales</v>
          </cell>
        </row>
        <row r="93">
          <cell r="A93" t="str">
            <v>5537</v>
          </cell>
          <cell r="B93" t="str">
            <v>04 - Sueldos y Cargas Sociales</v>
          </cell>
        </row>
        <row r="94">
          <cell r="A94" t="str">
            <v>5537</v>
          </cell>
          <cell r="B94" t="str">
            <v>04 - Sueldos y Cargas Sociales</v>
          </cell>
        </row>
        <row r="95">
          <cell r="A95" t="str">
            <v>5537</v>
          </cell>
          <cell r="B95" t="str">
            <v>04 - Sueldos y Cargas Sociales</v>
          </cell>
        </row>
        <row r="96">
          <cell r="A96" t="str">
            <v>5537</v>
          </cell>
          <cell r="B96" t="str">
            <v>04 - Sueldos y Cargas Sociales</v>
          </cell>
        </row>
        <row r="97">
          <cell r="A97" t="str">
            <v>5537</v>
          </cell>
          <cell r="B97" t="str">
            <v>04 - Sueldos y Cargas Sociales</v>
          </cell>
        </row>
        <row r="98">
          <cell r="A98" t="str">
            <v>5538</v>
          </cell>
          <cell r="B98" t="str">
            <v>04 - Sueldos y Cargas Sociales</v>
          </cell>
        </row>
        <row r="99">
          <cell r="A99" t="str">
            <v>5539</v>
          </cell>
          <cell r="B99" t="str">
            <v>04 - Sueldos y Cargas Sociales</v>
          </cell>
        </row>
        <row r="100">
          <cell r="A100" t="str">
            <v>5539</v>
          </cell>
          <cell r="B100" t="str">
            <v>04 - Sueldos y Cargas Sociales</v>
          </cell>
        </row>
        <row r="101">
          <cell r="A101" t="str">
            <v>5539</v>
          </cell>
          <cell r="B101" t="str">
            <v>04 - Sueldos y Cargas Sociales</v>
          </cell>
        </row>
        <row r="102">
          <cell r="A102" t="str">
            <v>5539</v>
          </cell>
          <cell r="B102" t="str">
            <v>04 - Sueldos y Cargas Sociales</v>
          </cell>
        </row>
        <row r="103">
          <cell r="A103" t="str">
            <v>5539</v>
          </cell>
          <cell r="B103" t="str">
            <v>04 - Sueldos y Cargas Sociales</v>
          </cell>
        </row>
        <row r="104">
          <cell r="A104" t="str">
            <v>5539</v>
          </cell>
          <cell r="B104" t="str">
            <v>04 - Sueldos y Cargas Sociales</v>
          </cell>
        </row>
        <row r="105">
          <cell r="A105" t="str">
            <v>5539</v>
          </cell>
          <cell r="B105" t="str">
            <v>04 - Sueldos y Cargas Sociales</v>
          </cell>
        </row>
        <row r="106">
          <cell r="A106" t="str">
            <v>5539</v>
          </cell>
          <cell r="B106" t="str">
            <v>04 - Sueldos y Cargas Sociales</v>
          </cell>
        </row>
        <row r="107">
          <cell r="A107" t="str">
            <v>5540</v>
          </cell>
          <cell r="B107" t="str">
            <v>04 - Sueldos y Cargas Sociales</v>
          </cell>
        </row>
        <row r="108">
          <cell r="A108" t="str">
            <v>5540</v>
          </cell>
          <cell r="B108" t="str">
            <v>04 - Sueldos y Cargas Sociales</v>
          </cell>
        </row>
        <row r="109">
          <cell r="A109" t="str">
            <v>5540</v>
          </cell>
          <cell r="B109" t="str">
            <v>04 - Sueldos y Cargas Sociales</v>
          </cell>
        </row>
        <row r="110">
          <cell r="A110" t="str">
            <v>5540</v>
          </cell>
          <cell r="B110" t="str">
            <v>04 - Sueldos y Cargas Sociales</v>
          </cell>
        </row>
        <row r="111">
          <cell r="A111" t="str">
            <v>5540</v>
          </cell>
          <cell r="B111" t="str">
            <v>04 - Sueldos y Cargas Sociales</v>
          </cell>
        </row>
        <row r="112">
          <cell r="A112" t="str">
            <v>5540</v>
          </cell>
          <cell r="B112" t="str">
            <v>04 - Sueldos y Cargas Sociales</v>
          </cell>
        </row>
        <row r="113">
          <cell r="A113" t="str">
            <v>5540</v>
          </cell>
          <cell r="B113" t="str">
            <v>04 - Sueldos y Cargas Sociales</v>
          </cell>
        </row>
        <row r="114">
          <cell r="A114" t="str">
            <v>5540</v>
          </cell>
          <cell r="B114" t="str">
            <v>04 - Sueldos y Cargas Sociales</v>
          </cell>
        </row>
        <row r="115">
          <cell r="A115" t="str">
            <v>5541</v>
          </cell>
          <cell r="B115" t="str">
            <v>11 - Otros Gastos</v>
          </cell>
        </row>
        <row r="116">
          <cell r="A116" t="str">
            <v>5542</v>
          </cell>
          <cell r="B116" t="str">
            <v>11 - Otros Gastos</v>
          </cell>
        </row>
        <row r="117">
          <cell r="A117" t="str">
            <v>5542</v>
          </cell>
          <cell r="B117" t="str">
            <v>11 - Otros Gastos</v>
          </cell>
        </row>
        <row r="118">
          <cell r="A118" t="str">
            <v>5542</v>
          </cell>
          <cell r="B118" t="str">
            <v>04 - Sueldos y Cargas Sociales</v>
          </cell>
        </row>
        <row r="119">
          <cell r="A119" t="str">
            <v>5542</v>
          </cell>
          <cell r="B119" t="str">
            <v>04 - Sueldos y Cargas Sociales</v>
          </cell>
        </row>
        <row r="120">
          <cell r="A120" t="str">
            <v>5542</v>
          </cell>
          <cell r="B120" t="str">
            <v>04 - Sueldos y Cargas Sociales</v>
          </cell>
        </row>
        <row r="121">
          <cell r="A121" t="str">
            <v>5542</v>
          </cell>
          <cell r="B121" t="str">
            <v>11 - Otros Gastos</v>
          </cell>
        </row>
        <row r="122">
          <cell r="A122" t="str">
            <v>5542</v>
          </cell>
          <cell r="B122" t="str">
            <v>11 - Otros Gastos</v>
          </cell>
        </row>
        <row r="123">
          <cell r="A123" t="str">
            <v>5542</v>
          </cell>
          <cell r="B123" t="str">
            <v>04 - Sueldos y Cargas Sociales</v>
          </cell>
        </row>
        <row r="124">
          <cell r="A124" t="str">
            <v>5542</v>
          </cell>
          <cell r="B124" t="str">
            <v>04 - Sueldos y Cargas Sociales</v>
          </cell>
        </row>
        <row r="125">
          <cell r="A125" t="str">
            <v>5542</v>
          </cell>
          <cell r="B125" t="str">
            <v>04 - Sueldos y Cargas Sociales</v>
          </cell>
        </row>
        <row r="126">
          <cell r="A126" t="str">
            <v>5542</v>
          </cell>
          <cell r="B126" t="str">
            <v>11 - Otros Gastos</v>
          </cell>
        </row>
        <row r="127">
          <cell r="A127" t="str">
            <v>5582</v>
          </cell>
          <cell r="B127" t="str">
            <v>11 - Otros Gastos</v>
          </cell>
        </row>
        <row r="128">
          <cell r="A128" t="str">
            <v>5583</v>
          </cell>
          <cell r="B128" t="str">
            <v>11 - Otros Gastos</v>
          </cell>
        </row>
        <row r="129">
          <cell r="A129" t="str">
            <v>5586</v>
          </cell>
          <cell r="B129" t="str">
            <v>11 - Otros Gastos</v>
          </cell>
        </row>
        <row r="130">
          <cell r="A130" t="str">
            <v>5587</v>
          </cell>
          <cell r="B130" t="str">
            <v>11 - Otros Gastos</v>
          </cell>
        </row>
        <row r="131">
          <cell r="A131" t="str">
            <v>5803</v>
          </cell>
          <cell r="B131" t="str">
            <v>11 - Otros Gastos</v>
          </cell>
        </row>
        <row r="132">
          <cell r="A132" t="str">
            <v>5803</v>
          </cell>
          <cell r="B132" t="str">
            <v>11 - Otros Gastos</v>
          </cell>
        </row>
        <row r="133">
          <cell r="A133" t="str">
            <v>5803</v>
          </cell>
          <cell r="B133" t="str">
            <v>11 - Otros Gastos</v>
          </cell>
        </row>
        <row r="134">
          <cell r="A134" t="str">
            <v>5803</v>
          </cell>
          <cell r="B134" t="str">
            <v>11 - Otros Gastos</v>
          </cell>
        </row>
        <row r="135">
          <cell r="A135" t="str">
            <v>5803</v>
          </cell>
          <cell r="B135" t="str">
            <v>11 - Otros Gastos</v>
          </cell>
        </row>
        <row r="136">
          <cell r="A136" t="str">
            <v>5804</v>
          </cell>
          <cell r="B136" t="str">
            <v>11 - Otros Gastos</v>
          </cell>
        </row>
        <row r="137">
          <cell r="A137" t="str">
            <v>5854</v>
          </cell>
          <cell r="B137" t="str">
            <v>08 - Pulling y Mediciones</v>
          </cell>
        </row>
        <row r="138">
          <cell r="A138" t="str">
            <v>5854</v>
          </cell>
          <cell r="B138" t="str">
            <v>08 - Pulling y Mediciones</v>
          </cell>
        </row>
        <row r="139">
          <cell r="A139" t="str">
            <v>5854</v>
          </cell>
          <cell r="B139" t="str">
            <v>08 - Pulling y Mediciones</v>
          </cell>
        </row>
        <row r="140">
          <cell r="A140" t="str">
            <v>5855</v>
          </cell>
          <cell r="B140" t="str">
            <v>08 - Pulling y Mediciones</v>
          </cell>
        </row>
        <row r="141">
          <cell r="A141" t="str">
            <v>5855</v>
          </cell>
          <cell r="B141" t="str">
            <v>08 - Pulling y Mediciones</v>
          </cell>
        </row>
        <row r="142">
          <cell r="A142" t="str">
            <v>5857</v>
          </cell>
          <cell r="B142" t="str">
            <v>08 - Pulling y Mediciones</v>
          </cell>
        </row>
        <row r="143">
          <cell r="A143" t="str">
            <v>5857</v>
          </cell>
          <cell r="B143" t="str">
            <v>08 - Pulling y Mediciones</v>
          </cell>
        </row>
        <row r="144">
          <cell r="A144" t="str">
            <v>5857</v>
          </cell>
          <cell r="B144" t="str">
            <v>08 - Pulling y Mediciones</v>
          </cell>
        </row>
        <row r="145">
          <cell r="A145" t="str">
            <v>5857.001</v>
          </cell>
          <cell r="B145" t="str">
            <v>08 - Pulling y Mediciones</v>
          </cell>
        </row>
        <row r="146">
          <cell r="A146" t="str">
            <v>5858</v>
          </cell>
          <cell r="B146" t="str">
            <v>08 - Pulling y Mediciones</v>
          </cell>
        </row>
        <row r="147">
          <cell r="A147" t="str">
            <v>5858</v>
          </cell>
          <cell r="B147" t="str">
            <v>08 - Pulling y Mediciones</v>
          </cell>
        </row>
        <row r="148">
          <cell r="A148" t="str">
            <v>5858</v>
          </cell>
          <cell r="B148" t="str">
            <v>08 - Pulling y Mediciones</v>
          </cell>
        </row>
        <row r="149">
          <cell r="A149" t="str">
            <v>5858</v>
          </cell>
          <cell r="B149" t="str">
            <v>08 - Pulling y Mediciones</v>
          </cell>
        </row>
        <row r="150">
          <cell r="A150" t="str">
            <v>5858</v>
          </cell>
          <cell r="B150" t="str">
            <v>08 - Pulling y Mediciones</v>
          </cell>
        </row>
        <row r="151">
          <cell r="A151" t="str">
            <v>5858.001</v>
          </cell>
          <cell r="B151" t="str">
            <v>08 - Pulling y Mediciones</v>
          </cell>
        </row>
        <row r="152">
          <cell r="A152" t="str">
            <v>5858.001</v>
          </cell>
          <cell r="B152" t="str">
            <v>08 - Pulling y Mediciones</v>
          </cell>
        </row>
        <row r="153">
          <cell r="A153" t="str">
            <v>5858.001</v>
          </cell>
          <cell r="B153" t="str">
            <v>08 - Pulling y Mediciones</v>
          </cell>
        </row>
        <row r="154">
          <cell r="A154" t="str">
            <v>5859</v>
          </cell>
          <cell r="B154" t="str">
            <v>08 - Pulling y Mediciones</v>
          </cell>
        </row>
        <row r="155">
          <cell r="A155" t="str">
            <v>5859</v>
          </cell>
          <cell r="B155" t="str">
            <v>08 - Pulling y Mediciones</v>
          </cell>
        </row>
        <row r="156">
          <cell r="A156" t="str">
            <v>5859</v>
          </cell>
          <cell r="B156" t="str">
            <v>08 - Pulling y Mediciones</v>
          </cell>
        </row>
        <row r="157">
          <cell r="A157" t="str">
            <v>5859</v>
          </cell>
          <cell r="B157" t="str">
            <v>08 - Pulling y Mediciones</v>
          </cell>
        </row>
        <row r="158">
          <cell r="A158" t="str">
            <v>5859.001</v>
          </cell>
          <cell r="B158" t="str">
            <v>08 - Pulling y Mediciones</v>
          </cell>
        </row>
        <row r="159">
          <cell r="A159" t="str">
            <v>5859.001</v>
          </cell>
          <cell r="B159" t="str">
            <v>08 - Pulling y Mediciones</v>
          </cell>
        </row>
        <row r="160">
          <cell r="A160" t="str">
            <v>5859.001</v>
          </cell>
          <cell r="B160" t="str">
            <v>08 - Pulling y Mediciones</v>
          </cell>
        </row>
        <row r="161">
          <cell r="A161" t="str">
            <v>5860</v>
          </cell>
          <cell r="B161" t="str">
            <v>08 - Pulling y Mediciones</v>
          </cell>
        </row>
        <row r="162">
          <cell r="A162" t="str">
            <v>5860</v>
          </cell>
          <cell r="B162" t="str">
            <v>08 - Pulling y Mediciones</v>
          </cell>
        </row>
        <row r="163">
          <cell r="A163" t="str">
            <v>5860</v>
          </cell>
          <cell r="B163" t="str">
            <v>08 - Pulling y Mediciones</v>
          </cell>
        </row>
        <row r="164">
          <cell r="A164" t="str">
            <v>5860</v>
          </cell>
          <cell r="B164" t="str">
            <v>08 - Pulling y Mediciones</v>
          </cell>
        </row>
        <row r="165">
          <cell r="A165" t="str">
            <v>5860</v>
          </cell>
          <cell r="B165" t="str">
            <v>08 - Pulling y Mediciones</v>
          </cell>
        </row>
        <row r="166">
          <cell r="A166" t="str">
            <v>5861</v>
          </cell>
          <cell r="B166" t="str">
            <v>08 - Pulling y Mediciones</v>
          </cell>
        </row>
        <row r="167">
          <cell r="A167" t="str">
            <v>5861.001</v>
          </cell>
          <cell r="B167" t="str">
            <v>08 - Pulling y Mediciones</v>
          </cell>
        </row>
        <row r="168">
          <cell r="A168" t="str">
            <v>5862</v>
          </cell>
          <cell r="B168" t="str">
            <v>08 - Pulling y Mediciones</v>
          </cell>
        </row>
        <row r="169">
          <cell r="A169" t="str">
            <v>5862</v>
          </cell>
          <cell r="B169" t="str">
            <v>08 - Pulling y Mediciones</v>
          </cell>
        </row>
        <row r="170">
          <cell r="A170" t="str">
            <v>5862</v>
          </cell>
          <cell r="B170" t="str">
            <v>08 - Pulling y Mediciones</v>
          </cell>
        </row>
        <row r="171">
          <cell r="A171" t="str">
            <v>5862</v>
          </cell>
          <cell r="B171" t="str">
            <v>08 - Pulling y Mediciones</v>
          </cell>
        </row>
        <row r="172">
          <cell r="A172" t="str">
            <v>5862.001</v>
          </cell>
          <cell r="B172" t="str">
            <v>08 - Pulling y Mediciones</v>
          </cell>
        </row>
        <row r="173">
          <cell r="A173" t="str">
            <v>5862.001</v>
          </cell>
          <cell r="B173" t="str">
            <v>08 - Pulling y Mediciones</v>
          </cell>
        </row>
        <row r="174">
          <cell r="A174" t="str">
            <v>5864</v>
          </cell>
          <cell r="B174" t="str">
            <v>07 - Otros Materiales</v>
          </cell>
        </row>
        <row r="175">
          <cell r="A175" t="str">
            <v>5864</v>
          </cell>
          <cell r="B175" t="str">
            <v>07 - Otros Materiales</v>
          </cell>
        </row>
        <row r="176">
          <cell r="A176" t="str">
            <v>5864</v>
          </cell>
          <cell r="B176" t="str">
            <v>07 - Otros Materiales</v>
          </cell>
        </row>
        <row r="177">
          <cell r="A177" t="str">
            <v>5865</v>
          </cell>
          <cell r="B177" t="str">
            <v>07 - Otros Materiales</v>
          </cell>
        </row>
        <row r="178">
          <cell r="A178" t="str">
            <v>5865</v>
          </cell>
          <cell r="B178" t="str">
            <v>07 - Otros Materiales</v>
          </cell>
        </row>
        <row r="179">
          <cell r="A179" t="str">
            <v>5866</v>
          </cell>
          <cell r="B179" t="str">
            <v>08 - Pulling y Mediciones</v>
          </cell>
        </row>
        <row r="180">
          <cell r="A180" t="str">
            <v>5866</v>
          </cell>
          <cell r="B180" t="str">
            <v>08 - Pulling y Mediciones</v>
          </cell>
        </row>
        <row r="181">
          <cell r="A181" t="str">
            <v>5866</v>
          </cell>
          <cell r="B181" t="str">
            <v>08 - Pulling y Mediciones</v>
          </cell>
        </row>
        <row r="182">
          <cell r="A182" t="str">
            <v>5866</v>
          </cell>
          <cell r="B182" t="str">
            <v>08 - Pulling y Mediciones</v>
          </cell>
        </row>
        <row r="183">
          <cell r="A183" t="str">
            <v>5867</v>
          </cell>
          <cell r="B183" t="str">
            <v>08 - Pulling y Mediciones</v>
          </cell>
        </row>
        <row r="184">
          <cell r="A184" t="str">
            <v>5867</v>
          </cell>
          <cell r="B184" t="str">
            <v>08 - Pulling y Mediciones</v>
          </cell>
        </row>
        <row r="185">
          <cell r="A185" t="str">
            <v>5867</v>
          </cell>
          <cell r="B185" t="str">
            <v>08 - Pulling y Mediciones</v>
          </cell>
        </row>
        <row r="186">
          <cell r="A186" t="str">
            <v>5869</v>
          </cell>
          <cell r="B186" t="str">
            <v>08 - Pulling y Mediciones</v>
          </cell>
        </row>
        <row r="187">
          <cell r="A187" t="str">
            <v>5869</v>
          </cell>
          <cell r="B187" t="str">
            <v>08 - Pulling y Mediciones</v>
          </cell>
        </row>
        <row r="188">
          <cell r="A188" t="str">
            <v>5869</v>
          </cell>
          <cell r="B188" t="str">
            <v>08 - Pulling y Mediciones</v>
          </cell>
        </row>
        <row r="189">
          <cell r="A189" t="str">
            <v>5869</v>
          </cell>
          <cell r="B189" t="str">
            <v>08 - Pulling y Mediciones</v>
          </cell>
        </row>
        <row r="190">
          <cell r="A190" t="str">
            <v>5873</v>
          </cell>
          <cell r="B190" t="str">
            <v>07 - Otros Materiales</v>
          </cell>
        </row>
        <row r="191">
          <cell r="A191" t="str">
            <v>5873</v>
          </cell>
          <cell r="B191" t="str">
            <v>07 - Otros Materiales</v>
          </cell>
        </row>
        <row r="192">
          <cell r="A192" t="str">
            <v>5873.001</v>
          </cell>
          <cell r="B192" t="str">
            <v>07 - Otros Materiales</v>
          </cell>
        </row>
        <row r="193">
          <cell r="A193" t="str">
            <v>5874</v>
          </cell>
          <cell r="B193" t="str">
            <v>07 - Otros Materiales</v>
          </cell>
        </row>
        <row r="194">
          <cell r="A194" t="str">
            <v>5874</v>
          </cell>
          <cell r="B194" t="str">
            <v>07 - Otros Materiales</v>
          </cell>
        </row>
        <row r="195">
          <cell r="A195" t="str">
            <v>5874.001</v>
          </cell>
          <cell r="B195" t="str">
            <v>07 - Otros Materiales</v>
          </cell>
        </row>
        <row r="196">
          <cell r="A196" t="str">
            <v>5876</v>
          </cell>
          <cell r="B196" t="str">
            <v>07 - Otros Materiales</v>
          </cell>
        </row>
        <row r="197">
          <cell r="A197" t="str">
            <v>5876</v>
          </cell>
          <cell r="B197" t="str">
            <v>07 - Otros Materiales</v>
          </cell>
        </row>
        <row r="198">
          <cell r="A198" t="str">
            <v>5876.001</v>
          </cell>
          <cell r="B198" t="str">
            <v>07 - Otros Materiales</v>
          </cell>
        </row>
        <row r="199">
          <cell r="A199" t="str">
            <v>5876.001</v>
          </cell>
          <cell r="B199" t="str">
            <v>07 - Otros Materiales</v>
          </cell>
        </row>
        <row r="200">
          <cell r="A200" t="str">
            <v>6004</v>
          </cell>
          <cell r="B200" t="str">
            <v>02 - Contratistas</v>
          </cell>
        </row>
        <row r="201">
          <cell r="A201" t="str">
            <v>6004</v>
          </cell>
          <cell r="B201" t="str">
            <v>02 - Contratistas</v>
          </cell>
        </row>
        <row r="202">
          <cell r="A202" t="str">
            <v>6063</v>
          </cell>
          <cell r="B202" t="str">
            <v>07 - Otros Materiales</v>
          </cell>
        </row>
        <row r="203">
          <cell r="A203" t="str">
            <v>6065</v>
          </cell>
          <cell r="B203" t="str">
            <v>01 - Consumo de Energía/Gas</v>
          </cell>
        </row>
        <row r="204">
          <cell r="A204" t="str">
            <v>6065</v>
          </cell>
          <cell r="B204" t="str">
            <v>01 - Consumo de Energía/Gas</v>
          </cell>
        </row>
        <row r="205">
          <cell r="A205" t="str">
            <v>6065</v>
          </cell>
          <cell r="B205" t="str">
            <v>01 - Consumo de Energía/Gas</v>
          </cell>
        </row>
        <row r="206">
          <cell r="A206" t="str">
            <v>6065</v>
          </cell>
          <cell r="B206" t="str">
            <v>01 - Consumo de Energía/Gas</v>
          </cell>
        </row>
        <row r="207">
          <cell r="A207" t="str">
            <v>6065</v>
          </cell>
          <cell r="B207" t="str">
            <v>01 - Consumo de Energía/Gas</v>
          </cell>
        </row>
        <row r="208">
          <cell r="A208" t="str">
            <v>6065</v>
          </cell>
          <cell r="B208" t="str">
            <v>01 - Consumo de Energía/Gas</v>
          </cell>
        </row>
        <row r="209">
          <cell r="A209" t="str">
            <v>6065</v>
          </cell>
          <cell r="B209" t="str">
            <v>01 - Consumo de Energía/Gas</v>
          </cell>
        </row>
        <row r="210">
          <cell r="A210" t="str">
            <v>6065</v>
          </cell>
          <cell r="B210" t="str">
            <v>01 - Consumo de Energía/Gas</v>
          </cell>
        </row>
        <row r="211">
          <cell r="A211" t="str">
            <v>6065</v>
          </cell>
          <cell r="B211" t="str">
            <v>01 - Consumo de Energía/Gas</v>
          </cell>
        </row>
        <row r="212">
          <cell r="A212" t="str">
            <v>6065</v>
          </cell>
          <cell r="B212" t="str">
            <v>01 - Consumo de Energía/Gas</v>
          </cell>
        </row>
        <row r="213">
          <cell r="A213" t="str">
            <v>6065</v>
          </cell>
          <cell r="B213" t="str">
            <v>01 - Consumo de Energía/Gas</v>
          </cell>
        </row>
        <row r="214">
          <cell r="A214" t="str">
            <v>6065</v>
          </cell>
          <cell r="B214" t="str">
            <v>01 - Consumo de Energía/Gas</v>
          </cell>
        </row>
        <row r="215">
          <cell r="A215" t="str">
            <v>6065</v>
          </cell>
          <cell r="B215" t="str">
            <v>01 - Consumo de Energía/Gas</v>
          </cell>
        </row>
        <row r="216">
          <cell r="A216" t="str">
            <v>6065</v>
          </cell>
          <cell r="B216" t="str">
            <v>01 - Consumo de Energía/Gas</v>
          </cell>
        </row>
        <row r="217">
          <cell r="A217" t="str">
            <v>6066</v>
          </cell>
          <cell r="B217" t="str">
            <v>01 - Consumo de Energía/Gas</v>
          </cell>
        </row>
        <row r="218">
          <cell r="A218" t="str">
            <v>6066</v>
          </cell>
          <cell r="B218" t="str">
            <v>01 - Consumo de Energía/Gas</v>
          </cell>
        </row>
        <row r="219">
          <cell r="A219" t="str">
            <v>6066</v>
          </cell>
          <cell r="B219" t="str">
            <v>01 - Consumo de Energía/Gas</v>
          </cell>
        </row>
        <row r="220">
          <cell r="A220" t="str">
            <v>6066</v>
          </cell>
          <cell r="B220" t="str">
            <v>01 - Consumo de Energía/Gas</v>
          </cell>
        </row>
        <row r="221">
          <cell r="A221" t="str">
            <v>6068</v>
          </cell>
          <cell r="B221" t="str">
            <v>07 - Otros Materiales</v>
          </cell>
        </row>
        <row r="222">
          <cell r="A222" t="str">
            <v>6070</v>
          </cell>
          <cell r="B222" t="str">
            <v>07 - Otros Materiales</v>
          </cell>
        </row>
        <row r="223">
          <cell r="A223" t="str">
            <v>6070</v>
          </cell>
          <cell r="B223" t="str">
            <v>07 - Otros Materiales</v>
          </cell>
        </row>
        <row r="224">
          <cell r="A224" t="str">
            <v>6070</v>
          </cell>
          <cell r="B224" t="str">
            <v>07 - Otros Materiales</v>
          </cell>
        </row>
        <row r="225">
          <cell r="A225" t="str">
            <v>6122</v>
          </cell>
          <cell r="B225" t="str">
            <v>07 - Otros Materiales</v>
          </cell>
        </row>
        <row r="226">
          <cell r="A226" t="str">
            <v>6122</v>
          </cell>
          <cell r="B226" t="str">
            <v>07 - Otros Materiales</v>
          </cell>
        </row>
        <row r="227">
          <cell r="A227" t="str">
            <v>6122</v>
          </cell>
          <cell r="B227" t="str">
            <v>07 - Otros Materiales</v>
          </cell>
        </row>
        <row r="228">
          <cell r="A228" t="str">
            <v>6122</v>
          </cell>
          <cell r="B228" t="str">
            <v>07 - Otros Materiales</v>
          </cell>
        </row>
        <row r="229">
          <cell r="A229" t="str">
            <v>6122</v>
          </cell>
          <cell r="B229" t="str">
            <v>07 - Otros Materiales</v>
          </cell>
        </row>
        <row r="230">
          <cell r="A230" t="str">
            <v>6124</v>
          </cell>
          <cell r="B230" t="str">
            <v>07 - Otros Materiales</v>
          </cell>
        </row>
        <row r="231">
          <cell r="A231" t="str">
            <v>6124</v>
          </cell>
          <cell r="B231" t="str">
            <v>07 - Otros Materiales</v>
          </cell>
        </row>
        <row r="232">
          <cell r="A232" t="str">
            <v>6124</v>
          </cell>
          <cell r="B232" t="str">
            <v>07 - Otros Materiales</v>
          </cell>
        </row>
        <row r="233">
          <cell r="A233" t="str">
            <v>6125</v>
          </cell>
          <cell r="B233" t="str">
            <v>07 - Otros Materiales</v>
          </cell>
        </row>
        <row r="234">
          <cell r="A234" t="str">
            <v>6125</v>
          </cell>
          <cell r="B234" t="str">
            <v>07 - Otros Materiales</v>
          </cell>
        </row>
        <row r="235">
          <cell r="A235" t="str">
            <v>6126</v>
          </cell>
          <cell r="B235" t="str">
            <v>07 - Otros Materiales</v>
          </cell>
        </row>
        <row r="236">
          <cell r="A236" t="str">
            <v>6126</v>
          </cell>
          <cell r="B236" t="str">
            <v>07 - Otros Materiales</v>
          </cell>
        </row>
        <row r="237">
          <cell r="A237" t="str">
            <v>6127</v>
          </cell>
          <cell r="B237" t="str">
            <v>07 - Otros Materiales</v>
          </cell>
        </row>
        <row r="238">
          <cell r="A238" t="str">
            <v>6128</v>
          </cell>
          <cell r="B238" t="str">
            <v>07 - Otros Materiales</v>
          </cell>
        </row>
        <row r="239">
          <cell r="A239" t="str">
            <v>6128</v>
          </cell>
          <cell r="B239" t="str">
            <v>07 - Otros Materiales</v>
          </cell>
        </row>
        <row r="240">
          <cell r="A240" t="str">
            <v>6129</v>
          </cell>
          <cell r="B240" t="str">
            <v>07 - Otros Materiales</v>
          </cell>
        </row>
        <row r="241">
          <cell r="A241" t="str">
            <v>6129</v>
          </cell>
          <cell r="B241" t="str">
            <v>07 - Otros Materiales</v>
          </cell>
        </row>
        <row r="242">
          <cell r="A242" t="str">
            <v>6129</v>
          </cell>
          <cell r="B242" t="str">
            <v>07 - Otros Materiales</v>
          </cell>
        </row>
        <row r="243">
          <cell r="A243" t="str">
            <v>6129</v>
          </cell>
          <cell r="B243" t="str">
            <v>07 - Otros Materiales</v>
          </cell>
        </row>
        <row r="244">
          <cell r="A244" t="str">
            <v>6129</v>
          </cell>
          <cell r="B244" t="str">
            <v>07 - Otros Materiales</v>
          </cell>
        </row>
        <row r="245">
          <cell r="A245" t="str">
            <v>6129</v>
          </cell>
          <cell r="B245" t="str">
            <v>07 - Otros Materiales</v>
          </cell>
        </row>
        <row r="246">
          <cell r="A246" t="str">
            <v>6129</v>
          </cell>
          <cell r="B246" t="str">
            <v>07 - Otros Materiales</v>
          </cell>
        </row>
        <row r="247">
          <cell r="A247" t="str">
            <v>6129</v>
          </cell>
          <cell r="B247" t="str">
            <v>07 - Otros Materiales</v>
          </cell>
        </row>
        <row r="248">
          <cell r="A248" t="str">
            <v>6129</v>
          </cell>
          <cell r="B248" t="str">
            <v>07 - Otros Materiales</v>
          </cell>
        </row>
        <row r="249">
          <cell r="A249" t="str">
            <v>6129</v>
          </cell>
          <cell r="B249" t="str">
            <v>07 - Otros Materiales</v>
          </cell>
        </row>
        <row r="250">
          <cell r="A250" t="str">
            <v>6130</v>
          </cell>
          <cell r="B250" t="str">
            <v>07 - Otros Materiales</v>
          </cell>
        </row>
        <row r="251">
          <cell r="A251" t="str">
            <v>6130</v>
          </cell>
          <cell r="B251" t="str">
            <v>07 - Otros Materiales</v>
          </cell>
        </row>
        <row r="252">
          <cell r="A252" t="str">
            <v>6130</v>
          </cell>
          <cell r="B252" t="str">
            <v>07 - Otros Materiales</v>
          </cell>
        </row>
        <row r="253">
          <cell r="A253" t="str">
            <v>6130</v>
          </cell>
          <cell r="B253" t="str">
            <v>07 - Otros Materiales</v>
          </cell>
        </row>
        <row r="254">
          <cell r="A254" t="str">
            <v>6130</v>
          </cell>
          <cell r="B254" t="str">
            <v>07 - Otros Materiales</v>
          </cell>
        </row>
        <row r="255">
          <cell r="A255" t="str">
            <v>6130</v>
          </cell>
          <cell r="B255" t="str">
            <v>07 - Otros Materiales</v>
          </cell>
        </row>
        <row r="256">
          <cell r="A256" t="str">
            <v>6130</v>
          </cell>
          <cell r="B256" t="str">
            <v>07 - Otros Materiales</v>
          </cell>
        </row>
        <row r="257">
          <cell r="A257" t="str">
            <v>6130</v>
          </cell>
          <cell r="B257" t="str">
            <v>07 - Otros Materiales</v>
          </cell>
        </row>
        <row r="258">
          <cell r="A258" t="str">
            <v>6131</v>
          </cell>
          <cell r="B258" t="str">
            <v>07 - Otros Materiales</v>
          </cell>
        </row>
        <row r="259">
          <cell r="A259" t="str">
            <v>6131</v>
          </cell>
          <cell r="B259" t="str">
            <v>07 - Otros Materiales</v>
          </cell>
        </row>
        <row r="260">
          <cell r="A260" t="str">
            <v>6131.001</v>
          </cell>
          <cell r="B260" t="str">
            <v>07 - Otros Materiales</v>
          </cell>
        </row>
        <row r="261">
          <cell r="A261" t="str">
            <v>6131.001</v>
          </cell>
          <cell r="B261" t="str">
            <v>07 - Otros Materiales</v>
          </cell>
        </row>
        <row r="262">
          <cell r="A262" t="str">
            <v>6131.001</v>
          </cell>
          <cell r="B262" t="str">
            <v>07 - Otros Materiales</v>
          </cell>
        </row>
        <row r="263">
          <cell r="A263" t="str">
            <v>6131.001</v>
          </cell>
          <cell r="B263" t="str">
            <v>07 - Otros Materiales</v>
          </cell>
        </row>
        <row r="264">
          <cell r="A264" t="str">
            <v>6132</v>
          </cell>
          <cell r="B264" t="str">
            <v>07 - Otros Materiales</v>
          </cell>
        </row>
        <row r="265">
          <cell r="A265" t="str">
            <v>6132</v>
          </cell>
          <cell r="B265" t="str">
            <v>07 - Otros Materiales</v>
          </cell>
        </row>
        <row r="266">
          <cell r="A266" t="str">
            <v>6132</v>
          </cell>
          <cell r="B266" t="str">
            <v>07 - Otros Materiales</v>
          </cell>
        </row>
        <row r="267">
          <cell r="A267" t="str">
            <v>6133</v>
          </cell>
          <cell r="B267" t="str">
            <v>07 - Otros Materiales</v>
          </cell>
        </row>
        <row r="268">
          <cell r="A268" t="str">
            <v>6133</v>
          </cell>
          <cell r="B268" t="str">
            <v>07 - Otros Materiales</v>
          </cell>
        </row>
        <row r="269">
          <cell r="A269" t="str">
            <v>6133</v>
          </cell>
          <cell r="B269" t="str">
            <v>07 - Otros Materiales</v>
          </cell>
        </row>
        <row r="270">
          <cell r="A270" t="str">
            <v>6133.001</v>
          </cell>
          <cell r="B270" t="str">
            <v>07 - Otros Materiales</v>
          </cell>
        </row>
        <row r="271">
          <cell r="A271" t="str">
            <v>6135</v>
          </cell>
          <cell r="B271" t="str">
            <v>07 - Otros Materiales</v>
          </cell>
        </row>
        <row r="272">
          <cell r="A272" t="str">
            <v>6135</v>
          </cell>
          <cell r="B272" t="str">
            <v>07 - Otros Materiales</v>
          </cell>
        </row>
        <row r="273">
          <cell r="A273" t="str">
            <v>6135</v>
          </cell>
          <cell r="B273" t="str">
            <v>07 - Otros Materiales</v>
          </cell>
        </row>
        <row r="274">
          <cell r="A274" t="str">
            <v>6135</v>
          </cell>
          <cell r="B274" t="str">
            <v>07 - Otros Materiales</v>
          </cell>
        </row>
        <row r="275">
          <cell r="A275" t="str">
            <v>6135</v>
          </cell>
          <cell r="B275" t="str">
            <v>07 - Otros Materiales</v>
          </cell>
        </row>
        <row r="276">
          <cell r="A276" t="str">
            <v>6135.001</v>
          </cell>
          <cell r="B276" t="str">
            <v>07 - Otros Materiales</v>
          </cell>
        </row>
        <row r="277">
          <cell r="A277" t="str">
            <v>6136</v>
          </cell>
          <cell r="B277" t="str">
            <v>07 - Otros Materiales</v>
          </cell>
        </row>
        <row r="278">
          <cell r="A278" t="str">
            <v>6136</v>
          </cell>
          <cell r="B278" t="str">
            <v>07 - Otros Materiales</v>
          </cell>
        </row>
        <row r="279">
          <cell r="A279" t="str">
            <v>6136</v>
          </cell>
          <cell r="B279" t="str">
            <v>07 - Otros Materiales</v>
          </cell>
        </row>
        <row r="280">
          <cell r="A280" t="str">
            <v>6136.001</v>
          </cell>
          <cell r="B280" t="str">
            <v>07 - Otros Materiales</v>
          </cell>
        </row>
        <row r="281">
          <cell r="A281" t="str">
            <v>6136.001</v>
          </cell>
          <cell r="B281" t="str">
            <v>07 - Otros Materiales</v>
          </cell>
        </row>
        <row r="282">
          <cell r="A282" t="str">
            <v>6137</v>
          </cell>
          <cell r="B282" t="str">
            <v>07 - Otros Materiales</v>
          </cell>
        </row>
        <row r="283">
          <cell r="A283" t="str">
            <v>6137</v>
          </cell>
          <cell r="B283" t="str">
            <v>07 - Otros Materiales</v>
          </cell>
        </row>
        <row r="284">
          <cell r="A284" t="str">
            <v>6138</v>
          </cell>
          <cell r="B284" t="str">
            <v>07 - Otros Materiales</v>
          </cell>
        </row>
        <row r="285">
          <cell r="A285" t="str">
            <v>6138</v>
          </cell>
          <cell r="B285" t="str">
            <v>07 - Otros Materiales</v>
          </cell>
        </row>
        <row r="286">
          <cell r="A286" t="str">
            <v>6138.001</v>
          </cell>
          <cell r="B286" t="str">
            <v>07 - Otros Materiales</v>
          </cell>
        </row>
        <row r="287">
          <cell r="A287" t="str">
            <v>6141</v>
          </cell>
          <cell r="B287" t="str">
            <v>07 - Otros Materiales</v>
          </cell>
        </row>
        <row r="288">
          <cell r="A288" t="str">
            <v>6141</v>
          </cell>
          <cell r="B288" t="str">
            <v>07 - Otros Materiales</v>
          </cell>
        </row>
        <row r="289">
          <cell r="A289" t="str">
            <v>6141</v>
          </cell>
          <cell r="B289" t="str">
            <v>07 - Otros Materiales</v>
          </cell>
        </row>
        <row r="290">
          <cell r="A290" t="str">
            <v>6142</v>
          </cell>
          <cell r="B290" t="str">
            <v>07 - Otros Materiales</v>
          </cell>
        </row>
        <row r="291">
          <cell r="A291" t="str">
            <v>6142</v>
          </cell>
          <cell r="B291" t="str">
            <v>07 - Otros Materiales</v>
          </cell>
        </row>
        <row r="292">
          <cell r="A292" t="str">
            <v>6142</v>
          </cell>
          <cell r="B292" t="str">
            <v>07 - Otros Materiales</v>
          </cell>
        </row>
        <row r="293">
          <cell r="A293" t="str">
            <v>6142</v>
          </cell>
          <cell r="B293" t="str">
            <v>07 - Otros Materiales</v>
          </cell>
        </row>
        <row r="294">
          <cell r="A294" t="str">
            <v>6143</v>
          </cell>
          <cell r="B294" t="str">
            <v>11 - Otros Gastos</v>
          </cell>
        </row>
        <row r="295">
          <cell r="A295" t="str">
            <v>6144</v>
          </cell>
          <cell r="B295" t="str">
            <v>07 - Otros Materiales</v>
          </cell>
        </row>
        <row r="296">
          <cell r="A296" t="str">
            <v>6145</v>
          </cell>
          <cell r="B296" t="str">
            <v>07 - Otros Materiales</v>
          </cell>
        </row>
        <row r="297">
          <cell r="A297" t="str">
            <v>6145</v>
          </cell>
          <cell r="B297" t="str">
            <v>07 - Otros Materiales</v>
          </cell>
        </row>
        <row r="298">
          <cell r="A298" t="str">
            <v>6145</v>
          </cell>
          <cell r="B298" t="str">
            <v>07 - Otros Materiales</v>
          </cell>
        </row>
        <row r="299">
          <cell r="A299" t="str">
            <v>6145</v>
          </cell>
          <cell r="B299" t="str">
            <v>07 - Otros Materiales</v>
          </cell>
        </row>
        <row r="300">
          <cell r="A300" t="str">
            <v>6145</v>
          </cell>
          <cell r="B300" t="str">
            <v>07 - Otros Materiales</v>
          </cell>
        </row>
        <row r="301">
          <cell r="A301" t="str">
            <v>6145</v>
          </cell>
          <cell r="B301" t="str">
            <v>07 - Otros Materiales</v>
          </cell>
        </row>
        <row r="302">
          <cell r="A302" t="str">
            <v>6145</v>
          </cell>
          <cell r="B302" t="str">
            <v>07 - Otros Materiales</v>
          </cell>
        </row>
        <row r="303">
          <cell r="A303" t="str">
            <v>6149.001</v>
          </cell>
          <cell r="B303" t="str">
            <v>05 - Productos Químicos</v>
          </cell>
        </row>
        <row r="304">
          <cell r="A304" t="str">
            <v>6149.001</v>
          </cell>
          <cell r="B304" t="str">
            <v>05 - Productos Químicos</v>
          </cell>
        </row>
        <row r="305">
          <cell r="A305" t="str">
            <v>6149.001</v>
          </cell>
          <cell r="B305" t="str">
            <v>05 - Productos Químicos</v>
          </cell>
        </row>
        <row r="306">
          <cell r="A306" t="str">
            <v>6149.001</v>
          </cell>
          <cell r="B306" t="str">
            <v>05 - Productos Químicos</v>
          </cell>
        </row>
        <row r="307">
          <cell r="A307" t="str">
            <v>6149.001</v>
          </cell>
          <cell r="B307" t="str">
            <v>05 - Productos Químicos</v>
          </cell>
        </row>
        <row r="308">
          <cell r="A308" t="str">
            <v>6150</v>
          </cell>
          <cell r="B308" t="str">
            <v>05 - Productos Químicos</v>
          </cell>
        </row>
        <row r="309">
          <cell r="A309" t="str">
            <v>6150</v>
          </cell>
          <cell r="B309" t="str">
            <v>05 - Productos Químicos</v>
          </cell>
        </row>
        <row r="310">
          <cell r="A310" t="str">
            <v>6150.001</v>
          </cell>
          <cell r="B310" t="str">
            <v>05 - Productos Químicos</v>
          </cell>
        </row>
        <row r="311">
          <cell r="A311" t="str">
            <v>6150.001</v>
          </cell>
          <cell r="B311" t="str">
            <v>05 - Productos Químicos</v>
          </cell>
        </row>
        <row r="312">
          <cell r="A312" t="str">
            <v>6150.001</v>
          </cell>
          <cell r="B312" t="str">
            <v>05 - Productos Químicos</v>
          </cell>
        </row>
        <row r="313">
          <cell r="A313" t="str">
            <v>6151</v>
          </cell>
          <cell r="B313" t="str">
            <v>05 - Productos Químicos</v>
          </cell>
        </row>
        <row r="314">
          <cell r="A314" t="str">
            <v>6151</v>
          </cell>
          <cell r="B314" t="str">
            <v>05 - Productos Químicos</v>
          </cell>
        </row>
        <row r="315">
          <cell r="A315" t="str">
            <v>6151.001</v>
          </cell>
          <cell r="B315" t="str">
            <v>05 - Productos Químicos</v>
          </cell>
        </row>
        <row r="316">
          <cell r="A316" t="str">
            <v>6155</v>
          </cell>
          <cell r="B316" t="str">
            <v>07 - Otros Materiales</v>
          </cell>
        </row>
        <row r="317">
          <cell r="A317" t="str">
            <v>6156</v>
          </cell>
          <cell r="B317" t="str">
            <v>04 - Sueldos y Cargas Sociales</v>
          </cell>
        </row>
        <row r="318">
          <cell r="A318" t="str">
            <v>6156</v>
          </cell>
          <cell r="B318" t="str">
            <v>04 - Sueldos y Cargas Sociales</v>
          </cell>
        </row>
        <row r="319">
          <cell r="A319" t="str">
            <v>6156</v>
          </cell>
          <cell r="B319" t="str">
            <v>04 - Sueldos y Cargas Sociales</v>
          </cell>
        </row>
        <row r="320">
          <cell r="A320" t="str">
            <v>6156</v>
          </cell>
          <cell r="B320" t="str">
            <v>04 - Sueldos y Cargas Sociales</v>
          </cell>
        </row>
        <row r="321">
          <cell r="A321" t="str">
            <v>6156</v>
          </cell>
          <cell r="B321" t="str">
            <v>04 - Sueldos y Cargas Sociales</v>
          </cell>
        </row>
        <row r="322">
          <cell r="A322" t="str">
            <v>6156</v>
          </cell>
          <cell r="B322" t="str">
            <v>04 - Sueldos y Cargas Sociales</v>
          </cell>
        </row>
        <row r="323">
          <cell r="A323" t="str">
            <v>6156</v>
          </cell>
          <cell r="B323" t="str">
            <v>04 - Sueldos y Cargas Sociales</v>
          </cell>
        </row>
        <row r="324">
          <cell r="A324" t="str">
            <v>6156</v>
          </cell>
          <cell r="B324" t="str">
            <v>04 - Sueldos y Cargas Sociales</v>
          </cell>
        </row>
        <row r="325">
          <cell r="A325" t="str">
            <v>6157</v>
          </cell>
          <cell r="B325" t="str">
            <v>07 - Otros Materiales</v>
          </cell>
        </row>
        <row r="326">
          <cell r="A326" t="str">
            <v>6157</v>
          </cell>
          <cell r="B326" t="str">
            <v>07 - Otros Materiales</v>
          </cell>
        </row>
        <row r="327">
          <cell r="A327" t="str">
            <v>6157</v>
          </cell>
          <cell r="B327" t="str">
            <v>07 - Otros Materiales</v>
          </cell>
        </row>
        <row r="328">
          <cell r="A328" t="str">
            <v>6157</v>
          </cell>
          <cell r="B328" t="str">
            <v>07 - Otros Materiales</v>
          </cell>
        </row>
        <row r="329">
          <cell r="A329" t="str">
            <v>6157.001</v>
          </cell>
          <cell r="B329" t="str">
            <v>07 - Otros Materiales</v>
          </cell>
        </row>
        <row r="330">
          <cell r="A330" t="str">
            <v>6161</v>
          </cell>
          <cell r="B330" t="str">
            <v>07 - Otros Materiales</v>
          </cell>
        </row>
        <row r="331">
          <cell r="A331" t="str">
            <v>6161</v>
          </cell>
          <cell r="B331" t="str">
            <v>07 - Otros Materiales</v>
          </cell>
        </row>
        <row r="332">
          <cell r="A332" t="str">
            <v>6161</v>
          </cell>
          <cell r="B332" t="str">
            <v>07 - Otros Materiales</v>
          </cell>
        </row>
        <row r="333">
          <cell r="A333" t="str">
            <v>6161</v>
          </cell>
          <cell r="B333" t="str">
            <v>07 - Otros Materiales</v>
          </cell>
        </row>
        <row r="334">
          <cell r="A334" t="str">
            <v>6161</v>
          </cell>
          <cell r="B334" t="str">
            <v>07 - Otros Materiales</v>
          </cell>
        </row>
        <row r="335">
          <cell r="A335" t="str">
            <v>6162</v>
          </cell>
          <cell r="B335" t="str">
            <v>07 - Otros Materiales</v>
          </cell>
        </row>
        <row r="336">
          <cell r="A336" t="str">
            <v>6163.001</v>
          </cell>
          <cell r="B336" t="str">
            <v>07 - Otros Materiales</v>
          </cell>
        </row>
        <row r="337">
          <cell r="A337" t="str">
            <v>6163.001</v>
          </cell>
          <cell r="B337" t="str">
            <v>07 - Otros Materiales</v>
          </cell>
        </row>
        <row r="338">
          <cell r="A338" t="str">
            <v>6163.001</v>
          </cell>
          <cell r="B338" t="str">
            <v>07 - Otros Materiales</v>
          </cell>
        </row>
        <row r="339">
          <cell r="A339" t="str">
            <v>6163.001</v>
          </cell>
          <cell r="B339" t="str">
            <v>07 - Otros Materiales</v>
          </cell>
        </row>
        <row r="340">
          <cell r="A340" t="str">
            <v>6244</v>
          </cell>
          <cell r="B340" t="str">
            <v>07 - Otros Materiales</v>
          </cell>
        </row>
        <row r="341">
          <cell r="A341" t="str">
            <v>6244</v>
          </cell>
          <cell r="B341" t="str">
            <v>07 - Otros Materiales</v>
          </cell>
        </row>
        <row r="342">
          <cell r="A342" t="str">
            <v>6244</v>
          </cell>
          <cell r="B342" t="str">
            <v>07 - Otros Materiales</v>
          </cell>
        </row>
        <row r="343">
          <cell r="A343" t="str">
            <v>6244</v>
          </cell>
          <cell r="B343" t="str">
            <v>07 - Otros Materiales</v>
          </cell>
        </row>
        <row r="344">
          <cell r="A344" t="str">
            <v>6244</v>
          </cell>
          <cell r="B344" t="str">
            <v>07 - Otros Materiales</v>
          </cell>
        </row>
        <row r="345">
          <cell r="A345" t="str">
            <v>6244</v>
          </cell>
          <cell r="B345" t="str">
            <v>07 - Otros Materiales</v>
          </cell>
        </row>
        <row r="346">
          <cell r="A346" t="str">
            <v>6244</v>
          </cell>
          <cell r="B346" t="str">
            <v>07 - Otros Materiales</v>
          </cell>
        </row>
        <row r="347">
          <cell r="A347" t="str">
            <v>6244</v>
          </cell>
          <cell r="B347" t="str">
            <v>07 - Otros Materiales</v>
          </cell>
        </row>
        <row r="348">
          <cell r="A348" t="str">
            <v>6244</v>
          </cell>
          <cell r="B348" t="str">
            <v>07 - Otros Materiales</v>
          </cell>
        </row>
        <row r="349">
          <cell r="A349" t="str">
            <v>6244</v>
          </cell>
          <cell r="B349" t="str">
            <v>07 - Otros Materiales</v>
          </cell>
        </row>
        <row r="350">
          <cell r="A350" t="str">
            <v>6244</v>
          </cell>
          <cell r="B350" t="str">
            <v>07 - Otros Materiales</v>
          </cell>
        </row>
        <row r="351">
          <cell r="A351" t="str">
            <v>6249</v>
          </cell>
          <cell r="B351" t="str">
            <v>07 - Otros Materiales</v>
          </cell>
        </row>
        <row r="352">
          <cell r="A352" t="str">
            <v>6285.001</v>
          </cell>
          <cell r="B352" t="str">
            <v>05 - Productos Químicos</v>
          </cell>
        </row>
        <row r="353">
          <cell r="A353" t="str">
            <v>6285.001</v>
          </cell>
          <cell r="B353" t="str">
            <v>05 - Productos Químicos</v>
          </cell>
        </row>
        <row r="354">
          <cell r="A354" t="str">
            <v>6285.001</v>
          </cell>
          <cell r="B354" t="str">
            <v>05 - Productos Químicos</v>
          </cell>
        </row>
        <row r="355">
          <cell r="A355" t="str">
            <v>6405</v>
          </cell>
          <cell r="B355" t="str">
            <v>11 - Otros Gastos</v>
          </cell>
        </row>
        <row r="356">
          <cell r="A356" t="str">
            <v>6406</v>
          </cell>
          <cell r="B356" t="str">
            <v>11 - Otros Gastos</v>
          </cell>
        </row>
        <row r="357">
          <cell r="A357" t="str">
            <v>6407</v>
          </cell>
          <cell r="B357" t="str">
            <v>11 - Otros Gastos</v>
          </cell>
        </row>
        <row r="358">
          <cell r="A358" t="str">
            <v>6407</v>
          </cell>
          <cell r="B358" t="str">
            <v>11 - Otros Gastos</v>
          </cell>
        </row>
        <row r="359">
          <cell r="A359" t="str">
            <v>6407</v>
          </cell>
          <cell r="B359" t="str">
            <v>11 - Otros Gastos</v>
          </cell>
        </row>
        <row r="360">
          <cell r="A360" t="str">
            <v>6409</v>
          </cell>
          <cell r="B360" t="str">
            <v>11 - Otros Gastos</v>
          </cell>
        </row>
        <row r="361">
          <cell r="A361" t="str">
            <v>6412</v>
          </cell>
          <cell r="B361" t="str">
            <v>11 - Otros Gastos</v>
          </cell>
        </row>
        <row r="362">
          <cell r="A362" t="str">
            <v>6441</v>
          </cell>
          <cell r="B362" t="str">
            <v>11 - Otros Gastos</v>
          </cell>
        </row>
        <row r="363">
          <cell r="A363" t="str">
            <v>6492</v>
          </cell>
          <cell r="B363" t="str">
            <v>11 - Otros Gastos</v>
          </cell>
        </row>
        <row r="364">
          <cell r="A364" t="str">
            <v>6541</v>
          </cell>
          <cell r="B364" t="str">
            <v>11 - Otros Gastos</v>
          </cell>
        </row>
        <row r="365">
          <cell r="A365" t="str">
            <v>6543</v>
          </cell>
          <cell r="B365" t="str">
            <v>11 - Otros Gastos</v>
          </cell>
        </row>
        <row r="366">
          <cell r="A366" t="str">
            <v>6543</v>
          </cell>
          <cell r="B366" t="str">
            <v>11 - Otros Gastos</v>
          </cell>
        </row>
        <row r="367">
          <cell r="A367" t="str">
            <v>6543</v>
          </cell>
          <cell r="B367" t="str">
            <v>04 - Sueldos y Cargas Sociales</v>
          </cell>
        </row>
        <row r="368">
          <cell r="A368" t="str">
            <v>6543</v>
          </cell>
          <cell r="B368" t="str">
            <v>04 - Sueldos y Cargas Sociales</v>
          </cell>
        </row>
        <row r="369">
          <cell r="A369" t="str">
            <v>6543</v>
          </cell>
          <cell r="B369" t="str">
            <v>11 - Otros Gastos</v>
          </cell>
        </row>
        <row r="370">
          <cell r="A370" t="str">
            <v>6545</v>
          </cell>
          <cell r="B370" t="str">
            <v>11 - Otros Gastos</v>
          </cell>
        </row>
        <row r="371">
          <cell r="A371" t="str">
            <v>6545</v>
          </cell>
          <cell r="B371" t="str">
            <v>11 - Otros Gastos</v>
          </cell>
        </row>
        <row r="372">
          <cell r="A372" t="str">
            <v>6545</v>
          </cell>
          <cell r="B372" t="str">
            <v>11 - Otros Gastos</v>
          </cell>
        </row>
        <row r="373">
          <cell r="A373" t="str">
            <v>6545</v>
          </cell>
          <cell r="B373" t="str">
            <v>11 - Otros Gastos</v>
          </cell>
        </row>
        <row r="374">
          <cell r="A374" t="str">
            <v>6545</v>
          </cell>
          <cell r="B374" t="str">
            <v>11 - Otros Gastos</v>
          </cell>
        </row>
        <row r="375">
          <cell r="A375" t="str">
            <v>6545</v>
          </cell>
          <cell r="B375" t="str">
            <v>11 - Otros Gastos</v>
          </cell>
        </row>
        <row r="376">
          <cell r="A376" t="str">
            <v>6545</v>
          </cell>
          <cell r="B376" t="str">
            <v>11 - Otros Gastos</v>
          </cell>
        </row>
        <row r="377">
          <cell r="A377" t="str">
            <v>6545</v>
          </cell>
          <cell r="B377" t="str">
            <v>11 - Otros Gastos</v>
          </cell>
        </row>
        <row r="378">
          <cell r="A378" t="str">
            <v>6546</v>
          </cell>
          <cell r="B378" t="str">
            <v>03 - Contratos Especiales</v>
          </cell>
        </row>
        <row r="379">
          <cell r="A379" t="str">
            <v>6546</v>
          </cell>
          <cell r="B379" t="str">
            <v>03 - Contratos Especiales</v>
          </cell>
        </row>
        <row r="380">
          <cell r="A380" t="str">
            <v>6546</v>
          </cell>
          <cell r="B380" t="str">
            <v>03 - Contratos Especiales</v>
          </cell>
        </row>
        <row r="381">
          <cell r="A381" t="str">
            <v>6546</v>
          </cell>
          <cell r="B381" t="str">
            <v>03 - Contratos Especiales</v>
          </cell>
        </row>
        <row r="382">
          <cell r="A382" t="str">
            <v>6546</v>
          </cell>
          <cell r="B382" t="str">
            <v>03 - Contratos Especiales</v>
          </cell>
        </row>
        <row r="383">
          <cell r="A383" t="str">
            <v>6546</v>
          </cell>
          <cell r="B383" t="str">
            <v>03 - Contratos Especiales</v>
          </cell>
        </row>
        <row r="384">
          <cell r="A384" t="str">
            <v>6546</v>
          </cell>
          <cell r="B384" t="str">
            <v>03 - Contratos Especiales</v>
          </cell>
        </row>
        <row r="385">
          <cell r="A385" t="str">
            <v>6546</v>
          </cell>
          <cell r="B385" t="str">
            <v>03 - Contratos Especiales</v>
          </cell>
        </row>
        <row r="386">
          <cell r="A386" t="str">
            <v>6546</v>
          </cell>
          <cell r="B386" t="str">
            <v>03 - Contratos Especiales</v>
          </cell>
        </row>
        <row r="387">
          <cell r="A387" t="str">
            <v>6546.001</v>
          </cell>
          <cell r="B387" t="str">
            <v>03 - Contratos Especiales</v>
          </cell>
        </row>
        <row r="388">
          <cell r="A388" t="str">
            <v>6546.001</v>
          </cell>
          <cell r="B388" t="str">
            <v>03 - Contratos Especiales</v>
          </cell>
        </row>
        <row r="389">
          <cell r="A389" t="str">
            <v>6546.001</v>
          </cell>
          <cell r="B389" t="str">
            <v>03 - Contratos Especiales</v>
          </cell>
        </row>
        <row r="390">
          <cell r="A390" t="str">
            <v>6546.001</v>
          </cell>
          <cell r="B390" t="str">
            <v>03 - Contratos Especiales</v>
          </cell>
        </row>
        <row r="391">
          <cell r="A391" t="str">
            <v>6546.001</v>
          </cell>
          <cell r="B391" t="str">
            <v>03 - Contratos Especiales</v>
          </cell>
        </row>
        <row r="392">
          <cell r="A392" t="str">
            <v>6546.002</v>
          </cell>
          <cell r="B392" t="str">
            <v>03 - Contratos Especiales</v>
          </cell>
        </row>
        <row r="393">
          <cell r="A393" t="str">
            <v>6546.002</v>
          </cell>
          <cell r="B393" t="str">
            <v>03 - Contratos Especiales</v>
          </cell>
        </row>
        <row r="394">
          <cell r="A394" t="str">
            <v>6546.002</v>
          </cell>
          <cell r="B394" t="str">
            <v>03 - Contratos Especiales</v>
          </cell>
        </row>
        <row r="395">
          <cell r="A395" t="str">
            <v>6546.002</v>
          </cell>
          <cell r="B395" t="str">
            <v>03 - Contratos Especiales</v>
          </cell>
        </row>
        <row r="396">
          <cell r="A396" t="str">
            <v>6546.002</v>
          </cell>
          <cell r="B396" t="str">
            <v>03 - Contratos Especiales</v>
          </cell>
        </row>
        <row r="397">
          <cell r="A397" t="str">
            <v>6546.003</v>
          </cell>
          <cell r="B397" t="str">
            <v>03 - Contratos Especiales</v>
          </cell>
        </row>
        <row r="398">
          <cell r="A398" t="str">
            <v>6546.003</v>
          </cell>
          <cell r="B398" t="str">
            <v>03 - Contratos Especiales</v>
          </cell>
        </row>
        <row r="399">
          <cell r="A399" t="str">
            <v>6546.004</v>
          </cell>
          <cell r="B399" t="str">
            <v>03 - Contratos Especiales</v>
          </cell>
        </row>
        <row r="400">
          <cell r="A400" t="str">
            <v>6546.004</v>
          </cell>
          <cell r="B400" t="str">
            <v>03 - Contratos Especiales</v>
          </cell>
        </row>
        <row r="401">
          <cell r="A401" t="str">
            <v>6546.004</v>
          </cell>
          <cell r="B401" t="str">
            <v>03 - Contratos Especiales</v>
          </cell>
        </row>
        <row r="402">
          <cell r="A402" t="str">
            <v>6546.004</v>
          </cell>
          <cell r="B402" t="str">
            <v>03 - Contratos Especiales</v>
          </cell>
        </row>
        <row r="403">
          <cell r="A403" t="str">
            <v>6549</v>
          </cell>
          <cell r="B403" t="str">
            <v>11 - Otros Gastos</v>
          </cell>
        </row>
        <row r="404">
          <cell r="A404" t="str">
            <v>6550</v>
          </cell>
          <cell r="B404" t="str">
            <v>02 - Contratistas</v>
          </cell>
        </row>
        <row r="405">
          <cell r="A405" t="str">
            <v>6550</v>
          </cell>
          <cell r="B405" t="str">
            <v>02 - Contratistas</v>
          </cell>
        </row>
        <row r="406">
          <cell r="A406" t="str">
            <v>6550</v>
          </cell>
          <cell r="B406" t="str">
            <v>02 - Contratistas</v>
          </cell>
        </row>
        <row r="407">
          <cell r="A407" t="str">
            <v>6550</v>
          </cell>
          <cell r="B407" t="str">
            <v>02 - Contratistas</v>
          </cell>
        </row>
        <row r="408">
          <cell r="A408" t="str">
            <v>6550</v>
          </cell>
          <cell r="B408" t="str">
            <v>02 - Contratistas</v>
          </cell>
        </row>
        <row r="409">
          <cell r="A409" t="str">
            <v>6550</v>
          </cell>
          <cell r="B409" t="str">
            <v>02 - Contratistas</v>
          </cell>
        </row>
        <row r="410">
          <cell r="A410" t="str">
            <v>6550</v>
          </cell>
          <cell r="B410" t="str">
            <v>02 - Contratistas</v>
          </cell>
        </row>
        <row r="411">
          <cell r="A411" t="str">
            <v>6550</v>
          </cell>
          <cell r="B411" t="str">
            <v>02 - Contratistas</v>
          </cell>
        </row>
        <row r="412">
          <cell r="A412" t="str">
            <v>6550</v>
          </cell>
          <cell r="B412" t="str">
            <v>02 - Contratistas</v>
          </cell>
        </row>
        <row r="413">
          <cell r="A413" t="str">
            <v>6550</v>
          </cell>
          <cell r="B413" t="str">
            <v>02 - Contratistas</v>
          </cell>
        </row>
        <row r="414">
          <cell r="A414" t="str">
            <v>6550</v>
          </cell>
          <cell r="B414" t="str">
            <v>02 - Contratistas</v>
          </cell>
        </row>
        <row r="415">
          <cell r="A415" t="str">
            <v>6551</v>
          </cell>
          <cell r="B415" t="str">
            <v>11 - Otros Gastos</v>
          </cell>
        </row>
        <row r="416">
          <cell r="A416" t="str">
            <v>6551</v>
          </cell>
          <cell r="B416" t="str">
            <v>11 - Otros Gastos</v>
          </cell>
        </row>
        <row r="417">
          <cell r="A417" t="str">
            <v>6551</v>
          </cell>
          <cell r="B417" t="str">
            <v>11 - Otros Gastos</v>
          </cell>
        </row>
        <row r="418">
          <cell r="A418" t="str">
            <v>6551.001</v>
          </cell>
          <cell r="B418" t="str">
            <v>11 - Otros Gastos</v>
          </cell>
        </row>
        <row r="419">
          <cell r="A419" t="str">
            <v>6551.001</v>
          </cell>
          <cell r="B419" t="str">
            <v>11 - Otros Gastos</v>
          </cell>
        </row>
        <row r="420">
          <cell r="A420" t="str">
            <v>6551.001</v>
          </cell>
          <cell r="B420" t="str">
            <v>11 - Otros Gastos</v>
          </cell>
        </row>
        <row r="421">
          <cell r="A421" t="str">
            <v>6551.001</v>
          </cell>
          <cell r="B421" t="str">
            <v>11 - Otros Gastos</v>
          </cell>
        </row>
        <row r="422">
          <cell r="A422" t="str">
            <v>6553</v>
          </cell>
          <cell r="B422" t="str">
            <v>02 - Contratistas</v>
          </cell>
        </row>
        <row r="423">
          <cell r="A423" t="str">
            <v>6553</v>
          </cell>
          <cell r="B423" t="str">
            <v>02 - Contratistas</v>
          </cell>
        </row>
        <row r="424">
          <cell r="A424" t="str">
            <v>6553</v>
          </cell>
          <cell r="B424" t="str">
            <v>02 - Contratistas</v>
          </cell>
        </row>
        <row r="425">
          <cell r="A425" t="str">
            <v>6553</v>
          </cell>
          <cell r="B425" t="str">
            <v>02 - Contratistas</v>
          </cell>
        </row>
        <row r="426">
          <cell r="A426" t="str">
            <v>6553</v>
          </cell>
          <cell r="B426" t="str">
            <v>02 - Contratistas</v>
          </cell>
        </row>
        <row r="427">
          <cell r="A427" t="str">
            <v>6553</v>
          </cell>
          <cell r="B427" t="str">
            <v>02 - Contratistas</v>
          </cell>
        </row>
        <row r="428">
          <cell r="A428" t="str">
            <v>6553</v>
          </cell>
          <cell r="B428" t="str">
            <v>02 - Contratistas</v>
          </cell>
        </row>
        <row r="429">
          <cell r="A429" t="str">
            <v>6553</v>
          </cell>
          <cell r="B429" t="str">
            <v>02 - Contratistas</v>
          </cell>
        </row>
        <row r="430">
          <cell r="A430" t="str">
            <v>6553</v>
          </cell>
          <cell r="B430" t="str">
            <v>02 - Contratistas</v>
          </cell>
        </row>
        <row r="431">
          <cell r="A431" t="str">
            <v>6553</v>
          </cell>
          <cell r="B431" t="str">
            <v>02 - Contratistas</v>
          </cell>
        </row>
        <row r="432">
          <cell r="A432" t="str">
            <v>6553</v>
          </cell>
          <cell r="B432" t="str">
            <v>02 - Contratistas</v>
          </cell>
        </row>
        <row r="433">
          <cell r="A433" t="str">
            <v>6554</v>
          </cell>
          <cell r="B433" t="str">
            <v>02 - Contratistas</v>
          </cell>
        </row>
        <row r="434">
          <cell r="A434" t="str">
            <v>6554</v>
          </cell>
          <cell r="B434" t="str">
            <v>02 - Contratistas</v>
          </cell>
        </row>
        <row r="435">
          <cell r="A435" t="str">
            <v>6554</v>
          </cell>
          <cell r="B435" t="str">
            <v>02 - Contratistas</v>
          </cell>
        </row>
        <row r="436">
          <cell r="A436" t="str">
            <v>6554</v>
          </cell>
          <cell r="B436" t="str">
            <v>02 - Contratistas</v>
          </cell>
        </row>
        <row r="437">
          <cell r="A437" t="str">
            <v>6554</v>
          </cell>
          <cell r="B437" t="str">
            <v>02 - Contratistas</v>
          </cell>
        </row>
        <row r="438">
          <cell r="A438" t="str">
            <v>6554</v>
          </cell>
          <cell r="B438" t="str">
            <v>02 - Contratistas</v>
          </cell>
        </row>
        <row r="439">
          <cell r="A439" t="str">
            <v>6554</v>
          </cell>
          <cell r="B439" t="str">
            <v>02 - Contratistas</v>
          </cell>
        </row>
        <row r="440">
          <cell r="A440" t="str">
            <v>6554</v>
          </cell>
          <cell r="B440" t="str">
            <v>02 - Contratistas</v>
          </cell>
        </row>
        <row r="441">
          <cell r="A441" t="str">
            <v>6554</v>
          </cell>
          <cell r="B441" t="str">
            <v>02 - Contratistas</v>
          </cell>
        </row>
        <row r="442">
          <cell r="A442" t="str">
            <v>6554</v>
          </cell>
          <cell r="B442" t="str">
            <v>02 - Contratistas</v>
          </cell>
        </row>
        <row r="443">
          <cell r="A443" t="str">
            <v>6554</v>
          </cell>
          <cell r="B443" t="str">
            <v>02 - Contratistas</v>
          </cell>
        </row>
        <row r="444">
          <cell r="A444" t="str">
            <v>6554</v>
          </cell>
          <cell r="B444" t="str">
            <v>02 - Contratistas</v>
          </cell>
        </row>
        <row r="445">
          <cell r="A445" t="str">
            <v>6554</v>
          </cell>
          <cell r="B445" t="str">
            <v>02 - Contratistas</v>
          </cell>
        </row>
        <row r="446">
          <cell r="A446" t="str">
            <v>6554</v>
          </cell>
          <cell r="B446" t="str">
            <v>02 - Contratistas</v>
          </cell>
        </row>
        <row r="447">
          <cell r="A447" t="str">
            <v>6554</v>
          </cell>
          <cell r="B447" t="str">
            <v>02 - Contratistas</v>
          </cell>
        </row>
        <row r="448">
          <cell r="A448" t="str">
            <v>6554</v>
          </cell>
          <cell r="B448" t="str">
            <v>02 - Contratistas</v>
          </cell>
        </row>
        <row r="449">
          <cell r="A449" t="str">
            <v>6554</v>
          </cell>
          <cell r="B449" t="str">
            <v>02 - Contratistas</v>
          </cell>
        </row>
        <row r="450">
          <cell r="A450" t="str">
            <v>6554</v>
          </cell>
          <cell r="B450" t="str">
            <v>02 - Contratistas</v>
          </cell>
        </row>
        <row r="451">
          <cell r="A451" t="str">
            <v>6554</v>
          </cell>
          <cell r="B451" t="str">
            <v>02 - Contratistas</v>
          </cell>
        </row>
        <row r="452">
          <cell r="A452" t="str">
            <v>6554</v>
          </cell>
          <cell r="B452" t="str">
            <v>02 - Contratistas</v>
          </cell>
        </row>
        <row r="453">
          <cell r="A453" t="str">
            <v>6554</v>
          </cell>
          <cell r="B453" t="str">
            <v>02 - Contratistas</v>
          </cell>
        </row>
        <row r="454">
          <cell r="A454" t="str">
            <v>6554</v>
          </cell>
          <cell r="B454" t="str">
            <v>02 - Contratistas</v>
          </cell>
        </row>
        <row r="455">
          <cell r="A455" t="str">
            <v>6554</v>
          </cell>
          <cell r="B455" t="str">
            <v>02 - Contratistas</v>
          </cell>
        </row>
        <row r="456">
          <cell r="A456" t="str">
            <v>6554</v>
          </cell>
          <cell r="B456" t="str">
            <v>02 - Contratistas</v>
          </cell>
        </row>
        <row r="457">
          <cell r="A457" t="str">
            <v>6555</v>
          </cell>
          <cell r="B457" t="str">
            <v>02 - Contratistas</v>
          </cell>
        </row>
        <row r="458">
          <cell r="A458" t="str">
            <v>6555</v>
          </cell>
          <cell r="B458" t="str">
            <v>02 - Contratistas</v>
          </cell>
        </row>
        <row r="459">
          <cell r="A459" t="str">
            <v>6555</v>
          </cell>
          <cell r="B459" t="str">
            <v>02 - Contratistas</v>
          </cell>
        </row>
        <row r="460">
          <cell r="A460" t="str">
            <v>6555</v>
          </cell>
          <cell r="B460" t="str">
            <v>02 - Contratistas</v>
          </cell>
        </row>
        <row r="461">
          <cell r="A461" t="str">
            <v>6555</v>
          </cell>
          <cell r="B461" t="str">
            <v>02 - Contratistas</v>
          </cell>
        </row>
        <row r="462">
          <cell r="A462" t="str">
            <v>6555</v>
          </cell>
          <cell r="B462" t="str">
            <v>02 - Contratistas</v>
          </cell>
        </row>
        <row r="463">
          <cell r="A463" t="str">
            <v>6555</v>
          </cell>
          <cell r="B463" t="str">
            <v>02 - Contratistas</v>
          </cell>
        </row>
        <row r="464">
          <cell r="A464" t="str">
            <v>6555</v>
          </cell>
          <cell r="B464" t="str">
            <v>02 - Contratistas</v>
          </cell>
        </row>
        <row r="465">
          <cell r="A465" t="str">
            <v>6555</v>
          </cell>
          <cell r="B465" t="str">
            <v>02 - Contratistas</v>
          </cell>
        </row>
        <row r="466">
          <cell r="A466" t="str">
            <v>6555</v>
          </cell>
          <cell r="B466" t="str">
            <v>02 - Contratistas</v>
          </cell>
        </row>
        <row r="467">
          <cell r="A467" t="str">
            <v>6555</v>
          </cell>
          <cell r="B467" t="str">
            <v>02 - Contratistas</v>
          </cell>
        </row>
        <row r="468">
          <cell r="A468" t="str">
            <v>6562</v>
          </cell>
          <cell r="B468" t="str">
            <v>02 - Contratistas</v>
          </cell>
        </row>
        <row r="469">
          <cell r="A469" t="str">
            <v>6562</v>
          </cell>
          <cell r="B469" t="str">
            <v>02 - Contratistas</v>
          </cell>
        </row>
        <row r="470">
          <cell r="A470" t="str">
            <v>6562</v>
          </cell>
          <cell r="B470" t="str">
            <v>03 - Contratos Especiales</v>
          </cell>
        </row>
        <row r="471">
          <cell r="A471" t="str">
            <v>6562</v>
          </cell>
          <cell r="B471" t="str">
            <v>02 - Contratistas</v>
          </cell>
        </row>
        <row r="472">
          <cell r="A472" t="str">
            <v>6562</v>
          </cell>
          <cell r="B472" t="str">
            <v>02 - Contratistas</v>
          </cell>
        </row>
        <row r="473">
          <cell r="A473" t="str">
            <v>6562</v>
          </cell>
          <cell r="B473" t="str">
            <v>03 - Contratos Especiales</v>
          </cell>
        </row>
        <row r="474">
          <cell r="A474" t="str">
            <v>6562</v>
          </cell>
          <cell r="B474" t="str">
            <v>03 - Contratos Especiales</v>
          </cell>
        </row>
        <row r="475">
          <cell r="A475" t="str">
            <v>6562</v>
          </cell>
          <cell r="B475" t="str">
            <v>02 - Contratistas</v>
          </cell>
        </row>
        <row r="476">
          <cell r="A476" t="str">
            <v>6562</v>
          </cell>
          <cell r="B476" t="str">
            <v>03 - Contratos Especiales</v>
          </cell>
        </row>
        <row r="477">
          <cell r="A477" t="str">
            <v>6562</v>
          </cell>
          <cell r="B477" t="str">
            <v>02 - Contratistas</v>
          </cell>
        </row>
        <row r="478">
          <cell r="A478" t="str">
            <v>6562</v>
          </cell>
          <cell r="B478" t="str">
            <v>02 - Contratistas</v>
          </cell>
        </row>
        <row r="479">
          <cell r="A479" t="str">
            <v>6562</v>
          </cell>
          <cell r="B479" t="str">
            <v>02 - Contratistas</v>
          </cell>
        </row>
        <row r="480">
          <cell r="A480" t="str">
            <v>6562</v>
          </cell>
          <cell r="B480" t="str">
            <v>02 - Contratistas</v>
          </cell>
        </row>
        <row r="481">
          <cell r="A481" t="str">
            <v>6562</v>
          </cell>
          <cell r="B481" t="str">
            <v>03 - Contratos Especiales</v>
          </cell>
        </row>
        <row r="482">
          <cell r="A482" t="str">
            <v>6562</v>
          </cell>
          <cell r="B482" t="str">
            <v>02 - Contratistas</v>
          </cell>
        </row>
        <row r="483">
          <cell r="A483" t="str">
            <v>6563</v>
          </cell>
          <cell r="B483" t="str">
            <v>02 - Contratistas</v>
          </cell>
        </row>
        <row r="484">
          <cell r="A484" t="str">
            <v>6563</v>
          </cell>
          <cell r="B484" t="str">
            <v>02 - Contratistas</v>
          </cell>
        </row>
        <row r="485">
          <cell r="A485" t="str">
            <v>6563</v>
          </cell>
          <cell r="B485" t="str">
            <v>02 - Contratistas</v>
          </cell>
        </row>
        <row r="486">
          <cell r="A486" t="str">
            <v>6563</v>
          </cell>
          <cell r="B486" t="str">
            <v>02 - Contratistas</v>
          </cell>
        </row>
        <row r="487">
          <cell r="A487" t="str">
            <v>6563</v>
          </cell>
          <cell r="B487" t="str">
            <v>02 - Contratistas</v>
          </cell>
        </row>
        <row r="488">
          <cell r="A488" t="str">
            <v>6563</v>
          </cell>
          <cell r="B488" t="str">
            <v>02 - Contratistas</v>
          </cell>
        </row>
        <row r="489">
          <cell r="A489" t="str">
            <v>6563</v>
          </cell>
          <cell r="B489" t="str">
            <v>02 - Contratistas</v>
          </cell>
        </row>
        <row r="490">
          <cell r="A490" t="str">
            <v>6563</v>
          </cell>
          <cell r="B490" t="str">
            <v>02 - Contratistas</v>
          </cell>
        </row>
        <row r="491">
          <cell r="A491" t="str">
            <v>6566</v>
          </cell>
          <cell r="B491" t="str">
            <v>02 - Contratistas</v>
          </cell>
        </row>
        <row r="492">
          <cell r="A492" t="str">
            <v>6662</v>
          </cell>
          <cell r="B492" t="str">
            <v>11 - Otros Gastos</v>
          </cell>
        </row>
        <row r="493">
          <cell r="A493" t="str">
            <v>6683</v>
          </cell>
          <cell r="B493" t="str">
            <v>11 - Otros Gastos</v>
          </cell>
        </row>
        <row r="494">
          <cell r="A494" t="str">
            <v>6683</v>
          </cell>
          <cell r="B494" t="str">
            <v>11 - Otros Gastos</v>
          </cell>
        </row>
        <row r="495">
          <cell r="A495" t="str">
            <v>6705</v>
          </cell>
          <cell r="B495" t="str">
            <v>11 - Otros Gastos</v>
          </cell>
        </row>
        <row r="496">
          <cell r="A496" t="str">
            <v>6728</v>
          </cell>
          <cell r="B496" t="str">
            <v>11 - Otros Gastos</v>
          </cell>
        </row>
        <row r="497">
          <cell r="A497" t="str">
            <v>6729</v>
          </cell>
          <cell r="B497" t="str">
            <v>11 - Otros Gastos</v>
          </cell>
        </row>
        <row r="498">
          <cell r="A498" t="str">
            <v>6751</v>
          </cell>
          <cell r="B498" t="str">
            <v>11 - Otros Gastos</v>
          </cell>
        </row>
        <row r="499">
          <cell r="A499" t="str">
            <v>6752</v>
          </cell>
          <cell r="B499" t="str">
            <v>11 - Otros Gastos</v>
          </cell>
        </row>
        <row r="500">
          <cell r="A500" t="str">
            <v>6754</v>
          </cell>
          <cell r="B500" t="str">
            <v>11 - Otros Gastos</v>
          </cell>
        </row>
        <row r="501">
          <cell r="A501" t="str">
            <v>6754</v>
          </cell>
          <cell r="B501" t="str">
            <v>11 - Otros Gastos</v>
          </cell>
        </row>
        <row r="502">
          <cell r="A502" t="str">
            <v>6754</v>
          </cell>
          <cell r="B502" t="str">
            <v>11 - Otros Gastos</v>
          </cell>
        </row>
        <row r="503">
          <cell r="A503" t="str">
            <v>6754</v>
          </cell>
          <cell r="B503" t="str">
            <v>11 - Otros Gastos</v>
          </cell>
        </row>
        <row r="504">
          <cell r="A504" t="str">
            <v>6754</v>
          </cell>
          <cell r="B504" t="str">
            <v>11 - Otros Gastos</v>
          </cell>
        </row>
        <row r="505">
          <cell r="A505" t="str">
            <v>6754</v>
          </cell>
          <cell r="B505" t="str">
            <v>11 - Otros Gastos</v>
          </cell>
        </row>
        <row r="506">
          <cell r="A506" t="str">
            <v>6755</v>
          </cell>
          <cell r="B506" t="str">
            <v>11 - Otros Gastos</v>
          </cell>
        </row>
        <row r="507">
          <cell r="A507" t="str">
            <v>6755</v>
          </cell>
          <cell r="B507" t="str">
            <v>11 - Otros Gastos</v>
          </cell>
        </row>
        <row r="508">
          <cell r="A508" t="str">
            <v>6755</v>
          </cell>
          <cell r="B508" t="str">
            <v>11 - Otros Gastos</v>
          </cell>
        </row>
        <row r="509">
          <cell r="A509" t="str">
            <v>6755</v>
          </cell>
          <cell r="B509" t="str">
            <v>11 - Otros Gastos</v>
          </cell>
        </row>
        <row r="510">
          <cell r="A510" t="str">
            <v>6755</v>
          </cell>
          <cell r="B510" t="str">
            <v>11 - Otros Gastos</v>
          </cell>
        </row>
        <row r="511">
          <cell r="A511" t="str">
            <v>6755</v>
          </cell>
          <cell r="B511" t="str">
            <v>11 - Otros Gastos</v>
          </cell>
        </row>
        <row r="512">
          <cell r="A512" t="str">
            <v>6755</v>
          </cell>
          <cell r="B512" t="str">
            <v>11 - Otros Gastos</v>
          </cell>
        </row>
        <row r="513">
          <cell r="A513" t="str">
            <v>6756</v>
          </cell>
          <cell r="B513" t="str">
            <v>11 - Otros Gastos</v>
          </cell>
        </row>
        <row r="514">
          <cell r="A514" t="str">
            <v>6756</v>
          </cell>
          <cell r="B514" t="str">
            <v>11 - Otros Gastos</v>
          </cell>
        </row>
        <row r="515">
          <cell r="A515" t="str">
            <v>6756</v>
          </cell>
          <cell r="B515" t="str">
            <v>11 - Otros Gastos</v>
          </cell>
        </row>
        <row r="516">
          <cell r="A516" t="str">
            <v>6757</v>
          </cell>
          <cell r="B516" t="str">
            <v>11 - Otros Gastos</v>
          </cell>
        </row>
        <row r="517">
          <cell r="A517" t="str">
            <v>6760</v>
          </cell>
          <cell r="B517" t="str">
            <v>11 - Otros Gastos</v>
          </cell>
        </row>
        <row r="518">
          <cell r="A518" t="str">
            <v>6761</v>
          </cell>
          <cell r="B518" t="str">
            <v>11 - Otros Gastos</v>
          </cell>
        </row>
        <row r="519">
          <cell r="A519" t="str">
            <v>6762</v>
          </cell>
          <cell r="B519" t="str">
            <v>04 - Sueldos y Cargas Sociales</v>
          </cell>
        </row>
        <row r="520">
          <cell r="A520" t="str">
            <v>6762</v>
          </cell>
          <cell r="B520" t="str">
            <v>04 - Sueldos y Cargas Sociales</v>
          </cell>
        </row>
        <row r="521">
          <cell r="A521" t="str">
            <v>6762</v>
          </cell>
          <cell r="B521" t="str">
            <v>04 - Sueldos y Cargas Sociales</v>
          </cell>
        </row>
        <row r="522">
          <cell r="A522" t="str">
            <v>6762</v>
          </cell>
          <cell r="B522" t="str">
            <v>04 - Sueldos y Cargas Sociales</v>
          </cell>
        </row>
        <row r="523">
          <cell r="A523" t="str">
            <v>6762</v>
          </cell>
          <cell r="B523" t="str">
            <v>04 - Sueldos y Cargas Sociales</v>
          </cell>
        </row>
        <row r="524">
          <cell r="A524" t="str">
            <v>6762</v>
          </cell>
          <cell r="B524" t="str">
            <v>04 - Sueldos y Cargas Sociales</v>
          </cell>
        </row>
        <row r="525">
          <cell r="A525" t="str">
            <v>6762</v>
          </cell>
          <cell r="B525" t="str">
            <v>04 - Sueldos y Cargas Sociales</v>
          </cell>
        </row>
        <row r="526">
          <cell r="A526" t="str">
            <v>6762</v>
          </cell>
          <cell r="B526" t="str">
            <v>04 - Sueldos y Cargas Sociales</v>
          </cell>
        </row>
        <row r="527">
          <cell r="A527" t="str">
            <v>6762</v>
          </cell>
          <cell r="B527" t="str">
            <v>04 - Sueldos y Cargas Sociales</v>
          </cell>
        </row>
        <row r="528">
          <cell r="A528" t="str">
            <v>6763</v>
          </cell>
          <cell r="B528" t="str">
            <v>11 - Otros Gastos</v>
          </cell>
        </row>
        <row r="529">
          <cell r="A529" t="str">
            <v>6763</v>
          </cell>
          <cell r="B529" t="str">
            <v>11 - Otros Gastos</v>
          </cell>
        </row>
        <row r="530">
          <cell r="A530" t="str">
            <v>6763</v>
          </cell>
          <cell r="B530" t="str">
            <v>11 - Otros Gastos</v>
          </cell>
        </row>
        <row r="531">
          <cell r="A531" t="str">
            <v>6763</v>
          </cell>
          <cell r="B531" t="str">
            <v>11 - Otros Gastos</v>
          </cell>
        </row>
        <row r="532">
          <cell r="A532" t="str">
            <v>6763</v>
          </cell>
          <cell r="B532" t="str">
            <v>11 - Otros Gastos</v>
          </cell>
        </row>
        <row r="533">
          <cell r="A533" t="str">
            <v>6763</v>
          </cell>
          <cell r="B533" t="str">
            <v>11 - Otros Gastos</v>
          </cell>
        </row>
        <row r="534">
          <cell r="A534" t="str">
            <v>6763</v>
          </cell>
          <cell r="B534" t="str">
            <v>11 - Otros Gastos</v>
          </cell>
        </row>
        <row r="535">
          <cell r="A535" t="str">
            <v>6763</v>
          </cell>
          <cell r="B535" t="str">
            <v>11 - Otros Gastos</v>
          </cell>
        </row>
        <row r="536">
          <cell r="A536" t="str">
            <v>6763</v>
          </cell>
          <cell r="B536" t="str">
            <v>11 - Otros Gastos</v>
          </cell>
        </row>
        <row r="537">
          <cell r="A537" t="str">
            <v>6763</v>
          </cell>
          <cell r="B537" t="str">
            <v>11 - Otros Gastos</v>
          </cell>
        </row>
        <row r="538">
          <cell r="A538" t="str">
            <v>6763</v>
          </cell>
          <cell r="B538" t="str">
            <v>11 - Otros Gastos</v>
          </cell>
        </row>
        <row r="539">
          <cell r="A539" t="str">
            <v>6763</v>
          </cell>
          <cell r="B539" t="str">
            <v>11 - Otros Gastos</v>
          </cell>
        </row>
        <row r="540">
          <cell r="A540" t="str">
            <v>6763.001</v>
          </cell>
          <cell r="B540" t="str">
            <v>11 - Otros Gastos</v>
          </cell>
        </row>
        <row r="541">
          <cell r="A541" t="str">
            <v>6764</v>
          </cell>
          <cell r="B541" t="str">
            <v>11 - Otros Gastos</v>
          </cell>
        </row>
        <row r="542">
          <cell r="A542" t="str">
            <v>6765</v>
          </cell>
          <cell r="B542" t="str">
            <v>11 - Otros Gastos</v>
          </cell>
        </row>
        <row r="543">
          <cell r="A543" t="str">
            <v>6765</v>
          </cell>
          <cell r="B543" t="str">
            <v>11 - Otros Gastos</v>
          </cell>
        </row>
        <row r="544">
          <cell r="A544" t="str">
            <v>6767</v>
          </cell>
          <cell r="B544" t="str">
            <v>11 - Otros Gastos</v>
          </cell>
        </row>
        <row r="545">
          <cell r="A545" t="str">
            <v>6768</v>
          </cell>
          <cell r="B545" t="str">
            <v>11 - Otros Gastos</v>
          </cell>
        </row>
        <row r="546">
          <cell r="A546" t="str">
            <v>6769</v>
          </cell>
          <cell r="B546" t="str">
            <v>11 - Otros Gastos</v>
          </cell>
        </row>
        <row r="547">
          <cell r="A547" t="str">
            <v>6769</v>
          </cell>
          <cell r="B547" t="str">
            <v>11 - Otros Gastos</v>
          </cell>
        </row>
        <row r="548">
          <cell r="A548" t="str">
            <v>6770</v>
          </cell>
          <cell r="B548" t="str">
            <v>14 - Compromiso Reducción</v>
          </cell>
        </row>
        <row r="549">
          <cell r="A549" t="str">
            <v>7022</v>
          </cell>
          <cell r="B549" t="str">
            <v>11 - Otros Gastos</v>
          </cell>
        </row>
        <row r="550">
          <cell r="A550" t="str">
            <v>7022</v>
          </cell>
          <cell r="B550" t="str">
            <v>11 - Otros Gastos</v>
          </cell>
        </row>
        <row r="551">
          <cell r="A551" t="str">
            <v>7045</v>
          </cell>
          <cell r="B551" t="str">
            <v>02 - Contratistas</v>
          </cell>
        </row>
        <row r="552">
          <cell r="A552" t="str">
            <v>7046</v>
          </cell>
          <cell r="B552" t="str">
            <v>02 - Contratistas</v>
          </cell>
        </row>
        <row r="553">
          <cell r="A553" t="str">
            <v>7093</v>
          </cell>
          <cell r="B553" t="str">
            <v>11 - Otros Gastos</v>
          </cell>
        </row>
        <row r="554">
          <cell r="A554" t="str">
            <v>7093</v>
          </cell>
          <cell r="B554" t="str">
            <v>11 - Otros Gastos</v>
          </cell>
        </row>
        <row r="555">
          <cell r="A555" t="str">
            <v>7201</v>
          </cell>
          <cell r="B555" t="str">
            <v>11 - Otros Gastos</v>
          </cell>
        </row>
        <row r="556">
          <cell r="A556" t="str">
            <v>7203</v>
          </cell>
          <cell r="B556" t="str">
            <v>11 - Otros Gastos</v>
          </cell>
        </row>
        <row r="557">
          <cell r="A557" t="str">
            <v>7204</v>
          </cell>
          <cell r="B557" t="str">
            <v>11 - Otros Gastos</v>
          </cell>
        </row>
        <row r="558">
          <cell r="A558" t="str">
            <v>7205</v>
          </cell>
          <cell r="B558" t="str">
            <v>11 - Otros Gastos</v>
          </cell>
        </row>
        <row r="559">
          <cell r="A559" t="str">
            <v>7205</v>
          </cell>
          <cell r="B559" t="str">
            <v>11 - Otros Gastos</v>
          </cell>
        </row>
        <row r="560">
          <cell r="A560" t="str">
            <v>7206</v>
          </cell>
          <cell r="B560" t="str">
            <v>11 - Otros Gastos</v>
          </cell>
        </row>
        <row r="561">
          <cell r="A561" t="str">
            <v>7207</v>
          </cell>
          <cell r="B561" t="str">
            <v>11 - Otros Gastos</v>
          </cell>
        </row>
        <row r="562">
          <cell r="A562" t="str">
            <v>9652</v>
          </cell>
          <cell r="B562" t="str">
            <v>04 - Sueldos y Cargas Sociales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</sheetNames>
    <sheetDataSet>
      <sheetData sheetId="0" refreshError="1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PUESTO /FUNCION</v>
          </cell>
          <cell r="E6" t="str">
            <v>CATEG</v>
          </cell>
          <cell r="F6" t="str">
            <v>REMUNERAC. BRUTA MENSUAL</v>
          </cell>
          <cell r="G6" t="str">
            <v>ADICIONAL TAREA SUPERIOR</v>
          </cell>
          <cell r="H6" t="str">
            <v xml:space="preserve">CANTIDAD SUELDOS COMPENS. VARIABLE </v>
          </cell>
          <cell r="I6" t="str">
            <v xml:space="preserve">IMPORTE COMPENS. VARIABLE </v>
          </cell>
          <cell r="J6" t="str">
            <v>REMUNERAC. BRUTA ANUAL EN ARGENTINA</v>
          </cell>
          <cell r="K6" t="str">
            <v>REM. NETA ANUAL SIN COMP. VARIABLE</v>
          </cell>
          <cell r="L6" t="str">
            <v>COMPENSAC. VARIABLE NETA</v>
          </cell>
          <cell r="M6" t="str">
            <v>REMUN, NETA ANUAL EN ARGENTINA C / COMP.VAR.</v>
          </cell>
          <cell r="N6" t="str">
            <v>DESTINO</v>
          </cell>
          <cell r="O6" t="str">
            <v>% ADIC. DE ASIG.</v>
          </cell>
          <cell r="P6" t="str">
            <v>ADICIONAL DE ASIGNACIÓN  NETO</v>
          </cell>
          <cell r="Q6" t="str">
            <v>ADICIONAL DE ASIGNACIÓN S / COMP. VAR. NETO</v>
          </cell>
          <cell r="R6" t="str">
            <v>% HARDSHIP</v>
          </cell>
          <cell r="S6" t="str">
            <v>HARDSHIP NETO</v>
          </cell>
          <cell r="T6" t="str">
            <v>% BIENES Y SERVIC.</v>
          </cell>
          <cell r="U6" t="str">
            <v>BIENES Y SERVICIOS NETO</v>
          </cell>
          <cell r="V6" t="str">
            <v>ADICIONAL PERSONAL NETO</v>
          </cell>
          <cell r="W6" t="str">
            <v>OTROS</v>
          </cell>
          <cell r="X6" t="str">
            <v>NETO TOTAL DE ADIC. EN EL EXTERIOR</v>
          </cell>
          <cell r="Y6" t="str">
            <v>BRUTO TOTAL DE ADIC. EL EXTERIOR</v>
          </cell>
          <cell r="Z6" t="str">
            <v>NETO DE LA ASIG. INTERN.</v>
          </cell>
          <cell r="AA6" t="str">
            <v>BRUTO DE LA ASIG. INTERN.</v>
          </cell>
        </row>
        <row r="7">
          <cell r="A7">
            <v>1008035725</v>
          </cell>
          <cell r="B7" t="str">
            <v>BIANCHETTI</v>
          </cell>
          <cell r="C7" t="str">
            <v>Miguel</v>
          </cell>
          <cell r="D7" t="str">
            <v>Gte Gral</v>
          </cell>
          <cell r="E7">
            <v>62</v>
          </cell>
          <cell r="F7">
            <v>12766</v>
          </cell>
          <cell r="G7">
            <v>0</v>
          </cell>
          <cell r="H7">
            <v>4.75</v>
          </cell>
          <cell r="I7">
            <v>60587</v>
          </cell>
          <cell r="J7">
            <v>226545</v>
          </cell>
          <cell r="K7">
            <v>116638</v>
          </cell>
          <cell r="L7">
            <v>37941</v>
          </cell>
          <cell r="M7">
            <v>154579</v>
          </cell>
          <cell r="N7" t="str">
            <v>Brasil . Rio de Janeiro</v>
          </cell>
          <cell r="O7">
            <v>0.15</v>
          </cell>
          <cell r="P7">
            <v>15130</v>
          </cell>
          <cell r="Q7">
            <v>5167</v>
          </cell>
          <cell r="R7">
            <v>0.1</v>
          </cell>
          <cell r="S7">
            <v>14024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34321</v>
          </cell>
          <cell r="Y7">
            <v>53909</v>
          </cell>
          <cell r="Z7">
            <v>188900</v>
          </cell>
          <cell r="AA7">
            <v>280454</v>
          </cell>
        </row>
        <row r="8">
          <cell r="A8">
            <v>4006040386</v>
          </cell>
          <cell r="B8" t="str">
            <v>MARTINEZ</v>
          </cell>
          <cell r="C8" t="str">
            <v>Aníbal</v>
          </cell>
          <cell r="D8" t="str">
            <v>Gte. Admin.</v>
          </cell>
          <cell r="E8">
            <v>57</v>
          </cell>
          <cell r="F8">
            <v>4500</v>
          </cell>
          <cell r="G8">
            <v>0</v>
          </cell>
          <cell r="H8">
            <v>2</v>
          </cell>
          <cell r="I8">
            <v>9000</v>
          </cell>
          <cell r="J8">
            <v>67500</v>
          </cell>
          <cell r="K8">
            <v>45221</v>
          </cell>
          <cell r="L8">
            <v>7073</v>
          </cell>
          <cell r="M8">
            <v>52294</v>
          </cell>
          <cell r="N8" t="str">
            <v>Brasil . Rio de Janeiro</v>
          </cell>
          <cell r="O8">
            <v>0.15</v>
          </cell>
          <cell r="P8">
            <v>8775</v>
          </cell>
          <cell r="Q8">
            <v>1350</v>
          </cell>
          <cell r="R8">
            <v>0.1</v>
          </cell>
          <cell r="S8">
            <v>5850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15975</v>
          </cell>
          <cell r="Y8">
            <v>22992</v>
          </cell>
          <cell r="Z8">
            <v>68269</v>
          </cell>
          <cell r="AA8">
            <v>90492</v>
          </cell>
        </row>
        <row r="9">
          <cell r="A9">
            <v>4010941885</v>
          </cell>
          <cell r="B9" t="str">
            <v>DIPINTO CAFIERO</v>
          </cell>
          <cell r="C9" t="str">
            <v>Roberto</v>
          </cell>
          <cell r="D9" t="str">
            <v>Gte. Gral.</v>
          </cell>
          <cell r="E9">
            <v>60</v>
          </cell>
          <cell r="F9">
            <v>8833</v>
          </cell>
          <cell r="G9">
            <v>0</v>
          </cell>
          <cell r="H9">
            <v>7.6</v>
          </cell>
          <cell r="I9">
            <v>65500</v>
          </cell>
          <cell r="J9">
            <v>180329</v>
          </cell>
          <cell r="K9">
            <v>84435</v>
          </cell>
          <cell r="L9">
            <v>41973</v>
          </cell>
          <cell r="M9">
            <v>126408</v>
          </cell>
          <cell r="N9" t="str">
            <v>Bolivia - Sta. Cruz de la Sierra</v>
          </cell>
          <cell r="O9">
            <v>0.15</v>
          </cell>
          <cell r="P9">
            <v>17224</v>
          </cell>
          <cell r="Q9">
            <v>9825</v>
          </cell>
          <cell r="R9">
            <v>0.15</v>
          </cell>
          <cell r="S9">
            <v>17224</v>
          </cell>
          <cell r="T9">
            <v>0</v>
          </cell>
          <cell r="U9">
            <v>65074</v>
          </cell>
          <cell r="V9">
            <v>0</v>
          </cell>
          <cell r="W9">
            <v>0</v>
          </cell>
          <cell r="X9">
            <v>109347</v>
          </cell>
          <cell r="Y9">
            <v>172210</v>
          </cell>
          <cell r="Z9">
            <v>235755</v>
          </cell>
          <cell r="AA9">
            <v>352539</v>
          </cell>
        </row>
        <row r="10">
          <cell r="A10">
            <v>1013683522</v>
          </cell>
          <cell r="B10" t="str">
            <v>RAFFAELI</v>
          </cell>
          <cell r="C10" t="str">
            <v>Nestor</v>
          </cell>
          <cell r="D10" t="str">
            <v>Controller</v>
          </cell>
          <cell r="E10">
            <v>58</v>
          </cell>
          <cell r="F10">
            <v>7194</v>
          </cell>
          <cell r="G10">
            <v>0</v>
          </cell>
          <cell r="H10">
            <v>0</v>
          </cell>
          <cell r="I10">
            <v>0</v>
          </cell>
          <cell r="J10">
            <v>93522</v>
          </cell>
          <cell r="K10">
            <v>70095</v>
          </cell>
          <cell r="L10">
            <v>0</v>
          </cell>
          <cell r="M10">
            <v>70095</v>
          </cell>
          <cell r="N10" t="str">
            <v>Bolivia - Sta. Cruz de la Sierra</v>
          </cell>
          <cell r="O10">
            <v>0.15</v>
          </cell>
          <cell r="P10">
            <v>14028</v>
          </cell>
          <cell r="Q10">
            <v>0</v>
          </cell>
          <cell r="R10">
            <v>0.15</v>
          </cell>
          <cell r="S10">
            <v>14028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28056</v>
          </cell>
          <cell r="Y10">
            <v>41415</v>
          </cell>
          <cell r="Z10">
            <v>98151</v>
          </cell>
          <cell r="AA10">
            <v>134937</v>
          </cell>
        </row>
        <row r="11">
          <cell r="A11">
            <v>1018773480</v>
          </cell>
          <cell r="B11" t="str">
            <v>BENEDINI</v>
          </cell>
          <cell r="C11" t="str">
            <v>Adolfo</v>
          </cell>
          <cell r="D11" t="str">
            <v>Gte. Admin.</v>
          </cell>
          <cell r="E11">
            <v>57</v>
          </cell>
          <cell r="F11">
            <v>4550</v>
          </cell>
          <cell r="G11">
            <v>0</v>
          </cell>
          <cell r="H11">
            <v>3</v>
          </cell>
          <cell r="I11">
            <v>13650</v>
          </cell>
          <cell r="J11">
            <v>72800</v>
          </cell>
          <cell r="K11">
            <v>44955</v>
          </cell>
          <cell r="L11">
            <v>10491</v>
          </cell>
          <cell r="M11">
            <v>55446</v>
          </cell>
          <cell r="N11" t="str">
            <v>Bolivia - Sta. Cruz de la Sierra</v>
          </cell>
          <cell r="O11">
            <v>0.15</v>
          </cell>
          <cell r="P11">
            <v>8873</v>
          </cell>
          <cell r="Q11">
            <v>2048</v>
          </cell>
          <cell r="R11">
            <v>0.15</v>
          </cell>
          <cell r="S11">
            <v>8873</v>
          </cell>
          <cell r="T11">
            <v>0</v>
          </cell>
          <cell r="U11">
            <v>33778</v>
          </cell>
          <cell r="V11">
            <v>0</v>
          </cell>
          <cell r="W11">
            <v>0</v>
          </cell>
          <cell r="X11">
            <v>53572</v>
          </cell>
          <cell r="Y11">
            <v>81270</v>
          </cell>
          <cell r="Z11">
            <v>109018</v>
          </cell>
          <cell r="AA11">
            <v>154070</v>
          </cell>
        </row>
        <row r="12">
          <cell r="A12">
            <v>1006437773</v>
          </cell>
          <cell r="B12" t="str">
            <v>BARRERA</v>
          </cell>
          <cell r="C12" t="str">
            <v>Ramón</v>
          </cell>
          <cell r="D12" t="str">
            <v>Profecional SR.</v>
          </cell>
          <cell r="E12">
            <v>56</v>
          </cell>
          <cell r="F12">
            <v>4000</v>
          </cell>
          <cell r="G12">
            <v>0</v>
          </cell>
          <cell r="H12">
            <v>3</v>
          </cell>
          <cell r="I12">
            <v>12000</v>
          </cell>
          <cell r="J12">
            <v>64000</v>
          </cell>
          <cell r="K12">
            <v>40328</v>
          </cell>
          <cell r="L12">
            <v>9423</v>
          </cell>
          <cell r="M12">
            <v>49751</v>
          </cell>
          <cell r="N12" t="str">
            <v>Perú - Talara</v>
          </cell>
          <cell r="O12">
            <v>0.15</v>
          </cell>
          <cell r="P12">
            <v>7800</v>
          </cell>
          <cell r="Q12">
            <v>1800</v>
          </cell>
          <cell r="R12">
            <v>0.4</v>
          </cell>
          <cell r="S12">
            <v>20800</v>
          </cell>
          <cell r="T12">
            <v>0</v>
          </cell>
          <cell r="U12">
            <v>32722</v>
          </cell>
          <cell r="V12">
            <v>0</v>
          </cell>
          <cell r="W12">
            <v>0</v>
          </cell>
          <cell r="X12">
            <v>63122</v>
          </cell>
          <cell r="Y12">
            <v>95836</v>
          </cell>
          <cell r="Z12">
            <v>112873</v>
          </cell>
          <cell r="AA12">
            <v>159836</v>
          </cell>
        </row>
        <row r="13">
          <cell r="A13">
            <v>1012021076</v>
          </cell>
          <cell r="B13" t="str">
            <v>BENITO</v>
          </cell>
          <cell r="C13" t="str">
            <v>José</v>
          </cell>
          <cell r="D13" t="str">
            <v>Profecional Principal</v>
          </cell>
          <cell r="E13">
            <v>57</v>
          </cell>
          <cell r="F13">
            <v>4620</v>
          </cell>
          <cell r="G13">
            <v>270</v>
          </cell>
          <cell r="H13">
            <v>3</v>
          </cell>
          <cell r="I13">
            <v>13860</v>
          </cell>
          <cell r="J13">
            <v>77430</v>
          </cell>
          <cell r="K13">
            <v>47530</v>
          </cell>
          <cell r="L13">
            <v>9772</v>
          </cell>
          <cell r="M13">
            <v>57302</v>
          </cell>
          <cell r="N13" t="str">
            <v>Perú - Talara</v>
          </cell>
          <cell r="O13">
            <v>0.15</v>
          </cell>
          <cell r="P13">
            <v>9536</v>
          </cell>
          <cell r="Q13">
            <v>2079</v>
          </cell>
          <cell r="R13">
            <v>0.4</v>
          </cell>
          <cell r="S13">
            <v>25428</v>
          </cell>
          <cell r="T13">
            <v>0</v>
          </cell>
          <cell r="U13">
            <v>25727</v>
          </cell>
          <cell r="V13">
            <v>0</v>
          </cell>
          <cell r="W13">
            <v>0</v>
          </cell>
          <cell r="X13">
            <v>62770</v>
          </cell>
          <cell r="Y13">
            <v>93975</v>
          </cell>
          <cell r="Z13">
            <v>120072</v>
          </cell>
          <cell r="AA13">
            <v>171405</v>
          </cell>
        </row>
        <row r="14">
          <cell r="A14">
            <v>4008065048</v>
          </cell>
          <cell r="B14" t="str">
            <v>BOLENTINI</v>
          </cell>
          <cell r="C14" t="str">
            <v>Sergio Daneil</v>
          </cell>
          <cell r="D14" t="str">
            <v>Gte. Adm. y Fin. Regional</v>
          </cell>
          <cell r="E14">
            <v>60</v>
          </cell>
          <cell r="F14">
            <v>8400</v>
          </cell>
          <cell r="G14">
            <v>0</v>
          </cell>
          <cell r="H14">
            <v>4</v>
          </cell>
          <cell r="I14">
            <v>33600</v>
          </cell>
          <cell r="J14">
            <v>142800</v>
          </cell>
          <cell r="K14">
            <v>80264</v>
          </cell>
          <cell r="L14">
            <v>21643</v>
          </cell>
          <cell r="M14">
            <v>101907</v>
          </cell>
          <cell r="N14" t="str">
            <v>Ecuador - Quito</v>
          </cell>
          <cell r="O14">
            <v>0.15</v>
          </cell>
          <cell r="P14">
            <v>16380</v>
          </cell>
          <cell r="Q14">
            <v>5040</v>
          </cell>
          <cell r="R14">
            <v>0.15</v>
          </cell>
          <cell r="S14">
            <v>16380</v>
          </cell>
          <cell r="T14">
            <v>0</v>
          </cell>
          <cell r="U14">
            <v>40517</v>
          </cell>
          <cell r="V14">
            <v>0</v>
          </cell>
          <cell r="W14">
            <v>0</v>
          </cell>
          <cell r="X14">
            <v>78317</v>
          </cell>
          <cell r="Y14">
            <v>124306</v>
          </cell>
          <cell r="Z14">
            <v>180224</v>
          </cell>
          <cell r="AA14">
            <v>267106</v>
          </cell>
        </row>
        <row r="15">
          <cell r="A15">
            <v>1013970682</v>
          </cell>
          <cell r="B15" t="str">
            <v>BONAVIA</v>
          </cell>
          <cell r="C15" t="str">
            <v xml:space="preserve">Osvaldo </v>
          </cell>
          <cell r="D15" t="str">
            <v>Lider Equipo SR.</v>
          </cell>
          <cell r="E15">
            <v>58</v>
          </cell>
          <cell r="F15">
            <v>5039</v>
          </cell>
          <cell r="G15">
            <v>0</v>
          </cell>
          <cell r="H15">
            <v>3</v>
          </cell>
          <cell r="I15">
            <v>15117</v>
          </cell>
          <cell r="J15">
            <v>80624</v>
          </cell>
          <cell r="K15">
            <v>49443</v>
          </cell>
          <cell r="L15">
            <v>10647</v>
          </cell>
          <cell r="M15">
            <v>60090</v>
          </cell>
          <cell r="N15" t="str">
            <v>Perú - Talara</v>
          </cell>
          <cell r="O15">
            <v>0.15</v>
          </cell>
          <cell r="P15">
            <v>9826</v>
          </cell>
          <cell r="Q15">
            <v>2268</v>
          </cell>
          <cell r="R15">
            <v>0.4</v>
          </cell>
          <cell r="S15">
            <v>26203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38297</v>
          </cell>
          <cell r="Y15">
            <v>55113</v>
          </cell>
          <cell r="Z15">
            <v>98387</v>
          </cell>
          <cell r="AA15">
            <v>135737</v>
          </cell>
        </row>
        <row r="16">
          <cell r="A16">
            <v>1012064446</v>
          </cell>
          <cell r="B16" t="str">
            <v>BUSCHIAZZO</v>
          </cell>
          <cell r="C16" t="str">
            <v>Hector Horacio</v>
          </cell>
          <cell r="D16" t="str">
            <v>Jefe Contratos</v>
          </cell>
          <cell r="E16">
            <v>57</v>
          </cell>
          <cell r="F16">
            <v>4400</v>
          </cell>
          <cell r="G16">
            <v>530</v>
          </cell>
          <cell r="H16">
            <v>3</v>
          </cell>
          <cell r="I16">
            <v>14790</v>
          </cell>
          <cell r="J16">
            <v>78880</v>
          </cell>
          <cell r="K16">
            <v>48775</v>
          </cell>
          <cell r="L16">
            <v>10300</v>
          </cell>
          <cell r="M16">
            <v>59075</v>
          </cell>
          <cell r="N16" t="str">
            <v>Ecuador - Quito</v>
          </cell>
          <cell r="O16">
            <v>0.15</v>
          </cell>
          <cell r="P16">
            <v>9614</v>
          </cell>
          <cell r="Q16">
            <v>2219</v>
          </cell>
          <cell r="R16">
            <v>0.15</v>
          </cell>
          <cell r="S16">
            <v>9614</v>
          </cell>
          <cell r="T16">
            <v>0</v>
          </cell>
          <cell r="U16">
            <v>32884</v>
          </cell>
          <cell r="V16">
            <v>0</v>
          </cell>
          <cell r="W16">
            <v>0</v>
          </cell>
          <cell r="X16">
            <v>54331</v>
          </cell>
          <cell r="Y16">
            <v>81611</v>
          </cell>
          <cell r="Z16">
            <v>113406</v>
          </cell>
          <cell r="AA16">
            <v>160491</v>
          </cell>
        </row>
        <row r="17">
          <cell r="A17">
            <v>1014625968</v>
          </cell>
          <cell r="B17" t="str">
            <v>CANCELLIERI</v>
          </cell>
          <cell r="C17" t="str">
            <v>Eduardo Alfredo</v>
          </cell>
          <cell r="D17" t="str">
            <v>Gerente Yacimiento</v>
          </cell>
          <cell r="E17">
            <v>59</v>
          </cell>
          <cell r="F17">
            <v>6870</v>
          </cell>
          <cell r="G17">
            <v>0</v>
          </cell>
          <cell r="H17">
            <v>4</v>
          </cell>
          <cell r="I17">
            <v>27480</v>
          </cell>
          <cell r="J17">
            <v>116790</v>
          </cell>
          <cell r="K17">
            <v>67020</v>
          </cell>
          <cell r="L17">
            <v>18610</v>
          </cell>
          <cell r="M17">
            <v>85630</v>
          </cell>
          <cell r="N17" t="str">
            <v>Perú - Talara</v>
          </cell>
          <cell r="O17">
            <v>0.15</v>
          </cell>
          <cell r="P17">
            <v>13397</v>
          </cell>
          <cell r="Q17">
            <v>4122</v>
          </cell>
          <cell r="R17">
            <v>0.4</v>
          </cell>
          <cell r="S17">
            <v>35724</v>
          </cell>
          <cell r="T17">
            <v>0</v>
          </cell>
          <cell r="U17">
            <v>43534</v>
          </cell>
          <cell r="V17">
            <v>0</v>
          </cell>
          <cell r="W17">
            <v>0</v>
          </cell>
          <cell r="X17">
            <v>96777</v>
          </cell>
          <cell r="Y17">
            <v>153675</v>
          </cell>
          <cell r="Z17">
            <v>182407</v>
          </cell>
          <cell r="AA17">
            <v>270465</v>
          </cell>
        </row>
        <row r="18">
          <cell r="A18">
            <v>1008341804</v>
          </cell>
          <cell r="B18" t="str">
            <v>FUNARO CHAÑAL</v>
          </cell>
          <cell r="C18" t="str">
            <v>Juan Carlos</v>
          </cell>
          <cell r="D18" t="str">
            <v>Gte. Abastec.</v>
          </cell>
          <cell r="E18">
            <v>57</v>
          </cell>
          <cell r="F18">
            <v>4925</v>
          </cell>
          <cell r="G18">
            <v>0</v>
          </cell>
          <cell r="H18">
            <v>3</v>
          </cell>
          <cell r="I18">
            <v>14775</v>
          </cell>
          <cell r="J18">
            <v>78800</v>
          </cell>
          <cell r="K18">
            <v>47458</v>
          </cell>
          <cell r="L18">
            <v>10571</v>
          </cell>
          <cell r="M18">
            <v>58029</v>
          </cell>
          <cell r="N18" t="str">
            <v>Perú - Talara</v>
          </cell>
          <cell r="O18">
            <v>0.15</v>
          </cell>
          <cell r="P18">
            <v>9604</v>
          </cell>
          <cell r="Q18">
            <v>2216</v>
          </cell>
          <cell r="R18">
            <v>0.4</v>
          </cell>
          <cell r="S18">
            <v>25610</v>
          </cell>
          <cell r="T18">
            <v>0</v>
          </cell>
          <cell r="U18">
            <v>26036</v>
          </cell>
          <cell r="V18">
            <v>0</v>
          </cell>
          <cell r="W18">
            <v>0</v>
          </cell>
          <cell r="X18">
            <v>63466</v>
          </cell>
          <cell r="Y18">
            <v>95124</v>
          </cell>
          <cell r="Z18">
            <v>121495</v>
          </cell>
          <cell r="AA18">
            <v>173924</v>
          </cell>
        </row>
        <row r="19">
          <cell r="A19">
            <v>1018429834</v>
          </cell>
          <cell r="B19" t="str">
            <v>GUIÑAZU</v>
          </cell>
          <cell r="C19" t="str">
            <v>Alfredo Walter</v>
          </cell>
          <cell r="D19" t="str">
            <v>Jefe Perforac.</v>
          </cell>
          <cell r="E19">
            <v>56</v>
          </cell>
          <cell r="F19">
            <v>4400</v>
          </cell>
          <cell r="G19">
            <v>0</v>
          </cell>
          <cell r="H19">
            <v>2</v>
          </cell>
          <cell r="I19">
            <v>8800</v>
          </cell>
          <cell r="J19">
            <v>66000</v>
          </cell>
          <cell r="K19">
            <v>43649</v>
          </cell>
          <cell r="L19">
            <v>6802</v>
          </cell>
          <cell r="M19">
            <v>50451</v>
          </cell>
          <cell r="N19" t="str">
            <v>Ecuador - Quito</v>
          </cell>
          <cell r="O19">
            <v>0.15</v>
          </cell>
          <cell r="P19">
            <v>8580</v>
          </cell>
          <cell r="Q19">
            <v>1320</v>
          </cell>
          <cell r="R19">
            <v>0.15</v>
          </cell>
          <cell r="S19">
            <v>8580</v>
          </cell>
          <cell r="T19">
            <v>0</v>
          </cell>
          <cell r="U19">
            <v>26307</v>
          </cell>
          <cell r="V19">
            <v>0</v>
          </cell>
          <cell r="W19">
            <v>0</v>
          </cell>
          <cell r="X19">
            <v>44787</v>
          </cell>
          <cell r="Y19">
            <v>65173</v>
          </cell>
          <cell r="Z19">
            <v>95238</v>
          </cell>
          <cell r="AA19">
            <v>131173</v>
          </cell>
        </row>
        <row r="20">
          <cell r="A20">
            <v>1016415959</v>
          </cell>
          <cell r="B20" t="str">
            <v>GUTIERREZ</v>
          </cell>
          <cell r="C20" t="str">
            <v>Fabián Edgardo</v>
          </cell>
          <cell r="D20" t="str">
            <v>Lider Equipo SR.</v>
          </cell>
          <cell r="E20">
            <v>58</v>
          </cell>
          <cell r="F20">
            <v>5100</v>
          </cell>
          <cell r="G20">
            <v>0</v>
          </cell>
          <cell r="H20">
            <v>3</v>
          </cell>
          <cell r="I20">
            <v>15300</v>
          </cell>
          <cell r="J20">
            <v>81600</v>
          </cell>
          <cell r="K20">
            <v>50476</v>
          </cell>
          <cell r="L20">
            <v>10694</v>
          </cell>
          <cell r="M20">
            <v>61170</v>
          </cell>
          <cell r="N20" t="str">
            <v>Perú - Talara</v>
          </cell>
          <cell r="O20">
            <v>0.15</v>
          </cell>
          <cell r="P20">
            <v>9945</v>
          </cell>
          <cell r="Q20">
            <v>2295</v>
          </cell>
          <cell r="R20">
            <v>0.4</v>
          </cell>
          <cell r="S20">
            <v>26520</v>
          </cell>
          <cell r="T20">
            <v>0</v>
          </cell>
          <cell r="U20">
            <v>35397</v>
          </cell>
          <cell r="V20">
            <v>0</v>
          </cell>
          <cell r="W20">
            <v>0</v>
          </cell>
          <cell r="X20">
            <v>74157</v>
          </cell>
          <cell r="Y20">
            <v>112615</v>
          </cell>
          <cell r="Z20">
            <v>135327</v>
          </cell>
          <cell r="AA20">
            <v>194215</v>
          </cell>
        </row>
        <row r="21">
          <cell r="A21">
            <v>1013997164</v>
          </cell>
          <cell r="B21" t="str">
            <v>JARAMILLO</v>
          </cell>
          <cell r="C21" t="str">
            <v>Carlos Alberto</v>
          </cell>
          <cell r="D21" t="str">
            <v>Profesional SR.</v>
          </cell>
          <cell r="E21">
            <v>56</v>
          </cell>
          <cell r="F21">
            <v>4045</v>
          </cell>
          <cell r="G21">
            <v>0</v>
          </cell>
          <cell r="H21">
            <v>0</v>
          </cell>
          <cell r="I21">
            <v>0</v>
          </cell>
          <cell r="J21">
            <v>52585</v>
          </cell>
          <cell r="K21">
            <v>40543</v>
          </cell>
          <cell r="L21">
            <v>0</v>
          </cell>
          <cell r="M21">
            <v>40543</v>
          </cell>
          <cell r="N21" t="str">
            <v>Perú - Talara</v>
          </cell>
          <cell r="O21">
            <v>0.15</v>
          </cell>
          <cell r="P21">
            <v>7888</v>
          </cell>
          <cell r="Q21">
            <v>0</v>
          </cell>
          <cell r="R21">
            <v>0.4</v>
          </cell>
          <cell r="S21">
            <v>21034</v>
          </cell>
          <cell r="T21">
            <v>0</v>
          </cell>
          <cell r="U21">
            <v>27633</v>
          </cell>
          <cell r="V21">
            <v>0</v>
          </cell>
          <cell r="W21">
            <v>0</v>
          </cell>
          <cell r="X21">
            <v>56555</v>
          </cell>
          <cell r="Y21">
            <v>81284</v>
          </cell>
          <cell r="Z21">
            <v>97098</v>
          </cell>
          <cell r="AA21">
            <v>133869</v>
          </cell>
        </row>
        <row r="22">
          <cell r="A22">
            <v>1011904267</v>
          </cell>
          <cell r="B22" t="str">
            <v>JAVIER</v>
          </cell>
          <cell r="C22" t="str">
            <v>Ruben Ignacio</v>
          </cell>
          <cell r="D22" t="str">
            <v>Profesional SR.</v>
          </cell>
          <cell r="E22">
            <v>56</v>
          </cell>
          <cell r="F22">
            <v>3900</v>
          </cell>
          <cell r="G22">
            <v>0</v>
          </cell>
          <cell r="H22">
            <v>0</v>
          </cell>
          <cell r="I22">
            <v>0</v>
          </cell>
          <cell r="J22">
            <v>50700</v>
          </cell>
          <cell r="K22">
            <v>39279</v>
          </cell>
          <cell r="L22">
            <v>0</v>
          </cell>
          <cell r="M22">
            <v>39279</v>
          </cell>
          <cell r="N22" t="str">
            <v>Perú - Talara</v>
          </cell>
          <cell r="O22">
            <v>0.15</v>
          </cell>
          <cell r="P22">
            <v>7605</v>
          </cell>
          <cell r="Q22">
            <v>0</v>
          </cell>
          <cell r="R22">
            <v>0.4</v>
          </cell>
          <cell r="S22">
            <v>20280</v>
          </cell>
          <cell r="T22">
            <v>0</v>
          </cell>
          <cell r="U22">
            <v>27012</v>
          </cell>
          <cell r="V22">
            <v>0</v>
          </cell>
          <cell r="W22">
            <v>0</v>
          </cell>
          <cell r="X22">
            <v>54897</v>
          </cell>
          <cell r="Y22">
            <v>78210</v>
          </cell>
          <cell r="Z22">
            <v>94176</v>
          </cell>
          <cell r="AA22">
            <v>128910</v>
          </cell>
        </row>
        <row r="23">
          <cell r="A23">
            <v>1011741656</v>
          </cell>
          <cell r="B23" t="str">
            <v>LLOYD</v>
          </cell>
          <cell r="C23" t="str">
            <v>Roberto Daniel</v>
          </cell>
          <cell r="D23" t="str">
            <v>Profesional Principal</v>
          </cell>
          <cell r="E23">
            <v>57</v>
          </cell>
          <cell r="F23">
            <v>4850</v>
          </cell>
          <cell r="G23">
            <v>0</v>
          </cell>
          <cell r="H23">
            <v>3</v>
          </cell>
          <cell r="I23">
            <v>14550</v>
          </cell>
          <cell r="J23">
            <v>77600</v>
          </cell>
          <cell r="K23">
            <v>47974</v>
          </cell>
          <cell r="L23">
            <v>10116</v>
          </cell>
          <cell r="M23">
            <v>58090</v>
          </cell>
          <cell r="N23" t="str">
            <v>Perú - Talara</v>
          </cell>
          <cell r="O23">
            <v>0.15</v>
          </cell>
          <cell r="P23">
            <v>9458</v>
          </cell>
          <cell r="Q23">
            <v>2183</v>
          </cell>
          <cell r="R23">
            <v>0.4</v>
          </cell>
          <cell r="S23">
            <v>25220</v>
          </cell>
          <cell r="T23">
            <v>0</v>
          </cell>
          <cell r="U23">
            <v>38881</v>
          </cell>
          <cell r="V23">
            <v>0</v>
          </cell>
          <cell r="W23">
            <v>0</v>
          </cell>
          <cell r="X23">
            <v>75742</v>
          </cell>
          <cell r="Y23">
            <v>114315</v>
          </cell>
          <cell r="Z23">
            <v>133832</v>
          </cell>
          <cell r="AA23">
            <v>191915</v>
          </cell>
        </row>
        <row r="24">
          <cell r="A24">
            <v>1013708736</v>
          </cell>
          <cell r="B24" t="str">
            <v>LOPEZ</v>
          </cell>
          <cell r="C24" t="str">
            <v>Leandro Leslie</v>
          </cell>
          <cell r="D24" t="str">
            <v>Lider SR.</v>
          </cell>
          <cell r="E24">
            <v>55</v>
          </cell>
          <cell r="F24">
            <v>4400</v>
          </cell>
          <cell r="G24">
            <v>0</v>
          </cell>
          <cell r="H24">
            <v>0</v>
          </cell>
          <cell r="I24">
            <v>0</v>
          </cell>
          <cell r="J24">
            <v>57200</v>
          </cell>
          <cell r="K24">
            <v>43998</v>
          </cell>
          <cell r="L24">
            <v>0</v>
          </cell>
          <cell r="M24">
            <v>43998</v>
          </cell>
          <cell r="N24" t="str">
            <v>Perú - Talara</v>
          </cell>
          <cell r="O24">
            <v>0.15</v>
          </cell>
          <cell r="P24">
            <v>8580</v>
          </cell>
          <cell r="Q24">
            <v>0</v>
          </cell>
          <cell r="R24">
            <v>0.4</v>
          </cell>
          <cell r="S24">
            <v>22880</v>
          </cell>
          <cell r="T24">
            <v>0</v>
          </cell>
          <cell r="U24">
            <v>30738</v>
          </cell>
          <cell r="V24">
            <v>0</v>
          </cell>
          <cell r="W24">
            <v>0</v>
          </cell>
          <cell r="X24">
            <v>62198</v>
          </cell>
          <cell r="Y24">
            <v>89653</v>
          </cell>
          <cell r="Z24">
            <v>106196</v>
          </cell>
          <cell r="AA24">
            <v>146853</v>
          </cell>
        </row>
        <row r="25">
          <cell r="A25">
            <v>5013229616</v>
          </cell>
          <cell r="B25" t="str">
            <v>MC GREGOR</v>
          </cell>
          <cell r="C25" t="str">
            <v>Peter Malcolm</v>
          </cell>
          <cell r="D25" t="str">
            <v>Coord. Reservorio</v>
          </cell>
          <cell r="E25">
            <v>59</v>
          </cell>
          <cell r="F25">
            <v>7290</v>
          </cell>
          <cell r="G25">
            <v>0</v>
          </cell>
          <cell r="H25">
            <v>4.18</v>
          </cell>
          <cell r="I25">
            <v>30460</v>
          </cell>
          <cell r="J25">
            <v>125230</v>
          </cell>
          <cell r="K25">
            <v>70235</v>
          </cell>
          <cell r="L25">
            <v>20586</v>
          </cell>
          <cell r="M25">
            <v>90821</v>
          </cell>
          <cell r="N25" t="str">
            <v>Perú - Talara</v>
          </cell>
          <cell r="O25">
            <v>0.15</v>
          </cell>
          <cell r="P25">
            <v>9745</v>
          </cell>
          <cell r="Q25">
            <v>3134</v>
          </cell>
          <cell r="R25">
            <v>0.4</v>
          </cell>
          <cell r="S25">
            <v>26004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38883</v>
          </cell>
          <cell r="Y25">
            <v>60994</v>
          </cell>
          <cell r="Z25">
            <v>129704</v>
          </cell>
          <cell r="AA25">
            <v>186224</v>
          </cell>
        </row>
        <row r="26">
          <cell r="A26">
            <v>1016868207</v>
          </cell>
          <cell r="B26" t="str">
            <v>MUSRI</v>
          </cell>
          <cell r="C26" t="str">
            <v>Daniel Amado</v>
          </cell>
          <cell r="D26" t="str">
            <v>Gte. Reservorio</v>
          </cell>
          <cell r="E26">
            <v>60</v>
          </cell>
          <cell r="F26">
            <v>6790</v>
          </cell>
          <cell r="G26">
            <v>0</v>
          </cell>
          <cell r="H26">
            <v>4</v>
          </cell>
          <cell r="I26">
            <v>27160</v>
          </cell>
          <cell r="J26">
            <v>115430</v>
          </cell>
          <cell r="K26">
            <v>66068</v>
          </cell>
          <cell r="L26">
            <v>18465</v>
          </cell>
          <cell r="M26">
            <v>84533</v>
          </cell>
          <cell r="N26" t="str">
            <v>Ecuador - Quito</v>
          </cell>
          <cell r="O26">
            <v>0.15</v>
          </cell>
          <cell r="P26">
            <v>13241</v>
          </cell>
          <cell r="Q26">
            <v>4074</v>
          </cell>
          <cell r="R26">
            <v>0.15</v>
          </cell>
          <cell r="S26">
            <v>13241</v>
          </cell>
          <cell r="T26">
            <v>0</v>
          </cell>
          <cell r="U26">
            <v>38365</v>
          </cell>
          <cell r="V26">
            <v>0</v>
          </cell>
          <cell r="W26">
            <v>0</v>
          </cell>
          <cell r="X26">
            <v>68921</v>
          </cell>
          <cell r="Y26">
            <v>109274</v>
          </cell>
          <cell r="Z26">
            <v>153454</v>
          </cell>
          <cell r="AA26">
            <v>224704</v>
          </cell>
        </row>
        <row r="27">
          <cell r="A27">
            <v>1014122177</v>
          </cell>
          <cell r="B27" t="str">
            <v>PARDO</v>
          </cell>
          <cell r="C27" t="str">
            <v>Jorge Héctor</v>
          </cell>
          <cell r="D27" t="str">
            <v>Profesional Principal</v>
          </cell>
          <cell r="E27">
            <v>57</v>
          </cell>
          <cell r="F27">
            <v>4850</v>
          </cell>
          <cell r="G27">
            <v>0</v>
          </cell>
          <cell r="H27">
            <v>3</v>
          </cell>
          <cell r="I27">
            <v>14550</v>
          </cell>
          <cell r="J27">
            <v>77600</v>
          </cell>
          <cell r="K27">
            <v>47763</v>
          </cell>
          <cell r="L27">
            <v>10163</v>
          </cell>
          <cell r="M27">
            <v>57926</v>
          </cell>
          <cell r="N27" t="str">
            <v>Perú - Talara</v>
          </cell>
          <cell r="O27">
            <v>0.15</v>
          </cell>
          <cell r="P27">
            <v>9458</v>
          </cell>
          <cell r="Q27">
            <v>2183</v>
          </cell>
          <cell r="R27">
            <v>0.4</v>
          </cell>
          <cell r="S27">
            <v>25220</v>
          </cell>
          <cell r="T27">
            <v>0</v>
          </cell>
          <cell r="U27">
            <v>36660</v>
          </cell>
          <cell r="V27">
            <v>0</v>
          </cell>
          <cell r="W27">
            <v>0</v>
          </cell>
          <cell r="X27">
            <v>73521</v>
          </cell>
          <cell r="Y27">
            <v>110811</v>
          </cell>
          <cell r="Z27">
            <v>131447</v>
          </cell>
          <cell r="AA27">
            <v>188411</v>
          </cell>
        </row>
        <row r="28">
          <cell r="A28">
            <v>1008148229</v>
          </cell>
          <cell r="B28" t="str">
            <v>PIRAN</v>
          </cell>
          <cell r="C28" t="str">
            <v>Orlando Juan</v>
          </cell>
          <cell r="D28" t="str">
            <v>Gte. Gral.</v>
          </cell>
          <cell r="E28">
            <v>62</v>
          </cell>
          <cell r="F28">
            <v>14000</v>
          </cell>
          <cell r="G28">
            <v>1200</v>
          </cell>
          <cell r="H28">
            <v>7</v>
          </cell>
          <cell r="I28">
            <v>106400</v>
          </cell>
          <cell r="J28">
            <v>304000</v>
          </cell>
          <cell r="K28">
            <v>137634</v>
          </cell>
          <cell r="L28">
            <v>66571</v>
          </cell>
          <cell r="M28">
            <v>204205</v>
          </cell>
          <cell r="N28" t="str">
            <v>Ecuador - Quito</v>
          </cell>
          <cell r="O28">
            <v>0.15</v>
          </cell>
          <cell r="P28">
            <v>29640</v>
          </cell>
          <cell r="Q28">
            <v>15960</v>
          </cell>
          <cell r="R28">
            <v>0.15</v>
          </cell>
          <cell r="S28">
            <v>29640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75240</v>
          </cell>
          <cell r="Y28">
            <v>115754</v>
          </cell>
          <cell r="Z28">
            <v>279445</v>
          </cell>
          <cell r="AA28">
            <v>419754</v>
          </cell>
        </row>
        <row r="29">
          <cell r="A29">
            <v>1012495096</v>
          </cell>
          <cell r="B29" t="str">
            <v>TORRES</v>
          </cell>
          <cell r="C29" t="str">
            <v>Rodolfo</v>
          </cell>
          <cell r="D29" t="str">
            <v>Lider Equipo</v>
          </cell>
          <cell r="E29">
            <v>57</v>
          </cell>
          <cell r="F29">
            <v>5000</v>
          </cell>
          <cell r="G29">
            <v>0</v>
          </cell>
          <cell r="H29">
            <v>3</v>
          </cell>
          <cell r="I29">
            <v>15000</v>
          </cell>
          <cell r="J29">
            <v>80000</v>
          </cell>
          <cell r="K29">
            <v>49264</v>
          </cell>
          <cell r="L29">
            <v>10510</v>
          </cell>
          <cell r="M29">
            <v>59774</v>
          </cell>
          <cell r="N29" t="str">
            <v>Perú - Talara</v>
          </cell>
          <cell r="O29">
            <v>0.15</v>
          </cell>
          <cell r="P29">
            <v>9750</v>
          </cell>
          <cell r="Q29">
            <v>2250</v>
          </cell>
          <cell r="R29">
            <v>0.4</v>
          </cell>
          <cell r="S29">
            <v>26000</v>
          </cell>
          <cell r="T29">
            <v>0</v>
          </cell>
          <cell r="U29">
            <v>37243</v>
          </cell>
          <cell r="V29">
            <v>0</v>
          </cell>
          <cell r="W29">
            <v>0</v>
          </cell>
          <cell r="X29">
            <v>75243</v>
          </cell>
          <cell r="Y29">
            <v>113903</v>
          </cell>
          <cell r="Z29">
            <v>135017</v>
          </cell>
          <cell r="AA29">
            <v>193903</v>
          </cell>
        </row>
        <row r="30">
          <cell r="A30">
            <v>4009804911</v>
          </cell>
          <cell r="B30" t="str">
            <v>LAMANNA</v>
          </cell>
          <cell r="C30" t="str">
            <v>Darío</v>
          </cell>
          <cell r="D30" t="str">
            <v>Abogado  Sr</v>
          </cell>
          <cell r="E30">
            <v>0</v>
          </cell>
          <cell r="F30">
            <v>4600</v>
          </cell>
          <cell r="G30">
            <v>0</v>
          </cell>
          <cell r="H30">
            <v>2</v>
          </cell>
          <cell r="I30">
            <v>9200</v>
          </cell>
          <cell r="J30">
            <v>69000</v>
          </cell>
          <cell r="K30">
            <v>45178</v>
          </cell>
          <cell r="L30">
            <v>7058</v>
          </cell>
          <cell r="M30">
            <v>52236</v>
          </cell>
          <cell r="N30" t="str">
            <v>Ecuador - Quito</v>
          </cell>
          <cell r="O30">
            <v>0.15</v>
          </cell>
          <cell r="P30">
            <v>8970</v>
          </cell>
          <cell r="Q30">
            <v>1380</v>
          </cell>
          <cell r="R30">
            <v>0.15</v>
          </cell>
          <cell r="S30">
            <v>8970</v>
          </cell>
          <cell r="T30">
            <v>0</v>
          </cell>
          <cell r="U30">
            <v>25145</v>
          </cell>
          <cell r="V30">
            <v>0</v>
          </cell>
          <cell r="W30">
            <v>0</v>
          </cell>
          <cell r="X30">
            <v>44465</v>
          </cell>
          <cell r="Y30">
            <v>64069</v>
          </cell>
          <cell r="Z30">
            <v>96701</v>
          </cell>
          <cell r="AA30">
            <v>133069</v>
          </cell>
        </row>
        <row r="31">
          <cell r="A31">
            <v>1013564008</v>
          </cell>
          <cell r="B31" t="str">
            <v>ELVAS</v>
          </cell>
          <cell r="C31" t="str">
            <v>Marcelo Ricardo</v>
          </cell>
          <cell r="D31" t="str">
            <v>Grte. Yacimiento SR</v>
          </cell>
          <cell r="E31">
            <v>60</v>
          </cell>
          <cell r="F31">
            <v>9326</v>
          </cell>
          <cell r="G31">
            <v>0</v>
          </cell>
          <cell r="H31">
            <v>5</v>
          </cell>
          <cell r="I31">
            <v>46630</v>
          </cell>
          <cell r="J31">
            <v>167868</v>
          </cell>
          <cell r="K31">
            <v>88541</v>
          </cell>
          <cell r="L31">
            <v>29553</v>
          </cell>
          <cell r="M31">
            <v>118094</v>
          </cell>
          <cell r="N31" t="str">
            <v>Venezuela - Maracaibo</v>
          </cell>
          <cell r="O31">
            <v>0.15</v>
          </cell>
          <cell r="P31">
            <v>18186</v>
          </cell>
          <cell r="Q31">
            <v>6995</v>
          </cell>
          <cell r="R31">
            <v>0.2</v>
          </cell>
          <cell r="S31">
            <v>24248</v>
          </cell>
          <cell r="T31">
            <v>0</v>
          </cell>
          <cell r="U31">
            <v>35538</v>
          </cell>
          <cell r="V31">
            <v>5344</v>
          </cell>
          <cell r="W31">
            <v>0</v>
          </cell>
          <cell r="X31">
            <v>90311</v>
          </cell>
          <cell r="Y31">
            <v>142594</v>
          </cell>
          <cell r="Z31">
            <v>208405</v>
          </cell>
          <cell r="AA31">
            <v>310462</v>
          </cell>
        </row>
        <row r="32">
          <cell r="A32">
            <v>1007615145</v>
          </cell>
          <cell r="B32" t="str">
            <v>URRIJOLA</v>
          </cell>
          <cell r="C32" t="str">
            <v>Ruben Rogelio</v>
          </cell>
          <cell r="D32" t="str">
            <v>Jefe Produccion SR.</v>
          </cell>
          <cell r="E32">
            <v>58</v>
          </cell>
          <cell r="F32">
            <v>6930</v>
          </cell>
          <cell r="G32">
            <v>0</v>
          </cell>
          <cell r="H32">
            <v>3.92</v>
          </cell>
          <cell r="I32">
            <v>27147</v>
          </cell>
          <cell r="J32">
            <v>117237</v>
          </cell>
          <cell r="K32">
            <v>67397</v>
          </cell>
          <cell r="L32">
            <v>18383</v>
          </cell>
          <cell r="M32">
            <v>85780</v>
          </cell>
          <cell r="N32" t="str">
            <v>Venezuela - El Tigre</v>
          </cell>
          <cell r="O32">
            <v>0.15</v>
          </cell>
          <cell r="P32">
            <v>13514</v>
          </cell>
          <cell r="Q32">
            <v>4072</v>
          </cell>
          <cell r="R32">
            <v>0.15</v>
          </cell>
          <cell r="S32">
            <v>13514</v>
          </cell>
          <cell r="T32">
            <v>0</v>
          </cell>
          <cell r="U32">
            <v>3566</v>
          </cell>
          <cell r="V32">
            <v>7233</v>
          </cell>
          <cell r="W32">
            <v>0</v>
          </cell>
          <cell r="X32">
            <v>41899</v>
          </cell>
          <cell r="Y32">
            <v>65377</v>
          </cell>
          <cell r="Z32">
            <v>127679</v>
          </cell>
          <cell r="AA32">
            <v>182614</v>
          </cell>
        </row>
        <row r="33">
          <cell r="A33">
            <v>1008311034</v>
          </cell>
          <cell r="B33" t="str">
            <v>IANNACI</v>
          </cell>
          <cell r="C33" t="str">
            <v>Nestor</v>
          </cell>
          <cell r="D33" t="str">
            <v>Gte. Comp. Y Contr.</v>
          </cell>
          <cell r="E33">
            <v>58</v>
          </cell>
          <cell r="F33">
            <v>6221</v>
          </cell>
          <cell r="G33">
            <v>0</v>
          </cell>
          <cell r="H33">
            <v>2</v>
          </cell>
          <cell r="I33">
            <v>12442</v>
          </cell>
          <cell r="J33">
            <v>93315</v>
          </cell>
          <cell r="K33">
            <v>60117</v>
          </cell>
          <cell r="L33">
            <v>9249</v>
          </cell>
          <cell r="M33">
            <v>69366</v>
          </cell>
          <cell r="N33" t="str">
            <v>Venezuela - Caracas</v>
          </cell>
          <cell r="O33">
            <v>0.15</v>
          </cell>
          <cell r="P33">
            <v>12131</v>
          </cell>
          <cell r="Q33">
            <v>1866</v>
          </cell>
          <cell r="R33">
            <v>0.05</v>
          </cell>
          <cell r="S33">
            <v>4044</v>
          </cell>
          <cell r="T33">
            <v>0</v>
          </cell>
          <cell r="U33">
            <v>26739</v>
          </cell>
          <cell r="V33">
            <v>15171</v>
          </cell>
          <cell r="W33">
            <v>0</v>
          </cell>
          <cell r="X33">
            <v>59951</v>
          </cell>
          <cell r="Y33">
            <v>92149</v>
          </cell>
          <cell r="Z33">
            <v>129317</v>
          </cell>
          <cell r="AA33">
            <v>185464</v>
          </cell>
        </row>
        <row r="34">
          <cell r="A34">
            <v>1012638017</v>
          </cell>
          <cell r="B34" t="str">
            <v>ROSA</v>
          </cell>
          <cell r="C34" t="str">
            <v>Pablo</v>
          </cell>
          <cell r="D34" t="str">
            <v>BIO</v>
          </cell>
          <cell r="E34">
            <v>57</v>
          </cell>
          <cell r="F34">
            <v>5967</v>
          </cell>
          <cell r="G34">
            <v>0</v>
          </cell>
          <cell r="H34">
            <v>2</v>
          </cell>
          <cell r="I34">
            <v>11934</v>
          </cell>
          <cell r="J34">
            <v>89505</v>
          </cell>
          <cell r="K34">
            <v>57739</v>
          </cell>
          <cell r="L34">
            <v>9038</v>
          </cell>
          <cell r="M34">
            <v>66777</v>
          </cell>
          <cell r="N34" t="str">
            <v>Venezuela - Caracas</v>
          </cell>
          <cell r="O34">
            <v>0.15</v>
          </cell>
          <cell r="P34">
            <v>11636</v>
          </cell>
          <cell r="Q34">
            <v>1790</v>
          </cell>
          <cell r="R34">
            <v>0.05</v>
          </cell>
          <cell r="S34">
            <v>3879</v>
          </cell>
          <cell r="T34">
            <v>0</v>
          </cell>
          <cell r="U34">
            <v>27876</v>
          </cell>
          <cell r="V34">
            <v>14280</v>
          </cell>
          <cell r="W34">
            <v>0</v>
          </cell>
          <cell r="X34">
            <v>59461</v>
          </cell>
          <cell r="Y34">
            <v>91057</v>
          </cell>
          <cell r="Z34">
            <v>126238</v>
          </cell>
          <cell r="AA34">
            <v>180562</v>
          </cell>
        </row>
        <row r="35">
          <cell r="A35">
            <v>1006392188</v>
          </cell>
          <cell r="B35" t="str">
            <v>AHUMADA</v>
          </cell>
          <cell r="C35" t="str">
            <v>Alberto Ricardo</v>
          </cell>
          <cell r="D35" t="str">
            <v>Supervisor Principal</v>
          </cell>
          <cell r="E35">
            <v>55</v>
          </cell>
          <cell r="F35">
            <v>3794</v>
          </cell>
          <cell r="G35">
            <v>0</v>
          </cell>
          <cell r="H35">
            <v>0</v>
          </cell>
          <cell r="I35">
            <v>0</v>
          </cell>
          <cell r="J35">
            <v>49322</v>
          </cell>
          <cell r="K35">
            <v>38004</v>
          </cell>
          <cell r="L35">
            <v>0</v>
          </cell>
          <cell r="M35">
            <v>38004</v>
          </cell>
          <cell r="N35" t="str">
            <v>Venezuela - Maracaibo</v>
          </cell>
          <cell r="O35">
            <v>0.15</v>
          </cell>
          <cell r="P35">
            <v>7398</v>
          </cell>
          <cell r="Q35">
            <v>0</v>
          </cell>
          <cell r="R35">
            <v>0.2</v>
          </cell>
          <cell r="S35">
            <v>9864</v>
          </cell>
          <cell r="T35">
            <v>0</v>
          </cell>
          <cell r="U35">
            <v>4964</v>
          </cell>
          <cell r="V35">
            <v>2977</v>
          </cell>
          <cell r="W35">
            <v>0</v>
          </cell>
          <cell r="X35">
            <v>25203</v>
          </cell>
          <cell r="Y35">
            <v>35820</v>
          </cell>
          <cell r="Z35">
            <v>63207</v>
          </cell>
          <cell r="AA35">
            <v>85142</v>
          </cell>
        </row>
        <row r="36">
          <cell r="A36">
            <v>1013035789</v>
          </cell>
          <cell r="B36" t="str">
            <v>BARBUGLI</v>
          </cell>
          <cell r="C36" t="str">
            <v>Jorge Alberto</v>
          </cell>
          <cell r="D36" t="str">
            <v>Profesional Principal</v>
          </cell>
          <cell r="E36">
            <v>57</v>
          </cell>
          <cell r="F36">
            <v>4925</v>
          </cell>
          <cell r="G36">
            <v>0</v>
          </cell>
          <cell r="H36">
            <v>2.98</v>
          </cell>
          <cell r="I36">
            <v>14701</v>
          </cell>
          <cell r="J36">
            <v>78726</v>
          </cell>
          <cell r="K36">
            <v>48302</v>
          </cell>
          <cell r="L36">
            <v>10326</v>
          </cell>
          <cell r="M36">
            <v>58628</v>
          </cell>
          <cell r="N36" t="str">
            <v>Venezuela - Maracaibo</v>
          </cell>
          <cell r="O36">
            <v>0.15</v>
          </cell>
          <cell r="P36">
            <v>9604</v>
          </cell>
          <cell r="Q36">
            <v>2205</v>
          </cell>
          <cell r="R36">
            <v>0.2</v>
          </cell>
          <cell r="S36">
            <v>12805</v>
          </cell>
          <cell r="T36">
            <v>0</v>
          </cell>
          <cell r="U36">
            <v>5752</v>
          </cell>
          <cell r="V36">
            <v>1037</v>
          </cell>
          <cell r="W36">
            <v>0</v>
          </cell>
          <cell r="X36">
            <v>31403</v>
          </cell>
          <cell r="Y36">
            <v>44901</v>
          </cell>
          <cell r="Z36">
            <v>90031</v>
          </cell>
          <cell r="AA36">
            <v>123627</v>
          </cell>
        </row>
        <row r="37">
          <cell r="A37">
            <v>1017472934</v>
          </cell>
          <cell r="B37" t="str">
            <v>LAPEGNA</v>
          </cell>
          <cell r="C37" t="str">
            <v>Daniel Alberto</v>
          </cell>
          <cell r="D37" t="str">
            <v>Lider de Convenios</v>
          </cell>
          <cell r="E37">
            <v>57</v>
          </cell>
          <cell r="F37">
            <v>5120</v>
          </cell>
          <cell r="G37">
            <v>0</v>
          </cell>
          <cell r="H37">
            <v>2.5</v>
          </cell>
          <cell r="I37">
            <v>12800</v>
          </cell>
          <cell r="J37">
            <v>79360</v>
          </cell>
          <cell r="K37">
            <v>50043</v>
          </cell>
          <cell r="L37">
            <v>8909</v>
          </cell>
          <cell r="M37">
            <v>58952</v>
          </cell>
          <cell r="N37" t="str">
            <v>Venezuela - Caracas</v>
          </cell>
          <cell r="O37">
            <v>0.15</v>
          </cell>
          <cell r="P37">
            <v>9984</v>
          </cell>
          <cell r="Q37">
            <v>1920</v>
          </cell>
          <cell r="R37">
            <v>0.05</v>
          </cell>
          <cell r="S37">
            <v>3328</v>
          </cell>
          <cell r="T37">
            <v>0</v>
          </cell>
          <cell r="U37">
            <v>26409</v>
          </cell>
          <cell r="V37">
            <v>9177</v>
          </cell>
          <cell r="W37">
            <v>0</v>
          </cell>
          <cell r="X37">
            <v>50818</v>
          </cell>
          <cell r="Y37">
            <v>76031</v>
          </cell>
          <cell r="Z37">
            <v>109770</v>
          </cell>
          <cell r="AA37">
            <v>155391</v>
          </cell>
        </row>
        <row r="38">
          <cell r="A38">
            <v>1010528765</v>
          </cell>
          <cell r="B38" t="str">
            <v>HERRERA</v>
          </cell>
          <cell r="C38" t="str">
            <v>José Luis</v>
          </cell>
          <cell r="D38" t="str">
            <v>LiderContrat Obr y Serv</v>
          </cell>
          <cell r="E38">
            <v>56</v>
          </cell>
          <cell r="F38">
            <v>4500</v>
          </cell>
          <cell r="G38">
            <v>0</v>
          </cell>
          <cell r="H38">
            <v>0</v>
          </cell>
          <cell r="I38">
            <v>0</v>
          </cell>
          <cell r="J38">
            <v>58500</v>
          </cell>
          <cell r="K38">
            <v>44347</v>
          </cell>
          <cell r="L38">
            <v>0</v>
          </cell>
          <cell r="M38">
            <v>44347</v>
          </cell>
          <cell r="N38" t="str">
            <v>Venezuela - Caracas</v>
          </cell>
          <cell r="O38">
            <v>0.15</v>
          </cell>
          <cell r="P38">
            <v>8775</v>
          </cell>
          <cell r="Q38">
            <v>0</v>
          </cell>
          <cell r="R38">
            <v>0.05</v>
          </cell>
          <cell r="S38">
            <v>2925</v>
          </cell>
          <cell r="T38">
            <v>0</v>
          </cell>
          <cell r="U38">
            <v>5424</v>
          </cell>
          <cell r="V38">
            <v>7037</v>
          </cell>
          <cell r="W38">
            <v>0</v>
          </cell>
          <cell r="X38">
            <v>24161</v>
          </cell>
          <cell r="Y38">
            <v>33640</v>
          </cell>
          <cell r="Z38">
            <v>68508</v>
          </cell>
          <cell r="AA38">
            <v>92140</v>
          </cell>
        </row>
        <row r="39">
          <cell r="A39">
            <v>1012593155</v>
          </cell>
          <cell r="B39" t="str">
            <v>MERCADO</v>
          </cell>
          <cell r="C39" t="str">
            <v>Horacio Manuel</v>
          </cell>
          <cell r="D39" t="str">
            <v>Supervisor Principal</v>
          </cell>
          <cell r="E39">
            <v>55</v>
          </cell>
          <cell r="F39">
            <v>3900</v>
          </cell>
          <cell r="G39">
            <v>0</v>
          </cell>
          <cell r="H39">
            <v>0</v>
          </cell>
          <cell r="I39">
            <v>0</v>
          </cell>
          <cell r="J39">
            <v>50700</v>
          </cell>
          <cell r="K39">
            <v>39454</v>
          </cell>
          <cell r="L39">
            <v>0</v>
          </cell>
          <cell r="M39">
            <v>39454</v>
          </cell>
          <cell r="N39" t="str">
            <v>Venezuela - Maracaibo</v>
          </cell>
          <cell r="O39">
            <v>0.15</v>
          </cell>
          <cell r="P39">
            <v>7605</v>
          </cell>
          <cell r="Q39">
            <v>0</v>
          </cell>
          <cell r="R39">
            <v>0.2</v>
          </cell>
          <cell r="S39">
            <v>10140</v>
          </cell>
          <cell r="T39">
            <v>0</v>
          </cell>
          <cell r="U39">
            <v>5684</v>
          </cell>
          <cell r="V39">
            <v>2124</v>
          </cell>
          <cell r="W39">
            <v>0</v>
          </cell>
          <cell r="X39">
            <v>25553</v>
          </cell>
          <cell r="Y39">
            <v>36116</v>
          </cell>
          <cell r="Z39">
            <v>65007</v>
          </cell>
          <cell r="AA39">
            <v>86816</v>
          </cell>
        </row>
        <row r="40">
          <cell r="A40">
            <v>1011355230</v>
          </cell>
          <cell r="B40" t="str">
            <v>MOHANNA</v>
          </cell>
          <cell r="C40" t="str">
            <v>Julio César</v>
          </cell>
          <cell r="D40" t="str">
            <v>Supervisor Principal</v>
          </cell>
          <cell r="E40">
            <v>55</v>
          </cell>
          <cell r="F40">
            <v>3429</v>
          </cell>
          <cell r="G40">
            <v>0</v>
          </cell>
          <cell r="H40">
            <v>0</v>
          </cell>
          <cell r="I40">
            <v>0</v>
          </cell>
          <cell r="J40">
            <v>44577</v>
          </cell>
          <cell r="K40">
            <v>35485</v>
          </cell>
          <cell r="L40">
            <v>0</v>
          </cell>
          <cell r="M40">
            <v>35485</v>
          </cell>
          <cell r="N40" t="str">
            <v>Venezuela - Maracaibo</v>
          </cell>
          <cell r="O40">
            <v>0.15</v>
          </cell>
          <cell r="P40">
            <v>6687</v>
          </cell>
          <cell r="Q40">
            <v>0</v>
          </cell>
          <cell r="R40">
            <v>0.2</v>
          </cell>
          <cell r="S40">
            <v>8915</v>
          </cell>
          <cell r="T40">
            <v>0</v>
          </cell>
          <cell r="U40">
            <v>15395</v>
          </cell>
          <cell r="V40">
            <v>1331</v>
          </cell>
          <cell r="W40">
            <v>0</v>
          </cell>
          <cell r="X40">
            <v>32328</v>
          </cell>
          <cell r="Y40">
            <v>45864</v>
          </cell>
          <cell r="Z40">
            <v>67813</v>
          </cell>
          <cell r="AA40">
            <v>90441</v>
          </cell>
        </row>
        <row r="41">
          <cell r="A41">
            <v>1010670880</v>
          </cell>
          <cell r="B41" t="str">
            <v>MONACO</v>
          </cell>
          <cell r="C41" t="str">
            <v>Daniel Hugo</v>
          </cell>
          <cell r="D41" t="str">
            <v>Jefe Produccion SR.</v>
          </cell>
          <cell r="E41">
            <v>58</v>
          </cell>
          <cell r="F41">
            <v>5500</v>
          </cell>
          <cell r="G41">
            <v>0</v>
          </cell>
          <cell r="H41">
            <v>3</v>
          </cell>
          <cell r="I41">
            <v>16500</v>
          </cell>
          <cell r="J41">
            <v>88000</v>
          </cell>
          <cell r="K41">
            <v>53847</v>
          </cell>
          <cell r="L41">
            <v>11639</v>
          </cell>
          <cell r="M41">
            <v>65486</v>
          </cell>
          <cell r="N41" t="str">
            <v>Venezuela - Maracaibo</v>
          </cell>
          <cell r="O41">
            <v>0.15</v>
          </cell>
          <cell r="P41">
            <v>10725</v>
          </cell>
          <cell r="Q41">
            <v>2475</v>
          </cell>
          <cell r="R41">
            <v>0.2</v>
          </cell>
          <cell r="S41">
            <v>14300</v>
          </cell>
          <cell r="T41">
            <v>0</v>
          </cell>
          <cell r="U41">
            <v>21404</v>
          </cell>
          <cell r="V41">
            <v>2383</v>
          </cell>
          <cell r="W41">
            <v>0</v>
          </cell>
          <cell r="X41">
            <v>51287</v>
          </cell>
          <cell r="Y41">
            <v>78165</v>
          </cell>
          <cell r="Z41">
            <v>116773</v>
          </cell>
          <cell r="AA41">
            <v>166165</v>
          </cell>
        </row>
        <row r="42">
          <cell r="A42">
            <v>1011845932</v>
          </cell>
          <cell r="B42" t="str">
            <v>PARON</v>
          </cell>
          <cell r="C42" t="str">
            <v>Roberto Anibal</v>
          </cell>
          <cell r="D42" t="str">
            <v>Gte. De yacimiento</v>
          </cell>
          <cell r="E42">
            <v>59</v>
          </cell>
          <cell r="F42">
            <v>7570</v>
          </cell>
          <cell r="G42">
            <v>0</v>
          </cell>
          <cell r="H42">
            <v>4</v>
          </cell>
          <cell r="I42">
            <v>30280</v>
          </cell>
          <cell r="J42">
            <v>128690</v>
          </cell>
          <cell r="K42">
            <v>73471</v>
          </cell>
          <cell r="L42">
            <v>20212</v>
          </cell>
          <cell r="M42">
            <v>93683</v>
          </cell>
          <cell r="N42" t="str">
            <v>Venezuela - Maracaibo</v>
          </cell>
          <cell r="O42">
            <v>0.15</v>
          </cell>
          <cell r="P42">
            <v>14762</v>
          </cell>
          <cell r="Q42">
            <v>4542</v>
          </cell>
          <cell r="R42">
            <v>0.2</v>
          </cell>
          <cell r="S42">
            <v>19682</v>
          </cell>
          <cell r="T42">
            <v>0</v>
          </cell>
          <cell r="U42">
            <v>6804</v>
          </cell>
          <cell r="V42">
            <v>2161</v>
          </cell>
          <cell r="W42">
            <v>0</v>
          </cell>
          <cell r="X42">
            <v>47951</v>
          </cell>
          <cell r="Y42">
            <v>75393</v>
          </cell>
          <cell r="Z42">
            <v>141634</v>
          </cell>
          <cell r="AA42">
            <v>204083</v>
          </cell>
        </row>
        <row r="43">
          <cell r="A43">
            <v>1018080721</v>
          </cell>
          <cell r="B43" t="str">
            <v>PERALTA</v>
          </cell>
          <cell r="C43" t="str">
            <v>Enrique Alfredo</v>
          </cell>
          <cell r="D43" t="str">
            <v>Profesional SR.</v>
          </cell>
          <cell r="E43">
            <v>56</v>
          </cell>
          <cell r="F43">
            <v>3400</v>
          </cell>
          <cell r="G43">
            <v>0</v>
          </cell>
          <cell r="H43">
            <v>2</v>
          </cell>
          <cell r="I43">
            <v>6800</v>
          </cell>
          <cell r="J43">
            <v>51000</v>
          </cell>
          <cell r="K43">
            <v>34788</v>
          </cell>
          <cell r="L43">
            <v>5088</v>
          </cell>
          <cell r="M43">
            <v>39876</v>
          </cell>
          <cell r="N43" t="str">
            <v>Venezuela - Caracas</v>
          </cell>
          <cell r="O43">
            <v>0.15</v>
          </cell>
          <cell r="P43">
            <v>6630</v>
          </cell>
          <cell r="Q43">
            <v>1020</v>
          </cell>
          <cell r="R43">
            <v>0.05</v>
          </cell>
          <cell r="S43">
            <v>2210</v>
          </cell>
          <cell r="T43">
            <v>0</v>
          </cell>
          <cell r="U43">
            <v>18825</v>
          </cell>
          <cell r="V43">
            <v>7128</v>
          </cell>
          <cell r="W43">
            <v>0</v>
          </cell>
          <cell r="X43">
            <v>35813</v>
          </cell>
          <cell r="Y43">
            <v>52688</v>
          </cell>
          <cell r="Z43">
            <v>75689</v>
          </cell>
          <cell r="AA43">
            <v>103688</v>
          </cell>
        </row>
        <row r="44">
          <cell r="A44">
            <v>1093519062</v>
          </cell>
          <cell r="B44" t="str">
            <v>REATEGUI SORIA</v>
          </cell>
          <cell r="C44" t="str">
            <v>Artemio</v>
          </cell>
          <cell r="D44" t="str">
            <v>Profesional Principal</v>
          </cell>
          <cell r="E44">
            <v>57</v>
          </cell>
          <cell r="F44">
            <v>5035</v>
          </cell>
          <cell r="G44">
            <v>0</v>
          </cell>
          <cell r="H44">
            <v>2.94</v>
          </cell>
          <cell r="I44">
            <v>14827</v>
          </cell>
          <cell r="J44">
            <v>80282</v>
          </cell>
          <cell r="K44">
            <v>49403</v>
          </cell>
          <cell r="L44">
            <v>10424</v>
          </cell>
          <cell r="M44">
            <v>59827</v>
          </cell>
          <cell r="N44" t="str">
            <v>Venezuela - Maracaibo</v>
          </cell>
          <cell r="O44">
            <v>0.15</v>
          </cell>
          <cell r="P44">
            <v>9818</v>
          </cell>
          <cell r="Q44">
            <v>2224</v>
          </cell>
          <cell r="R44">
            <v>0.2</v>
          </cell>
          <cell r="S44">
            <v>13091</v>
          </cell>
          <cell r="T44">
            <v>0</v>
          </cell>
          <cell r="U44">
            <v>5767</v>
          </cell>
          <cell r="V44">
            <v>1259</v>
          </cell>
          <cell r="W44">
            <v>0</v>
          </cell>
          <cell r="X44">
            <v>32159</v>
          </cell>
          <cell r="Y44">
            <v>46178</v>
          </cell>
          <cell r="Z44">
            <v>91986</v>
          </cell>
          <cell r="AA44">
            <v>126460</v>
          </cell>
        </row>
        <row r="45">
          <cell r="A45">
            <v>1013333465</v>
          </cell>
          <cell r="B45" t="str">
            <v>RECCHIA</v>
          </cell>
          <cell r="C45" t="str">
            <v>Marcelo</v>
          </cell>
          <cell r="D45" t="str">
            <v>Gte. Rel. Extern</v>
          </cell>
          <cell r="E45">
            <v>61</v>
          </cell>
          <cell r="F45">
            <v>11000</v>
          </cell>
          <cell r="G45">
            <v>0</v>
          </cell>
          <cell r="H45">
            <v>5</v>
          </cell>
          <cell r="I45">
            <v>55000</v>
          </cell>
          <cell r="J45">
            <v>198000</v>
          </cell>
          <cell r="K45">
            <v>101823</v>
          </cell>
          <cell r="L45">
            <v>35750</v>
          </cell>
          <cell r="M45">
            <v>137573</v>
          </cell>
          <cell r="N45" t="str">
            <v>Venezuela - Caracas</v>
          </cell>
          <cell r="O45">
            <v>0.15</v>
          </cell>
          <cell r="P45">
            <v>21450</v>
          </cell>
          <cell r="Q45">
            <v>8250</v>
          </cell>
          <cell r="R45">
            <v>0.05</v>
          </cell>
          <cell r="S45">
            <v>7150</v>
          </cell>
          <cell r="T45">
            <v>0</v>
          </cell>
          <cell r="U45">
            <v>49088</v>
          </cell>
          <cell r="V45">
            <v>19112</v>
          </cell>
          <cell r="W45">
            <v>0</v>
          </cell>
          <cell r="X45">
            <v>105050</v>
          </cell>
          <cell r="Y45">
            <v>165105</v>
          </cell>
          <cell r="Z45">
            <v>242623</v>
          </cell>
          <cell r="AA45">
            <v>363105</v>
          </cell>
        </row>
        <row r="46">
          <cell r="A46">
            <v>1008318885</v>
          </cell>
          <cell r="B46" t="str">
            <v>AMOROSO</v>
          </cell>
          <cell r="C46" t="str">
            <v>Juan Carlos</v>
          </cell>
          <cell r="D46" t="str">
            <v>Gte. Areas de Produc</v>
          </cell>
          <cell r="E46">
            <v>61</v>
          </cell>
          <cell r="F46">
            <v>11500</v>
          </cell>
          <cell r="G46">
            <v>0</v>
          </cell>
          <cell r="H46">
            <v>5</v>
          </cell>
          <cell r="I46">
            <v>57500</v>
          </cell>
          <cell r="J46">
            <v>207000</v>
          </cell>
          <cell r="K46">
            <v>106476</v>
          </cell>
          <cell r="L46">
            <v>35578</v>
          </cell>
          <cell r="M46">
            <v>142054</v>
          </cell>
          <cell r="N46" t="str">
            <v>Ecuador - Quito</v>
          </cell>
          <cell r="O46">
            <v>0.15</v>
          </cell>
          <cell r="P46">
            <v>22425</v>
          </cell>
          <cell r="Q46">
            <v>8625</v>
          </cell>
          <cell r="R46">
            <v>0.15</v>
          </cell>
          <cell r="S46">
            <v>22425</v>
          </cell>
          <cell r="T46">
            <v>0</v>
          </cell>
          <cell r="U46">
            <v>53330</v>
          </cell>
          <cell r="V46">
            <v>14250</v>
          </cell>
          <cell r="W46">
            <v>0</v>
          </cell>
          <cell r="X46">
            <v>121055</v>
          </cell>
          <cell r="Y46">
            <v>187622</v>
          </cell>
          <cell r="Z46">
            <v>263109</v>
          </cell>
          <cell r="AA46">
            <v>394622</v>
          </cell>
        </row>
        <row r="47">
          <cell r="A47">
            <v>1012057492</v>
          </cell>
          <cell r="B47" t="str">
            <v>CORFIELD</v>
          </cell>
          <cell r="C47" t="str">
            <v>Ricardo J.</v>
          </cell>
          <cell r="D47" t="str">
            <v>Jefe Produccion SR.</v>
          </cell>
          <cell r="E47">
            <v>58</v>
          </cell>
          <cell r="F47">
            <v>7341</v>
          </cell>
          <cell r="G47">
            <v>0</v>
          </cell>
          <cell r="H47">
            <v>4.09</v>
          </cell>
          <cell r="I47">
            <v>30000</v>
          </cell>
          <cell r="J47">
            <v>125433</v>
          </cell>
          <cell r="K47">
            <v>70334</v>
          </cell>
          <cell r="L47">
            <v>20311</v>
          </cell>
          <cell r="M47">
            <v>90645</v>
          </cell>
          <cell r="N47" t="str">
            <v>Venezuela - El Tigre</v>
          </cell>
          <cell r="O47">
            <v>0.15</v>
          </cell>
          <cell r="P47">
            <v>14315</v>
          </cell>
          <cell r="Q47">
            <v>4500</v>
          </cell>
          <cell r="R47">
            <v>0.15</v>
          </cell>
          <cell r="S47">
            <v>14315</v>
          </cell>
          <cell r="T47">
            <v>0</v>
          </cell>
          <cell r="U47">
            <v>16859</v>
          </cell>
          <cell r="V47">
            <v>9241</v>
          </cell>
          <cell r="W47">
            <v>0</v>
          </cell>
          <cell r="X47">
            <v>59230</v>
          </cell>
          <cell r="Y47">
            <v>92153</v>
          </cell>
          <cell r="Z47">
            <v>149875</v>
          </cell>
          <cell r="AA47">
            <v>217586</v>
          </cell>
        </row>
        <row r="48">
          <cell r="A48">
            <v>1017144927</v>
          </cell>
          <cell r="B48" t="str">
            <v>DI PIERRO</v>
          </cell>
          <cell r="C48" t="str">
            <v>Esteban</v>
          </cell>
          <cell r="D48" t="str">
            <v>Profesional SR.</v>
          </cell>
          <cell r="E48">
            <v>56</v>
          </cell>
          <cell r="F48">
            <v>3884</v>
          </cell>
          <cell r="G48">
            <v>0</v>
          </cell>
          <cell r="H48">
            <v>2.83</v>
          </cell>
          <cell r="I48">
            <v>11000</v>
          </cell>
          <cell r="J48">
            <v>61492</v>
          </cell>
          <cell r="K48">
            <v>38793</v>
          </cell>
          <cell r="L48">
            <v>8578</v>
          </cell>
          <cell r="M48">
            <v>47371</v>
          </cell>
          <cell r="N48" t="str">
            <v>Venezuela - Caracas</v>
          </cell>
          <cell r="O48">
            <v>0.15</v>
          </cell>
          <cell r="P48">
            <v>7574</v>
          </cell>
          <cell r="Q48">
            <v>1650</v>
          </cell>
          <cell r="R48">
            <v>0.05</v>
          </cell>
          <cell r="S48">
            <v>2525</v>
          </cell>
          <cell r="T48">
            <v>0</v>
          </cell>
          <cell r="U48">
            <v>5083</v>
          </cell>
          <cell r="V48">
            <v>7193</v>
          </cell>
          <cell r="W48">
            <v>0</v>
          </cell>
          <cell r="X48">
            <v>24025</v>
          </cell>
          <cell r="Y48">
            <v>34868</v>
          </cell>
          <cell r="Z48">
            <v>71396</v>
          </cell>
          <cell r="AA48">
            <v>96360</v>
          </cell>
        </row>
        <row r="49">
          <cell r="A49">
            <v>1011303322</v>
          </cell>
          <cell r="B49" t="str">
            <v>GIONGO</v>
          </cell>
          <cell r="C49" t="str">
            <v>Luis</v>
          </cell>
          <cell r="D49" t="str">
            <v>Supervisor Principal</v>
          </cell>
          <cell r="E49">
            <v>55</v>
          </cell>
          <cell r="F49">
            <v>4615</v>
          </cell>
          <cell r="G49">
            <v>0</v>
          </cell>
          <cell r="H49">
            <v>0</v>
          </cell>
          <cell r="I49">
            <v>0</v>
          </cell>
          <cell r="J49">
            <v>59995</v>
          </cell>
          <cell r="K49">
            <v>44665</v>
          </cell>
          <cell r="L49">
            <v>0</v>
          </cell>
          <cell r="M49">
            <v>44665</v>
          </cell>
          <cell r="N49" t="str">
            <v>Venezuela - El Tigre</v>
          </cell>
          <cell r="O49">
            <v>0.15</v>
          </cell>
          <cell r="P49">
            <v>8999</v>
          </cell>
          <cell r="Q49">
            <v>0</v>
          </cell>
          <cell r="R49">
            <v>0.15</v>
          </cell>
          <cell r="S49">
            <v>8999</v>
          </cell>
          <cell r="T49">
            <v>0</v>
          </cell>
          <cell r="U49">
            <v>12952</v>
          </cell>
          <cell r="V49">
            <v>5727</v>
          </cell>
          <cell r="W49">
            <v>0</v>
          </cell>
          <cell r="X49">
            <v>36677</v>
          </cell>
          <cell r="Y49">
            <v>50268</v>
          </cell>
          <cell r="Z49">
            <v>81342</v>
          </cell>
          <cell r="AA49">
            <v>110263</v>
          </cell>
        </row>
        <row r="50">
          <cell r="A50">
            <v>1008435173</v>
          </cell>
          <cell r="B50" t="str">
            <v>MALFETANA</v>
          </cell>
          <cell r="C50" t="str">
            <v>Angel Omar</v>
          </cell>
          <cell r="D50" t="str">
            <v>Lider Equipo SR.</v>
          </cell>
          <cell r="E50">
            <v>58</v>
          </cell>
          <cell r="F50">
            <v>5100</v>
          </cell>
          <cell r="G50">
            <v>0</v>
          </cell>
          <cell r="H50">
            <v>3</v>
          </cell>
          <cell r="I50">
            <v>15300</v>
          </cell>
          <cell r="J50">
            <v>81600</v>
          </cell>
          <cell r="K50">
            <v>50687</v>
          </cell>
          <cell r="L50">
            <v>10647</v>
          </cell>
          <cell r="M50">
            <v>61334</v>
          </cell>
          <cell r="N50" t="str">
            <v>Ecuador - Quito</v>
          </cell>
          <cell r="O50">
            <v>0.15</v>
          </cell>
          <cell r="P50">
            <v>9945</v>
          </cell>
          <cell r="Q50">
            <v>2295</v>
          </cell>
          <cell r="R50">
            <v>0.15</v>
          </cell>
          <cell r="S50">
            <v>9945</v>
          </cell>
          <cell r="T50">
            <v>0</v>
          </cell>
          <cell r="U50">
            <v>31547</v>
          </cell>
          <cell r="V50">
            <v>0</v>
          </cell>
          <cell r="W50">
            <v>0</v>
          </cell>
          <cell r="X50">
            <v>53732</v>
          </cell>
          <cell r="Y50">
            <v>81280</v>
          </cell>
          <cell r="Z50">
            <v>115066</v>
          </cell>
          <cell r="AA50">
            <v>162880</v>
          </cell>
        </row>
        <row r="51">
          <cell r="A51">
            <v>1010189991</v>
          </cell>
          <cell r="B51" t="str">
            <v>ORTULAN</v>
          </cell>
          <cell r="C51" t="str">
            <v>Jorge Carlos</v>
          </cell>
          <cell r="D51" t="str">
            <v>Jefe de Producción</v>
          </cell>
          <cell r="E51">
            <v>57</v>
          </cell>
          <cell r="F51">
            <v>5950</v>
          </cell>
          <cell r="G51">
            <v>0</v>
          </cell>
          <cell r="H51">
            <v>3</v>
          </cell>
          <cell r="I51">
            <v>17850</v>
          </cell>
          <cell r="J51">
            <v>95200</v>
          </cell>
          <cell r="K51">
            <v>57733</v>
          </cell>
          <cell r="L51">
            <v>13394</v>
          </cell>
          <cell r="M51">
            <v>71127</v>
          </cell>
          <cell r="N51" t="str">
            <v>Venezuela - Caracas</v>
          </cell>
          <cell r="O51">
            <v>0.15</v>
          </cell>
          <cell r="P51">
            <v>11603</v>
          </cell>
          <cell r="Q51">
            <v>2678</v>
          </cell>
          <cell r="R51">
            <v>0.05</v>
          </cell>
          <cell r="S51">
            <v>3868</v>
          </cell>
          <cell r="T51">
            <v>0</v>
          </cell>
          <cell r="U51">
            <v>33556</v>
          </cell>
          <cell r="V51">
            <v>7308</v>
          </cell>
          <cell r="W51">
            <v>0</v>
          </cell>
          <cell r="X51">
            <v>59013</v>
          </cell>
          <cell r="Y51">
            <v>91200</v>
          </cell>
          <cell r="Z51">
            <v>130140</v>
          </cell>
          <cell r="AA51">
            <v>186400</v>
          </cell>
        </row>
        <row r="52">
          <cell r="A52">
            <v>1013733981</v>
          </cell>
          <cell r="B52" t="str">
            <v>ALMONACID</v>
          </cell>
          <cell r="C52" t="str">
            <v>Jorge Daniel</v>
          </cell>
          <cell r="D52" t="str">
            <v>Jefe de Producción</v>
          </cell>
          <cell r="E52">
            <v>57</v>
          </cell>
          <cell r="F52">
            <v>5110</v>
          </cell>
          <cell r="G52">
            <v>0</v>
          </cell>
          <cell r="H52">
            <v>2.5</v>
          </cell>
          <cell r="I52">
            <v>12775</v>
          </cell>
          <cell r="J52">
            <v>79205</v>
          </cell>
          <cell r="K52">
            <v>50154</v>
          </cell>
          <cell r="L52">
            <v>8843</v>
          </cell>
          <cell r="M52">
            <v>58997</v>
          </cell>
          <cell r="N52" t="str">
            <v>Venezuela - El Tigre</v>
          </cell>
          <cell r="O52">
            <v>0.15</v>
          </cell>
          <cell r="P52">
            <v>9965</v>
          </cell>
          <cell r="Q52">
            <v>1916</v>
          </cell>
          <cell r="R52">
            <v>0.15</v>
          </cell>
          <cell r="S52">
            <v>9965</v>
          </cell>
          <cell r="T52">
            <v>0</v>
          </cell>
          <cell r="U52">
            <v>17384</v>
          </cell>
          <cell r="V52">
            <v>5021</v>
          </cell>
          <cell r="W52">
            <v>0</v>
          </cell>
          <cell r="X52">
            <v>44251</v>
          </cell>
          <cell r="Y52">
            <v>63661</v>
          </cell>
          <cell r="Z52">
            <v>103248</v>
          </cell>
          <cell r="AA52">
            <v>142866</v>
          </cell>
        </row>
        <row r="53">
          <cell r="A53">
            <v>1007602217</v>
          </cell>
          <cell r="B53" t="str">
            <v>BAUZA</v>
          </cell>
          <cell r="C53" t="str">
            <v>Carlos</v>
          </cell>
          <cell r="D53" t="str">
            <v>Spervisor Principal</v>
          </cell>
          <cell r="E53">
            <v>55</v>
          </cell>
          <cell r="F53">
            <v>4000</v>
          </cell>
          <cell r="G53">
            <v>480</v>
          </cell>
          <cell r="H53">
            <v>2.2400000000000002</v>
          </cell>
          <cell r="I53">
            <v>8960</v>
          </cell>
          <cell r="J53">
            <v>67200</v>
          </cell>
          <cell r="K53">
            <v>44344</v>
          </cell>
          <cell r="L53">
            <v>6902</v>
          </cell>
          <cell r="M53">
            <v>51246</v>
          </cell>
          <cell r="N53" t="str">
            <v>Venezuela - El Tigre</v>
          </cell>
          <cell r="O53">
            <v>0.15</v>
          </cell>
          <cell r="P53">
            <v>8736</v>
          </cell>
          <cell r="Q53">
            <v>1344</v>
          </cell>
          <cell r="R53">
            <v>0.15</v>
          </cell>
          <cell r="S53">
            <v>8736</v>
          </cell>
          <cell r="T53">
            <v>0</v>
          </cell>
          <cell r="U53">
            <v>15846</v>
          </cell>
          <cell r="V53">
            <v>0</v>
          </cell>
          <cell r="W53">
            <v>0</v>
          </cell>
          <cell r="X53">
            <v>34662</v>
          </cell>
          <cell r="Y53">
            <v>50451</v>
          </cell>
          <cell r="Z53">
            <v>85908</v>
          </cell>
          <cell r="AA53">
            <v>117651</v>
          </cell>
        </row>
        <row r="54">
          <cell r="A54">
            <v>1011640847</v>
          </cell>
          <cell r="B54" t="str">
            <v>CINQUEGRANI</v>
          </cell>
          <cell r="C54" t="str">
            <v>Alberto Omar</v>
          </cell>
          <cell r="D54" t="str">
            <v>Coordor. Reservorios</v>
          </cell>
          <cell r="E54">
            <v>59</v>
          </cell>
          <cell r="F54">
            <v>7200</v>
          </cell>
          <cell r="G54">
            <v>0</v>
          </cell>
          <cell r="H54">
            <v>4</v>
          </cell>
          <cell r="I54">
            <v>28800</v>
          </cell>
          <cell r="J54">
            <v>122400</v>
          </cell>
          <cell r="K54">
            <v>69767</v>
          </cell>
          <cell r="L54">
            <v>19417</v>
          </cell>
          <cell r="M54">
            <v>89184</v>
          </cell>
          <cell r="N54" t="str">
            <v>Venezuela - Caracas</v>
          </cell>
          <cell r="O54">
            <v>0.15</v>
          </cell>
          <cell r="P54">
            <v>14040</v>
          </cell>
          <cell r="Q54">
            <v>4320</v>
          </cell>
          <cell r="R54">
            <v>0.05</v>
          </cell>
          <cell r="S54">
            <v>4680</v>
          </cell>
          <cell r="T54">
            <v>0</v>
          </cell>
          <cell r="U54">
            <v>36705</v>
          </cell>
          <cell r="V54">
            <v>9271</v>
          </cell>
          <cell r="W54">
            <v>0</v>
          </cell>
          <cell r="X54">
            <v>69016</v>
          </cell>
          <cell r="Y54">
            <v>109660</v>
          </cell>
          <cell r="Z54">
            <v>158200</v>
          </cell>
          <cell r="AA54">
            <v>232060</v>
          </cell>
        </row>
        <row r="55">
          <cell r="A55">
            <v>1007687952</v>
          </cell>
          <cell r="B55" t="str">
            <v>GAREIS</v>
          </cell>
          <cell r="C55" t="str">
            <v>Juan Eduardo</v>
          </cell>
          <cell r="D55" t="str">
            <v>Spervisor Principal</v>
          </cell>
          <cell r="E55">
            <v>55</v>
          </cell>
          <cell r="F55">
            <v>4615</v>
          </cell>
          <cell r="G55">
            <v>0</v>
          </cell>
          <cell r="H55">
            <v>0</v>
          </cell>
          <cell r="I55">
            <v>0</v>
          </cell>
          <cell r="J55">
            <v>59995</v>
          </cell>
          <cell r="K55">
            <v>45698</v>
          </cell>
          <cell r="L55">
            <v>0</v>
          </cell>
          <cell r="M55">
            <v>45698</v>
          </cell>
          <cell r="N55" t="str">
            <v>Venezuela - El Tigre</v>
          </cell>
          <cell r="O55">
            <v>0.15</v>
          </cell>
          <cell r="P55">
            <v>8999</v>
          </cell>
          <cell r="Q55">
            <v>0</v>
          </cell>
          <cell r="R55">
            <v>0.15</v>
          </cell>
          <cell r="S55">
            <v>8999</v>
          </cell>
          <cell r="T55">
            <v>0</v>
          </cell>
          <cell r="U55">
            <v>15829</v>
          </cell>
          <cell r="V55">
            <v>5027</v>
          </cell>
          <cell r="W55">
            <v>0</v>
          </cell>
          <cell r="X55">
            <v>38854</v>
          </cell>
          <cell r="Y55">
            <v>53834</v>
          </cell>
          <cell r="Z55">
            <v>84552</v>
          </cell>
          <cell r="AA55">
            <v>113829</v>
          </cell>
        </row>
        <row r="56">
          <cell r="A56">
            <v>1008585113</v>
          </cell>
          <cell r="B56" t="str">
            <v>GRUEN</v>
          </cell>
          <cell r="C56" t="str">
            <v>Carlos</v>
          </cell>
          <cell r="D56" t="str">
            <v>Spervisor Principal</v>
          </cell>
          <cell r="E56">
            <v>55</v>
          </cell>
          <cell r="F56">
            <v>3900</v>
          </cell>
          <cell r="G56">
            <v>0</v>
          </cell>
          <cell r="H56">
            <v>0</v>
          </cell>
          <cell r="I56">
            <v>0</v>
          </cell>
          <cell r="J56">
            <v>50700</v>
          </cell>
          <cell r="K56">
            <v>38930</v>
          </cell>
          <cell r="L56">
            <v>0</v>
          </cell>
          <cell r="M56">
            <v>38930</v>
          </cell>
          <cell r="N56" t="str">
            <v>Venezuela - El Tigre</v>
          </cell>
          <cell r="O56">
            <v>0.15</v>
          </cell>
          <cell r="P56">
            <v>7605</v>
          </cell>
          <cell r="Q56">
            <v>0</v>
          </cell>
          <cell r="R56">
            <v>0.15</v>
          </cell>
          <cell r="S56">
            <v>7605</v>
          </cell>
          <cell r="T56">
            <v>0</v>
          </cell>
          <cell r="U56">
            <v>2634</v>
          </cell>
          <cell r="V56">
            <v>5949</v>
          </cell>
          <cell r="W56">
            <v>0</v>
          </cell>
          <cell r="X56">
            <v>23793</v>
          </cell>
          <cell r="Y56">
            <v>33779</v>
          </cell>
          <cell r="Z56">
            <v>62723</v>
          </cell>
          <cell r="AA56">
            <v>84479</v>
          </cell>
        </row>
        <row r="57">
          <cell r="A57">
            <v>1011612422</v>
          </cell>
          <cell r="B57" t="str">
            <v>MAGGIONI</v>
          </cell>
          <cell r="C57" t="str">
            <v>Aldo Jorge</v>
          </cell>
          <cell r="D57" t="str">
            <v>Profesional Principal</v>
          </cell>
          <cell r="E57">
            <v>57</v>
          </cell>
          <cell r="F57">
            <v>5250</v>
          </cell>
          <cell r="G57">
            <v>0</v>
          </cell>
          <cell r="H57">
            <v>3</v>
          </cell>
          <cell r="I57">
            <v>15750</v>
          </cell>
          <cell r="J57">
            <v>84000</v>
          </cell>
          <cell r="K57">
            <v>51767</v>
          </cell>
          <cell r="L57">
            <v>11087</v>
          </cell>
          <cell r="M57">
            <v>62854</v>
          </cell>
          <cell r="N57" t="str">
            <v>Venezuela - El Tigre</v>
          </cell>
          <cell r="O57">
            <v>0.15</v>
          </cell>
          <cell r="P57">
            <v>10238</v>
          </cell>
          <cell r="Q57">
            <v>2363</v>
          </cell>
          <cell r="R57">
            <v>0.15</v>
          </cell>
          <cell r="S57">
            <v>10238</v>
          </cell>
          <cell r="T57">
            <v>0</v>
          </cell>
          <cell r="U57">
            <v>17914</v>
          </cell>
          <cell r="V57">
            <v>3580</v>
          </cell>
          <cell r="W57">
            <v>0</v>
          </cell>
          <cell r="X57">
            <v>44333</v>
          </cell>
          <cell r="Y57">
            <v>67088</v>
          </cell>
          <cell r="Z57">
            <v>107187</v>
          </cell>
          <cell r="AA57">
            <v>151088</v>
          </cell>
        </row>
        <row r="58">
          <cell r="A58">
            <v>1011413232</v>
          </cell>
          <cell r="B58" t="str">
            <v>NAVARRO</v>
          </cell>
          <cell r="C58" t="str">
            <v>Jorge Rafael</v>
          </cell>
          <cell r="D58" t="str">
            <v>Gte. De Ingenieria</v>
          </cell>
          <cell r="E58">
            <v>61</v>
          </cell>
          <cell r="F58">
            <v>12000</v>
          </cell>
          <cell r="G58">
            <v>0</v>
          </cell>
          <cell r="H58">
            <v>5</v>
          </cell>
          <cell r="I58">
            <v>60000</v>
          </cell>
          <cell r="J58">
            <v>216000</v>
          </cell>
          <cell r="K58">
            <v>110594</v>
          </cell>
          <cell r="L58">
            <v>37274</v>
          </cell>
          <cell r="M58">
            <v>147868</v>
          </cell>
          <cell r="N58" t="str">
            <v>Venezuela - Caracas</v>
          </cell>
          <cell r="O58">
            <v>0.15</v>
          </cell>
          <cell r="P58">
            <v>23400</v>
          </cell>
          <cell r="Q58">
            <v>9000</v>
          </cell>
          <cell r="R58">
            <v>0.05</v>
          </cell>
          <cell r="S58">
            <v>7800</v>
          </cell>
          <cell r="T58">
            <v>0</v>
          </cell>
          <cell r="U58">
            <v>61827</v>
          </cell>
          <cell r="V58">
            <v>9926</v>
          </cell>
          <cell r="W58">
            <v>0</v>
          </cell>
          <cell r="X58">
            <v>111953</v>
          </cell>
          <cell r="Y58">
            <v>173563</v>
          </cell>
          <cell r="Z58">
            <v>259821</v>
          </cell>
          <cell r="AA58">
            <v>389563</v>
          </cell>
        </row>
        <row r="59">
          <cell r="A59">
            <v>1013735426</v>
          </cell>
          <cell r="B59" t="str">
            <v>NOVILLO</v>
          </cell>
          <cell r="C59" t="str">
            <v>Gumersindo Sergio</v>
          </cell>
          <cell r="D59" t="str">
            <v>Lider Equipos SR.</v>
          </cell>
          <cell r="E59">
            <v>58</v>
          </cell>
          <cell r="F59">
            <v>5500</v>
          </cell>
          <cell r="G59">
            <v>0</v>
          </cell>
          <cell r="H59">
            <v>3.5</v>
          </cell>
          <cell r="I59">
            <v>19250</v>
          </cell>
          <cell r="J59">
            <v>90750</v>
          </cell>
          <cell r="K59">
            <v>54480</v>
          </cell>
          <cell r="L59">
            <v>13592</v>
          </cell>
          <cell r="M59">
            <v>68072</v>
          </cell>
          <cell r="N59" t="str">
            <v>Venezuela - El Tigre</v>
          </cell>
          <cell r="O59">
            <v>0.15</v>
          </cell>
          <cell r="P59">
            <v>10725</v>
          </cell>
          <cell r="Q59">
            <v>2888</v>
          </cell>
          <cell r="R59">
            <v>0.15</v>
          </cell>
          <cell r="S59">
            <v>10725</v>
          </cell>
          <cell r="T59">
            <v>0</v>
          </cell>
          <cell r="U59">
            <v>19916</v>
          </cell>
          <cell r="V59">
            <v>3487</v>
          </cell>
          <cell r="W59">
            <v>0</v>
          </cell>
          <cell r="X59">
            <v>47741</v>
          </cell>
          <cell r="Y59">
            <v>73444</v>
          </cell>
          <cell r="Z59">
            <v>115813</v>
          </cell>
          <cell r="AA59">
            <v>164194</v>
          </cell>
        </row>
        <row r="60">
          <cell r="A60">
            <v>1014781064</v>
          </cell>
          <cell r="B60" t="str">
            <v>ROLANDO</v>
          </cell>
          <cell r="C60" t="str">
            <v>Roberto</v>
          </cell>
          <cell r="D60" t="str">
            <v>Asist. Producción</v>
          </cell>
          <cell r="E60">
            <v>56</v>
          </cell>
          <cell r="F60">
            <v>3335</v>
          </cell>
          <cell r="G60">
            <v>0</v>
          </cell>
          <cell r="H60">
            <v>0</v>
          </cell>
          <cell r="I60">
            <v>0</v>
          </cell>
          <cell r="J60">
            <v>43355</v>
          </cell>
          <cell r="K60">
            <v>34042</v>
          </cell>
          <cell r="L60">
            <v>0</v>
          </cell>
          <cell r="M60">
            <v>34042</v>
          </cell>
          <cell r="N60" t="str">
            <v>Venezuela - El Tigre</v>
          </cell>
          <cell r="O60">
            <v>0.15</v>
          </cell>
          <cell r="P60">
            <v>6503</v>
          </cell>
          <cell r="Q60">
            <v>0</v>
          </cell>
          <cell r="R60">
            <v>0.15</v>
          </cell>
          <cell r="S60">
            <v>6503</v>
          </cell>
          <cell r="T60">
            <v>0</v>
          </cell>
          <cell r="U60">
            <v>11632</v>
          </cell>
          <cell r="V60">
            <v>4779</v>
          </cell>
          <cell r="W60">
            <v>0</v>
          </cell>
          <cell r="X60">
            <v>29417</v>
          </cell>
          <cell r="Y60">
            <v>42284</v>
          </cell>
          <cell r="Z60">
            <v>63459</v>
          </cell>
          <cell r="AA60">
            <v>85639</v>
          </cell>
        </row>
        <row r="61">
          <cell r="A61">
            <v>1014625494</v>
          </cell>
          <cell r="B61" t="str">
            <v>SALDAÑO</v>
          </cell>
          <cell r="C61" t="str">
            <v>Hector Roberto</v>
          </cell>
          <cell r="D61" t="str">
            <v>Cordor. Ing. Proyectos</v>
          </cell>
          <cell r="E61">
            <v>59</v>
          </cell>
          <cell r="F61">
            <v>7270</v>
          </cell>
          <cell r="G61">
            <v>0</v>
          </cell>
          <cell r="H61">
            <v>4</v>
          </cell>
          <cell r="I61">
            <v>29080</v>
          </cell>
          <cell r="J61">
            <v>123590</v>
          </cell>
          <cell r="K61">
            <v>70816</v>
          </cell>
          <cell r="L61">
            <v>19506</v>
          </cell>
          <cell r="M61">
            <v>90322</v>
          </cell>
          <cell r="N61" t="str">
            <v>Venezuela - Caracas</v>
          </cell>
          <cell r="O61">
            <v>0.15</v>
          </cell>
          <cell r="P61">
            <v>14177</v>
          </cell>
          <cell r="Q61">
            <v>4362</v>
          </cell>
          <cell r="R61">
            <v>0.05</v>
          </cell>
          <cell r="S61">
            <v>4726</v>
          </cell>
          <cell r="T61">
            <v>0</v>
          </cell>
          <cell r="U61">
            <v>36903</v>
          </cell>
          <cell r="V61">
            <v>8810</v>
          </cell>
          <cell r="W61">
            <v>0</v>
          </cell>
          <cell r="X61">
            <v>68978</v>
          </cell>
          <cell r="Y61">
            <v>110053</v>
          </cell>
          <cell r="Z61">
            <v>159300</v>
          </cell>
          <cell r="AA61">
            <v>233643</v>
          </cell>
        </row>
        <row r="62">
          <cell r="A62">
            <v>1012978960</v>
          </cell>
          <cell r="B62" t="str">
            <v>SHAE</v>
          </cell>
          <cell r="C62" t="str">
            <v>Nelson Arturo</v>
          </cell>
          <cell r="D62" t="str">
            <v>Profesional Principal</v>
          </cell>
          <cell r="E62">
            <v>57</v>
          </cell>
          <cell r="F62">
            <v>4300</v>
          </cell>
          <cell r="G62">
            <v>0</v>
          </cell>
          <cell r="H62">
            <v>2.5</v>
          </cell>
          <cell r="I62">
            <v>10750</v>
          </cell>
          <cell r="J62">
            <v>66650</v>
          </cell>
          <cell r="K62">
            <v>42950</v>
          </cell>
          <cell r="L62">
            <v>8370</v>
          </cell>
          <cell r="M62">
            <v>51320</v>
          </cell>
          <cell r="N62" t="str">
            <v>Venezuela - El Tigre</v>
          </cell>
          <cell r="O62">
            <v>0.15</v>
          </cell>
          <cell r="P62">
            <v>8385</v>
          </cell>
          <cell r="Q62">
            <v>1613</v>
          </cell>
          <cell r="R62">
            <v>0.15</v>
          </cell>
          <cell r="S62">
            <v>8385</v>
          </cell>
          <cell r="T62">
            <v>0</v>
          </cell>
          <cell r="U62">
            <v>3309</v>
          </cell>
          <cell r="V62">
            <v>3915</v>
          </cell>
          <cell r="W62">
            <v>0</v>
          </cell>
          <cell r="X62">
            <v>25607</v>
          </cell>
          <cell r="Y62">
            <v>38168</v>
          </cell>
          <cell r="Z62">
            <v>76927</v>
          </cell>
          <cell r="AA62">
            <v>104818</v>
          </cell>
        </row>
        <row r="63">
          <cell r="A63">
            <v>1021355179</v>
          </cell>
          <cell r="B63" t="str">
            <v>SPINZANTI</v>
          </cell>
          <cell r="C63" t="str">
            <v>Jorge Andrés</v>
          </cell>
          <cell r="D63" t="str">
            <v>Supervisor SSR.</v>
          </cell>
          <cell r="E63">
            <v>54</v>
          </cell>
          <cell r="F63">
            <v>2920</v>
          </cell>
          <cell r="G63">
            <v>0</v>
          </cell>
          <cell r="H63">
            <v>0</v>
          </cell>
          <cell r="I63">
            <v>0</v>
          </cell>
          <cell r="J63">
            <v>37960</v>
          </cell>
          <cell r="K63">
            <v>30339</v>
          </cell>
          <cell r="L63">
            <v>0</v>
          </cell>
          <cell r="M63">
            <v>30339</v>
          </cell>
          <cell r="N63" t="str">
            <v>Venezuela - El Tigre</v>
          </cell>
          <cell r="O63">
            <v>0.15</v>
          </cell>
          <cell r="P63">
            <v>5694</v>
          </cell>
          <cell r="Q63">
            <v>0</v>
          </cell>
          <cell r="R63">
            <v>0.15</v>
          </cell>
          <cell r="S63">
            <v>5694</v>
          </cell>
          <cell r="T63">
            <v>0</v>
          </cell>
          <cell r="U63">
            <v>2559</v>
          </cell>
          <cell r="V63">
            <v>4081</v>
          </cell>
          <cell r="W63">
            <v>0</v>
          </cell>
          <cell r="X63">
            <v>18028</v>
          </cell>
          <cell r="Y63">
            <v>26697</v>
          </cell>
          <cell r="Z63">
            <v>48367</v>
          </cell>
          <cell r="AA63">
            <v>64657</v>
          </cell>
        </row>
        <row r="64">
          <cell r="A64">
            <v>1013784427</v>
          </cell>
          <cell r="B64" t="str">
            <v>VALLEJO</v>
          </cell>
          <cell r="C64" t="str">
            <v>Eduardo Lucio</v>
          </cell>
          <cell r="D64" t="str">
            <v>Profesional Principal</v>
          </cell>
          <cell r="E64">
            <v>57</v>
          </cell>
          <cell r="F64">
            <v>5115</v>
          </cell>
          <cell r="G64">
            <v>0</v>
          </cell>
          <cell r="H64">
            <v>2.83</v>
          </cell>
          <cell r="I64">
            <v>14500</v>
          </cell>
          <cell r="J64">
            <v>80995</v>
          </cell>
          <cell r="K64">
            <v>50415</v>
          </cell>
          <cell r="L64">
            <v>10125</v>
          </cell>
          <cell r="M64">
            <v>60540</v>
          </cell>
          <cell r="N64" t="str">
            <v>Venezuela - Caracas</v>
          </cell>
          <cell r="O64">
            <v>0.15</v>
          </cell>
          <cell r="P64">
            <v>9974</v>
          </cell>
          <cell r="Q64">
            <v>2175</v>
          </cell>
          <cell r="R64">
            <v>0.05</v>
          </cell>
          <cell r="S64">
            <v>3325</v>
          </cell>
          <cell r="T64">
            <v>0</v>
          </cell>
          <cell r="U64">
            <v>6617</v>
          </cell>
          <cell r="V64">
            <v>8569</v>
          </cell>
          <cell r="W64">
            <v>0</v>
          </cell>
          <cell r="X64">
            <v>30660</v>
          </cell>
          <cell r="Y64">
            <v>44097</v>
          </cell>
          <cell r="Z64">
            <v>91200</v>
          </cell>
          <cell r="AA64">
            <v>125092</v>
          </cell>
        </row>
        <row r="65">
          <cell r="A65">
            <v>1016001970</v>
          </cell>
          <cell r="B65" t="str">
            <v>RIOS</v>
          </cell>
          <cell r="C65" t="str">
            <v>Luis Manuel</v>
          </cell>
          <cell r="D65" t="str">
            <v>Gte RRHH</v>
          </cell>
          <cell r="E65">
            <v>59</v>
          </cell>
          <cell r="F65">
            <v>5300</v>
          </cell>
          <cell r="G65">
            <v>1200</v>
          </cell>
          <cell r="H65">
            <v>3.5</v>
          </cell>
          <cell r="I65">
            <v>22750</v>
          </cell>
          <cell r="J65">
            <v>107250</v>
          </cell>
          <cell r="K65">
            <v>63239</v>
          </cell>
          <cell r="L65">
            <v>15463</v>
          </cell>
          <cell r="M65">
            <v>78702</v>
          </cell>
          <cell r="N65" t="str">
            <v>Venezuela - Caracas</v>
          </cell>
          <cell r="O65">
            <v>0.15</v>
          </cell>
          <cell r="P65">
            <v>12675</v>
          </cell>
          <cell r="Q65">
            <v>3413</v>
          </cell>
          <cell r="R65">
            <v>0.05</v>
          </cell>
          <cell r="S65">
            <v>4225</v>
          </cell>
          <cell r="T65">
            <v>0</v>
          </cell>
          <cell r="U65">
            <v>31699</v>
          </cell>
          <cell r="V65">
            <v>0</v>
          </cell>
          <cell r="W65">
            <v>0</v>
          </cell>
          <cell r="X65">
            <v>52012</v>
          </cell>
          <cell r="Y65">
            <v>82469</v>
          </cell>
          <cell r="Z65">
            <v>130714</v>
          </cell>
          <cell r="AA65">
            <v>189719</v>
          </cell>
        </row>
        <row r="66">
          <cell r="A66">
            <v>1012030459</v>
          </cell>
          <cell r="B66" t="str">
            <v>DE DIEGO</v>
          </cell>
          <cell r="C66" t="str">
            <v>Pablo</v>
          </cell>
          <cell r="D66" t="str">
            <v>Coordor. Reservorios</v>
          </cell>
          <cell r="E66">
            <v>59</v>
          </cell>
          <cell r="F66">
            <v>6400</v>
          </cell>
          <cell r="G66">
            <v>0</v>
          </cell>
          <cell r="H66">
            <v>3</v>
          </cell>
          <cell r="I66">
            <v>19200</v>
          </cell>
          <cell r="J66">
            <v>102400</v>
          </cell>
          <cell r="K66">
            <v>62730</v>
          </cell>
          <cell r="L66">
            <v>12845</v>
          </cell>
          <cell r="M66">
            <v>75575</v>
          </cell>
          <cell r="N66" t="str">
            <v>Venezuela - Caracas</v>
          </cell>
          <cell r="O66">
            <v>0.15</v>
          </cell>
          <cell r="P66">
            <v>12480</v>
          </cell>
          <cell r="Q66">
            <v>2880</v>
          </cell>
          <cell r="R66">
            <v>0.05</v>
          </cell>
          <cell r="S66">
            <v>4160</v>
          </cell>
          <cell r="T66">
            <v>0</v>
          </cell>
          <cell r="U66">
            <v>35042</v>
          </cell>
          <cell r="V66">
            <v>8579</v>
          </cell>
          <cell r="W66">
            <v>0</v>
          </cell>
          <cell r="X66">
            <v>63141</v>
          </cell>
          <cell r="Y66">
            <v>96700</v>
          </cell>
          <cell r="Z66">
            <v>138716</v>
          </cell>
          <cell r="AA66">
            <v>199100</v>
          </cell>
        </row>
        <row r="67">
          <cell r="A67">
            <v>1092814914</v>
          </cell>
          <cell r="B67" t="str">
            <v>GRIJALBA VAZQUEZ</v>
          </cell>
          <cell r="C67" t="str">
            <v>Pedro M.</v>
          </cell>
          <cell r="D67" t="str">
            <v>Gte. De Reservorios</v>
          </cell>
          <cell r="E67">
            <v>61</v>
          </cell>
          <cell r="F67">
            <v>12000</v>
          </cell>
          <cell r="G67">
            <v>0</v>
          </cell>
          <cell r="H67">
            <v>5</v>
          </cell>
          <cell r="I67">
            <v>60000</v>
          </cell>
          <cell r="J67">
            <v>216000</v>
          </cell>
          <cell r="K67">
            <v>110487</v>
          </cell>
          <cell r="L67">
            <v>37345</v>
          </cell>
          <cell r="M67">
            <v>147832</v>
          </cell>
          <cell r="N67" t="str">
            <v>Venezuela - Caracas</v>
          </cell>
          <cell r="O67">
            <v>0.15</v>
          </cell>
          <cell r="P67">
            <v>23400</v>
          </cell>
          <cell r="Q67">
            <v>9000</v>
          </cell>
          <cell r="R67">
            <v>0.05</v>
          </cell>
          <cell r="S67">
            <v>7800</v>
          </cell>
          <cell r="T67">
            <v>0</v>
          </cell>
          <cell r="U67">
            <v>9208</v>
          </cell>
          <cell r="V67">
            <v>19516</v>
          </cell>
          <cell r="W67">
            <v>0</v>
          </cell>
          <cell r="X67">
            <v>68924</v>
          </cell>
          <cell r="Y67">
            <v>107310</v>
          </cell>
          <cell r="Z67">
            <v>216756</v>
          </cell>
          <cell r="AA67">
            <v>323310</v>
          </cell>
        </row>
        <row r="68">
          <cell r="A68">
            <v>4005959850</v>
          </cell>
          <cell r="B68" t="str">
            <v>IBAÑEZ</v>
          </cell>
          <cell r="C68" t="str">
            <v>Guillermo Hernán</v>
          </cell>
          <cell r="D68" t="str">
            <v>Profesional SR.</v>
          </cell>
          <cell r="E68">
            <v>56</v>
          </cell>
          <cell r="F68">
            <v>5103</v>
          </cell>
          <cell r="G68">
            <v>0</v>
          </cell>
          <cell r="H68">
            <v>4</v>
          </cell>
          <cell r="I68">
            <v>20412</v>
          </cell>
          <cell r="J68">
            <v>86751</v>
          </cell>
          <cell r="K68">
            <v>50084</v>
          </cell>
          <cell r="L68">
            <v>14683</v>
          </cell>
          <cell r="M68">
            <v>64767</v>
          </cell>
          <cell r="N68" t="str">
            <v>Venezuela - Caracas</v>
          </cell>
          <cell r="O68">
            <v>0.15</v>
          </cell>
          <cell r="P68">
            <v>9951</v>
          </cell>
          <cell r="Q68">
            <v>3062</v>
          </cell>
          <cell r="R68">
            <v>0.05</v>
          </cell>
          <cell r="S68">
            <v>3317</v>
          </cell>
          <cell r="T68">
            <v>0</v>
          </cell>
          <cell r="U68">
            <v>6330</v>
          </cell>
          <cell r="V68">
            <v>0</v>
          </cell>
          <cell r="W68">
            <v>0</v>
          </cell>
          <cell r="X68">
            <v>22660</v>
          </cell>
          <cell r="Y68">
            <v>33102</v>
          </cell>
          <cell r="Z68">
            <v>87427</v>
          </cell>
          <cell r="AA68">
            <v>119853</v>
          </cell>
        </row>
        <row r="69">
          <cell r="A69">
            <v>1013820934</v>
          </cell>
          <cell r="B69" t="str">
            <v>LORENZON</v>
          </cell>
          <cell r="C69" t="str">
            <v>Jorge Rubén</v>
          </cell>
          <cell r="D69" t="str">
            <v>Technical Advisor SR</v>
          </cell>
          <cell r="E69">
            <v>60</v>
          </cell>
          <cell r="F69">
            <v>8800</v>
          </cell>
          <cell r="G69">
            <v>0</v>
          </cell>
          <cell r="H69">
            <v>4</v>
          </cell>
          <cell r="I69">
            <v>35200</v>
          </cell>
          <cell r="J69">
            <v>149600</v>
          </cell>
          <cell r="K69">
            <v>83664</v>
          </cell>
          <cell r="L69">
            <v>22449</v>
          </cell>
          <cell r="M69">
            <v>106113</v>
          </cell>
          <cell r="N69" t="str">
            <v>USA - Houston</v>
          </cell>
          <cell r="O69">
            <v>0.15</v>
          </cell>
          <cell r="P69">
            <v>17160</v>
          </cell>
          <cell r="Q69">
            <v>5280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22440</v>
          </cell>
          <cell r="Y69">
            <v>34523</v>
          </cell>
          <cell r="Z69">
            <v>128553</v>
          </cell>
          <cell r="AA69">
            <v>184123</v>
          </cell>
        </row>
        <row r="70">
          <cell r="A70">
            <v>1012047215</v>
          </cell>
          <cell r="B70" t="str">
            <v>BIBBO</v>
          </cell>
          <cell r="C70" t="str">
            <v>Miguel Angel</v>
          </cell>
          <cell r="D70" t="str">
            <v>Gte. General</v>
          </cell>
          <cell r="E70">
            <v>64</v>
          </cell>
          <cell r="F70">
            <v>18000</v>
          </cell>
          <cell r="G70">
            <v>0</v>
          </cell>
          <cell r="H70">
            <v>7</v>
          </cell>
          <cell r="I70">
            <v>126000</v>
          </cell>
          <cell r="J70">
            <v>360000</v>
          </cell>
          <cell r="K70">
            <v>158705</v>
          </cell>
          <cell r="L70">
            <v>81900</v>
          </cell>
          <cell r="M70">
            <v>240605</v>
          </cell>
          <cell r="N70" t="str">
            <v>Venezuela - Caracas</v>
          </cell>
          <cell r="O70">
            <v>0.15</v>
          </cell>
          <cell r="P70">
            <v>35100</v>
          </cell>
          <cell r="Q70">
            <v>18900</v>
          </cell>
          <cell r="R70">
            <v>0.05</v>
          </cell>
          <cell r="S70">
            <v>11700</v>
          </cell>
          <cell r="T70">
            <v>0</v>
          </cell>
          <cell r="U70">
            <v>66298</v>
          </cell>
          <cell r="V70">
            <v>0</v>
          </cell>
          <cell r="W70">
            <v>0</v>
          </cell>
          <cell r="X70">
            <v>131998</v>
          </cell>
          <cell r="Y70">
            <v>203074</v>
          </cell>
          <cell r="Z70">
            <v>372603</v>
          </cell>
          <cell r="AA70">
            <v>563074</v>
          </cell>
        </row>
        <row r="71">
          <cell r="A71">
            <v>1017653363</v>
          </cell>
          <cell r="B71" t="str">
            <v>MAS</v>
          </cell>
          <cell r="C71" t="str">
            <v>Gustavo</v>
          </cell>
          <cell r="D71" t="str">
            <v>Gte. Planeam</v>
          </cell>
          <cell r="E71">
            <v>61</v>
          </cell>
          <cell r="F71">
            <v>9500</v>
          </cell>
          <cell r="G71">
            <v>1500</v>
          </cell>
          <cell r="H71">
            <v>5.79</v>
          </cell>
          <cell r="I71">
            <v>55000</v>
          </cell>
          <cell r="J71">
            <v>198000</v>
          </cell>
          <cell r="K71">
            <v>102037</v>
          </cell>
          <cell r="L71">
            <v>35750</v>
          </cell>
          <cell r="M71">
            <v>137787</v>
          </cell>
          <cell r="N71" t="str">
            <v>Venezuela - Caracas</v>
          </cell>
          <cell r="O71">
            <v>0.15</v>
          </cell>
          <cell r="P71">
            <v>21450</v>
          </cell>
          <cell r="Q71">
            <v>8250</v>
          </cell>
          <cell r="R71">
            <v>0.05</v>
          </cell>
          <cell r="S71">
            <v>7150</v>
          </cell>
          <cell r="T71">
            <v>0</v>
          </cell>
          <cell r="U71">
            <v>49088</v>
          </cell>
          <cell r="V71">
            <v>0</v>
          </cell>
          <cell r="W71">
            <v>0</v>
          </cell>
          <cell r="X71">
            <v>85938</v>
          </cell>
          <cell r="Y71">
            <v>136031</v>
          </cell>
          <cell r="Z71">
            <v>223725</v>
          </cell>
          <cell r="AA71">
            <v>334031</v>
          </cell>
        </row>
        <row r="72">
          <cell r="A72">
            <v>1012963282</v>
          </cell>
          <cell r="B72" t="str">
            <v>CANOSA</v>
          </cell>
          <cell r="C72" t="str">
            <v>Carlos</v>
          </cell>
          <cell r="D72" t="str">
            <v>Coordinador Reservorios</v>
          </cell>
          <cell r="E72">
            <v>59</v>
          </cell>
          <cell r="F72">
            <v>6400</v>
          </cell>
          <cell r="G72">
            <v>0</v>
          </cell>
          <cell r="H72">
            <v>3</v>
          </cell>
          <cell r="I72">
            <v>19200</v>
          </cell>
          <cell r="J72">
            <v>102400</v>
          </cell>
          <cell r="K72">
            <v>62238</v>
          </cell>
          <cell r="L72">
            <v>12924</v>
          </cell>
          <cell r="M72">
            <v>75162</v>
          </cell>
          <cell r="N72" t="str">
            <v>Venezuela - Caracas</v>
          </cell>
          <cell r="O72">
            <v>0.15</v>
          </cell>
          <cell r="P72">
            <v>12480</v>
          </cell>
          <cell r="Q72">
            <v>2880</v>
          </cell>
          <cell r="R72">
            <v>0.05</v>
          </cell>
          <cell r="S72">
            <v>4160</v>
          </cell>
          <cell r="T72">
            <v>0</v>
          </cell>
          <cell r="U72">
            <v>35042</v>
          </cell>
          <cell r="V72">
            <v>0</v>
          </cell>
          <cell r="W72">
            <v>0</v>
          </cell>
          <cell r="X72">
            <v>54562</v>
          </cell>
          <cell r="Y72">
            <v>83360</v>
          </cell>
          <cell r="Z72">
            <v>129724</v>
          </cell>
          <cell r="AA72">
            <v>185760</v>
          </cell>
        </row>
        <row r="73">
          <cell r="A73">
            <v>1016951326</v>
          </cell>
          <cell r="B73" t="str">
            <v>GROSSO</v>
          </cell>
          <cell r="C73" t="str">
            <v>Santiago</v>
          </cell>
          <cell r="D73" t="str">
            <v xml:space="preserve">Profesional SR. </v>
          </cell>
          <cell r="E73">
            <v>57</v>
          </cell>
          <cell r="F73">
            <v>4169</v>
          </cell>
          <cell r="G73">
            <v>0</v>
          </cell>
          <cell r="H73">
            <v>2</v>
          </cell>
          <cell r="I73">
            <v>8338</v>
          </cell>
          <cell r="J73">
            <v>62535</v>
          </cell>
          <cell r="K73">
            <v>41802</v>
          </cell>
          <cell r="L73">
            <v>6553</v>
          </cell>
          <cell r="M73">
            <v>48355</v>
          </cell>
          <cell r="N73" t="str">
            <v>Venezuela - Caracas</v>
          </cell>
          <cell r="O73">
            <v>0.15</v>
          </cell>
          <cell r="P73">
            <v>8130</v>
          </cell>
          <cell r="Q73">
            <v>1251</v>
          </cell>
          <cell r="R73">
            <v>0.05</v>
          </cell>
          <cell r="S73">
            <v>2710</v>
          </cell>
          <cell r="T73">
            <v>0</v>
          </cell>
          <cell r="U73">
            <v>25996</v>
          </cell>
          <cell r="V73">
            <v>0</v>
          </cell>
          <cell r="W73">
            <v>0</v>
          </cell>
          <cell r="X73">
            <v>38087</v>
          </cell>
          <cell r="Y73">
            <v>54201</v>
          </cell>
          <cell r="Z73">
            <v>86442</v>
          </cell>
          <cell r="AA73">
            <v>116736</v>
          </cell>
        </row>
        <row r="74">
          <cell r="A74">
            <v>1013727062</v>
          </cell>
          <cell r="B74" t="str">
            <v>ARGUELLO</v>
          </cell>
          <cell r="C74" t="str">
            <v>Jorge</v>
          </cell>
          <cell r="D74" t="str">
            <v>Profesional Principal</v>
          </cell>
          <cell r="E74">
            <v>57</v>
          </cell>
          <cell r="F74">
            <v>4564</v>
          </cell>
          <cell r="G74">
            <v>0</v>
          </cell>
          <cell r="H74">
            <v>2.67</v>
          </cell>
          <cell r="I74">
            <v>12190</v>
          </cell>
          <cell r="J74">
            <v>71522</v>
          </cell>
          <cell r="K74">
            <v>45256</v>
          </cell>
          <cell r="L74">
            <v>9400</v>
          </cell>
          <cell r="M74">
            <v>54656</v>
          </cell>
          <cell r="N74" t="str">
            <v>Venezuela - Caracas</v>
          </cell>
          <cell r="O74">
            <v>0.15</v>
          </cell>
          <cell r="P74">
            <v>8900</v>
          </cell>
          <cell r="Q74">
            <v>1829</v>
          </cell>
          <cell r="R74">
            <v>0.05</v>
          </cell>
          <cell r="S74">
            <v>2967</v>
          </cell>
          <cell r="T74">
            <v>0</v>
          </cell>
          <cell r="U74">
            <v>28275</v>
          </cell>
          <cell r="V74">
            <v>0</v>
          </cell>
          <cell r="W74">
            <v>0</v>
          </cell>
          <cell r="X74">
            <v>41971</v>
          </cell>
          <cell r="Y74">
            <v>61435</v>
          </cell>
          <cell r="Z74">
            <v>96627</v>
          </cell>
          <cell r="AA74">
            <v>132957</v>
          </cell>
        </row>
        <row r="75">
          <cell r="A75">
            <v>1008389973</v>
          </cell>
          <cell r="B75" t="str">
            <v>BEGARIES</v>
          </cell>
          <cell r="C75" t="str">
            <v xml:space="preserve">Horacio </v>
          </cell>
          <cell r="D75" t="str">
            <v>Gte. Comercial</v>
          </cell>
          <cell r="E75">
            <v>62</v>
          </cell>
          <cell r="F75">
            <v>14000</v>
          </cell>
          <cell r="G75">
            <v>0</v>
          </cell>
          <cell r="H75">
            <v>4.5</v>
          </cell>
          <cell r="I75">
            <v>63000</v>
          </cell>
          <cell r="J75">
            <v>245000</v>
          </cell>
          <cell r="K75">
            <v>127387</v>
          </cell>
          <cell r="L75">
            <v>38468</v>
          </cell>
          <cell r="M75">
            <v>165855</v>
          </cell>
          <cell r="N75" t="str">
            <v>Ecuador - Quito</v>
          </cell>
          <cell r="O75">
            <v>0.15</v>
          </cell>
          <cell r="P75">
            <v>27300</v>
          </cell>
          <cell r="Q75">
            <v>9450</v>
          </cell>
          <cell r="R75">
            <v>0.15</v>
          </cell>
          <cell r="S75">
            <v>27300</v>
          </cell>
          <cell r="T75">
            <v>0</v>
          </cell>
          <cell r="U75">
            <v>55098</v>
          </cell>
          <cell r="V75">
            <v>0</v>
          </cell>
          <cell r="W75">
            <v>0</v>
          </cell>
          <cell r="X75">
            <v>119148</v>
          </cell>
          <cell r="Y75">
            <v>183305</v>
          </cell>
          <cell r="Z75">
            <v>285003</v>
          </cell>
          <cell r="AA75">
            <v>428305</v>
          </cell>
        </row>
        <row r="76">
          <cell r="A76">
            <v>1013259141</v>
          </cell>
          <cell r="B76" t="str">
            <v>MOLINA</v>
          </cell>
          <cell r="C76" t="str">
            <v>Alfredo</v>
          </cell>
          <cell r="D76" t="str">
            <v>Profesional Principal</v>
          </cell>
          <cell r="E76">
            <v>57</v>
          </cell>
          <cell r="F76">
            <v>4245</v>
          </cell>
          <cell r="G76">
            <v>1843</v>
          </cell>
          <cell r="H76">
            <v>0</v>
          </cell>
          <cell r="I76">
            <v>0</v>
          </cell>
          <cell r="J76">
            <v>79144</v>
          </cell>
          <cell r="K76">
            <v>59115</v>
          </cell>
          <cell r="L76">
            <v>0</v>
          </cell>
          <cell r="M76">
            <v>59115</v>
          </cell>
          <cell r="N76" t="str">
            <v>Venezuela - Caracas</v>
          </cell>
          <cell r="O76">
            <v>0.15</v>
          </cell>
          <cell r="P76">
            <v>11872</v>
          </cell>
          <cell r="Q76">
            <v>0</v>
          </cell>
          <cell r="R76">
            <v>0.05</v>
          </cell>
          <cell r="S76">
            <v>3957</v>
          </cell>
          <cell r="T76">
            <v>0</v>
          </cell>
          <cell r="U76">
            <v>29924</v>
          </cell>
          <cell r="V76">
            <v>0</v>
          </cell>
          <cell r="W76">
            <v>0</v>
          </cell>
          <cell r="X76">
            <v>45753</v>
          </cell>
          <cell r="Y76">
            <v>68376</v>
          </cell>
          <cell r="Z76">
            <v>104868</v>
          </cell>
          <cell r="AA76">
            <v>147520</v>
          </cell>
        </row>
        <row r="77">
          <cell r="A77">
            <v>1013128656</v>
          </cell>
          <cell r="B77" t="str">
            <v>WEIMANN</v>
          </cell>
          <cell r="C77" t="str">
            <v>Pablo</v>
          </cell>
          <cell r="D77">
            <v>0</v>
          </cell>
          <cell r="E77">
            <v>57</v>
          </cell>
          <cell r="F77">
            <v>3700</v>
          </cell>
          <cell r="G77">
            <v>1110</v>
          </cell>
          <cell r="H77">
            <v>2</v>
          </cell>
          <cell r="I77">
            <v>9620</v>
          </cell>
          <cell r="J77">
            <v>72150</v>
          </cell>
          <cell r="K77">
            <v>46307</v>
          </cell>
          <cell r="L77">
            <v>7407</v>
          </cell>
          <cell r="M77">
            <v>53714</v>
          </cell>
          <cell r="N77" t="str">
            <v>USA - Houston</v>
          </cell>
          <cell r="O77">
            <v>0.15</v>
          </cell>
          <cell r="P77">
            <v>9380</v>
          </cell>
          <cell r="Q77">
            <v>1443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10823</v>
          </cell>
          <cell r="Y77">
            <v>15343</v>
          </cell>
          <cell r="Z77">
            <v>64537</v>
          </cell>
          <cell r="AA77">
            <v>87493</v>
          </cell>
        </row>
        <row r="78">
          <cell r="A78">
            <v>1012447277</v>
          </cell>
          <cell r="B78" t="str">
            <v>CARRO</v>
          </cell>
          <cell r="C78" t="str">
            <v>José Luis</v>
          </cell>
          <cell r="D78" t="str">
            <v>Lider Equipo SR.</v>
          </cell>
          <cell r="E78">
            <v>58</v>
          </cell>
          <cell r="F78">
            <v>5200</v>
          </cell>
          <cell r="G78">
            <v>0</v>
          </cell>
          <cell r="H78">
            <v>4</v>
          </cell>
          <cell r="I78">
            <v>20800</v>
          </cell>
          <cell r="J78">
            <v>88400</v>
          </cell>
          <cell r="K78">
            <v>51688</v>
          </cell>
          <cell r="L78">
            <v>14861</v>
          </cell>
          <cell r="M78">
            <v>66549</v>
          </cell>
          <cell r="N78" t="str">
            <v>Perú - Talara</v>
          </cell>
          <cell r="O78">
            <v>0.15</v>
          </cell>
          <cell r="P78">
            <v>10140</v>
          </cell>
          <cell r="Q78">
            <v>3120</v>
          </cell>
          <cell r="R78">
            <v>0.4</v>
          </cell>
          <cell r="S78">
            <v>27040</v>
          </cell>
          <cell r="T78">
            <v>0</v>
          </cell>
          <cell r="U78">
            <v>41820</v>
          </cell>
          <cell r="V78">
            <v>0</v>
          </cell>
          <cell r="W78">
            <v>0</v>
          </cell>
          <cell r="X78">
            <v>82120</v>
          </cell>
          <cell r="Y78">
            <v>126177</v>
          </cell>
          <cell r="Z78">
            <v>148669</v>
          </cell>
          <cell r="AA78">
            <v>214577</v>
          </cell>
        </row>
        <row r="79">
          <cell r="A79">
            <v>1012591991</v>
          </cell>
          <cell r="B79" t="str">
            <v>DIODATTI</v>
          </cell>
          <cell r="C79" t="str">
            <v>Horacio</v>
          </cell>
          <cell r="D79" t="str">
            <v>Gete. Abastecimiento</v>
          </cell>
          <cell r="E79">
            <v>59</v>
          </cell>
          <cell r="F79">
            <v>5600</v>
          </cell>
          <cell r="G79">
            <v>0</v>
          </cell>
          <cell r="H79">
            <v>3</v>
          </cell>
          <cell r="I79">
            <v>16800</v>
          </cell>
          <cell r="J79">
            <v>89600</v>
          </cell>
          <cell r="K79">
            <v>55692</v>
          </cell>
          <cell r="L79">
            <v>11733</v>
          </cell>
          <cell r="M79">
            <v>67425</v>
          </cell>
          <cell r="N79" t="str">
            <v>Venezuela - Caracas</v>
          </cell>
          <cell r="O79">
            <v>0.15</v>
          </cell>
          <cell r="P79">
            <v>10920</v>
          </cell>
          <cell r="Q79">
            <v>2520</v>
          </cell>
          <cell r="R79">
            <v>0.05</v>
          </cell>
          <cell r="S79">
            <v>3640</v>
          </cell>
          <cell r="T79">
            <v>0</v>
          </cell>
          <cell r="U79">
            <v>34270</v>
          </cell>
          <cell r="V79">
            <v>0</v>
          </cell>
          <cell r="W79">
            <v>0</v>
          </cell>
          <cell r="X79">
            <v>51350</v>
          </cell>
          <cell r="Y79">
            <v>78986</v>
          </cell>
          <cell r="Z79">
            <v>118775</v>
          </cell>
          <cell r="AA79">
            <v>168586</v>
          </cell>
        </row>
        <row r="80">
          <cell r="A80">
            <v>1006246874</v>
          </cell>
          <cell r="B80" t="str">
            <v>QUINTEROS</v>
          </cell>
          <cell r="C80" t="str">
            <v>Roberto</v>
          </cell>
          <cell r="D80" t="str">
            <v>Gte de Logística</v>
          </cell>
          <cell r="E80">
            <v>0</v>
          </cell>
          <cell r="F80">
            <v>7050</v>
          </cell>
          <cell r="G80">
            <v>0</v>
          </cell>
          <cell r="H80">
            <v>3</v>
          </cell>
          <cell r="I80">
            <v>21150</v>
          </cell>
          <cell r="J80">
            <v>112800</v>
          </cell>
          <cell r="K80">
            <v>68150</v>
          </cell>
          <cell r="L80">
            <v>14252</v>
          </cell>
          <cell r="M80">
            <v>82402</v>
          </cell>
          <cell r="N80" t="str">
            <v>Bolivia - Sta. Cruz de la Sierra - Refineria</v>
          </cell>
          <cell r="O80">
            <v>0.15</v>
          </cell>
          <cell r="P80">
            <v>13748</v>
          </cell>
          <cell r="Q80">
            <v>3173</v>
          </cell>
          <cell r="R80">
            <v>0.05</v>
          </cell>
          <cell r="S80">
            <v>4583</v>
          </cell>
          <cell r="T80">
            <v>0</v>
          </cell>
          <cell r="U80">
            <v>37668</v>
          </cell>
          <cell r="V80">
            <v>0</v>
          </cell>
          <cell r="W80">
            <v>0</v>
          </cell>
          <cell r="X80">
            <v>59172</v>
          </cell>
          <cell r="Y80">
            <v>93737</v>
          </cell>
          <cell r="Z80">
            <v>141574</v>
          </cell>
          <cell r="AA80">
            <v>206537</v>
          </cell>
        </row>
        <row r="81">
          <cell r="A81">
            <v>1018084529</v>
          </cell>
          <cell r="B81" t="str">
            <v>CASTILLO</v>
          </cell>
          <cell r="C81" t="str">
            <v>Guillermo</v>
          </cell>
          <cell r="D81" t="str">
            <v>Gerente de Ventas</v>
          </cell>
          <cell r="E81">
            <v>0</v>
          </cell>
          <cell r="F81">
            <v>2320</v>
          </cell>
          <cell r="G81">
            <v>1081</v>
          </cell>
          <cell r="H81">
            <v>3</v>
          </cell>
          <cell r="I81">
            <v>10203</v>
          </cell>
          <cell r="J81">
            <v>54416</v>
          </cell>
          <cell r="K81">
            <v>34942</v>
          </cell>
          <cell r="L81">
            <v>7875</v>
          </cell>
          <cell r="M81">
            <v>42817</v>
          </cell>
          <cell r="N81" t="str">
            <v>Brasil - San Pablo</v>
          </cell>
          <cell r="O81">
            <v>0.15</v>
          </cell>
          <cell r="P81">
            <v>6632</v>
          </cell>
          <cell r="Q81">
            <v>1530</v>
          </cell>
          <cell r="R81">
            <v>0.05</v>
          </cell>
          <cell r="S81">
            <v>2211</v>
          </cell>
          <cell r="T81">
            <v>0</v>
          </cell>
          <cell r="U81">
            <v>39752</v>
          </cell>
          <cell r="V81">
            <v>0</v>
          </cell>
          <cell r="W81">
            <v>0</v>
          </cell>
          <cell r="X81">
            <v>50125</v>
          </cell>
          <cell r="Y81">
            <v>73659</v>
          </cell>
          <cell r="Z81">
            <v>92942</v>
          </cell>
          <cell r="AA81">
            <v>128075</v>
          </cell>
        </row>
        <row r="82">
          <cell r="A82">
            <v>1020207781</v>
          </cell>
          <cell r="B82" t="str">
            <v>PETERSEN</v>
          </cell>
          <cell r="C82" t="str">
            <v>Lucas</v>
          </cell>
          <cell r="D82">
            <v>0</v>
          </cell>
          <cell r="E82">
            <v>0</v>
          </cell>
          <cell r="F82">
            <v>2000</v>
          </cell>
          <cell r="G82">
            <v>1708</v>
          </cell>
          <cell r="H82">
            <v>3.02</v>
          </cell>
          <cell r="I82">
            <v>11198.16</v>
          </cell>
          <cell r="J82">
            <v>59402</v>
          </cell>
          <cell r="K82">
            <v>36907</v>
          </cell>
          <cell r="L82">
            <v>8710</v>
          </cell>
          <cell r="M82">
            <v>45617</v>
          </cell>
          <cell r="N82" t="str">
            <v>Brasil - Porto Alegre</v>
          </cell>
          <cell r="O82">
            <v>0.15</v>
          </cell>
          <cell r="P82">
            <v>7231</v>
          </cell>
          <cell r="Q82">
            <v>1680</v>
          </cell>
          <cell r="R82">
            <v>0.05</v>
          </cell>
          <cell r="S82">
            <v>2410</v>
          </cell>
          <cell r="T82">
            <v>0</v>
          </cell>
          <cell r="U82">
            <v>32127</v>
          </cell>
          <cell r="V82">
            <v>0</v>
          </cell>
          <cell r="W82">
            <v>0</v>
          </cell>
          <cell r="X82">
            <v>43448</v>
          </cell>
          <cell r="Y82">
            <v>63741</v>
          </cell>
          <cell r="Z82">
            <v>89065</v>
          </cell>
          <cell r="AA82">
            <v>123143</v>
          </cell>
        </row>
        <row r="83">
          <cell r="A83">
            <v>1010636377</v>
          </cell>
          <cell r="B83" t="str">
            <v>LARPIN</v>
          </cell>
          <cell r="C83" t="str">
            <v>José</v>
          </cell>
          <cell r="D83">
            <v>0</v>
          </cell>
          <cell r="E83">
            <v>0</v>
          </cell>
          <cell r="F83">
            <v>7600</v>
          </cell>
          <cell r="G83">
            <v>0</v>
          </cell>
          <cell r="H83">
            <v>4.6100000000000003</v>
          </cell>
          <cell r="I83">
            <v>34999.998800000001</v>
          </cell>
          <cell r="J83">
            <v>133800</v>
          </cell>
          <cell r="K83">
            <v>73948</v>
          </cell>
          <cell r="L83">
            <v>23419</v>
          </cell>
          <cell r="M83">
            <v>97367</v>
          </cell>
          <cell r="N83" t="str">
            <v>Brasil - Porto Alegre</v>
          </cell>
          <cell r="O83">
            <v>0.15</v>
          </cell>
          <cell r="P83">
            <v>14820</v>
          </cell>
          <cell r="Q83">
            <v>5250</v>
          </cell>
          <cell r="R83">
            <v>0.05</v>
          </cell>
          <cell r="S83">
            <v>4940</v>
          </cell>
          <cell r="T83">
            <v>0</v>
          </cell>
          <cell r="U83">
            <v>69261</v>
          </cell>
          <cell r="V83">
            <v>0</v>
          </cell>
          <cell r="W83">
            <v>0</v>
          </cell>
          <cell r="X83">
            <v>94271</v>
          </cell>
          <cell r="Y83">
            <v>150866</v>
          </cell>
          <cell r="Z83">
            <v>191638</v>
          </cell>
          <cell r="AA83">
            <v>284666</v>
          </cell>
        </row>
        <row r="84">
          <cell r="A84">
            <v>1012395306</v>
          </cell>
          <cell r="B84" t="str">
            <v>MADOERY</v>
          </cell>
          <cell r="C84" t="str">
            <v>Ruben</v>
          </cell>
          <cell r="D84">
            <v>0</v>
          </cell>
          <cell r="E84">
            <v>0</v>
          </cell>
          <cell r="F84">
            <v>7500</v>
          </cell>
          <cell r="G84">
            <v>833</v>
          </cell>
          <cell r="H84">
            <v>3</v>
          </cell>
          <cell r="I84">
            <v>24999</v>
          </cell>
          <cell r="J84">
            <v>133328</v>
          </cell>
          <cell r="K84">
            <v>79628</v>
          </cell>
          <cell r="L84">
            <v>17413</v>
          </cell>
          <cell r="M84">
            <v>97041</v>
          </cell>
          <cell r="N84" t="str">
            <v>Brasil - Porto Alegre</v>
          </cell>
          <cell r="O84">
            <v>0.15</v>
          </cell>
          <cell r="P84">
            <v>16249</v>
          </cell>
          <cell r="Q84">
            <v>3750</v>
          </cell>
          <cell r="R84">
            <v>0.05</v>
          </cell>
          <cell r="S84">
            <v>5416</v>
          </cell>
          <cell r="T84">
            <v>0</v>
          </cell>
          <cell r="U84">
            <v>57186</v>
          </cell>
          <cell r="V84">
            <v>0</v>
          </cell>
          <cell r="W84">
            <v>0</v>
          </cell>
          <cell r="X84">
            <v>82601</v>
          </cell>
          <cell r="Y84">
            <v>132883</v>
          </cell>
          <cell r="Z84">
            <v>179642</v>
          </cell>
          <cell r="AA84">
            <v>266211</v>
          </cell>
        </row>
        <row r="85">
          <cell r="A85">
            <v>1012780048</v>
          </cell>
          <cell r="B85" t="str">
            <v>ANGIOLINI</v>
          </cell>
          <cell r="C85" t="str">
            <v>Fernando</v>
          </cell>
          <cell r="D85">
            <v>0</v>
          </cell>
          <cell r="E85">
            <v>0</v>
          </cell>
          <cell r="F85">
            <v>6400</v>
          </cell>
          <cell r="G85">
            <v>0</v>
          </cell>
          <cell r="H85">
            <v>3</v>
          </cell>
          <cell r="I85">
            <v>19200</v>
          </cell>
          <cell r="J85">
            <v>102400</v>
          </cell>
          <cell r="K85">
            <v>61403</v>
          </cell>
          <cell r="L85">
            <v>13070</v>
          </cell>
          <cell r="M85">
            <v>74473</v>
          </cell>
          <cell r="N85" t="str">
            <v>Brasil - Porto Alegre</v>
          </cell>
          <cell r="O85">
            <v>0.15</v>
          </cell>
          <cell r="P85">
            <v>12480</v>
          </cell>
          <cell r="Q85">
            <v>2880</v>
          </cell>
          <cell r="R85">
            <v>0.05</v>
          </cell>
          <cell r="S85">
            <v>4160</v>
          </cell>
          <cell r="T85">
            <v>0</v>
          </cell>
          <cell r="U85">
            <v>51883</v>
          </cell>
          <cell r="V85">
            <v>0</v>
          </cell>
          <cell r="W85">
            <v>0</v>
          </cell>
          <cell r="X85">
            <v>71403</v>
          </cell>
          <cell r="Y85">
            <v>109033</v>
          </cell>
          <cell r="Z85">
            <v>145876</v>
          </cell>
          <cell r="AA85">
            <v>211433</v>
          </cell>
        </row>
        <row r="86">
          <cell r="A86">
            <v>1014471318</v>
          </cell>
          <cell r="B86" t="str">
            <v>MAFFONI</v>
          </cell>
          <cell r="C86" t="str">
            <v>Antonio</v>
          </cell>
          <cell r="D86" t="str">
            <v>Gte. Reservorio</v>
          </cell>
          <cell r="E86">
            <v>58</v>
          </cell>
          <cell r="F86">
            <v>5600</v>
          </cell>
          <cell r="G86">
            <v>0</v>
          </cell>
          <cell r="H86">
            <v>3</v>
          </cell>
          <cell r="I86">
            <v>16800</v>
          </cell>
          <cell r="J86">
            <v>89600</v>
          </cell>
          <cell r="K86">
            <v>55059</v>
          </cell>
          <cell r="L86">
            <v>11788</v>
          </cell>
          <cell r="M86">
            <v>66847</v>
          </cell>
          <cell r="N86" t="str">
            <v>Venezuela - Caracas</v>
          </cell>
          <cell r="O86">
            <v>0.15</v>
          </cell>
          <cell r="P86">
            <v>10920</v>
          </cell>
          <cell r="Q86">
            <v>2520</v>
          </cell>
          <cell r="R86">
            <v>0.05</v>
          </cell>
          <cell r="S86">
            <v>3640</v>
          </cell>
          <cell r="T86">
            <v>0</v>
          </cell>
          <cell r="U86">
            <v>30354</v>
          </cell>
          <cell r="V86">
            <v>0</v>
          </cell>
          <cell r="W86">
            <v>0</v>
          </cell>
          <cell r="X86">
            <v>47434</v>
          </cell>
          <cell r="Y86">
            <v>72566</v>
          </cell>
          <cell r="Z86">
            <v>114281</v>
          </cell>
          <cell r="AA86">
            <v>162166</v>
          </cell>
        </row>
        <row r="87">
          <cell r="A87">
            <v>1013789218</v>
          </cell>
          <cell r="B87" t="str">
            <v>ARIAS</v>
          </cell>
          <cell r="C87" t="str">
            <v>Carlos</v>
          </cell>
          <cell r="D87" t="str">
            <v>Coord. Ambiental</v>
          </cell>
          <cell r="E87">
            <v>58</v>
          </cell>
          <cell r="F87">
            <v>5900</v>
          </cell>
          <cell r="G87">
            <v>0</v>
          </cell>
          <cell r="H87">
            <v>3</v>
          </cell>
          <cell r="I87">
            <v>17700</v>
          </cell>
          <cell r="J87">
            <v>94400</v>
          </cell>
          <cell r="K87">
            <v>57233</v>
          </cell>
          <cell r="L87">
            <v>13310</v>
          </cell>
          <cell r="M87">
            <v>70543</v>
          </cell>
          <cell r="N87" t="str">
            <v>Ecuador - Quito</v>
          </cell>
          <cell r="O87">
            <v>0.15</v>
          </cell>
          <cell r="P87">
            <v>11505</v>
          </cell>
          <cell r="Q87">
            <v>2655</v>
          </cell>
          <cell r="R87">
            <v>0.15</v>
          </cell>
          <cell r="S87">
            <v>11505</v>
          </cell>
          <cell r="T87">
            <v>0</v>
          </cell>
          <cell r="U87">
            <v>34271</v>
          </cell>
          <cell r="V87">
            <v>0</v>
          </cell>
          <cell r="W87">
            <v>0</v>
          </cell>
          <cell r="X87">
            <v>59936</v>
          </cell>
          <cell r="Y87">
            <v>92522</v>
          </cell>
          <cell r="Z87">
            <v>130479</v>
          </cell>
          <cell r="AA87">
            <v>186922</v>
          </cell>
        </row>
        <row r="88">
          <cell r="A88">
            <v>1016837842</v>
          </cell>
          <cell r="B88" t="str">
            <v>SUBBOTIN</v>
          </cell>
          <cell r="C88" t="str">
            <v>Juan</v>
          </cell>
          <cell r="D88" t="str">
            <v>Rep. Comercial</v>
          </cell>
          <cell r="E88">
            <v>0</v>
          </cell>
          <cell r="F88">
            <v>2160</v>
          </cell>
          <cell r="G88">
            <v>540</v>
          </cell>
          <cell r="H88">
            <v>0</v>
          </cell>
          <cell r="I88">
            <v>0</v>
          </cell>
          <cell r="J88">
            <v>35100</v>
          </cell>
          <cell r="K88">
            <v>28271</v>
          </cell>
          <cell r="L88">
            <v>0</v>
          </cell>
          <cell r="M88">
            <v>28271</v>
          </cell>
          <cell r="N88" t="str">
            <v>Bolivia - Sta. Cruz de la Sierra</v>
          </cell>
          <cell r="O88">
            <v>0.15</v>
          </cell>
          <cell r="P88">
            <v>5265</v>
          </cell>
          <cell r="Q88">
            <v>0</v>
          </cell>
          <cell r="R88">
            <v>0.15</v>
          </cell>
          <cell r="S88">
            <v>5265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10530</v>
          </cell>
          <cell r="Y88">
            <v>15563</v>
          </cell>
          <cell r="Z88">
            <v>38801</v>
          </cell>
          <cell r="AA88">
            <v>50663</v>
          </cell>
        </row>
        <row r="89">
          <cell r="A89">
            <v>1016509195</v>
          </cell>
          <cell r="B89" t="str">
            <v>CIFUENTES</v>
          </cell>
          <cell r="C89" t="str">
            <v>Gabriel</v>
          </cell>
          <cell r="D89" t="str">
            <v>Gte. Producción</v>
          </cell>
          <cell r="E89">
            <v>59</v>
          </cell>
          <cell r="F89">
            <v>6600</v>
          </cell>
          <cell r="G89">
            <v>0</v>
          </cell>
          <cell r="H89">
            <v>4.5</v>
          </cell>
          <cell r="I89">
            <v>29700</v>
          </cell>
          <cell r="J89">
            <v>115500</v>
          </cell>
          <cell r="K89">
            <v>64240</v>
          </cell>
          <cell r="L89">
            <v>20342</v>
          </cell>
          <cell r="M89">
            <v>84582</v>
          </cell>
          <cell r="N89" t="str">
            <v>Venezuela - Caracas</v>
          </cell>
          <cell r="O89">
            <v>0.15</v>
          </cell>
          <cell r="P89">
            <v>12870</v>
          </cell>
          <cell r="Q89">
            <v>4455</v>
          </cell>
          <cell r="R89">
            <v>0.05</v>
          </cell>
          <cell r="S89">
            <v>4290</v>
          </cell>
          <cell r="T89">
            <v>0</v>
          </cell>
          <cell r="U89">
            <v>37785</v>
          </cell>
          <cell r="V89">
            <v>0</v>
          </cell>
          <cell r="W89">
            <v>0</v>
          </cell>
          <cell r="X89">
            <v>59400</v>
          </cell>
          <cell r="Y89">
            <v>92196</v>
          </cell>
          <cell r="Z89">
            <v>143982</v>
          </cell>
          <cell r="AA89">
            <v>207696</v>
          </cell>
        </row>
        <row r="90">
          <cell r="A90">
            <v>1014349559</v>
          </cell>
          <cell r="B90" t="str">
            <v>GIAMPAOLI</v>
          </cell>
          <cell r="C90" t="str">
            <v>Hugo</v>
          </cell>
          <cell r="D90" t="str">
            <v>Gte. País</v>
          </cell>
          <cell r="E90">
            <v>62</v>
          </cell>
          <cell r="F90">
            <v>14300</v>
          </cell>
          <cell r="G90">
            <v>0</v>
          </cell>
          <cell r="H90">
            <v>6</v>
          </cell>
          <cell r="I90">
            <v>85800</v>
          </cell>
          <cell r="J90">
            <v>271700</v>
          </cell>
          <cell r="K90">
            <v>129708</v>
          </cell>
          <cell r="L90">
            <v>53502</v>
          </cell>
          <cell r="M90">
            <v>183210</v>
          </cell>
          <cell r="N90" t="str">
            <v>Ecuador - Quito</v>
          </cell>
          <cell r="O90">
            <v>0.15</v>
          </cell>
          <cell r="P90">
            <v>27885</v>
          </cell>
          <cell r="Q90">
            <v>12870</v>
          </cell>
          <cell r="R90">
            <v>0.15</v>
          </cell>
          <cell r="S90">
            <v>27885</v>
          </cell>
          <cell r="T90">
            <v>0</v>
          </cell>
          <cell r="U90">
            <v>58427</v>
          </cell>
          <cell r="V90">
            <v>0</v>
          </cell>
          <cell r="W90">
            <v>0</v>
          </cell>
          <cell r="X90">
            <v>127067</v>
          </cell>
          <cell r="Y90">
            <v>195488</v>
          </cell>
          <cell r="Z90">
            <v>310277</v>
          </cell>
          <cell r="AA90">
            <v>467188</v>
          </cell>
        </row>
        <row r="91">
          <cell r="A91">
            <v>1008429015</v>
          </cell>
          <cell r="B91" t="str">
            <v>SILVESTRE</v>
          </cell>
          <cell r="C91" t="str">
            <v>Luis</v>
          </cell>
          <cell r="D91" t="str">
            <v>Ing. de Proyecto</v>
          </cell>
          <cell r="E91">
            <v>0</v>
          </cell>
          <cell r="F91">
            <v>6500</v>
          </cell>
          <cell r="G91">
            <v>0</v>
          </cell>
          <cell r="H91">
            <v>3</v>
          </cell>
          <cell r="I91">
            <v>19500</v>
          </cell>
          <cell r="J91">
            <v>104000</v>
          </cell>
          <cell r="K91">
            <v>63403</v>
          </cell>
          <cell r="L91">
            <v>13065</v>
          </cell>
          <cell r="M91">
            <v>76468</v>
          </cell>
          <cell r="N91" t="str">
            <v>Ecuador - Quito</v>
          </cell>
          <cell r="O91">
            <v>0.15</v>
          </cell>
          <cell r="P91">
            <v>12675</v>
          </cell>
          <cell r="Q91">
            <v>2925</v>
          </cell>
          <cell r="R91">
            <v>0.15</v>
          </cell>
          <cell r="S91">
            <v>12675</v>
          </cell>
          <cell r="T91">
            <v>0</v>
          </cell>
          <cell r="U91">
            <v>36103</v>
          </cell>
          <cell r="V91">
            <v>0</v>
          </cell>
          <cell r="W91">
            <v>0</v>
          </cell>
          <cell r="X91">
            <v>64378</v>
          </cell>
          <cell r="Y91">
            <v>101252</v>
          </cell>
          <cell r="Z91">
            <v>140846</v>
          </cell>
          <cell r="AA91">
            <v>205252</v>
          </cell>
        </row>
        <row r="92">
          <cell r="A92">
            <v>1013810557</v>
          </cell>
          <cell r="B92" t="str">
            <v>KRAEMER</v>
          </cell>
          <cell r="C92" t="str">
            <v>Pablo</v>
          </cell>
          <cell r="D92" t="str">
            <v xml:space="preserve">Technical Advisor </v>
          </cell>
          <cell r="E92">
            <v>58</v>
          </cell>
          <cell r="F92">
            <v>5500</v>
          </cell>
          <cell r="G92">
            <v>0</v>
          </cell>
          <cell r="H92">
            <v>4</v>
          </cell>
          <cell r="I92">
            <v>22000</v>
          </cell>
          <cell r="J92">
            <v>93500</v>
          </cell>
          <cell r="K92">
            <v>54480</v>
          </cell>
          <cell r="L92">
            <v>15599</v>
          </cell>
          <cell r="M92">
            <v>70079</v>
          </cell>
          <cell r="N92" t="str">
            <v>Francia - París</v>
          </cell>
          <cell r="O92">
            <v>0.15</v>
          </cell>
          <cell r="P92">
            <v>10725</v>
          </cell>
          <cell r="Q92">
            <v>3300</v>
          </cell>
          <cell r="R92">
            <v>0</v>
          </cell>
          <cell r="S92">
            <v>0</v>
          </cell>
          <cell r="T92">
            <v>0</v>
          </cell>
          <cell r="U92">
            <v>11387</v>
          </cell>
          <cell r="V92">
            <v>0</v>
          </cell>
          <cell r="W92">
            <v>15267</v>
          </cell>
          <cell r="X92">
            <v>40679</v>
          </cell>
          <cell r="Y92">
            <v>62917</v>
          </cell>
          <cell r="Z92">
            <v>110758</v>
          </cell>
          <cell r="AA92">
            <v>156417</v>
          </cell>
        </row>
        <row r="93">
          <cell r="A93">
            <v>1008429709</v>
          </cell>
          <cell r="B93" t="str">
            <v>FAVORETTI</v>
          </cell>
          <cell r="C93" t="str">
            <v>Daniel Hugo</v>
          </cell>
          <cell r="D93" t="str">
            <v>Gerente Bloque 31</v>
          </cell>
          <cell r="E93">
            <v>0</v>
          </cell>
          <cell r="F93">
            <v>14120</v>
          </cell>
          <cell r="G93">
            <v>0</v>
          </cell>
          <cell r="H93">
            <v>6</v>
          </cell>
          <cell r="I93">
            <v>84720</v>
          </cell>
          <cell r="J93">
            <v>268280</v>
          </cell>
          <cell r="K93">
            <v>128615</v>
          </cell>
          <cell r="L93">
            <v>52372</v>
          </cell>
          <cell r="M93">
            <v>180987</v>
          </cell>
          <cell r="N93" t="str">
            <v>Ecuador - Quito</v>
          </cell>
          <cell r="O93">
            <v>0.15</v>
          </cell>
          <cell r="P93">
            <v>27534</v>
          </cell>
          <cell r="Q93">
            <v>12708</v>
          </cell>
          <cell r="R93">
            <v>0.15</v>
          </cell>
          <cell r="S93">
            <v>27534</v>
          </cell>
          <cell r="T93">
            <v>0</v>
          </cell>
          <cell r="U93">
            <v>69583</v>
          </cell>
          <cell r="V93">
            <v>0</v>
          </cell>
          <cell r="W93">
            <v>0</v>
          </cell>
          <cell r="X93">
            <v>137359</v>
          </cell>
          <cell r="Y93">
            <v>211322</v>
          </cell>
          <cell r="Z93">
            <v>318346</v>
          </cell>
          <cell r="AA93">
            <v>479602</v>
          </cell>
        </row>
        <row r="94">
          <cell r="A94">
            <v>1007889569</v>
          </cell>
          <cell r="B94" t="str">
            <v>CHELAR</v>
          </cell>
          <cell r="C94" t="str">
            <v>Miguel</v>
          </cell>
          <cell r="D94" t="str">
            <v>Gte. Perforación</v>
          </cell>
          <cell r="E94">
            <v>60</v>
          </cell>
          <cell r="F94">
            <v>10800</v>
          </cell>
          <cell r="G94">
            <v>0</v>
          </cell>
          <cell r="H94">
            <v>5</v>
          </cell>
          <cell r="I94">
            <v>54000</v>
          </cell>
          <cell r="J94">
            <v>194400</v>
          </cell>
          <cell r="K94">
            <v>101604</v>
          </cell>
          <cell r="L94">
            <v>33629</v>
          </cell>
          <cell r="M94">
            <v>135233</v>
          </cell>
          <cell r="N94" t="str">
            <v>Ecuador - Quito</v>
          </cell>
          <cell r="O94">
            <v>0.15</v>
          </cell>
          <cell r="P94">
            <v>21060</v>
          </cell>
          <cell r="Q94">
            <v>8100</v>
          </cell>
          <cell r="R94">
            <v>0.15</v>
          </cell>
          <cell r="S94">
            <v>21060</v>
          </cell>
          <cell r="T94">
            <v>0</v>
          </cell>
          <cell r="U94">
            <v>48301</v>
          </cell>
          <cell r="V94">
            <v>0</v>
          </cell>
          <cell r="W94">
            <v>0</v>
          </cell>
          <cell r="X94">
            <v>98521</v>
          </cell>
          <cell r="Y94">
            <v>155060</v>
          </cell>
          <cell r="Z94">
            <v>233754</v>
          </cell>
          <cell r="AA94">
            <v>349460</v>
          </cell>
        </row>
        <row r="95">
          <cell r="A95">
            <v>1008390299</v>
          </cell>
          <cell r="B95" t="str">
            <v>SOSA</v>
          </cell>
          <cell r="C95" t="str">
            <v>Héctor</v>
          </cell>
          <cell r="D95" t="str">
            <v>Gte. Exploración</v>
          </cell>
          <cell r="E95">
            <v>60</v>
          </cell>
          <cell r="F95">
            <v>7850</v>
          </cell>
          <cell r="G95">
            <v>0</v>
          </cell>
          <cell r="H95">
            <v>4</v>
          </cell>
          <cell r="I95">
            <v>31400</v>
          </cell>
          <cell r="J95">
            <v>133450</v>
          </cell>
          <cell r="K95">
            <v>74906</v>
          </cell>
          <cell r="L95">
            <v>22061</v>
          </cell>
          <cell r="M95">
            <v>96967</v>
          </cell>
          <cell r="N95" t="str">
            <v>Ecuador - Quito</v>
          </cell>
          <cell r="O95">
            <v>0.15</v>
          </cell>
          <cell r="P95">
            <v>15308</v>
          </cell>
          <cell r="Q95">
            <v>4710</v>
          </cell>
          <cell r="R95">
            <v>0.15</v>
          </cell>
          <cell r="S95">
            <v>15308</v>
          </cell>
          <cell r="T95">
            <v>0</v>
          </cell>
          <cell r="U95">
            <v>41575</v>
          </cell>
          <cell r="V95">
            <v>0</v>
          </cell>
          <cell r="W95">
            <v>0</v>
          </cell>
          <cell r="X95">
            <v>76901</v>
          </cell>
          <cell r="Y95">
            <v>123878</v>
          </cell>
          <cell r="Z95">
            <v>173868</v>
          </cell>
          <cell r="AA95">
            <v>257328</v>
          </cell>
        </row>
        <row r="96">
          <cell r="A96">
            <v>1012676951</v>
          </cell>
          <cell r="B96" t="str">
            <v>VILLALBA</v>
          </cell>
          <cell r="C96" t="str">
            <v>Enrique  Gaspar</v>
          </cell>
          <cell r="D96" t="str">
            <v>Coordinador Reservorios</v>
          </cell>
          <cell r="E96">
            <v>59</v>
          </cell>
          <cell r="F96">
            <v>7200</v>
          </cell>
          <cell r="G96">
            <v>0</v>
          </cell>
          <cell r="H96">
            <v>4</v>
          </cell>
          <cell r="I96">
            <v>28800</v>
          </cell>
          <cell r="J96">
            <v>122400</v>
          </cell>
          <cell r="K96">
            <v>69959</v>
          </cell>
          <cell r="L96">
            <v>19384</v>
          </cell>
          <cell r="M96">
            <v>89343</v>
          </cell>
          <cell r="N96" t="str">
            <v>Ecuador - Quito</v>
          </cell>
          <cell r="O96">
            <v>0.15</v>
          </cell>
          <cell r="P96">
            <v>14040</v>
          </cell>
          <cell r="Q96">
            <v>4320</v>
          </cell>
          <cell r="R96">
            <v>0.15</v>
          </cell>
          <cell r="S96">
            <v>14040</v>
          </cell>
          <cell r="T96">
            <v>0</v>
          </cell>
          <cell r="U96">
            <v>37111</v>
          </cell>
          <cell r="V96">
            <v>0</v>
          </cell>
          <cell r="W96">
            <v>0</v>
          </cell>
          <cell r="X96">
            <v>69511</v>
          </cell>
          <cell r="Y96">
            <v>110612</v>
          </cell>
          <cell r="Z96">
            <v>158854</v>
          </cell>
          <cell r="AA96">
            <v>233012</v>
          </cell>
        </row>
        <row r="97">
          <cell r="A97">
            <v>1012942976</v>
          </cell>
          <cell r="B97" t="str">
            <v>GOMEZ</v>
          </cell>
          <cell r="C97" t="str">
            <v>Marcelo Gerardo</v>
          </cell>
          <cell r="D97" t="str">
            <v>Gte.Operaciones</v>
          </cell>
          <cell r="E97">
            <v>62</v>
          </cell>
          <cell r="F97">
            <v>12500</v>
          </cell>
          <cell r="G97">
            <v>0</v>
          </cell>
          <cell r="H97">
            <v>5</v>
          </cell>
          <cell r="I97">
            <v>62500</v>
          </cell>
          <cell r="J97">
            <v>225000</v>
          </cell>
          <cell r="K97">
            <v>114605</v>
          </cell>
          <cell r="L97">
            <v>39041</v>
          </cell>
          <cell r="M97">
            <v>153646</v>
          </cell>
          <cell r="N97" t="str">
            <v>Venezuela - Caracas</v>
          </cell>
          <cell r="O97">
            <v>0.15</v>
          </cell>
          <cell r="P97">
            <v>24375</v>
          </cell>
          <cell r="Q97">
            <v>9375</v>
          </cell>
          <cell r="R97">
            <v>0.05</v>
          </cell>
          <cell r="S97">
            <v>8125</v>
          </cell>
          <cell r="T97">
            <v>0</v>
          </cell>
          <cell r="U97">
            <v>56547</v>
          </cell>
          <cell r="V97">
            <v>0</v>
          </cell>
          <cell r="W97">
            <v>0</v>
          </cell>
          <cell r="X97">
            <v>98422</v>
          </cell>
          <cell r="Y97">
            <v>152636</v>
          </cell>
          <cell r="Z97">
            <v>252068</v>
          </cell>
          <cell r="AA97">
            <v>377636</v>
          </cell>
        </row>
        <row r="98">
          <cell r="A98">
            <v>1022510672</v>
          </cell>
          <cell r="B98" t="str">
            <v>BUSTOS CAMPORA</v>
          </cell>
          <cell r="C98" t="str">
            <v>Yanina</v>
          </cell>
          <cell r="D98" t="str">
            <v>Analista Capacit. Sr.</v>
          </cell>
          <cell r="E98">
            <v>56</v>
          </cell>
          <cell r="F98">
            <v>4100</v>
          </cell>
          <cell r="G98">
            <v>0</v>
          </cell>
          <cell r="H98">
            <v>1.5</v>
          </cell>
          <cell r="I98">
            <v>6150</v>
          </cell>
          <cell r="J98">
            <v>59450</v>
          </cell>
          <cell r="K98">
            <v>40678</v>
          </cell>
          <cell r="L98">
            <v>4779</v>
          </cell>
          <cell r="M98">
            <v>45457</v>
          </cell>
          <cell r="N98" t="str">
            <v>Ecuador - Quito</v>
          </cell>
          <cell r="O98">
            <v>0.15</v>
          </cell>
          <cell r="P98">
            <v>7995</v>
          </cell>
          <cell r="Q98">
            <v>923</v>
          </cell>
          <cell r="R98">
            <v>0.15</v>
          </cell>
          <cell r="S98">
            <v>7995</v>
          </cell>
          <cell r="T98">
            <v>0</v>
          </cell>
          <cell r="U98">
            <v>21499</v>
          </cell>
          <cell r="V98">
            <v>0</v>
          </cell>
          <cell r="W98">
            <v>0</v>
          </cell>
          <cell r="X98">
            <v>38412</v>
          </cell>
          <cell r="Y98">
            <v>55705</v>
          </cell>
          <cell r="Z98">
            <v>83869</v>
          </cell>
          <cell r="AA98">
            <v>115155</v>
          </cell>
        </row>
        <row r="99">
          <cell r="A99">
            <v>1021612453</v>
          </cell>
          <cell r="B99" t="str">
            <v>MENDIZABAL</v>
          </cell>
          <cell r="C99" t="str">
            <v>Andrés</v>
          </cell>
          <cell r="D99" t="str">
            <v>Ing. De Ductos</v>
          </cell>
          <cell r="E99">
            <v>0</v>
          </cell>
          <cell r="F99">
            <v>4600</v>
          </cell>
          <cell r="G99">
            <v>0</v>
          </cell>
          <cell r="H99">
            <v>2.5</v>
          </cell>
          <cell r="I99">
            <v>11500</v>
          </cell>
          <cell r="J99">
            <v>71300</v>
          </cell>
          <cell r="K99">
            <v>44967</v>
          </cell>
          <cell r="L99">
            <v>8829</v>
          </cell>
          <cell r="M99">
            <v>53796</v>
          </cell>
          <cell r="N99" t="str">
            <v>Ecuador - Quito</v>
          </cell>
          <cell r="O99">
            <v>0.15</v>
          </cell>
          <cell r="P99">
            <v>8970</v>
          </cell>
          <cell r="Q99">
            <v>1725</v>
          </cell>
          <cell r="R99">
            <v>0.15</v>
          </cell>
          <cell r="S99">
            <v>8970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19665</v>
          </cell>
          <cell r="Y99">
            <v>27889</v>
          </cell>
          <cell r="Z99">
            <v>73461</v>
          </cell>
          <cell r="AA99">
            <v>99189</v>
          </cell>
        </row>
        <row r="100">
          <cell r="A100">
            <v>1024069415</v>
          </cell>
          <cell r="B100" t="str">
            <v>ARNAUDE</v>
          </cell>
          <cell r="C100" t="str">
            <v>Pablo</v>
          </cell>
          <cell r="D100" t="str">
            <v>Deputy Manager</v>
          </cell>
          <cell r="E100">
            <v>0</v>
          </cell>
          <cell r="F100">
            <v>4000</v>
          </cell>
          <cell r="G100">
            <v>600</v>
          </cell>
          <cell r="H100">
            <v>1.5</v>
          </cell>
          <cell r="I100">
            <v>6900</v>
          </cell>
          <cell r="J100">
            <v>66700</v>
          </cell>
          <cell r="K100">
            <v>45178</v>
          </cell>
          <cell r="L100">
            <v>5287</v>
          </cell>
          <cell r="M100">
            <v>50465</v>
          </cell>
          <cell r="N100" t="str">
            <v>Cayman Islands</v>
          </cell>
          <cell r="O100">
            <v>0.15</v>
          </cell>
          <cell r="P100">
            <v>8970</v>
          </cell>
          <cell r="Q100">
            <v>1035</v>
          </cell>
          <cell r="R100">
            <v>0</v>
          </cell>
          <cell r="S100">
            <v>0</v>
          </cell>
          <cell r="T100">
            <v>0</v>
          </cell>
          <cell r="U100">
            <v>18200</v>
          </cell>
          <cell r="V100">
            <v>0</v>
          </cell>
          <cell r="W100">
            <v>21632</v>
          </cell>
          <cell r="X100">
            <v>49837</v>
          </cell>
          <cell r="Y100">
            <v>74125</v>
          </cell>
          <cell r="Z100">
            <v>100302</v>
          </cell>
          <cell r="AA100">
            <v>140825</v>
          </cell>
        </row>
        <row r="101">
          <cell r="A101">
            <v>1021368232</v>
          </cell>
          <cell r="B101" t="str">
            <v>RECIO</v>
          </cell>
          <cell r="C101" t="str">
            <v>Mauricio Nestor</v>
          </cell>
          <cell r="D101" t="str">
            <v>Profesional Sr.</v>
          </cell>
          <cell r="E101">
            <v>0</v>
          </cell>
          <cell r="F101">
            <v>4066</v>
          </cell>
          <cell r="G101">
            <v>0</v>
          </cell>
          <cell r="H101">
            <v>1</v>
          </cell>
          <cell r="I101">
            <v>4066</v>
          </cell>
          <cell r="J101">
            <v>56924</v>
          </cell>
          <cell r="K101">
            <v>40732</v>
          </cell>
          <cell r="L101">
            <v>3193</v>
          </cell>
          <cell r="M101">
            <v>43925</v>
          </cell>
          <cell r="N101" t="str">
            <v>Ecuador - Quito</v>
          </cell>
          <cell r="O101">
            <v>0.15</v>
          </cell>
          <cell r="P101">
            <v>7929</v>
          </cell>
          <cell r="Q101">
            <v>610</v>
          </cell>
          <cell r="R101">
            <v>0.15</v>
          </cell>
          <cell r="S101">
            <v>7929</v>
          </cell>
          <cell r="T101">
            <v>0</v>
          </cell>
          <cell r="U101">
            <v>24166</v>
          </cell>
          <cell r="V101">
            <v>0</v>
          </cell>
          <cell r="W101">
            <v>0</v>
          </cell>
          <cell r="X101">
            <v>40634</v>
          </cell>
          <cell r="Y101">
            <v>58772</v>
          </cell>
          <cell r="Z101">
            <v>84559</v>
          </cell>
          <cell r="AA101">
            <v>115696</v>
          </cell>
        </row>
        <row r="102">
          <cell r="A102">
            <v>1012219406</v>
          </cell>
          <cell r="B102" t="str">
            <v>CASALIS</v>
          </cell>
          <cell r="C102" t="str">
            <v>Daniel Jorge</v>
          </cell>
          <cell r="D102" t="str">
            <v>Lider Equipo</v>
          </cell>
          <cell r="E102">
            <v>0</v>
          </cell>
          <cell r="F102">
            <v>5246</v>
          </cell>
          <cell r="G102">
            <v>0</v>
          </cell>
          <cell r="H102">
            <v>4</v>
          </cell>
          <cell r="I102">
            <v>20984</v>
          </cell>
          <cell r="J102">
            <v>89182</v>
          </cell>
          <cell r="K102">
            <v>51727</v>
          </cell>
          <cell r="L102">
            <v>15007</v>
          </cell>
          <cell r="M102">
            <v>66734</v>
          </cell>
          <cell r="N102" t="str">
            <v>Ecuador - Quito</v>
          </cell>
          <cell r="O102">
            <v>0.15</v>
          </cell>
          <cell r="P102">
            <v>10230</v>
          </cell>
          <cell r="Q102">
            <v>3148</v>
          </cell>
          <cell r="R102">
            <v>0.15</v>
          </cell>
          <cell r="S102">
            <v>10230</v>
          </cell>
          <cell r="T102">
            <v>0</v>
          </cell>
          <cell r="U102">
            <v>33205</v>
          </cell>
          <cell r="V102">
            <v>0</v>
          </cell>
          <cell r="W102">
            <v>0</v>
          </cell>
          <cell r="X102">
            <v>56813</v>
          </cell>
          <cell r="Y102">
            <v>87075</v>
          </cell>
          <cell r="Z102">
            <v>123547</v>
          </cell>
          <cell r="AA102">
            <v>176257</v>
          </cell>
        </row>
        <row r="103">
          <cell r="A103">
            <v>1020049433</v>
          </cell>
          <cell r="B103" t="str">
            <v>DUBE</v>
          </cell>
          <cell r="C103" t="str">
            <v>Darío Edgardo</v>
          </cell>
          <cell r="D103" t="str">
            <v>Profesional Sr.</v>
          </cell>
          <cell r="E103">
            <v>0</v>
          </cell>
          <cell r="F103">
            <v>4898</v>
          </cell>
          <cell r="G103">
            <v>0</v>
          </cell>
          <cell r="H103">
            <v>2</v>
          </cell>
          <cell r="I103">
            <v>9796</v>
          </cell>
          <cell r="J103">
            <v>73470</v>
          </cell>
          <cell r="K103">
            <v>48032</v>
          </cell>
          <cell r="L103">
            <v>7543</v>
          </cell>
          <cell r="M103">
            <v>55575</v>
          </cell>
          <cell r="N103" t="str">
            <v>Venezuela - El Tigre</v>
          </cell>
          <cell r="O103">
            <v>0.15</v>
          </cell>
          <cell r="P103">
            <v>9551</v>
          </cell>
          <cell r="Q103">
            <v>1469</v>
          </cell>
          <cell r="R103">
            <v>0.15</v>
          </cell>
          <cell r="S103">
            <v>9551</v>
          </cell>
          <cell r="T103">
            <v>0</v>
          </cell>
          <cell r="U103">
            <v>3093</v>
          </cell>
          <cell r="V103">
            <v>0</v>
          </cell>
          <cell r="W103">
            <v>0</v>
          </cell>
          <cell r="X103">
            <v>23664</v>
          </cell>
          <cell r="Y103">
            <v>34704</v>
          </cell>
          <cell r="Z103">
            <v>79239</v>
          </cell>
          <cell r="AA103">
            <v>108174</v>
          </cell>
        </row>
        <row r="104">
          <cell r="A104">
            <v>19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 t="e">
            <v>#DIV/0!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0.15</v>
          </cell>
          <cell r="P104">
            <v>0</v>
          </cell>
          <cell r="Q104">
            <v>0</v>
          </cell>
          <cell r="R104" t="e">
            <v>#N/A</v>
          </cell>
          <cell r="S104" t="e">
            <v>#N/A</v>
          </cell>
          <cell r="T104" t="e">
            <v>#N/A</v>
          </cell>
          <cell r="U104">
            <v>0</v>
          </cell>
          <cell r="V104">
            <v>0</v>
          </cell>
          <cell r="W104">
            <v>0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</row>
        <row r="105">
          <cell r="A105">
            <v>20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 t="e">
            <v>#DIV/0!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0.15</v>
          </cell>
          <cell r="P105">
            <v>0</v>
          </cell>
          <cell r="Q105">
            <v>0</v>
          </cell>
          <cell r="R105" t="e">
            <v>#N/A</v>
          </cell>
          <cell r="S105" t="e">
            <v>#N/A</v>
          </cell>
          <cell r="T105" t="e">
            <v>#N/A</v>
          </cell>
          <cell r="U105">
            <v>0</v>
          </cell>
          <cell r="V105">
            <v>0</v>
          </cell>
          <cell r="W105">
            <v>0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</row>
        <row r="106">
          <cell r="A106">
            <v>21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 t="e">
            <v>#DIV/0!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0.15</v>
          </cell>
          <cell r="P106">
            <v>0</v>
          </cell>
          <cell r="Q106">
            <v>0</v>
          </cell>
          <cell r="R106" t="e">
            <v>#N/A</v>
          </cell>
          <cell r="S106" t="e">
            <v>#N/A</v>
          </cell>
          <cell r="T106" t="e">
            <v>#N/A</v>
          </cell>
          <cell r="U106">
            <v>0</v>
          </cell>
          <cell r="V106">
            <v>0</v>
          </cell>
          <cell r="W106">
            <v>0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</row>
      </sheetData>
      <sheetData sheetId="1"/>
      <sheetData sheetId="2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DESTINO</v>
          </cell>
          <cell r="E6" t="str">
            <v>Total Neto de la asignación internacional</v>
          </cell>
          <cell r="F6" t="str">
            <v>MENOS Compensación Variable neta</v>
          </cell>
          <cell r="G6" t="str">
            <v>SUB TOTAL</v>
          </cell>
          <cell r="H6" t="str">
            <v>Sueldos Netos abonados en ARGENTINA</v>
          </cell>
          <cell r="I6" t="str">
            <v>Sueldos Netos a abonar en el EXTERIOR</v>
          </cell>
        </row>
        <row r="7">
          <cell r="A7">
            <v>1008035725</v>
          </cell>
          <cell r="B7" t="str">
            <v>BIANCHETTI</v>
          </cell>
          <cell r="C7" t="str">
            <v>Miguel</v>
          </cell>
          <cell r="D7" t="str">
            <v>Brasil . Rio de Janeiro</v>
          </cell>
          <cell r="E7">
            <v>188900</v>
          </cell>
          <cell r="F7">
            <v>37941</v>
          </cell>
          <cell r="G7">
            <v>150959</v>
          </cell>
          <cell r="H7">
            <v>0</v>
          </cell>
          <cell r="I7">
            <v>150959</v>
          </cell>
        </row>
        <row r="8">
          <cell r="A8">
            <v>4006040386</v>
          </cell>
          <cell r="B8" t="str">
            <v>MARTINEZ</v>
          </cell>
          <cell r="C8" t="str">
            <v>Aníbal</v>
          </cell>
          <cell r="D8" t="str">
            <v>Brasil . Rio de Janeiro</v>
          </cell>
          <cell r="E8">
            <v>68269</v>
          </cell>
          <cell r="F8">
            <v>7073</v>
          </cell>
          <cell r="G8">
            <v>61196</v>
          </cell>
          <cell r="H8">
            <v>0</v>
          </cell>
          <cell r="I8">
            <v>61196</v>
          </cell>
        </row>
        <row r="9">
          <cell r="A9">
            <v>4010941885</v>
          </cell>
          <cell r="B9" t="str">
            <v>DIPINTO CAFIERO</v>
          </cell>
          <cell r="C9" t="str">
            <v>Roberto</v>
          </cell>
          <cell r="D9" t="str">
            <v>Bolivia - Sta. Cruz de la Sierra</v>
          </cell>
          <cell r="E9">
            <v>235755</v>
          </cell>
          <cell r="F9">
            <v>41973</v>
          </cell>
          <cell r="G9">
            <v>193782</v>
          </cell>
          <cell r="H9">
            <v>0</v>
          </cell>
          <cell r="I9">
            <v>193782</v>
          </cell>
        </row>
        <row r="10">
          <cell r="A10">
            <v>1013683522</v>
          </cell>
          <cell r="B10" t="str">
            <v>RAFFAELI</v>
          </cell>
          <cell r="C10" t="str">
            <v>Nestor</v>
          </cell>
          <cell r="D10" t="str">
            <v>Bolivia - Sta. Cruz de la Sierra</v>
          </cell>
          <cell r="E10">
            <v>98151</v>
          </cell>
          <cell r="F10">
            <v>0</v>
          </cell>
          <cell r="G10">
            <v>98151</v>
          </cell>
          <cell r="H10">
            <v>0</v>
          </cell>
          <cell r="I10">
            <v>98151</v>
          </cell>
        </row>
        <row r="11">
          <cell r="A11">
            <v>1018773480</v>
          </cell>
          <cell r="B11" t="str">
            <v>BENEDINI</v>
          </cell>
          <cell r="C11" t="str">
            <v>Adolfo</v>
          </cell>
          <cell r="D11" t="str">
            <v>Bolivia - Sta. Cruz de la Sierra</v>
          </cell>
          <cell r="E11">
            <v>109018</v>
          </cell>
          <cell r="F11">
            <v>10491</v>
          </cell>
          <cell r="G11">
            <v>98527</v>
          </cell>
          <cell r="H11">
            <v>0</v>
          </cell>
          <cell r="I11">
            <v>98527</v>
          </cell>
        </row>
        <row r="12">
          <cell r="A12">
            <v>1006437773</v>
          </cell>
          <cell r="B12" t="str">
            <v>BARRERA</v>
          </cell>
          <cell r="C12" t="str">
            <v>Ramón</v>
          </cell>
          <cell r="D12" t="str">
            <v>Perú - Talara</v>
          </cell>
          <cell r="E12">
            <v>112873</v>
          </cell>
          <cell r="F12">
            <v>9423</v>
          </cell>
          <cell r="G12">
            <v>103450</v>
          </cell>
          <cell r="H12">
            <v>0</v>
          </cell>
          <cell r="I12">
            <v>103450</v>
          </cell>
        </row>
        <row r="13">
          <cell r="A13">
            <v>1012021076</v>
          </cell>
          <cell r="B13" t="str">
            <v>BENITO</v>
          </cell>
          <cell r="C13" t="str">
            <v>José</v>
          </cell>
          <cell r="D13" t="str">
            <v>Perú - Talara</v>
          </cell>
          <cell r="E13">
            <v>120072</v>
          </cell>
          <cell r="F13">
            <v>9772</v>
          </cell>
          <cell r="G13">
            <v>110300</v>
          </cell>
          <cell r="H13">
            <v>0</v>
          </cell>
          <cell r="I13">
            <v>110300</v>
          </cell>
        </row>
        <row r="14">
          <cell r="A14">
            <v>4008065048</v>
          </cell>
          <cell r="B14" t="str">
            <v>BOLENTINI</v>
          </cell>
          <cell r="C14" t="str">
            <v>Sergio Daneil</v>
          </cell>
          <cell r="D14" t="str">
            <v>Ecuador - Quito</v>
          </cell>
          <cell r="E14">
            <v>180224</v>
          </cell>
          <cell r="F14">
            <v>21643</v>
          </cell>
          <cell r="G14">
            <v>158581</v>
          </cell>
          <cell r="H14">
            <v>0</v>
          </cell>
          <cell r="I14">
            <v>158581</v>
          </cell>
        </row>
        <row r="15">
          <cell r="A15">
            <v>1013970682</v>
          </cell>
          <cell r="B15" t="str">
            <v>BONAVIA</v>
          </cell>
          <cell r="C15" t="str">
            <v xml:space="preserve">Osvaldo </v>
          </cell>
          <cell r="D15" t="str">
            <v>Perú - Talara</v>
          </cell>
          <cell r="E15">
            <v>98387</v>
          </cell>
          <cell r="F15">
            <v>10647</v>
          </cell>
          <cell r="G15">
            <v>87740</v>
          </cell>
          <cell r="H15">
            <v>0</v>
          </cell>
          <cell r="I15">
            <v>87740</v>
          </cell>
        </row>
        <row r="16">
          <cell r="A16">
            <v>1012064446</v>
          </cell>
          <cell r="B16" t="str">
            <v>BUSCHIAZZO</v>
          </cell>
          <cell r="C16" t="str">
            <v>Hector Horacio</v>
          </cell>
          <cell r="D16" t="str">
            <v>Ecuador - Quito</v>
          </cell>
          <cell r="E16">
            <v>113406</v>
          </cell>
          <cell r="F16">
            <v>10300</v>
          </cell>
          <cell r="G16">
            <v>103106</v>
          </cell>
          <cell r="H16">
            <v>0</v>
          </cell>
          <cell r="I16">
            <v>103106</v>
          </cell>
        </row>
        <row r="17">
          <cell r="A17">
            <v>1014625968</v>
          </cell>
          <cell r="B17" t="str">
            <v>CANCELLIERI</v>
          </cell>
          <cell r="C17" t="str">
            <v>Eduardo Alfredo</v>
          </cell>
          <cell r="D17" t="str">
            <v>Perú - Talara</v>
          </cell>
          <cell r="E17">
            <v>182407</v>
          </cell>
          <cell r="F17">
            <v>18610</v>
          </cell>
          <cell r="G17">
            <v>163797</v>
          </cell>
          <cell r="H17">
            <v>0</v>
          </cell>
          <cell r="I17">
            <v>163797</v>
          </cell>
        </row>
        <row r="18">
          <cell r="A18">
            <v>1008341804</v>
          </cell>
          <cell r="B18" t="str">
            <v>FUNARO CHAÑAL</v>
          </cell>
          <cell r="C18" t="str">
            <v>Juan Carlos</v>
          </cell>
          <cell r="D18" t="str">
            <v>Perú - Talara</v>
          </cell>
          <cell r="E18">
            <v>121495</v>
          </cell>
          <cell r="F18">
            <v>10571</v>
          </cell>
          <cell r="G18">
            <v>110924</v>
          </cell>
          <cell r="H18">
            <v>0</v>
          </cell>
          <cell r="I18">
            <v>110924</v>
          </cell>
        </row>
        <row r="19">
          <cell r="A19">
            <v>1018429834</v>
          </cell>
          <cell r="B19" t="str">
            <v>GUIÑAZU</v>
          </cell>
          <cell r="C19" t="str">
            <v>Alfredo Walter</v>
          </cell>
          <cell r="D19" t="str">
            <v>Ecuador - Quito</v>
          </cell>
          <cell r="E19">
            <v>95238</v>
          </cell>
          <cell r="F19">
            <v>6802</v>
          </cell>
          <cell r="G19">
            <v>88436</v>
          </cell>
          <cell r="H19">
            <v>0</v>
          </cell>
          <cell r="I19">
            <v>88436</v>
          </cell>
        </row>
        <row r="20">
          <cell r="A20">
            <v>1016415959</v>
          </cell>
          <cell r="B20" t="str">
            <v>GUTIERREZ</v>
          </cell>
          <cell r="C20" t="str">
            <v>Fabián Edgardo</v>
          </cell>
          <cell r="D20" t="str">
            <v>Perú - Talara</v>
          </cell>
          <cell r="E20">
            <v>135327</v>
          </cell>
          <cell r="F20">
            <v>10694</v>
          </cell>
          <cell r="G20">
            <v>124633</v>
          </cell>
          <cell r="H20">
            <v>0</v>
          </cell>
          <cell r="I20">
            <v>124633</v>
          </cell>
        </row>
        <row r="21">
          <cell r="A21">
            <v>1013997164</v>
          </cell>
          <cell r="B21" t="str">
            <v>JARAMILLO</v>
          </cell>
          <cell r="C21" t="str">
            <v>Carlos Alberto</v>
          </cell>
          <cell r="D21" t="str">
            <v>Perú - Talara</v>
          </cell>
          <cell r="E21">
            <v>97098</v>
          </cell>
          <cell r="F21">
            <v>0</v>
          </cell>
          <cell r="G21">
            <v>97098</v>
          </cell>
          <cell r="H21">
            <v>0</v>
          </cell>
          <cell r="I21">
            <v>97098</v>
          </cell>
        </row>
        <row r="22">
          <cell r="A22">
            <v>1011904267</v>
          </cell>
          <cell r="B22" t="str">
            <v>JAVIER</v>
          </cell>
          <cell r="C22" t="str">
            <v>Ruben Ignacio</v>
          </cell>
          <cell r="D22" t="str">
            <v>Perú - Talara</v>
          </cell>
          <cell r="E22">
            <v>94176</v>
          </cell>
          <cell r="F22">
            <v>0</v>
          </cell>
          <cell r="G22">
            <v>94176</v>
          </cell>
          <cell r="H22">
            <v>0</v>
          </cell>
          <cell r="I22">
            <v>94176</v>
          </cell>
        </row>
        <row r="23">
          <cell r="A23">
            <v>1011741656</v>
          </cell>
          <cell r="B23" t="str">
            <v>LLOYD</v>
          </cell>
          <cell r="C23" t="str">
            <v>Roberto Daniel</v>
          </cell>
          <cell r="D23" t="str">
            <v>Perú - Talara</v>
          </cell>
          <cell r="E23">
            <v>133832</v>
          </cell>
          <cell r="F23">
            <v>10116</v>
          </cell>
          <cell r="G23">
            <v>123716</v>
          </cell>
          <cell r="H23">
            <v>0</v>
          </cell>
          <cell r="I23">
            <v>123716</v>
          </cell>
        </row>
        <row r="24">
          <cell r="A24">
            <v>1013708736</v>
          </cell>
          <cell r="B24" t="str">
            <v>LOPEZ</v>
          </cell>
          <cell r="C24" t="str">
            <v>Leandro Leslie</v>
          </cell>
          <cell r="D24" t="str">
            <v>Perú - Talara</v>
          </cell>
          <cell r="E24">
            <v>106196</v>
          </cell>
          <cell r="F24">
            <v>0</v>
          </cell>
          <cell r="G24">
            <v>106196</v>
          </cell>
          <cell r="H24">
            <v>0</v>
          </cell>
          <cell r="I24">
            <v>106196</v>
          </cell>
        </row>
        <row r="25">
          <cell r="A25">
            <v>5013229616</v>
          </cell>
          <cell r="B25" t="str">
            <v>MC GREGOR</v>
          </cell>
          <cell r="C25" t="str">
            <v>Peter Malcolm</v>
          </cell>
          <cell r="D25" t="str">
            <v>Perú - Talara</v>
          </cell>
          <cell r="E25">
            <v>129704</v>
          </cell>
          <cell r="F25">
            <v>20586</v>
          </cell>
          <cell r="G25">
            <v>109118</v>
          </cell>
          <cell r="H25">
            <v>0</v>
          </cell>
          <cell r="I25">
            <v>109118</v>
          </cell>
        </row>
        <row r="26">
          <cell r="A26">
            <v>1016868207</v>
          </cell>
          <cell r="B26" t="str">
            <v>MUSRI</v>
          </cell>
          <cell r="C26" t="str">
            <v>Daniel Amado</v>
          </cell>
          <cell r="D26" t="str">
            <v>Ecuador - Quito</v>
          </cell>
          <cell r="E26">
            <v>153454</v>
          </cell>
          <cell r="F26">
            <v>18465</v>
          </cell>
          <cell r="G26">
            <v>134989</v>
          </cell>
          <cell r="H26">
            <v>47730</v>
          </cell>
          <cell r="I26">
            <v>87259</v>
          </cell>
        </row>
        <row r="27">
          <cell r="A27">
            <v>1014122177</v>
          </cell>
          <cell r="B27" t="str">
            <v>PARDO</v>
          </cell>
          <cell r="C27" t="str">
            <v>Jorge Héctor</v>
          </cell>
          <cell r="D27" t="str">
            <v>Perú - Talara</v>
          </cell>
          <cell r="E27">
            <v>131447</v>
          </cell>
          <cell r="F27">
            <v>10163</v>
          </cell>
          <cell r="G27">
            <v>121284</v>
          </cell>
          <cell r="H27">
            <v>0</v>
          </cell>
          <cell r="I27">
            <v>121284</v>
          </cell>
        </row>
        <row r="28">
          <cell r="A28">
            <v>1008148229</v>
          </cell>
          <cell r="B28" t="str">
            <v>PIRAN</v>
          </cell>
          <cell r="C28" t="str">
            <v>Orlando Juan</v>
          </cell>
          <cell r="D28" t="str">
            <v>Ecuador - Quito</v>
          </cell>
          <cell r="E28">
            <v>279445</v>
          </cell>
          <cell r="F28">
            <v>66571</v>
          </cell>
          <cell r="G28">
            <v>212874</v>
          </cell>
          <cell r="H28">
            <v>0</v>
          </cell>
          <cell r="I28">
            <v>212874</v>
          </cell>
        </row>
        <row r="29">
          <cell r="A29">
            <v>1012495096</v>
          </cell>
          <cell r="B29" t="str">
            <v>TORRES</v>
          </cell>
          <cell r="C29" t="str">
            <v>Rodolfo</v>
          </cell>
          <cell r="D29" t="str">
            <v>Perú - Talara</v>
          </cell>
          <cell r="E29">
            <v>135017</v>
          </cell>
          <cell r="F29">
            <v>10510</v>
          </cell>
          <cell r="G29">
            <v>124507</v>
          </cell>
          <cell r="H29">
            <v>0</v>
          </cell>
          <cell r="I29">
            <v>124507</v>
          </cell>
        </row>
        <row r="30">
          <cell r="A30">
            <v>4009804911</v>
          </cell>
          <cell r="B30" t="str">
            <v>LAMANNA</v>
          </cell>
          <cell r="C30" t="str">
            <v>Darío</v>
          </cell>
          <cell r="D30" t="str">
            <v>Ecuador - Quito</v>
          </cell>
          <cell r="E30">
            <v>96701</v>
          </cell>
          <cell r="F30">
            <v>7058</v>
          </cell>
          <cell r="G30">
            <v>89643</v>
          </cell>
          <cell r="H30">
            <v>0</v>
          </cell>
          <cell r="I30">
            <v>89643</v>
          </cell>
        </row>
        <row r="31">
          <cell r="A31">
            <v>1013564008</v>
          </cell>
          <cell r="B31" t="str">
            <v>ELVAS</v>
          </cell>
          <cell r="C31" t="str">
            <v>Marcelo Ricardo</v>
          </cell>
          <cell r="D31" t="str">
            <v>Venezuela - Maracaibo</v>
          </cell>
          <cell r="E31">
            <v>208405</v>
          </cell>
          <cell r="F31">
            <v>29553</v>
          </cell>
          <cell r="G31">
            <v>178852</v>
          </cell>
          <cell r="H31">
            <v>47183</v>
          </cell>
          <cell r="I31">
            <v>131669</v>
          </cell>
        </row>
        <row r="32">
          <cell r="A32">
            <v>1007615145</v>
          </cell>
          <cell r="B32" t="str">
            <v>URRIJOLA</v>
          </cell>
          <cell r="C32" t="str">
            <v>Ruben Rogelio</v>
          </cell>
          <cell r="D32" t="str">
            <v>Venezuela - El Tigre</v>
          </cell>
          <cell r="E32">
            <v>127679</v>
          </cell>
          <cell r="F32">
            <v>18383</v>
          </cell>
          <cell r="G32">
            <v>109296</v>
          </cell>
          <cell r="H32">
            <v>43729</v>
          </cell>
          <cell r="I32">
            <v>65567</v>
          </cell>
        </row>
        <row r="33">
          <cell r="A33">
            <v>1008311034</v>
          </cell>
          <cell r="B33" t="str">
            <v>IANNACI</v>
          </cell>
          <cell r="C33" t="str">
            <v>Nestor</v>
          </cell>
          <cell r="D33" t="str">
            <v>Venezuela - Caracas</v>
          </cell>
          <cell r="E33">
            <v>129317</v>
          </cell>
          <cell r="F33">
            <v>9249</v>
          </cell>
          <cell r="G33">
            <v>120068</v>
          </cell>
          <cell r="H33">
            <v>32952</v>
          </cell>
          <cell r="I33">
            <v>87116</v>
          </cell>
        </row>
        <row r="34">
          <cell r="A34">
            <v>1012638017</v>
          </cell>
          <cell r="B34" t="str">
            <v>ROSA</v>
          </cell>
          <cell r="C34" t="str">
            <v>Pablo</v>
          </cell>
          <cell r="D34" t="str">
            <v>Venezuela - Caracas</v>
          </cell>
          <cell r="E34">
            <v>126238</v>
          </cell>
          <cell r="F34">
            <v>9038</v>
          </cell>
          <cell r="G34">
            <v>117200</v>
          </cell>
          <cell r="H34">
            <v>31249</v>
          </cell>
          <cell r="I34">
            <v>85951</v>
          </cell>
        </row>
        <row r="35">
          <cell r="A35">
            <v>1006392188</v>
          </cell>
          <cell r="B35" t="str">
            <v>AHUMADA</v>
          </cell>
          <cell r="C35" t="str">
            <v>Alberto Ricardo</v>
          </cell>
          <cell r="D35" t="str">
            <v>Venezuela - Maracaibo</v>
          </cell>
          <cell r="E35">
            <v>63207</v>
          </cell>
          <cell r="F35">
            <v>0</v>
          </cell>
          <cell r="G35">
            <v>63207</v>
          </cell>
          <cell r="H35">
            <v>32312</v>
          </cell>
          <cell r="I35">
            <v>30895</v>
          </cell>
        </row>
        <row r="36">
          <cell r="A36">
            <v>1013035789</v>
          </cell>
          <cell r="B36" t="str">
            <v>BARBUGLI</v>
          </cell>
          <cell r="C36" t="str">
            <v>Jorge Alberto</v>
          </cell>
          <cell r="D36" t="str">
            <v>Venezuela - Maracaibo</v>
          </cell>
          <cell r="E36">
            <v>90031</v>
          </cell>
          <cell r="F36">
            <v>10326</v>
          </cell>
          <cell r="G36">
            <v>79705</v>
          </cell>
          <cell r="H36">
            <v>37458</v>
          </cell>
          <cell r="I36">
            <v>42247</v>
          </cell>
        </row>
        <row r="37">
          <cell r="A37">
            <v>1017472934</v>
          </cell>
          <cell r="B37" t="str">
            <v>LAPEGNA</v>
          </cell>
          <cell r="C37" t="str">
            <v>Daniel Alberto</v>
          </cell>
          <cell r="D37" t="str">
            <v>Venezuela - Caracas</v>
          </cell>
          <cell r="E37">
            <v>109770</v>
          </cell>
          <cell r="F37">
            <v>8909</v>
          </cell>
          <cell r="G37">
            <v>100861</v>
          </cell>
          <cell r="H37">
            <v>35817</v>
          </cell>
          <cell r="I37">
            <v>65044</v>
          </cell>
        </row>
        <row r="38">
          <cell r="A38">
            <v>1010528765</v>
          </cell>
          <cell r="B38" t="str">
            <v>HERRERA</v>
          </cell>
          <cell r="C38" t="str">
            <v>José Luis</v>
          </cell>
          <cell r="D38" t="str">
            <v>Venezuela - Caracas</v>
          </cell>
          <cell r="E38">
            <v>68508</v>
          </cell>
          <cell r="F38">
            <v>0</v>
          </cell>
          <cell r="G38">
            <v>68508</v>
          </cell>
          <cell r="H38">
            <v>25512</v>
          </cell>
          <cell r="I38">
            <v>42996</v>
          </cell>
        </row>
        <row r="39">
          <cell r="A39">
            <v>1012593155</v>
          </cell>
          <cell r="B39" t="str">
            <v>MERCADO</v>
          </cell>
          <cell r="C39" t="str">
            <v>Horacio Manuel</v>
          </cell>
          <cell r="D39" t="str">
            <v>Venezuela - Maracaibo</v>
          </cell>
          <cell r="E39">
            <v>65007</v>
          </cell>
          <cell r="F39">
            <v>0</v>
          </cell>
          <cell r="G39">
            <v>65007</v>
          </cell>
          <cell r="H39">
            <v>27894</v>
          </cell>
          <cell r="I39">
            <v>37113</v>
          </cell>
        </row>
        <row r="40">
          <cell r="A40">
            <v>1011355230</v>
          </cell>
          <cell r="B40" t="str">
            <v>MOHANNA</v>
          </cell>
          <cell r="C40" t="str">
            <v>Julio César</v>
          </cell>
          <cell r="D40" t="str">
            <v>Venezuela - Maracaibo</v>
          </cell>
          <cell r="E40">
            <v>67813</v>
          </cell>
          <cell r="F40">
            <v>0</v>
          </cell>
          <cell r="G40">
            <v>67813</v>
          </cell>
          <cell r="H40">
            <v>35486</v>
          </cell>
          <cell r="I40">
            <v>32327</v>
          </cell>
        </row>
        <row r="41">
          <cell r="A41">
            <v>1010670880</v>
          </cell>
          <cell r="B41" t="str">
            <v>MONACO</v>
          </cell>
          <cell r="C41" t="str">
            <v>Daniel Hugo</v>
          </cell>
          <cell r="D41" t="str">
            <v>Venezuela - Maracaibo</v>
          </cell>
          <cell r="E41">
            <v>116773</v>
          </cell>
          <cell r="F41">
            <v>11639</v>
          </cell>
          <cell r="G41">
            <v>105134</v>
          </cell>
          <cell r="H41">
            <v>30808</v>
          </cell>
          <cell r="I41">
            <v>74326</v>
          </cell>
        </row>
        <row r="42">
          <cell r="A42">
            <v>1011845932</v>
          </cell>
          <cell r="B42" t="str">
            <v>PARON</v>
          </cell>
          <cell r="C42" t="str">
            <v>Roberto Anibal</v>
          </cell>
          <cell r="D42" t="str">
            <v>Venezuela - Maracaibo</v>
          </cell>
          <cell r="E42">
            <v>141634</v>
          </cell>
          <cell r="F42">
            <v>20212</v>
          </cell>
          <cell r="G42">
            <v>121422</v>
          </cell>
          <cell r="H42">
            <v>36772</v>
          </cell>
          <cell r="I42">
            <v>84650</v>
          </cell>
        </row>
        <row r="43">
          <cell r="A43">
            <v>1018080721</v>
          </cell>
          <cell r="B43" t="str">
            <v>PERALTA</v>
          </cell>
          <cell r="C43" t="str">
            <v>Enrique Alfredo</v>
          </cell>
          <cell r="D43" t="str">
            <v>Venezuela - Caracas</v>
          </cell>
          <cell r="E43">
            <v>75689</v>
          </cell>
          <cell r="F43">
            <v>5088</v>
          </cell>
          <cell r="G43">
            <v>70601</v>
          </cell>
          <cell r="H43">
            <v>23054</v>
          </cell>
          <cell r="I43">
            <v>47547</v>
          </cell>
        </row>
        <row r="44">
          <cell r="A44">
            <v>1093519062</v>
          </cell>
          <cell r="B44" t="str">
            <v>REATEGUI SORIA</v>
          </cell>
          <cell r="C44" t="str">
            <v>Artemio</v>
          </cell>
          <cell r="D44" t="str">
            <v>Venezuela - Maracaibo</v>
          </cell>
          <cell r="E44">
            <v>91986</v>
          </cell>
          <cell r="F44">
            <v>10424</v>
          </cell>
          <cell r="G44">
            <v>81562</v>
          </cell>
          <cell r="H44">
            <v>37458</v>
          </cell>
          <cell r="I44">
            <v>44104</v>
          </cell>
        </row>
        <row r="45">
          <cell r="A45">
            <v>1013333465</v>
          </cell>
          <cell r="B45" t="str">
            <v>RECCHIA</v>
          </cell>
          <cell r="C45" t="str">
            <v>Marcelo</v>
          </cell>
          <cell r="D45" t="str">
            <v>Venezuela - Caracas</v>
          </cell>
          <cell r="E45">
            <v>242623</v>
          </cell>
          <cell r="F45">
            <v>35750</v>
          </cell>
          <cell r="G45">
            <v>206873</v>
          </cell>
          <cell r="H45">
            <v>44283</v>
          </cell>
          <cell r="I45">
            <v>162590</v>
          </cell>
        </row>
        <row r="46">
          <cell r="A46">
            <v>1008318885</v>
          </cell>
          <cell r="B46" t="str">
            <v>AMOROSO</v>
          </cell>
          <cell r="C46" t="str">
            <v>Juan Carlos</v>
          </cell>
          <cell r="D46" t="str">
            <v>Ecuador - Quito</v>
          </cell>
          <cell r="E46">
            <v>263109</v>
          </cell>
          <cell r="F46">
            <v>35578</v>
          </cell>
          <cell r="G46">
            <v>227531</v>
          </cell>
          <cell r="H46">
            <v>47685</v>
          </cell>
          <cell r="I46">
            <v>179846</v>
          </cell>
        </row>
        <row r="47">
          <cell r="A47">
            <v>1012057492</v>
          </cell>
          <cell r="B47" t="str">
            <v>CORFIELD</v>
          </cell>
          <cell r="C47" t="str">
            <v>Ricardo J.</v>
          </cell>
          <cell r="D47" t="str">
            <v>Venezuela - El Tigre</v>
          </cell>
          <cell r="E47">
            <v>149875</v>
          </cell>
          <cell r="F47">
            <v>20311</v>
          </cell>
          <cell r="G47">
            <v>129564</v>
          </cell>
          <cell r="H47">
            <v>30671</v>
          </cell>
          <cell r="I47">
            <v>98893</v>
          </cell>
        </row>
        <row r="48">
          <cell r="A48">
            <v>1017144927</v>
          </cell>
          <cell r="B48" t="str">
            <v>DI PIERRO</v>
          </cell>
          <cell r="C48" t="str">
            <v>Esteban</v>
          </cell>
          <cell r="D48" t="str">
            <v>Venezuela - Caracas</v>
          </cell>
          <cell r="E48">
            <v>71396</v>
          </cell>
          <cell r="F48">
            <v>8578</v>
          </cell>
          <cell r="G48">
            <v>62818</v>
          </cell>
          <cell r="H48">
            <v>26439</v>
          </cell>
          <cell r="I48">
            <v>36379</v>
          </cell>
        </row>
        <row r="49">
          <cell r="A49">
            <v>1011303322</v>
          </cell>
          <cell r="B49" t="str">
            <v>GIONGO</v>
          </cell>
          <cell r="C49" t="str">
            <v>Luis</v>
          </cell>
          <cell r="D49" t="str">
            <v>Venezuela - El Tigre</v>
          </cell>
          <cell r="E49">
            <v>81342</v>
          </cell>
          <cell r="F49">
            <v>0</v>
          </cell>
          <cell r="G49">
            <v>81342</v>
          </cell>
          <cell r="H49">
            <v>26197</v>
          </cell>
          <cell r="I49">
            <v>55145</v>
          </cell>
        </row>
        <row r="50">
          <cell r="A50">
            <v>1008435173</v>
          </cell>
          <cell r="B50" t="str">
            <v>MALFETANA</v>
          </cell>
          <cell r="C50" t="str">
            <v>Angel Omar</v>
          </cell>
          <cell r="D50" t="str">
            <v>Ecuador - Quito</v>
          </cell>
          <cell r="E50">
            <v>115066</v>
          </cell>
          <cell r="F50">
            <v>10647</v>
          </cell>
          <cell r="G50">
            <v>104419</v>
          </cell>
          <cell r="H50">
            <v>37863</v>
          </cell>
          <cell r="I50">
            <v>66556</v>
          </cell>
        </row>
        <row r="51">
          <cell r="A51">
            <v>1010189991</v>
          </cell>
          <cell r="B51" t="str">
            <v>ORTULAN</v>
          </cell>
          <cell r="C51" t="str">
            <v>Jorge Carlos</v>
          </cell>
          <cell r="D51" t="str">
            <v>Venezuela - Caracas</v>
          </cell>
          <cell r="E51">
            <v>130140</v>
          </cell>
          <cell r="F51">
            <v>13394</v>
          </cell>
          <cell r="G51">
            <v>116746</v>
          </cell>
          <cell r="H51">
            <v>22731</v>
          </cell>
          <cell r="I51">
            <v>94015</v>
          </cell>
        </row>
        <row r="52">
          <cell r="A52">
            <v>1013733981</v>
          </cell>
          <cell r="B52" t="str">
            <v>ALMONACID</v>
          </cell>
          <cell r="C52" t="str">
            <v>Jorge Daniel</v>
          </cell>
          <cell r="D52" t="str">
            <v>Venezuela - El Tigre</v>
          </cell>
          <cell r="E52">
            <v>103248</v>
          </cell>
          <cell r="F52">
            <v>8843</v>
          </cell>
          <cell r="G52">
            <v>94405</v>
          </cell>
          <cell r="H52">
            <v>28438</v>
          </cell>
          <cell r="I52">
            <v>65967</v>
          </cell>
        </row>
        <row r="53">
          <cell r="A53">
            <v>1007602217</v>
          </cell>
          <cell r="B53" t="str">
            <v>BAUZA</v>
          </cell>
          <cell r="C53" t="str">
            <v>Carlos</v>
          </cell>
          <cell r="D53" t="str">
            <v>Venezuela - El Tigre</v>
          </cell>
          <cell r="E53">
            <v>85908</v>
          </cell>
          <cell r="F53">
            <v>6902</v>
          </cell>
          <cell r="G53">
            <v>79006</v>
          </cell>
          <cell r="H53">
            <v>44344</v>
          </cell>
          <cell r="I53">
            <v>34662</v>
          </cell>
        </row>
        <row r="54">
          <cell r="A54">
            <v>1011640847</v>
          </cell>
          <cell r="B54" t="str">
            <v>CINQUEGRANI</v>
          </cell>
          <cell r="C54" t="str">
            <v>Alberto Omar</v>
          </cell>
          <cell r="D54" t="str">
            <v>Venezuela - Caracas</v>
          </cell>
          <cell r="E54">
            <v>158200</v>
          </cell>
          <cell r="F54">
            <v>19417</v>
          </cell>
          <cell r="G54">
            <v>138783</v>
          </cell>
          <cell r="H54">
            <v>36847</v>
          </cell>
          <cell r="I54">
            <v>101936</v>
          </cell>
        </row>
        <row r="55">
          <cell r="A55">
            <v>1007687952</v>
          </cell>
          <cell r="B55" t="str">
            <v>GAREIS</v>
          </cell>
          <cell r="C55" t="str">
            <v>Juan Eduardo</v>
          </cell>
          <cell r="D55" t="str">
            <v>Venezuela - El Tigre</v>
          </cell>
          <cell r="E55">
            <v>84552</v>
          </cell>
          <cell r="F55">
            <v>0</v>
          </cell>
          <cell r="G55">
            <v>84552</v>
          </cell>
          <cell r="H55">
            <v>25492</v>
          </cell>
          <cell r="I55">
            <v>59060</v>
          </cell>
        </row>
        <row r="56">
          <cell r="A56">
            <v>1008585113</v>
          </cell>
          <cell r="B56" t="str">
            <v>GRUEN</v>
          </cell>
          <cell r="C56" t="str">
            <v>Carlos</v>
          </cell>
          <cell r="D56" t="str">
            <v>Venezuela - El Tigre</v>
          </cell>
          <cell r="E56">
            <v>62723</v>
          </cell>
          <cell r="F56">
            <v>0</v>
          </cell>
          <cell r="G56">
            <v>62723</v>
          </cell>
          <cell r="H56">
            <v>37109</v>
          </cell>
          <cell r="I56">
            <v>25614</v>
          </cell>
        </row>
        <row r="57">
          <cell r="A57">
            <v>1011612422</v>
          </cell>
          <cell r="B57" t="str">
            <v>MAGGIONI</v>
          </cell>
          <cell r="C57" t="str">
            <v>Aldo Jorge</v>
          </cell>
          <cell r="D57" t="str">
            <v>Venezuela - El Tigre</v>
          </cell>
          <cell r="E57">
            <v>107187</v>
          </cell>
          <cell r="F57">
            <v>11087</v>
          </cell>
          <cell r="G57">
            <v>96100</v>
          </cell>
          <cell r="H57">
            <v>31580</v>
          </cell>
          <cell r="I57">
            <v>64520</v>
          </cell>
        </row>
        <row r="58">
          <cell r="A58">
            <v>1011413232</v>
          </cell>
          <cell r="B58" t="str">
            <v>NAVARRO</v>
          </cell>
          <cell r="C58" t="str">
            <v>Jorge Rafael</v>
          </cell>
          <cell r="D58" t="str">
            <v>Venezuela - Caracas</v>
          </cell>
          <cell r="E58">
            <v>259821</v>
          </cell>
          <cell r="F58">
            <v>37274</v>
          </cell>
          <cell r="G58">
            <v>222547</v>
          </cell>
          <cell r="H58">
            <v>53554</v>
          </cell>
          <cell r="I58">
            <v>168993</v>
          </cell>
        </row>
        <row r="59">
          <cell r="A59">
            <v>1013735426</v>
          </cell>
          <cell r="B59" t="str">
            <v>NOVILLO</v>
          </cell>
          <cell r="C59" t="str">
            <v>Gumersindo Sergio</v>
          </cell>
          <cell r="D59" t="str">
            <v>Venezuela - El Tigre</v>
          </cell>
          <cell r="E59">
            <v>115813</v>
          </cell>
          <cell r="F59">
            <v>13592</v>
          </cell>
          <cell r="G59">
            <v>102221</v>
          </cell>
          <cell r="H59">
            <v>35275</v>
          </cell>
          <cell r="I59">
            <v>66946</v>
          </cell>
        </row>
        <row r="60">
          <cell r="A60">
            <v>1014781064</v>
          </cell>
          <cell r="B60" t="str">
            <v>ROLANDO</v>
          </cell>
          <cell r="C60" t="str">
            <v>Roberto</v>
          </cell>
          <cell r="D60" t="str">
            <v>Venezuela - El Tigre</v>
          </cell>
          <cell r="E60">
            <v>63459</v>
          </cell>
          <cell r="F60">
            <v>0</v>
          </cell>
          <cell r="G60">
            <v>63459</v>
          </cell>
          <cell r="H60">
            <v>30006</v>
          </cell>
          <cell r="I60">
            <v>33453</v>
          </cell>
        </row>
        <row r="61">
          <cell r="A61">
            <v>1014625494</v>
          </cell>
          <cell r="B61" t="str">
            <v>SALDAÑO</v>
          </cell>
          <cell r="C61" t="str">
            <v>Hector Roberto</v>
          </cell>
          <cell r="D61" t="str">
            <v>Venezuela - Caracas</v>
          </cell>
          <cell r="E61">
            <v>159300</v>
          </cell>
          <cell r="F61">
            <v>19506</v>
          </cell>
          <cell r="G61">
            <v>139794</v>
          </cell>
          <cell r="H61">
            <v>37624</v>
          </cell>
          <cell r="I61">
            <v>102170</v>
          </cell>
        </row>
        <row r="62">
          <cell r="A62">
            <v>1012978960</v>
          </cell>
          <cell r="B62" t="str">
            <v>SHAE</v>
          </cell>
          <cell r="C62" t="str">
            <v>Nelson Arturo</v>
          </cell>
          <cell r="D62" t="str">
            <v>Venezuela - El Tigre</v>
          </cell>
          <cell r="E62">
            <v>76927</v>
          </cell>
          <cell r="F62">
            <v>8370</v>
          </cell>
          <cell r="G62">
            <v>68557</v>
          </cell>
          <cell r="H62">
            <v>25492</v>
          </cell>
          <cell r="I62">
            <v>43065</v>
          </cell>
        </row>
        <row r="63">
          <cell r="A63">
            <v>1021355179</v>
          </cell>
          <cell r="B63" t="str">
            <v>SPINZANTI</v>
          </cell>
          <cell r="C63" t="str">
            <v>Jorge Andrés</v>
          </cell>
          <cell r="D63" t="str">
            <v>Venezuela - El Tigre</v>
          </cell>
          <cell r="E63">
            <v>48367</v>
          </cell>
          <cell r="F63">
            <v>0</v>
          </cell>
          <cell r="G63">
            <v>48367</v>
          </cell>
          <cell r="H63">
            <v>23658</v>
          </cell>
          <cell r="I63">
            <v>24709</v>
          </cell>
        </row>
        <row r="64">
          <cell r="A64">
            <v>1013784427</v>
          </cell>
          <cell r="B64" t="str">
            <v>VALLEJO</v>
          </cell>
          <cell r="C64" t="str">
            <v>Eduardo Lucio</v>
          </cell>
          <cell r="D64" t="str">
            <v>Venezuela - Caracas</v>
          </cell>
          <cell r="E64">
            <v>91200</v>
          </cell>
          <cell r="F64">
            <v>10125</v>
          </cell>
          <cell r="G64">
            <v>81075</v>
          </cell>
          <cell r="H64">
            <v>26569</v>
          </cell>
          <cell r="I64">
            <v>54506</v>
          </cell>
        </row>
        <row r="65">
          <cell r="A65">
            <v>1016001970</v>
          </cell>
          <cell r="B65" t="str">
            <v>RIOS</v>
          </cell>
          <cell r="C65" t="str">
            <v>Luis Manuel</v>
          </cell>
          <cell r="D65" t="str">
            <v>Venezuela - Caracas</v>
          </cell>
          <cell r="E65">
            <v>130714</v>
          </cell>
          <cell r="F65">
            <v>15463</v>
          </cell>
          <cell r="G65">
            <v>115251</v>
          </cell>
          <cell r="H65">
            <v>37584</v>
          </cell>
          <cell r="I65">
            <v>77667</v>
          </cell>
        </row>
        <row r="66">
          <cell r="A66">
            <v>1012030459</v>
          </cell>
          <cell r="B66" t="str">
            <v>DE DIEGO</v>
          </cell>
          <cell r="C66" t="str">
            <v>Pablo</v>
          </cell>
          <cell r="D66" t="str">
            <v>Venezuela - Caracas</v>
          </cell>
          <cell r="E66">
            <v>138716</v>
          </cell>
          <cell r="F66">
            <v>12845</v>
          </cell>
          <cell r="G66">
            <v>125871</v>
          </cell>
          <cell r="H66">
            <v>38632</v>
          </cell>
          <cell r="I66">
            <v>87239</v>
          </cell>
        </row>
        <row r="67">
          <cell r="A67">
            <v>1092814914</v>
          </cell>
          <cell r="B67" t="str">
            <v>GRIJALBA VAZQUEZ</v>
          </cell>
          <cell r="C67" t="str">
            <v>Pedro M.</v>
          </cell>
          <cell r="D67" t="str">
            <v>Venezuela - Caracas</v>
          </cell>
          <cell r="E67">
            <v>216756</v>
          </cell>
          <cell r="F67">
            <v>37345</v>
          </cell>
          <cell r="G67">
            <v>179411</v>
          </cell>
          <cell r="H67">
            <v>43607</v>
          </cell>
          <cell r="I67">
            <v>135804</v>
          </cell>
        </row>
        <row r="68">
          <cell r="A68">
            <v>4005959850</v>
          </cell>
          <cell r="B68" t="str">
            <v>IBAÑEZ</v>
          </cell>
          <cell r="C68" t="str">
            <v>Guillermo Hernán</v>
          </cell>
          <cell r="D68" t="str">
            <v>Venezuela - Caracas</v>
          </cell>
          <cell r="E68">
            <v>87427</v>
          </cell>
          <cell r="F68">
            <v>14683</v>
          </cell>
          <cell r="G68">
            <v>72744</v>
          </cell>
          <cell r="H68">
            <v>28095</v>
          </cell>
          <cell r="I68">
            <v>44649</v>
          </cell>
        </row>
        <row r="69">
          <cell r="A69">
            <v>1013820934</v>
          </cell>
          <cell r="B69" t="str">
            <v>LORENZON</v>
          </cell>
          <cell r="C69" t="str">
            <v>Jorge Rubén</v>
          </cell>
          <cell r="D69" t="str">
            <v>USA - Houston</v>
          </cell>
          <cell r="E69">
            <v>128553</v>
          </cell>
          <cell r="F69">
            <v>22449</v>
          </cell>
          <cell r="G69">
            <v>106104</v>
          </cell>
          <cell r="H69">
            <v>0</v>
          </cell>
          <cell r="I69">
            <v>106104</v>
          </cell>
        </row>
        <row r="70">
          <cell r="A70">
            <v>1012047215</v>
          </cell>
          <cell r="B70" t="str">
            <v>BIBBO</v>
          </cell>
          <cell r="C70" t="str">
            <v>Miguel Angel</v>
          </cell>
          <cell r="D70" t="str">
            <v>Venezuela - Caracas</v>
          </cell>
          <cell r="E70">
            <v>372603</v>
          </cell>
          <cell r="F70">
            <v>81900</v>
          </cell>
          <cell r="G70">
            <v>290703</v>
          </cell>
          <cell r="H70">
            <v>42580</v>
          </cell>
          <cell r="I70">
            <v>248123</v>
          </cell>
        </row>
        <row r="71">
          <cell r="A71">
            <v>1017653363</v>
          </cell>
          <cell r="B71" t="str">
            <v>MAS</v>
          </cell>
          <cell r="C71" t="str">
            <v>Gustavo</v>
          </cell>
          <cell r="D71" t="str">
            <v>Venezuela - Caracas</v>
          </cell>
          <cell r="E71">
            <v>223725</v>
          </cell>
          <cell r="F71">
            <v>35750</v>
          </cell>
          <cell r="G71">
            <v>187975</v>
          </cell>
          <cell r="H71">
            <v>44947</v>
          </cell>
          <cell r="I71">
            <v>143028</v>
          </cell>
        </row>
        <row r="72">
          <cell r="A72">
            <v>1012963282</v>
          </cell>
          <cell r="B72" t="str">
            <v>CANOSA</v>
          </cell>
          <cell r="C72" t="str">
            <v>Carlos</v>
          </cell>
          <cell r="D72" t="str">
            <v>Venezuela - Caracas</v>
          </cell>
          <cell r="E72">
            <v>129724</v>
          </cell>
          <cell r="F72">
            <v>12924</v>
          </cell>
          <cell r="G72">
            <v>116800</v>
          </cell>
          <cell r="H72">
            <v>46222</v>
          </cell>
          <cell r="I72">
            <v>70578</v>
          </cell>
        </row>
        <row r="73">
          <cell r="A73">
            <v>1016951326</v>
          </cell>
          <cell r="B73" t="str">
            <v>GROSSO</v>
          </cell>
          <cell r="C73" t="str">
            <v>Santiago</v>
          </cell>
          <cell r="D73" t="str">
            <v>Venezuela - Caracas</v>
          </cell>
          <cell r="E73">
            <v>86442</v>
          </cell>
          <cell r="F73">
            <v>6553</v>
          </cell>
          <cell r="G73">
            <v>79889</v>
          </cell>
          <cell r="H73">
            <v>41799</v>
          </cell>
          <cell r="I73">
            <v>38090</v>
          </cell>
        </row>
        <row r="74">
          <cell r="A74">
            <v>1013727062</v>
          </cell>
          <cell r="B74" t="str">
            <v>ARGUELLO</v>
          </cell>
          <cell r="C74" t="str">
            <v>Jorge</v>
          </cell>
          <cell r="D74" t="str">
            <v>Venezuela - Caracas</v>
          </cell>
          <cell r="E74">
            <v>96627</v>
          </cell>
          <cell r="F74">
            <v>9400</v>
          </cell>
          <cell r="G74">
            <v>87227</v>
          </cell>
          <cell r="H74">
            <v>45255</v>
          </cell>
          <cell r="I74">
            <v>41972</v>
          </cell>
        </row>
        <row r="75">
          <cell r="A75">
            <v>1008389973</v>
          </cell>
          <cell r="B75" t="str">
            <v>BEGARIES</v>
          </cell>
          <cell r="C75" t="str">
            <v xml:space="preserve">Horacio </v>
          </cell>
          <cell r="D75" t="str">
            <v>Ecuador - Quito</v>
          </cell>
          <cell r="E75">
            <v>285003</v>
          </cell>
          <cell r="F75">
            <v>38468</v>
          </cell>
          <cell r="G75">
            <v>246535</v>
          </cell>
          <cell r="H75">
            <v>0</v>
          </cell>
          <cell r="I75">
            <v>246535</v>
          </cell>
        </row>
        <row r="76">
          <cell r="A76">
            <v>1013259141</v>
          </cell>
          <cell r="B76" t="str">
            <v>MOLINA</v>
          </cell>
          <cell r="C76" t="str">
            <v>Alfredo</v>
          </cell>
          <cell r="D76" t="str">
            <v>Venezuela - Caracas</v>
          </cell>
          <cell r="E76">
            <v>104868</v>
          </cell>
          <cell r="F76">
            <v>0</v>
          </cell>
          <cell r="G76">
            <v>104868</v>
          </cell>
          <cell r="H76">
            <v>46222</v>
          </cell>
          <cell r="I76">
            <v>58646</v>
          </cell>
        </row>
        <row r="77">
          <cell r="A77">
            <v>1013128656</v>
          </cell>
          <cell r="B77" t="str">
            <v>WEIMANN</v>
          </cell>
          <cell r="C77" t="str">
            <v>Pablo</v>
          </cell>
          <cell r="D77" t="str">
            <v>USA - Houston</v>
          </cell>
          <cell r="E77">
            <v>64537</v>
          </cell>
          <cell r="F77">
            <v>7407</v>
          </cell>
          <cell r="G77">
            <v>57130</v>
          </cell>
          <cell r="H77">
            <v>0</v>
          </cell>
          <cell r="I77">
            <v>57130</v>
          </cell>
        </row>
        <row r="78">
          <cell r="A78">
            <v>1012447277</v>
          </cell>
          <cell r="B78" t="str">
            <v>CARRO</v>
          </cell>
          <cell r="C78" t="str">
            <v>José Luis</v>
          </cell>
          <cell r="D78" t="str">
            <v>Perú - Talara</v>
          </cell>
          <cell r="E78">
            <v>148669</v>
          </cell>
          <cell r="F78">
            <v>14861</v>
          </cell>
          <cell r="G78">
            <v>133808</v>
          </cell>
          <cell r="H78">
            <v>0</v>
          </cell>
          <cell r="I78">
            <v>133808</v>
          </cell>
        </row>
        <row r="79">
          <cell r="A79">
            <v>1012591991</v>
          </cell>
          <cell r="B79" t="str">
            <v>DIODATTI</v>
          </cell>
          <cell r="C79" t="str">
            <v>Horacio</v>
          </cell>
          <cell r="D79" t="str">
            <v>Venezuela - Caracas</v>
          </cell>
          <cell r="E79">
            <v>118775</v>
          </cell>
          <cell r="F79">
            <v>11733</v>
          </cell>
          <cell r="G79">
            <v>107042</v>
          </cell>
          <cell r="H79">
            <v>47668</v>
          </cell>
          <cell r="I79">
            <v>59374</v>
          </cell>
        </row>
        <row r="80">
          <cell r="A80">
            <v>1006246874</v>
          </cell>
          <cell r="B80" t="str">
            <v>QUINTEROS</v>
          </cell>
          <cell r="C80" t="str">
            <v>Roberto</v>
          </cell>
          <cell r="D80" t="str">
            <v>Bolivia - Sta. Cruz de la Sierra - Refineria</v>
          </cell>
          <cell r="E80">
            <v>141574</v>
          </cell>
          <cell r="F80">
            <v>14252</v>
          </cell>
          <cell r="G80">
            <v>127322</v>
          </cell>
          <cell r="H80">
            <v>47730</v>
          </cell>
          <cell r="I80">
            <v>79592</v>
          </cell>
        </row>
        <row r="81">
          <cell r="A81">
            <v>1018084529</v>
          </cell>
          <cell r="B81" t="str">
            <v>CASTILLO</v>
          </cell>
          <cell r="C81" t="str">
            <v>Guillermo</v>
          </cell>
          <cell r="D81" t="str">
            <v>Brasil - San Pablo</v>
          </cell>
          <cell r="E81">
            <v>92942</v>
          </cell>
          <cell r="F81">
            <v>7875</v>
          </cell>
          <cell r="G81">
            <v>85067</v>
          </cell>
          <cell r="H81">
            <v>0</v>
          </cell>
          <cell r="I81">
            <v>85067</v>
          </cell>
        </row>
        <row r="82">
          <cell r="A82">
            <v>1020207781</v>
          </cell>
          <cell r="B82" t="str">
            <v>PETERSEN</v>
          </cell>
          <cell r="C82" t="str">
            <v>Lucas</v>
          </cell>
          <cell r="D82" t="str">
            <v>Brasil - Porto Alegre</v>
          </cell>
          <cell r="E82">
            <v>89065</v>
          </cell>
          <cell r="F82">
            <v>8710</v>
          </cell>
          <cell r="G82">
            <v>80355</v>
          </cell>
          <cell r="H82">
            <v>0</v>
          </cell>
          <cell r="I82">
            <v>80355</v>
          </cell>
        </row>
        <row r="83">
          <cell r="A83">
            <v>1010636377</v>
          </cell>
          <cell r="B83" t="str">
            <v>LARPIN</v>
          </cell>
          <cell r="C83" t="str">
            <v>José</v>
          </cell>
          <cell r="D83" t="str">
            <v>Brasil - Porto Alegre</v>
          </cell>
          <cell r="E83">
            <v>191638</v>
          </cell>
          <cell r="F83">
            <v>23419</v>
          </cell>
          <cell r="G83">
            <v>168219</v>
          </cell>
          <cell r="H83">
            <v>0</v>
          </cell>
          <cell r="I83">
            <v>168219</v>
          </cell>
        </row>
        <row r="84">
          <cell r="A84">
            <v>1012395306</v>
          </cell>
          <cell r="B84" t="str">
            <v>MADOERY</v>
          </cell>
          <cell r="C84" t="str">
            <v>Ruben</v>
          </cell>
          <cell r="D84" t="str">
            <v>Brasil - Porto Alegre</v>
          </cell>
          <cell r="E84">
            <v>179642</v>
          </cell>
          <cell r="F84">
            <v>17413</v>
          </cell>
          <cell r="G84">
            <v>162229</v>
          </cell>
          <cell r="H84">
            <v>0</v>
          </cell>
          <cell r="I84">
            <v>162229</v>
          </cell>
        </row>
        <row r="85">
          <cell r="A85">
            <v>1012780048</v>
          </cell>
          <cell r="B85" t="str">
            <v>ANGIOLINI</v>
          </cell>
          <cell r="C85" t="str">
            <v>Fernando</v>
          </cell>
          <cell r="D85" t="str">
            <v>Brasil - Porto Alegre</v>
          </cell>
          <cell r="E85">
            <v>145876</v>
          </cell>
          <cell r="F85">
            <v>13070</v>
          </cell>
          <cell r="G85">
            <v>132806</v>
          </cell>
          <cell r="H85">
            <v>0</v>
          </cell>
          <cell r="I85">
            <v>132806</v>
          </cell>
        </row>
        <row r="86">
          <cell r="A86">
            <v>1014471318</v>
          </cell>
          <cell r="B86" t="str">
            <v>MAFFONI</v>
          </cell>
          <cell r="C86" t="str">
            <v>Antonio</v>
          </cell>
          <cell r="D86" t="str">
            <v>Venezuela - Caracas</v>
          </cell>
          <cell r="E86">
            <v>114281</v>
          </cell>
          <cell r="F86">
            <v>11788</v>
          </cell>
          <cell r="G86">
            <v>102493</v>
          </cell>
          <cell r="H86">
            <v>47051</v>
          </cell>
          <cell r="I86">
            <v>55442</v>
          </cell>
        </row>
        <row r="87">
          <cell r="A87">
            <v>1013789218</v>
          </cell>
          <cell r="B87" t="str">
            <v>ARIAS</v>
          </cell>
          <cell r="C87" t="str">
            <v>Carlos</v>
          </cell>
          <cell r="D87" t="str">
            <v>Ecuador - Quito</v>
          </cell>
          <cell r="E87">
            <v>130479</v>
          </cell>
          <cell r="F87">
            <v>13310</v>
          </cell>
          <cell r="G87">
            <v>117169</v>
          </cell>
          <cell r="H87">
            <v>0</v>
          </cell>
          <cell r="I87">
            <v>117169</v>
          </cell>
        </row>
        <row r="88">
          <cell r="A88">
            <v>1016837842</v>
          </cell>
          <cell r="B88" t="str">
            <v>SUBBOTIN</v>
          </cell>
          <cell r="C88" t="str">
            <v>Juan</v>
          </cell>
          <cell r="D88" t="str">
            <v>Bolivia - Sta. Cruz de la Sierra</v>
          </cell>
          <cell r="E88">
            <v>38801</v>
          </cell>
          <cell r="F88">
            <v>0</v>
          </cell>
          <cell r="G88">
            <v>38801</v>
          </cell>
          <cell r="H88">
            <v>0</v>
          </cell>
          <cell r="I88">
            <v>38801</v>
          </cell>
        </row>
        <row r="89">
          <cell r="A89">
            <v>1016509195</v>
          </cell>
          <cell r="B89" t="str">
            <v>CIFUENTES</v>
          </cell>
          <cell r="C89" t="str">
            <v>Gabriel</v>
          </cell>
          <cell r="D89" t="str">
            <v>Venezuela - Caracas</v>
          </cell>
          <cell r="E89">
            <v>143982</v>
          </cell>
          <cell r="F89">
            <v>20342</v>
          </cell>
          <cell r="G89">
            <v>123640</v>
          </cell>
          <cell r="H89">
            <v>46222</v>
          </cell>
          <cell r="I89">
            <v>77418</v>
          </cell>
        </row>
        <row r="90">
          <cell r="A90">
            <v>1014349559</v>
          </cell>
          <cell r="B90" t="str">
            <v>GIAMPAOLI</v>
          </cell>
          <cell r="C90" t="str">
            <v>Hugo</v>
          </cell>
          <cell r="D90" t="str">
            <v>Ecuador - Quito</v>
          </cell>
          <cell r="E90">
            <v>310277</v>
          </cell>
          <cell r="F90">
            <v>53502</v>
          </cell>
          <cell r="G90">
            <v>256775</v>
          </cell>
          <cell r="H90">
            <v>49934</v>
          </cell>
          <cell r="I90">
            <v>206841</v>
          </cell>
        </row>
        <row r="91">
          <cell r="A91">
            <v>1008429015</v>
          </cell>
          <cell r="B91" t="str">
            <v>SILVESTRE</v>
          </cell>
          <cell r="C91" t="str">
            <v>Luis</v>
          </cell>
          <cell r="D91" t="str">
            <v>Ecuador - Quito</v>
          </cell>
          <cell r="E91">
            <v>140846</v>
          </cell>
          <cell r="F91">
            <v>13065</v>
          </cell>
          <cell r="G91">
            <v>127781</v>
          </cell>
          <cell r="H91">
            <v>0</v>
          </cell>
          <cell r="I91">
            <v>127781</v>
          </cell>
        </row>
        <row r="92">
          <cell r="A92">
            <v>1013810557</v>
          </cell>
          <cell r="B92" t="str">
            <v>KRAEMER</v>
          </cell>
          <cell r="C92" t="str">
            <v>Pablo</v>
          </cell>
          <cell r="D92" t="str">
            <v>Francia - París</v>
          </cell>
          <cell r="E92">
            <v>110758</v>
          </cell>
          <cell r="F92">
            <v>15599</v>
          </cell>
          <cell r="G92">
            <v>95159</v>
          </cell>
          <cell r="H92">
            <v>0</v>
          </cell>
          <cell r="I92">
            <v>95159</v>
          </cell>
        </row>
        <row r="93">
          <cell r="A93">
            <v>1008429709</v>
          </cell>
          <cell r="B93" t="str">
            <v>FAVORETTI</v>
          </cell>
          <cell r="C93" t="str">
            <v>Daniel Hugo</v>
          </cell>
          <cell r="D93" t="str">
            <v>Ecuador - Quito</v>
          </cell>
          <cell r="E93">
            <v>318346</v>
          </cell>
          <cell r="F93">
            <v>52372</v>
          </cell>
          <cell r="G93">
            <v>265974</v>
          </cell>
          <cell r="H93">
            <v>0</v>
          </cell>
          <cell r="I93">
            <v>265974</v>
          </cell>
        </row>
        <row r="94">
          <cell r="A94">
            <v>1007889569</v>
          </cell>
          <cell r="B94" t="str">
            <v>CHELAR</v>
          </cell>
          <cell r="C94" t="str">
            <v>Miguel</v>
          </cell>
          <cell r="D94" t="str">
            <v>Ecuador - Quito</v>
          </cell>
          <cell r="E94">
            <v>233754</v>
          </cell>
          <cell r="F94">
            <v>33629</v>
          </cell>
          <cell r="G94">
            <v>200125</v>
          </cell>
          <cell r="H94">
            <v>0</v>
          </cell>
          <cell r="I94">
            <v>200125</v>
          </cell>
        </row>
        <row r="95">
          <cell r="A95">
            <v>1008390299</v>
          </cell>
          <cell r="B95" t="str">
            <v>SOSA</v>
          </cell>
          <cell r="C95" t="str">
            <v>Héctor</v>
          </cell>
          <cell r="D95" t="str">
            <v>Ecuador - Quito</v>
          </cell>
          <cell r="E95">
            <v>173868</v>
          </cell>
          <cell r="F95">
            <v>22061</v>
          </cell>
          <cell r="G95">
            <v>151807</v>
          </cell>
          <cell r="H95">
            <v>0</v>
          </cell>
          <cell r="I95">
            <v>151807</v>
          </cell>
        </row>
        <row r="96">
          <cell r="A96">
            <v>1012676951</v>
          </cell>
          <cell r="B96" t="str">
            <v>VILLALBA</v>
          </cell>
          <cell r="C96" t="str">
            <v>Enrique  Gaspar</v>
          </cell>
          <cell r="D96" t="str">
            <v>Ecuador - Quito</v>
          </cell>
          <cell r="E96">
            <v>158854</v>
          </cell>
          <cell r="F96">
            <v>19384</v>
          </cell>
          <cell r="G96">
            <v>139470</v>
          </cell>
          <cell r="H96">
            <v>46222</v>
          </cell>
          <cell r="I96">
            <v>93248</v>
          </cell>
        </row>
        <row r="97">
          <cell r="A97">
            <v>1012942976</v>
          </cell>
          <cell r="B97" t="str">
            <v>GOMEZ</v>
          </cell>
          <cell r="C97" t="str">
            <v>Marcelo Gerardo</v>
          </cell>
          <cell r="D97" t="str">
            <v>Venezuela - Caracas</v>
          </cell>
          <cell r="E97">
            <v>252068</v>
          </cell>
          <cell r="F97">
            <v>39041</v>
          </cell>
          <cell r="G97">
            <v>213027</v>
          </cell>
          <cell r="H97">
            <v>51927</v>
          </cell>
          <cell r="I97">
            <v>161100</v>
          </cell>
        </row>
        <row r="98">
          <cell r="A98">
            <v>1022510672</v>
          </cell>
          <cell r="B98" t="str">
            <v>BUSTOS CAMPORA</v>
          </cell>
          <cell r="C98" t="str">
            <v>Yanina</v>
          </cell>
          <cell r="D98" t="str">
            <v>Ecuador - Quito</v>
          </cell>
          <cell r="E98">
            <v>83869</v>
          </cell>
          <cell r="F98">
            <v>4779</v>
          </cell>
          <cell r="G98">
            <v>79090</v>
          </cell>
          <cell r="H98">
            <v>40678</v>
          </cell>
          <cell r="I98">
            <v>38412</v>
          </cell>
        </row>
        <row r="99">
          <cell r="A99">
            <v>1021612453</v>
          </cell>
          <cell r="B99" t="str">
            <v>MENDIZABAL</v>
          </cell>
          <cell r="C99" t="str">
            <v>Andrés</v>
          </cell>
          <cell r="D99" t="str">
            <v>Ecuador - Quito</v>
          </cell>
          <cell r="E99">
            <v>73461</v>
          </cell>
          <cell r="F99">
            <v>8829</v>
          </cell>
          <cell r="G99">
            <v>64632</v>
          </cell>
          <cell r="H99">
            <v>47730</v>
          </cell>
          <cell r="I99">
            <v>16902</v>
          </cell>
        </row>
        <row r="100">
          <cell r="A100">
            <v>1024069415</v>
          </cell>
          <cell r="B100" t="str">
            <v>ARNAUDE</v>
          </cell>
          <cell r="C100" t="str">
            <v>Pablo</v>
          </cell>
          <cell r="D100" t="str">
            <v>Cayman Islands</v>
          </cell>
          <cell r="E100">
            <v>100302</v>
          </cell>
          <cell r="F100">
            <v>5287</v>
          </cell>
          <cell r="G100">
            <v>95015</v>
          </cell>
          <cell r="H100">
            <v>0</v>
          </cell>
          <cell r="I100">
            <v>95015</v>
          </cell>
        </row>
        <row r="101">
          <cell r="A101">
            <v>1021368232</v>
          </cell>
          <cell r="B101" t="str">
            <v>RECIO</v>
          </cell>
          <cell r="C101" t="str">
            <v>Mauricio Nestor</v>
          </cell>
          <cell r="D101" t="str">
            <v>Ecuador - Quito</v>
          </cell>
          <cell r="E101">
            <v>84559</v>
          </cell>
          <cell r="F101">
            <v>3193</v>
          </cell>
          <cell r="G101">
            <v>81366</v>
          </cell>
          <cell r="H101">
            <v>40732</v>
          </cell>
          <cell r="I101">
            <v>40634</v>
          </cell>
        </row>
        <row r="102">
          <cell r="A102">
            <v>1012219406</v>
          </cell>
          <cell r="B102" t="str">
            <v>CASALIS</v>
          </cell>
          <cell r="C102" t="str">
            <v>Daniel Jorge</v>
          </cell>
          <cell r="D102" t="str">
            <v>Ecuador - Quito</v>
          </cell>
          <cell r="E102">
            <v>123547</v>
          </cell>
          <cell r="F102">
            <v>15007</v>
          </cell>
          <cell r="G102">
            <v>108540</v>
          </cell>
          <cell r="H102">
            <v>47730</v>
          </cell>
          <cell r="I102">
            <v>60810</v>
          </cell>
        </row>
        <row r="103">
          <cell r="A103">
            <v>1020049433</v>
          </cell>
          <cell r="B103" t="str">
            <v>DUBE</v>
          </cell>
          <cell r="C103" t="str">
            <v>Darío Edgardo</v>
          </cell>
          <cell r="D103" t="str">
            <v>Venezuela - El Tigre</v>
          </cell>
          <cell r="E103">
            <v>79239</v>
          </cell>
          <cell r="F103">
            <v>7543</v>
          </cell>
          <cell r="G103">
            <v>71696</v>
          </cell>
          <cell r="H103">
            <v>42419</v>
          </cell>
          <cell r="I103">
            <v>29277</v>
          </cell>
        </row>
        <row r="104">
          <cell r="A104">
            <v>19</v>
          </cell>
          <cell r="B104">
            <v>0</v>
          </cell>
          <cell r="C104">
            <v>0</v>
          </cell>
          <cell r="D104">
            <v>0</v>
          </cell>
          <cell r="E104" t="e">
            <v>#N/A</v>
          </cell>
          <cell r="F104">
            <v>0</v>
          </cell>
          <cell r="G104" t="e">
            <v>#N/A</v>
          </cell>
          <cell r="H104">
            <v>0</v>
          </cell>
          <cell r="I104" t="e">
            <v>#N/A</v>
          </cell>
        </row>
        <row r="105">
          <cell r="A105">
            <v>20</v>
          </cell>
          <cell r="B105">
            <v>0</v>
          </cell>
          <cell r="C105">
            <v>0</v>
          </cell>
          <cell r="D105">
            <v>0</v>
          </cell>
          <cell r="E105" t="e">
            <v>#N/A</v>
          </cell>
          <cell r="F105">
            <v>0</v>
          </cell>
          <cell r="G105" t="e">
            <v>#N/A</v>
          </cell>
          <cell r="H105">
            <v>0</v>
          </cell>
          <cell r="I105" t="e">
            <v>#N/A</v>
          </cell>
        </row>
        <row r="106">
          <cell r="A106">
            <v>21</v>
          </cell>
          <cell r="B106">
            <v>0</v>
          </cell>
          <cell r="C106">
            <v>0</v>
          </cell>
          <cell r="D106">
            <v>0</v>
          </cell>
          <cell r="E106" t="e">
            <v>#N/A</v>
          </cell>
          <cell r="F106">
            <v>0</v>
          </cell>
          <cell r="G106" t="e">
            <v>#N/A</v>
          </cell>
          <cell r="H106">
            <v>0</v>
          </cell>
          <cell r="I106" t="e">
            <v>#N/A</v>
          </cell>
        </row>
      </sheetData>
      <sheetData sheetId="3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Hoja3"/>
    </sheetNames>
    <sheetDataSet>
      <sheetData sheetId="0">
        <row r="55">
          <cell r="B55" t="str">
            <v>YPF S.A</v>
          </cell>
        </row>
        <row r="56">
          <cell r="B56" t="str">
            <v>Central International Corporation</v>
          </cell>
        </row>
        <row r="57">
          <cell r="B57" t="str">
            <v>El Medanito</v>
          </cell>
        </row>
        <row r="58">
          <cell r="B58" t="str">
            <v>Punta Barda</v>
          </cell>
        </row>
        <row r="59">
          <cell r="B59" t="str">
            <v>Señal Picada</v>
          </cell>
        </row>
        <row r="60">
          <cell r="B60" t="str">
            <v>Volcán Auca Mahiuida</v>
          </cell>
        </row>
        <row r="61">
          <cell r="B61" t="str">
            <v>Señal Cerro Bayo</v>
          </cell>
        </row>
        <row r="62">
          <cell r="B62" t="str">
            <v>Cerro Hamaca Oeste</v>
          </cell>
        </row>
        <row r="63">
          <cell r="B63" t="str">
            <v>Bajo del Piche</v>
          </cell>
        </row>
        <row r="64">
          <cell r="B64" t="str">
            <v>Barranca los Loros</v>
          </cell>
        </row>
        <row r="65">
          <cell r="B65" t="str">
            <v>Catriel Oeste</v>
          </cell>
        </row>
      </sheetData>
      <sheetData sheetId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O"/>
      <sheetName val="Diagrama de trabajo"/>
      <sheetName val="MO - Rotativo 12hs x turno (A)"/>
      <sheetName val="MO - Diurno 12hs (B)"/>
      <sheetName val="BD- BASICOS"/>
    </sheetNames>
    <sheetDataSet>
      <sheetData sheetId="0">
        <row r="7">
          <cell r="D7" t="str">
            <v>Etapa N° 1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METROS"/>
      <sheetName val="ESPESOR"/>
      <sheetName val="Hoja2"/>
      <sheetName val="Hoja3"/>
    </sheetNames>
    <sheetDataSet>
      <sheetData sheetId="0" refreshError="1"/>
      <sheetData sheetId="1" refreshError="1">
        <row r="13">
          <cell r="C13">
            <v>10</v>
          </cell>
        </row>
        <row r="14">
          <cell r="C14">
            <v>8.9</v>
          </cell>
        </row>
        <row r="15">
          <cell r="C15">
            <v>0.5</v>
          </cell>
        </row>
        <row r="16">
          <cell r="C16">
            <v>1</v>
          </cell>
        </row>
        <row r="21">
          <cell r="B21">
            <v>9.8999810903814716</v>
          </cell>
        </row>
      </sheetData>
      <sheetData sheetId="2" refreshError="1"/>
      <sheetData sheetId="3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iterios casos criticos"/>
      <sheetName val="Gráfico1"/>
      <sheetName val="Gráfico2"/>
      <sheetName val="grafico"/>
      <sheetName val="RESUMEN GENERAL"/>
      <sheetName val="PRES-"/>
      <sheetName val="Base General"/>
      <sheetName val="RESUMEN por planta"/>
      <sheetName val="Resumen por Gcia.Div y cat"/>
      <sheetName val="TD SUELDOS ANUALES"/>
      <sheetName val="td ing. y tecno."/>
      <sheetName val="td EYC"/>
      <sheetName val="td FERTILIZANTES"/>
      <sheetName val="td GETRAN"/>
      <sheetName val="td sum y trading"/>
      <sheetName val="td refino y op."/>
      <sheetName val="td (pyl)"/>
      <sheetName val="td pnp"/>
      <sheetName val="td general"/>
      <sheetName val="Gráfico % MP"/>
      <sheetName val="ESTRUCTURAS act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alacion"/>
      <sheetName val="DataCombos"/>
      <sheetName val="DataCombos2"/>
      <sheetName val="Validacion"/>
      <sheetName val="MappedFields"/>
    </sheetNames>
    <sheetDataSet>
      <sheetData sheetId="0" refreshError="1"/>
      <sheetData sheetId="1" refreshError="1"/>
      <sheetData sheetId="2">
        <row r="6">
          <cell r="B6" t="str">
            <v>N / A</v>
          </cell>
        </row>
        <row r="7">
          <cell r="B7" t="str">
            <v>—</v>
          </cell>
        </row>
        <row r="8">
          <cell r="B8" t="str">
            <v>DRS</v>
          </cell>
        </row>
        <row r="9">
          <cell r="B9" t="str">
            <v>DRSBARHVH6</v>
          </cell>
        </row>
        <row r="10">
          <cell r="B10" t="str">
            <v>DRSBCHVH6</v>
          </cell>
        </row>
        <row r="11">
          <cell r="B11" t="str">
            <v>DRSHV</v>
          </cell>
        </row>
        <row r="12">
          <cell r="B12" t="str">
            <v>DRST</v>
          </cell>
        </row>
        <row r="13">
          <cell r="B13" t="str">
            <v>ESP</v>
          </cell>
        </row>
        <row r="14">
          <cell r="B14" t="str">
            <v>FP</v>
          </cell>
        </row>
        <row r="15">
          <cell r="B15" t="str">
            <v>FPA</v>
          </cell>
        </row>
        <row r="16">
          <cell r="B16" t="str">
            <v>FPAINT</v>
          </cell>
        </row>
        <row r="17">
          <cell r="B17" t="str">
            <v>FPAINTJ</v>
          </cell>
        </row>
        <row r="18">
          <cell r="B18" t="str">
            <v>FPARCINT</v>
          </cell>
        </row>
        <row r="19">
          <cell r="B19" t="str">
            <v>FPARCINTH6</v>
          </cell>
        </row>
        <row r="20">
          <cell r="B20" t="str">
            <v>FPDSARCINT</v>
          </cell>
        </row>
        <row r="21">
          <cell r="B21" t="str">
            <v>FPDSARCINTH6</v>
          </cell>
        </row>
        <row r="22">
          <cell r="B22" t="str">
            <v>FPDSINT</v>
          </cell>
        </row>
        <row r="23">
          <cell r="B23" t="str">
            <v>FPHVINT</v>
          </cell>
        </row>
        <row r="24">
          <cell r="B24" t="str">
            <v>FPINT</v>
          </cell>
        </row>
        <row r="25">
          <cell r="B25" t="str">
            <v>FPINTAR</v>
          </cell>
        </row>
        <row r="26">
          <cell r="B26" t="str">
            <v>FPINTH6</v>
          </cell>
        </row>
        <row r="27">
          <cell r="B27" t="str">
            <v>FPINTJ</v>
          </cell>
        </row>
        <row r="28">
          <cell r="B28" t="str">
            <v>FPINTX</v>
          </cell>
        </row>
        <row r="29">
          <cell r="B29" t="str">
            <v>FPXARCINT</v>
          </cell>
        </row>
        <row r="30">
          <cell r="B30" t="str">
            <v>FPXARINT</v>
          </cell>
        </row>
        <row r="31">
          <cell r="B31" t="str">
            <v>FPXINT</v>
          </cell>
        </row>
        <row r="32">
          <cell r="B32" t="str">
            <v>FPXINTJ</v>
          </cell>
        </row>
        <row r="33">
          <cell r="B33" t="str">
            <v>FRS</v>
          </cell>
        </row>
        <row r="34">
          <cell r="B34" t="str">
            <v>FRS3</v>
          </cell>
        </row>
        <row r="35">
          <cell r="B35" t="str">
            <v>FRS3AR</v>
          </cell>
        </row>
        <row r="36">
          <cell r="B36" t="str">
            <v>FRS3X</v>
          </cell>
        </row>
        <row r="37">
          <cell r="B37" t="str">
            <v>FRSBC</v>
          </cell>
        </row>
        <row r="38">
          <cell r="B38" t="str">
            <v>FRSBCH6</v>
          </cell>
        </row>
        <row r="39">
          <cell r="B39" t="str">
            <v>FRSC</v>
          </cell>
        </row>
        <row r="40">
          <cell r="B40" t="str">
            <v>FRSDAR</v>
          </cell>
        </row>
        <row r="41">
          <cell r="B41" t="str">
            <v>FRSHV</v>
          </cell>
        </row>
        <row r="42">
          <cell r="B42" t="str">
            <v>FRSINT</v>
          </cell>
        </row>
        <row r="43">
          <cell r="B43" t="str">
            <v>FRST</v>
          </cell>
        </row>
        <row r="44">
          <cell r="B44" t="str">
            <v>FRST3AR</v>
          </cell>
        </row>
        <row r="45">
          <cell r="B45" t="str">
            <v>FRSX</v>
          </cell>
        </row>
        <row r="46">
          <cell r="B46" t="str">
            <v>FRSX3</v>
          </cell>
        </row>
        <row r="47">
          <cell r="B47" t="str">
            <v>FRSXAR</v>
          </cell>
        </row>
        <row r="48">
          <cell r="B48" t="str">
            <v>FRSXARH6</v>
          </cell>
        </row>
        <row r="49">
          <cell r="B49" t="str">
            <v>FRSXARL</v>
          </cell>
        </row>
        <row r="50">
          <cell r="B50" t="str">
            <v>FRSXDARWCHS</v>
          </cell>
        </row>
        <row r="51">
          <cell r="B51" t="str">
            <v>FRSXH6</v>
          </cell>
        </row>
        <row r="52">
          <cell r="B52" t="str">
            <v>FRSXINT</v>
          </cell>
        </row>
        <row r="53">
          <cell r="B53" t="str">
            <v>FRSXINTJ</v>
          </cell>
        </row>
        <row r="54">
          <cell r="B54" t="str">
            <v>FRSXJ</v>
          </cell>
        </row>
        <row r="55">
          <cell r="B55" t="str">
            <v>FRSXJINT</v>
          </cell>
        </row>
        <row r="56">
          <cell r="B56" t="str">
            <v>FRSXT</v>
          </cell>
        </row>
        <row r="57">
          <cell r="B57" t="str">
            <v>FRSXT3</v>
          </cell>
        </row>
        <row r="58">
          <cell r="B58" t="str">
            <v>FRSXTAR</v>
          </cell>
        </row>
        <row r="59">
          <cell r="B59" t="str">
            <v>FRSXTARC</v>
          </cell>
        </row>
        <row r="60">
          <cell r="B60" t="str">
            <v>FRSXTC</v>
          </cell>
        </row>
        <row r="61">
          <cell r="B61" t="str">
            <v>FRSXTCH6</v>
          </cell>
        </row>
        <row r="62">
          <cell r="B62" t="str">
            <v>GP</v>
          </cell>
        </row>
        <row r="63">
          <cell r="B63" t="str">
            <v>GPARCINT</v>
          </cell>
        </row>
        <row r="64">
          <cell r="B64" t="str">
            <v>GPF</v>
          </cell>
        </row>
        <row r="65">
          <cell r="B65" t="str">
            <v>GPFINT</v>
          </cell>
        </row>
        <row r="66">
          <cell r="B66" t="str">
            <v>GPFINTJ</v>
          </cell>
        </row>
        <row r="67">
          <cell r="B67" t="str">
            <v>GPFS</v>
          </cell>
        </row>
        <row r="68">
          <cell r="B68" t="str">
            <v>GPFSINT</v>
          </cell>
        </row>
        <row r="69">
          <cell r="B69" t="str">
            <v>GPFSXINT</v>
          </cell>
        </row>
        <row r="70">
          <cell r="B70" t="str">
            <v>GPINT</v>
          </cell>
        </row>
        <row r="71">
          <cell r="B71" t="str">
            <v>GPINTAR</v>
          </cell>
        </row>
        <row r="72">
          <cell r="B72" t="str">
            <v>GPINTARC</v>
          </cell>
        </row>
        <row r="73">
          <cell r="B73" t="str">
            <v>GPINTC</v>
          </cell>
        </row>
        <row r="74">
          <cell r="B74" t="str">
            <v>GPXARCINT</v>
          </cell>
        </row>
        <row r="75">
          <cell r="B75" t="str">
            <v>GPXARINT</v>
          </cell>
        </row>
        <row r="76">
          <cell r="B76" t="str">
            <v>GPXCINT</v>
          </cell>
        </row>
        <row r="77">
          <cell r="B77" t="str">
            <v>GPXINT</v>
          </cell>
        </row>
        <row r="78">
          <cell r="B78" t="str">
            <v>GRS</v>
          </cell>
        </row>
        <row r="79">
          <cell r="B79" t="str">
            <v>GRS3</v>
          </cell>
        </row>
        <row r="80">
          <cell r="B80" t="str">
            <v>GRS3AR</v>
          </cell>
        </row>
        <row r="81">
          <cell r="B81" t="str">
            <v>GRSC</v>
          </cell>
        </row>
        <row r="82">
          <cell r="B82" t="str">
            <v>GRSFXAR</v>
          </cell>
        </row>
        <row r="83">
          <cell r="B83" t="str">
            <v>GRST</v>
          </cell>
        </row>
        <row r="84">
          <cell r="B84" t="str">
            <v>GRSTAR</v>
          </cell>
        </row>
        <row r="85">
          <cell r="B85" t="str">
            <v>GRSX</v>
          </cell>
        </row>
        <row r="86">
          <cell r="B86" t="str">
            <v>GRSX3</v>
          </cell>
        </row>
        <row r="87">
          <cell r="B87" t="str">
            <v>GRSXTAR</v>
          </cell>
        </row>
        <row r="88">
          <cell r="B88" t="str">
            <v>REDA</v>
          </cell>
        </row>
      </sheetData>
      <sheetData sheetId="3" refreshError="1"/>
      <sheetData sheetId="4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CTOR MATRIX"/>
      <sheetName val="MASTER TABLE"/>
      <sheetName val="COVER"/>
      <sheetName val="TOC"/>
      <sheetName val="DPUMPS-338 p.01"/>
      <sheetName val="DC800 p.02"/>
      <sheetName val="DC1000 &amp; DC1250 p.03"/>
      <sheetName val="DC2200 &amp; DC2500 p.04"/>
      <sheetName val="FPUMPS-400 (1 OF 2) p.05"/>
      <sheetName val="FPUMPS-400 (2 OF 2) p.06"/>
      <sheetName val="FS400 &amp; FS650 p.07"/>
      <sheetName val="FS950 &amp; FS1200 p.08"/>
      <sheetName val="FS1650 p.9"/>
      <sheetName val="FC450 &amp; FC650 p.10"/>
      <sheetName val="FC925 &amp; FC1200 p.11"/>
      <sheetName val="FC1600 &amp; FC1800 (resv.)  p.12"/>
      <sheetName val="FC2200 &amp; FC2700 p.13"/>
      <sheetName val="FC4300 &amp; FC6000 p.14"/>
      <sheetName val="FCNPSH p.15"/>
      <sheetName val="FPUMPS-400 AR p.16"/>
      <sheetName val="GPUMPS-513 (1 OF 2) p.17"/>
      <sheetName val="GPUMPS-513 (2 OF 2) p.18"/>
      <sheetName val="GS2300 p.19"/>
      <sheetName val="GC1150 &amp; GC1700 p.20"/>
      <sheetName val="GC2200 &amp; GC2900 p.21"/>
      <sheetName val="GC3000 &amp; GC3500 p.22"/>
      <sheetName val="GC4100 &amp; GC6100 p.23"/>
      <sheetName val="GC8200 &amp; GC10000 p.24"/>
      <sheetName val="GCNPSH p.25"/>
      <sheetName val="GPUMPS-513 AR p.26"/>
      <sheetName val="KPUMPS - 562 SERIES p.27"/>
      <sheetName val="KC12000 p.28"/>
      <sheetName val="KC16000 p.29"/>
      <sheetName val="KC20000 p.30"/>
      <sheetName val="KPUMPS-562 AR p.31 "/>
      <sheetName val="HPUMPS - 675 SERIES p.32"/>
      <sheetName val="HC7800-10000 p.33"/>
      <sheetName val="HC12500-16000 p34  "/>
      <sheetName val="HC19000 p.35"/>
      <sheetName val="HC27000-35000  p.36"/>
      <sheetName val="HPUMPS-675 AR p.37"/>
      <sheetName val="I-J PUMPS 875-1025 SERIES p.38"/>
      <sheetName val="WI600 p.39"/>
      <sheetName val="WI700 PUMP p.40"/>
      <sheetName val="WJ1000 p.41"/>
      <sheetName val="WJ1200 p.42"/>
      <sheetName val="Centurion Pump p.43"/>
      <sheetName val="400P6p.44"/>
      <sheetName val="400P8 p.45"/>
      <sheetName val="400P12 p.46"/>
      <sheetName val="400P16 p.47"/>
      <sheetName val="400P18 p.48"/>
      <sheetName val="400P30 p.49"/>
      <sheetName val="538p17 p50"/>
      <sheetName val="538p23 p.51"/>
      <sheetName val="538p37 p.52"/>
      <sheetName val="538p47 p.53"/>
      <sheetName val="538p62 p.54"/>
      <sheetName val="538p100 p.55"/>
      <sheetName val="375 MOTORS-338 SEALS p.56"/>
      <sheetName val="375 MOTORS p.57"/>
      <sheetName val="450 MOTORS-400 SEALS p.58"/>
      <sheetName val="FMH 450 MOTORS p.59"/>
      <sheetName val="562 MOTORS-513 SEALS p.60"/>
      <sheetName val="562 KMH-MOTORS p.61"/>
      <sheetName val="562 KMH-MOTORS p.62"/>
      <sheetName val="725 MOTORS-675 SEALS p.63"/>
      <sheetName val="725 MOTORS p.64"/>
      <sheetName val="MLE 1 OF 4 p.65"/>
      <sheetName val="MLE 2 OF 4 p.66"/>
      <sheetName val="MLE 3 OF 4 p.67"/>
      <sheetName val="MLE 4 OF 4 p.68"/>
      <sheetName val="CABLE 1 OF 2 p.60"/>
      <sheetName val="CABLE 2 OF 3 p.70"/>
      <sheetName val="CABLE 3 OF 3 p.71"/>
      <sheetName val="SWITCHBOARDS 1 OF 2 p.72"/>
      <sheetName val="SWITCHBOARDS 2 OF 2 p.73"/>
      <sheetName val="VSD 1 OF 3 p.74"/>
      <sheetName val="VSD 2 OF 3 p.75"/>
      <sheetName val="VSD 3 OF 3 p.76"/>
      <sheetName val="GCS1 p.77"/>
      <sheetName val="GCS2 p.78"/>
      <sheetName val="GCS3 p.79"/>
      <sheetName val="PumpMate p.80"/>
      <sheetName val="Sensor Centinel p.81"/>
      <sheetName val="Recirculation Pump p.82"/>
      <sheetName val="XFORMERS 1 OF 2 p.83"/>
      <sheetName val="XFORMERS 2 OF 2  p.84"/>
      <sheetName val="XFORMERS VSC p.85"/>
      <sheetName val="Transformer VSD Argentina p.86"/>
      <sheetName val="XFORMERS Arg. p.87"/>
      <sheetName val="SURFACE EQUIPMENT  p.88"/>
      <sheetName val="ACCESSORIES (1 OF 2) p.89"/>
      <sheetName val="ACCESSORIES (2 OF 2) p.90"/>
      <sheetName val="INSPECCION Y REPARACION p.91"/>
      <sheetName val="Glossary p.92"/>
      <sheetName val="Glossary2 p.93"/>
      <sheetName val="Glossary3 p.94"/>
    </sheetNames>
    <sheetDataSet>
      <sheetData sheetId="0" refreshError="1"/>
      <sheetData sheetId="1">
        <row r="547">
          <cell r="I547">
            <v>2814.1189999999997</v>
          </cell>
        </row>
        <row r="548">
          <cell r="I548">
            <v>3361.7374999999997</v>
          </cell>
        </row>
        <row r="549">
          <cell r="I549">
            <v>4130.4779999999992</v>
          </cell>
        </row>
        <row r="550">
          <cell r="I550">
            <v>4491.7619999999997</v>
          </cell>
        </row>
        <row r="551">
          <cell r="I551">
            <v>4762.7249999999995</v>
          </cell>
        </row>
        <row r="552">
          <cell r="I552">
            <v>5522.99</v>
          </cell>
        </row>
        <row r="553">
          <cell r="I553">
            <v>6274.4</v>
          </cell>
        </row>
        <row r="554">
          <cell r="I554">
            <v>7030.87</v>
          </cell>
        </row>
        <row r="555">
          <cell r="I555">
            <v>7697.5249999999996</v>
          </cell>
        </row>
        <row r="556">
          <cell r="I556">
            <v>10150.866</v>
          </cell>
        </row>
        <row r="557">
          <cell r="I557">
            <v>10488.747499999999</v>
          </cell>
        </row>
        <row r="558">
          <cell r="I558">
            <v>10864.832</v>
          </cell>
        </row>
        <row r="559">
          <cell r="I559">
            <v>10637.384999999998</v>
          </cell>
        </row>
        <row r="560">
          <cell r="I560">
            <v>11837.364</v>
          </cell>
        </row>
        <row r="561">
          <cell r="I561">
            <v>12057.98</v>
          </cell>
        </row>
        <row r="562">
          <cell r="I562">
            <v>12816.98</v>
          </cell>
        </row>
        <row r="563">
          <cell r="I563">
            <v>13479.84</v>
          </cell>
        </row>
        <row r="564">
          <cell r="I564">
            <v>14142.699999999999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TPO0197"/>
      <sheetName val="PDBase"/>
    </sheetNames>
    <sheetDataSet>
      <sheetData sheetId="0" refreshError="1"/>
      <sheetData sheetId="1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atula"/>
      <sheetName val="Costo Venta"/>
      <sheetName val="Resumen"/>
      <sheetName val="MOD"/>
      <sheetName val="MOI"/>
      <sheetName val="Materiales"/>
      <sheetName val="Herramientas"/>
      <sheetName val="Consumibles"/>
      <sheetName val="Equipos"/>
      <sheetName val="Subc"/>
      <sheetName val="Gastos"/>
      <sheetName val="Valores FASPyGP"/>
      <sheetName val="CSoc"/>
      <sheetName val="I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non Taller "/>
      <sheetName val="N de Crédito"/>
      <sheetName val="N de Crédito-Niveles"/>
      <sheetName val="Cargo Mensual"/>
      <sheetName val="PH 0573"/>
      <sheetName val="Cotizacion PH 1411"/>
      <sheetName val="PH 1411"/>
      <sheetName val="Diferencia "/>
      <sheetName val="Sop Dif "/>
      <sheetName val="Resumen"/>
    </sheetNames>
    <sheetDataSet>
      <sheetData sheetId="0" refreshError="1">
        <row r="15">
          <cell r="I15">
            <v>0.4</v>
          </cell>
          <cell r="J15" t="str">
            <v>182-92-48-00009</v>
          </cell>
        </row>
        <row r="16">
          <cell r="I16">
            <v>0.6</v>
          </cell>
          <cell r="J16" t="str">
            <v>182-92-48-00010</v>
          </cell>
        </row>
        <row r="17">
          <cell r="I17">
            <v>1</v>
          </cell>
          <cell r="J17" t="str">
            <v>182-92-48-00011</v>
          </cell>
        </row>
        <row r="18">
          <cell r="I18">
            <v>1.2</v>
          </cell>
          <cell r="J18" t="str">
            <v>182-92-48-00012</v>
          </cell>
        </row>
        <row r="19">
          <cell r="I19">
            <v>1.4</v>
          </cell>
          <cell r="J19" t="str">
            <v>182-92-48-00013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"/>
      <sheetName val="Cuadros EFirma"/>
      <sheetName val="Información de Cabecera"/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79">
          <cell r="B79" t="str">
            <v>Dólar</v>
          </cell>
        </row>
        <row r="80">
          <cell r="B80" t="str">
            <v>Gasoil</v>
          </cell>
        </row>
        <row r="81">
          <cell r="B81" t="str">
            <v>Ipim</v>
          </cell>
        </row>
        <row r="82">
          <cell r="B82" t="str">
            <v>Vehículos</v>
          </cell>
        </row>
        <row r="83">
          <cell r="B83" t="str">
            <v>WPU06 Pesificado</v>
          </cell>
        </row>
      </sheetData>
      <sheetData sheetId="14" refreshError="1"/>
      <sheetData sheetId="15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  <sheetName val="Dic2001"/>
    </sheetNames>
    <sheetDataSet>
      <sheetData sheetId="0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PUESTO /FUNCION</v>
          </cell>
          <cell r="E6" t="str">
            <v>CATEG</v>
          </cell>
          <cell r="F6" t="str">
            <v>REMUNERAC. BRUTA MENSUAL</v>
          </cell>
          <cell r="G6" t="str">
            <v>ADICIONAL TAREA SUPERIOR</v>
          </cell>
          <cell r="H6" t="str">
            <v xml:space="preserve">CANTIDAD SUELDOS COMPENS. VARIABLE </v>
          </cell>
          <cell r="I6" t="str">
            <v xml:space="preserve">IMPORTE COMPENS. VARIABLE </v>
          </cell>
          <cell r="J6" t="str">
            <v>REMUNERAC. BRUTA ANUAL EN ARGENTINA</v>
          </cell>
          <cell r="K6" t="str">
            <v>REM. NETA ANUAL SIN COMP. VARIABLE</v>
          </cell>
          <cell r="L6" t="str">
            <v>COMPENSAC. VARIABLE NETA</v>
          </cell>
          <cell r="M6" t="str">
            <v>REMUN, NETA ANUAL EN ARGENTINA C / COMP.VAR.</v>
          </cell>
          <cell r="N6" t="str">
            <v>DESTINO</v>
          </cell>
          <cell r="O6" t="str">
            <v>% ADIC. DE ASIG.</v>
          </cell>
          <cell r="P6" t="str">
            <v>ADICIONAL DE ASIGNACIÓN  NETO</v>
          </cell>
          <cell r="Q6" t="str">
            <v>ADICIONAL DE ASIGNACIÓN S / COMP. VAR. NETO</v>
          </cell>
          <cell r="R6" t="str">
            <v>% HARDSHIP</v>
          </cell>
          <cell r="S6" t="str">
            <v>HARDSHIP NETO</v>
          </cell>
          <cell r="T6" t="str">
            <v>% BIENES Y SERVIC.</v>
          </cell>
          <cell r="U6" t="str">
            <v>BIENES Y SERVICIOS NETO</v>
          </cell>
          <cell r="V6" t="str">
            <v>ADICIONAL PERSONAL NETO</v>
          </cell>
          <cell r="W6" t="str">
            <v>OTROS</v>
          </cell>
          <cell r="X6" t="str">
            <v>NETO TOTAL DE ADIC. EN EL EXTERIOR</v>
          </cell>
          <cell r="Y6" t="str">
            <v>BRUTO TOTAL DE ADIC. EL EXTERIOR</v>
          </cell>
          <cell r="Z6" t="str">
            <v>NETO DE LA ASIG. INTERN.</v>
          </cell>
          <cell r="AA6" t="str">
            <v>BRUTO DE LA ASIG. INTERN.</v>
          </cell>
        </row>
        <row r="7">
          <cell r="A7">
            <v>501093254</v>
          </cell>
          <cell r="B7" t="str">
            <v>ALFARO PEREZ</v>
          </cell>
          <cell r="C7" t="str">
            <v>Anthony</v>
          </cell>
          <cell r="D7" t="str">
            <v>Technical Advisor</v>
          </cell>
          <cell r="E7">
            <v>59</v>
          </cell>
          <cell r="F7">
            <v>7875</v>
          </cell>
          <cell r="G7">
            <v>0</v>
          </cell>
          <cell r="H7">
            <v>3</v>
          </cell>
          <cell r="I7">
            <v>23625</v>
          </cell>
          <cell r="J7">
            <v>126000</v>
          </cell>
          <cell r="K7">
            <v>75006</v>
          </cell>
          <cell r="L7">
            <v>16662</v>
          </cell>
          <cell r="M7">
            <v>91668</v>
          </cell>
          <cell r="N7" t="str">
            <v>Venezuela - Maracaibo</v>
          </cell>
          <cell r="O7">
            <v>0.15</v>
          </cell>
          <cell r="P7">
            <v>15356</v>
          </cell>
          <cell r="Q7">
            <v>3544</v>
          </cell>
          <cell r="R7">
            <v>0.2</v>
          </cell>
          <cell r="S7">
            <v>20475</v>
          </cell>
          <cell r="T7">
            <v>0</v>
          </cell>
          <cell r="U7">
            <v>92519</v>
          </cell>
          <cell r="V7">
            <v>0</v>
          </cell>
          <cell r="W7">
            <v>0</v>
          </cell>
          <cell r="X7">
            <v>131894</v>
          </cell>
          <cell r="Y7">
            <v>207780</v>
          </cell>
          <cell r="Z7">
            <v>223562</v>
          </cell>
          <cell r="AA7">
            <v>333780</v>
          </cell>
        </row>
        <row r="8">
          <cell r="A8">
            <v>1010670880</v>
          </cell>
          <cell r="B8" t="str">
            <v>MONACO</v>
          </cell>
          <cell r="C8" t="str">
            <v>Daniel Hugo</v>
          </cell>
          <cell r="D8" t="str">
            <v>Jefe Produccion SR.</v>
          </cell>
          <cell r="E8">
            <v>58</v>
          </cell>
          <cell r="F8">
            <v>6600</v>
          </cell>
          <cell r="G8">
            <v>0</v>
          </cell>
          <cell r="H8">
            <v>3</v>
          </cell>
          <cell r="I8">
            <v>19800</v>
          </cell>
          <cell r="J8">
            <v>105600</v>
          </cell>
          <cell r="K8">
            <v>63880</v>
          </cell>
          <cell r="L8">
            <v>13342</v>
          </cell>
          <cell r="M8">
            <v>77222</v>
          </cell>
          <cell r="N8" t="str">
            <v>Venezuela - Maracaibo</v>
          </cell>
          <cell r="O8">
            <v>0.15</v>
          </cell>
          <cell r="P8">
            <v>12870</v>
          </cell>
          <cell r="Q8">
            <v>2970</v>
          </cell>
          <cell r="R8">
            <v>0.2</v>
          </cell>
          <cell r="S8">
            <v>17160</v>
          </cell>
          <cell r="T8">
            <v>0</v>
          </cell>
          <cell r="U8">
            <v>99608</v>
          </cell>
          <cell r="V8">
            <v>2383</v>
          </cell>
          <cell r="W8">
            <v>0</v>
          </cell>
          <cell r="X8">
            <v>134991</v>
          </cell>
          <cell r="Y8">
            <v>210720</v>
          </cell>
          <cell r="Z8">
            <v>212213</v>
          </cell>
          <cell r="AA8">
            <v>316320</v>
          </cell>
        </row>
        <row r="9">
          <cell r="A9">
            <v>1011355230</v>
          </cell>
          <cell r="B9" t="str">
            <v>MOHANNA</v>
          </cell>
          <cell r="C9" t="str">
            <v>Julio César</v>
          </cell>
          <cell r="D9" t="str">
            <v>Supervisor Principal</v>
          </cell>
          <cell r="E9">
            <v>55</v>
          </cell>
          <cell r="F9">
            <v>4114.8</v>
          </cell>
          <cell r="G9">
            <v>0</v>
          </cell>
          <cell r="H9">
            <v>0</v>
          </cell>
          <cell r="I9">
            <v>0</v>
          </cell>
          <cell r="J9">
            <v>53492</v>
          </cell>
          <cell r="K9">
            <v>41326</v>
          </cell>
          <cell r="L9">
            <v>0</v>
          </cell>
          <cell r="M9">
            <v>41326</v>
          </cell>
          <cell r="N9" t="str">
            <v>Venezuela - Maracaibo</v>
          </cell>
          <cell r="O9">
            <v>0.15</v>
          </cell>
          <cell r="P9">
            <v>8024</v>
          </cell>
          <cell r="Q9">
            <v>0</v>
          </cell>
          <cell r="R9">
            <v>0.2</v>
          </cell>
          <cell r="S9">
            <v>10698</v>
          </cell>
          <cell r="T9">
            <v>0</v>
          </cell>
          <cell r="U9">
            <v>67639</v>
          </cell>
          <cell r="V9">
            <v>1331</v>
          </cell>
          <cell r="W9">
            <v>0</v>
          </cell>
          <cell r="X9">
            <v>87692</v>
          </cell>
          <cell r="Y9">
            <v>131182</v>
          </cell>
          <cell r="Z9">
            <v>129018</v>
          </cell>
          <cell r="AA9">
            <v>184674</v>
          </cell>
        </row>
        <row r="10">
          <cell r="A10">
            <v>1018773481</v>
          </cell>
          <cell r="B10" t="str">
            <v>NOTA</v>
          </cell>
          <cell r="C10" t="str">
            <v>Sebastian</v>
          </cell>
          <cell r="D10">
            <v>0</v>
          </cell>
          <cell r="E10">
            <v>0</v>
          </cell>
          <cell r="F10">
            <v>2275</v>
          </cell>
          <cell r="G10">
            <v>0</v>
          </cell>
          <cell r="H10">
            <v>0</v>
          </cell>
          <cell r="I10">
            <v>0</v>
          </cell>
          <cell r="J10">
            <v>29575</v>
          </cell>
          <cell r="K10">
            <v>24187</v>
          </cell>
          <cell r="L10">
            <v>0</v>
          </cell>
          <cell r="M10">
            <v>24187</v>
          </cell>
          <cell r="N10" t="str">
            <v>Bolivia - Sta. Cruz de la Sierra</v>
          </cell>
          <cell r="O10">
            <v>0.15</v>
          </cell>
          <cell r="P10">
            <v>4436</v>
          </cell>
          <cell r="Q10">
            <v>0</v>
          </cell>
          <cell r="R10">
            <v>0.15</v>
          </cell>
          <cell r="S10">
            <v>4436</v>
          </cell>
          <cell r="T10">
            <v>0</v>
          </cell>
          <cell r="U10">
            <v>14487</v>
          </cell>
          <cell r="V10">
            <v>0</v>
          </cell>
          <cell r="W10">
            <v>0</v>
          </cell>
          <cell r="X10">
            <v>23359</v>
          </cell>
          <cell r="Y10">
            <v>33535</v>
          </cell>
          <cell r="Z10">
            <v>47546</v>
          </cell>
          <cell r="AA10">
            <v>63110</v>
          </cell>
        </row>
        <row r="11">
          <cell r="A11">
            <v>1012057492</v>
          </cell>
          <cell r="B11" t="str">
            <v>CORFIELD</v>
          </cell>
          <cell r="C11" t="str">
            <v>Ricardo J.</v>
          </cell>
          <cell r="D11" t="str">
            <v>Jefe Produccion SR.</v>
          </cell>
          <cell r="E11">
            <v>58</v>
          </cell>
          <cell r="F11">
            <v>10395</v>
          </cell>
          <cell r="G11">
            <v>0</v>
          </cell>
          <cell r="H11">
            <v>4.09</v>
          </cell>
          <cell r="I11">
            <v>42481</v>
          </cell>
          <cell r="J11">
            <v>177616</v>
          </cell>
          <cell r="K11">
            <v>97339</v>
          </cell>
          <cell r="L11">
            <v>26556</v>
          </cell>
          <cell r="M11">
            <v>123895</v>
          </cell>
          <cell r="N11" t="str">
            <v>Venezuela - El Tigre</v>
          </cell>
          <cell r="O11">
            <v>0.15</v>
          </cell>
          <cell r="P11">
            <v>20270</v>
          </cell>
          <cell r="Q11">
            <v>6372</v>
          </cell>
          <cell r="R11">
            <v>0.15</v>
          </cell>
          <cell r="S11">
            <v>20270</v>
          </cell>
          <cell r="T11">
            <v>0</v>
          </cell>
          <cell r="U11">
            <v>35329</v>
          </cell>
          <cell r="V11">
            <v>9241</v>
          </cell>
          <cell r="W11">
            <v>0</v>
          </cell>
          <cell r="X11">
            <v>91482</v>
          </cell>
          <cell r="Y11">
            <v>143572</v>
          </cell>
          <cell r="Z11">
            <v>215377</v>
          </cell>
          <cell r="AA11">
            <v>321188</v>
          </cell>
        </row>
        <row r="12">
          <cell r="A12">
            <v>12</v>
          </cell>
          <cell r="B12" t="str">
            <v>EJEMPLO2</v>
          </cell>
          <cell r="C12">
            <v>0</v>
          </cell>
          <cell r="D12">
            <v>0</v>
          </cell>
          <cell r="E12">
            <v>57</v>
          </cell>
          <cell r="F12">
            <v>2400</v>
          </cell>
          <cell r="G12">
            <v>0</v>
          </cell>
          <cell r="H12">
            <v>0</v>
          </cell>
          <cell r="I12">
            <v>0</v>
          </cell>
          <cell r="J12">
            <v>31200</v>
          </cell>
          <cell r="K12">
            <v>25509</v>
          </cell>
          <cell r="L12">
            <v>0</v>
          </cell>
          <cell r="M12">
            <v>25509</v>
          </cell>
          <cell r="N12" t="str">
            <v>Brasil . Rio de Janeiro</v>
          </cell>
          <cell r="O12">
            <v>0.15</v>
          </cell>
          <cell r="P12">
            <v>4680</v>
          </cell>
          <cell r="Q12">
            <v>0</v>
          </cell>
          <cell r="R12">
            <v>0.1</v>
          </cell>
          <cell r="S12">
            <v>3120</v>
          </cell>
          <cell r="T12">
            <v>0</v>
          </cell>
          <cell r="U12">
            <v>27515</v>
          </cell>
          <cell r="V12">
            <v>0</v>
          </cell>
          <cell r="W12">
            <v>0</v>
          </cell>
          <cell r="X12">
            <v>35315</v>
          </cell>
          <cell r="Y12">
            <v>50377</v>
          </cell>
          <cell r="Z12">
            <v>60824</v>
          </cell>
          <cell r="AA12">
            <v>81577</v>
          </cell>
        </row>
        <row r="13">
          <cell r="A13">
            <v>1013733981</v>
          </cell>
          <cell r="B13" t="str">
            <v>ALMONACID</v>
          </cell>
          <cell r="C13" t="str">
            <v>Jorge Daniel</v>
          </cell>
          <cell r="D13" t="str">
            <v>Jefe de Producción</v>
          </cell>
          <cell r="E13">
            <v>57</v>
          </cell>
          <cell r="F13">
            <v>6132</v>
          </cell>
          <cell r="G13">
            <v>0</v>
          </cell>
          <cell r="H13">
            <v>2.5</v>
          </cell>
          <cell r="I13">
            <v>15330</v>
          </cell>
          <cell r="J13">
            <v>95046</v>
          </cell>
          <cell r="K13">
            <v>59391</v>
          </cell>
          <cell r="L13">
            <v>11431</v>
          </cell>
          <cell r="M13">
            <v>70822</v>
          </cell>
          <cell r="N13" t="str">
            <v>Venezuela - El Tigre</v>
          </cell>
          <cell r="O13">
            <v>0.15</v>
          </cell>
          <cell r="P13">
            <v>11957</v>
          </cell>
          <cell r="Q13">
            <v>2300</v>
          </cell>
          <cell r="R13">
            <v>0.15</v>
          </cell>
          <cell r="S13">
            <v>11957</v>
          </cell>
          <cell r="T13">
            <v>0</v>
          </cell>
          <cell r="U13">
            <v>87775</v>
          </cell>
          <cell r="V13">
            <v>5021</v>
          </cell>
          <cell r="W13">
            <v>0</v>
          </cell>
          <cell r="X13">
            <v>119010</v>
          </cell>
          <cell r="Y13">
            <v>186842</v>
          </cell>
          <cell r="Z13">
            <v>189832</v>
          </cell>
          <cell r="AA13">
            <v>281888</v>
          </cell>
        </row>
        <row r="14">
          <cell r="A14">
            <v>1020049433</v>
          </cell>
          <cell r="B14" t="str">
            <v>DUBE</v>
          </cell>
          <cell r="C14" t="str">
            <v>Darío Edgardo</v>
          </cell>
          <cell r="D14" t="str">
            <v>Profesional Sr.</v>
          </cell>
          <cell r="E14">
            <v>0</v>
          </cell>
          <cell r="F14">
            <v>5877.6</v>
          </cell>
          <cell r="G14">
            <v>0</v>
          </cell>
          <cell r="H14">
            <v>2</v>
          </cell>
          <cell r="I14">
            <v>11755.2</v>
          </cell>
          <cell r="J14">
            <v>88164</v>
          </cell>
          <cell r="K14">
            <v>56844</v>
          </cell>
          <cell r="L14">
            <v>8954</v>
          </cell>
          <cell r="M14">
            <v>65798</v>
          </cell>
          <cell r="N14" t="str">
            <v>Venezuela - El Tigre</v>
          </cell>
          <cell r="O14">
            <v>0.15</v>
          </cell>
          <cell r="P14">
            <v>11461</v>
          </cell>
          <cell r="Q14">
            <v>1763</v>
          </cell>
          <cell r="R14">
            <v>0.15</v>
          </cell>
          <cell r="S14">
            <v>11461</v>
          </cell>
          <cell r="T14">
            <v>0</v>
          </cell>
          <cell r="U14">
            <v>83605</v>
          </cell>
          <cell r="V14">
            <v>0</v>
          </cell>
          <cell r="W14">
            <v>0</v>
          </cell>
          <cell r="X14">
            <v>108290</v>
          </cell>
          <cell r="Y14">
            <v>169502</v>
          </cell>
          <cell r="Z14">
            <v>174088</v>
          </cell>
          <cell r="AA14">
            <v>257666</v>
          </cell>
        </row>
        <row r="15">
          <cell r="A15">
            <v>1011303322</v>
          </cell>
          <cell r="B15" t="str">
            <v>GIONGO</v>
          </cell>
          <cell r="C15" t="str">
            <v>Luis</v>
          </cell>
          <cell r="D15" t="str">
            <v>Supervisor Principal</v>
          </cell>
          <cell r="E15">
            <v>55</v>
          </cell>
          <cell r="F15">
            <v>5538</v>
          </cell>
          <cell r="G15">
            <v>0</v>
          </cell>
          <cell r="H15">
            <v>0</v>
          </cell>
          <cell r="I15">
            <v>0</v>
          </cell>
          <cell r="J15">
            <v>71994</v>
          </cell>
          <cell r="K15">
            <v>53594</v>
          </cell>
          <cell r="L15">
            <v>0</v>
          </cell>
          <cell r="M15">
            <v>53594</v>
          </cell>
          <cell r="N15" t="str">
            <v>Venezuela - El Tigre</v>
          </cell>
          <cell r="O15">
            <v>0.15</v>
          </cell>
          <cell r="P15">
            <v>10799</v>
          </cell>
          <cell r="Q15">
            <v>0</v>
          </cell>
          <cell r="R15">
            <v>0.15</v>
          </cell>
          <cell r="S15">
            <v>10799</v>
          </cell>
          <cell r="T15">
            <v>0</v>
          </cell>
          <cell r="U15">
            <v>65698</v>
          </cell>
          <cell r="V15">
            <v>5727</v>
          </cell>
          <cell r="W15">
            <v>0</v>
          </cell>
          <cell r="X15">
            <v>93023</v>
          </cell>
          <cell r="Y15">
            <v>140579</v>
          </cell>
          <cell r="Z15">
            <v>146617</v>
          </cell>
          <cell r="AA15">
            <v>212573</v>
          </cell>
        </row>
        <row r="16">
          <cell r="A16">
            <v>1007687952</v>
          </cell>
          <cell r="B16" t="str">
            <v>GAREIS</v>
          </cell>
          <cell r="C16" t="str">
            <v>Juan Eduardo</v>
          </cell>
          <cell r="D16" t="str">
            <v>Spervisor Principal</v>
          </cell>
          <cell r="E16">
            <v>55</v>
          </cell>
          <cell r="F16">
            <v>5538</v>
          </cell>
          <cell r="G16">
            <v>0</v>
          </cell>
          <cell r="H16">
            <v>0</v>
          </cell>
          <cell r="I16">
            <v>0</v>
          </cell>
          <cell r="J16">
            <v>71994</v>
          </cell>
          <cell r="K16">
            <v>54650</v>
          </cell>
          <cell r="L16">
            <v>0</v>
          </cell>
          <cell r="M16">
            <v>54650</v>
          </cell>
          <cell r="N16" t="str">
            <v>Venezuela - El Tigre</v>
          </cell>
          <cell r="O16">
            <v>0.15</v>
          </cell>
          <cell r="P16">
            <v>10799</v>
          </cell>
          <cell r="Q16">
            <v>0</v>
          </cell>
          <cell r="R16">
            <v>0.15</v>
          </cell>
          <cell r="S16">
            <v>10799</v>
          </cell>
          <cell r="T16">
            <v>0</v>
          </cell>
          <cell r="U16">
            <v>77124</v>
          </cell>
          <cell r="V16">
            <v>5027</v>
          </cell>
          <cell r="W16">
            <v>0</v>
          </cell>
          <cell r="X16">
            <v>103749</v>
          </cell>
          <cell r="Y16">
            <v>160318</v>
          </cell>
          <cell r="Z16">
            <v>158399</v>
          </cell>
          <cell r="AA16">
            <v>232312</v>
          </cell>
        </row>
        <row r="17">
          <cell r="A17">
            <v>1007602217</v>
          </cell>
          <cell r="B17" t="str">
            <v>BAUZA</v>
          </cell>
          <cell r="C17" t="str">
            <v>Carlos</v>
          </cell>
          <cell r="D17" t="str">
            <v>Spervisor Principal</v>
          </cell>
          <cell r="E17">
            <v>55</v>
          </cell>
          <cell r="F17">
            <v>4800</v>
          </cell>
          <cell r="G17">
            <v>576</v>
          </cell>
          <cell r="H17">
            <v>2</v>
          </cell>
          <cell r="I17">
            <v>10752</v>
          </cell>
          <cell r="J17">
            <v>80640</v>
          </cell>
          <cell r="K17">
            <v>52817</v>
          </cell>
          <cell r="L17">
            <v>7285</v>
          </cell>
          <cell r="M17">
            <v>60102</v>
          </cell>
          <cell r="N17" t="str">
            <v>Venezuela - El Tigre</v>
          </cell>
          <cell r="O17">
            <v>0.15</v>
          </cell>
          <cell r="P17">
            <v>10483</v>
          </cell>
          <cell r="Q17">
            <v>1613</v>
          </cell>
          <cell r="R17">
            <v>0.15</v>
          </cell>
          <cell r="S17">
            <v>10483</v>
          </cell>
          <cell r="T17">
            <v>0</v>
          </cell>
          <cell r="U17">
            <v>78734</v>
          </cell>
          <cell r="V17">
            <v>0</v>
          </cell>
          <cell r="W17">
            <v>0</v>
          </cell>
          <cell r="X17">
            <v>101313</v>
          </cell>
          <cell r="Y17">
            <v>156366</v>
          </cell>
          <cell r="Z17">
            <v>161415</v>
          </cell>
          <cell r="AA17">
            <v>237006</v>
          </cell>
        </row>
        <row r="18">
          <cell r="A18">
            <v>1014781064</v>
          </cell>
          <cell r="B18" t="str">
            <v>ROLANDO</v>
          </cell>
          <cell r="C18" t="str">
            <v>Roberto</v>
          </cell>
          <cell r="D18" t="str">
            <v>Asist. Producción</v>
          </cell>
          <cell r="E18">
            <v>56</v>
          </cell>
          <cell r="F18">
            <v>4002</v>
          </cell>
          <cell r="G18">
            <v>0</v>
          </cell>
          <cell r="H18">
            <v>0</v>
          </cell>
          <cell r="I18">
            <v>0</v>
          </cell>
          <cell r="J18">
            <v>52026</v>
          </cell>
          <cell r="K18">
            <v>40349</v>
          </cell>
          <cell r="L18">
            <v>0</v>
          </cell>
          <cell r="M18">
            <v>40349</v>
          </cell>
          <cell r="N18" t="str">
            <v>Venezuela - El Tigre</v>
          </cell>
          <cell r="O18">
            <v>0.15</v>
          </cell>
          <cell r="P18">
            <v>7804</v>
          </cell>
          <cell r="Q18">
            <v>0</v>
          </cell>
          <cell r="R18">
            <v>0.15</v>
          </cell>
          <cell r="S18">
            <v>7804</v>
          </cell>
          <cell r="T18">
            <v>0</v>
          </cell>
          <cell r="U18">
            <v>56270</v>
          </cell>
          <cell r="V18">
            <v>4779</v>
          </cell>
          <cell r="W18">
            <v>0</v>
          </cell>
          <cell r="X18">
            <v>76657</v>
          </cell>
          <cell r="Y18">
            <v>114168</v>
          </cell>
          <cell r="Z18">
            <v>117006</v>
          </cell>
          <cell r="AA18">
            <v>166194</v>
          </cell>
        </row>
        <row r="19">
          <cell r="A19">
            <v>300</v>
          </cell>
          <cell r="B19" t="str">
            <v>GONZALEZ1</v>
          </cell>
          <cell r="C19" t="str">
            <v>Marcelo A.</v>
          </cell>
          <cell r="D19">
            <v>0</v>
          </cell>
          <cell r="E19">
            <v>64</v>
          </cell>
          <cell r="F19">
            <v>4270</v>
          </cell>
          <cell r="G19">
            <v>3000</v>
          </cell>
          <cell r="H19">
            <v>2</v>
          </cell>
          <cell r="I19">
            <v>8540</v>
          </cell>
          <cell r="J19">
            <v>103050</v>
          </cell>
          <cell r="K19">
            <v>70624</v>
          </cell>
          <cell r="L19">
            <v>5012</v>
          </cell>
          <cell r="M19">
            <v>75636</v>
          </cell>
          <cell r="N19" t="str">
            <v>Brasil . Rio de Janeiro</v>
          </cell>
          <cell r="O19">
            <v>0.15</v>
          </cell>
          <cell r="P19">
            <v>14177</v>
          </cell>
          <cell r="Q19">
            <v>1281</v>
          </cell>
          <cell r="R19">
            <v>0.1</v>
          </cell>
          <cell r="S19">
            <v>9451</v>
          </cell>
          <cell r="T19">
            <v>0</v>
          </cell>
          <cell r="U19">
            <v>42412</v>
          </cell>
          <cell r="V19">
            <v>0</v>
          </cell>
          <cell r="W19">
            <v>0</v>
          </cell>
          <cell r="X19">
            <v>67321</v>
          </cell>
          <cell r="Y19">
            <v>103069</v>
          </cell>
          <cell r="Z19">
            <v>142957</v>
          </cell>
          <cell r="AA19">
            <v>206119</v>
          </cell>
        </row>
        <row r="20">
          <cell r="A20">
            <v>1012942976</v>
          </cell>
          <cell r="B20" t="str">
            <v>GOMEZ</v>
          </cell>
          <cell r="C20" t="str">
            <v>Marcelo Gerardo</v>
          </cell>
          <cell r="D20" t="str">
            <v>Gte.Operaciones</v>
          </cell>
          <cell r="E20">
            <v>62</v>
          </cell>
          <cell r="F20">
            <v>15000</v>
          </cell>
          <cell r="G20">
            <v>0</v>
          </cell>
          <cell r="H20">
            <v>5</v>
          </cell>
          <cell r="I20">
            <v>75000</v>
          </cell>
          <cell r="J20">
            <v>270000</v>
          </cell>
          <cell r="K20">
            <v>135730</v>
          </cell>
          <cell r="L20">
            <v>46375</v>
          </cell>
          <cell r="M20">
            <v>182105</v>
          </cell>
          <cell r="N20" t="str">
            <v>Venezuela - Caracas</v>
          </cell>
          <cell r="O20">
            <v>0.15</v>
          </cell>
          <cell r="P20">
            <v>29250</v>
          </cell>
          <cell r="Q20">
            <v>11250</v>
          </cell>
          <cell r="R20">
            <v>0.05</v>
          </cell>
          <cell r="S20">
            <v>9750</v>
          </cell>
          <cell r="T20">
            <v>0</v>
          </cell>
          <cell r="U20">
            <v>245124</v>
          </cell>
          <cell r="V20">
            <v>0</v>
          </cell>
          <cell r="W20">
            <v>0</v>
          </cell>
          <cell r="X20">
            <v>295374</v>
          </cell>
          <cell r="Y20">
            <v>454422</v>
          </cell>
          <cell r="Z20">
            <v>477479</v>
          </cell>
          <cell r="AA20">
            <v>724422</v>
          </cell>
        </row>
        <row r="21">
          <cell r="A21">
            <v>1011413232</v>
          </cell>
          <cell r="B21" t="str">
            <v>NAVARRO</v>
          </cell>
          <cell r="C21" t="str">
            <v>Jorge Rafael</v>
          </cell>
          <cell r="D21" t="str">
            <v>Gte. De Ingenieria</v>
          </cell>
          <cell r="E21">
            <v>61</v>
          </cell>
          <cell r="F21">
            <v>14400</v>
          </cell>
          <cell r="G21">
            <v>0</v>
          </cell>
          <cell r="H21">
            <v>5</v>
          </cell>
          <cell r="I21">
            <v>72000</v>
          </cell>
          <cell r="J21">
            <v>259200</v>
          </cell>
          <cell r="K21">
            <v>130874</v>
          </cell>
          <cell r="L21">
            <v>44211</v>
          </cell>
          <cell r="M21">
            <v>175085</v>
          </cell>
          <cell r="N21" t="str">
            <v>Venezuela - Caracas</v>
          </cell>
          <cell r="O21">
            <v>0.15</v>
          </cell>
          <cell r="P21">
            <v>28080</v>
          </cell>
          <cell r="Q21">
            <v>10800</v>
          </cell>
          <cell r="R21">
            <v>0.05</v>
          </cell>
          <cell r="S21">
            <v>9360</v>
          </cell>
          <cell r="T21">
            <v>0</v>
          </cell>
          <cell r="U21">
            <v>264552</v>
          </cell>
          <cell r="V21">
            <v>9926</v>
          </cell>
          <cell r="W21">
            <v>0</v>
          </cell>
          <cell r="X21">
            <v>322718</v>
          </cell>
          <cell r="Y21">
            <v>496490</v>
          </cell>
          <cell r="Z21">
            <v>497803</v>
          </cell>
          <cell r="AA21">
            <v>755690</v>
          </cell>
        </row>
        <row r="22">
          <cell r="A22">
            <v>1012089758</v>
          </cell>
          <cell r="B22" t="str">
            <v>SATO</v>
          </cell>
          <cell r="C22" t="str">
            <v>Javier</v>
          </cell>
          <cell r="D22">
            <v>0</v>
          </cell>
          <cell r="E22">
            <v>0</v>
          </cell>
          <cell r="F22">
            <v>17800</v>
          </cell>
          <cell r="G22">
            <v>0</v>
          </cell>
          <cell r="H22">
            <v>4</v>
          </cell>
          <cell r="I22">
            <v>71200</v>
          </cell>
          <cell r="J22">
            <v>302600</v>
          </cell>
          <cell r="K22">
            <v>157771</v>
          </cell>
          <cell r="L22">
            <v>45524</v>
          </cell>
          <cell r="M22">
            <v>203295</v>
          </cell>
          <cell r="N22" t="str">
            <v>Brasil . Rio de Janeiro</v>
          </cell>
          <cell r="O22">
            <v>0.15</v>
          </cell>
          <cell r="P22">
            <v>34710</v>
          </cell>
          <cell r="Q22">
            <v>10680</v>
          </cell>
          <cell r="R22">
            <v>0.1</v>
          </cell>
          <cell r="S22">
            <v>23140</v>
          </cell>
          <cell r="T22">
            <v>0</v>
          </cell>
          <cell r="U22">
            <v>56534</v>
          </cell>
          <cell r="V22">
            <v>0</v>
          </cell>
          <cell r="W22">
            <v>0</v>
          </cell>
          <cell r="X22">
            <v>125064</v>
          </cell>
          <cell r="Y22">
            <v>192406</v>
          </cell>
          <cell r="Z22">
            <v>328359</v>
          </cell>
          <cell r="AA22">
            <v>495006</v>
          </cell>
        </row>
        <row r="23">
          <cell r="A23">
            <v>1008318885</v>
          </cell>
          <cell r="B23" t="str">
            <v>AMOROSO</v>
          </cell>
          <cell r="C23" t="str">
            <v>Juan Carlos</v>
          </cell>
          <cell r="D23" t="str">
            <v>Gte. Areas de Produc</v>
          </cell>
          <cell r="E23">
            <v>61</v>
          </cell>
          <cell r="F23">
            <v>17000</v>
          </cell>
          <cell r="G23">
            <v>0</v>
          </cell>
          <cell r="H23">
            <v>5</v>
          </cell>
          <cell r="I23">
            <v>85000</v>
          </cell>
          <cell r="J23">
            <v>306000</v>
          </cell>
          <cell r="K23">
            <v>151154</v>
          </cell>
          <cell r="L23">
            <v>54351</v>
          </cell>
          <cell r="M23">
            <v>205505</v>
          </cell>
          <cell r="N23" t="str">
            <v>México - Reynosa</v>
          </cell>
          <cell r="O23">
            <v>0.15</v>
          </cell>
          <cell r="P23">
            <v>33150</v>
          </cell>
          <cell r="Q23">
            <v>12750</v>
          </cell>
          <cell r="R23">
            <v>0.15</v>
          </cell>
          <cell r="S23">
            <v>33150</v>
          </cell>
          <cell r="T23">
            <v>0</v>
          </cell>
          <cell r="U23">
            <v>141869</v>
          </cell>
          <cell r="V23">
            <v>0</v>
          </cell>
          <cell r="W23">
            <v>0</v>
          </cell>
          <cell r="X23">
            <v>220919</v>
          </cell>
          <cell r="Y23">
            <v>339876</v>
          </cell>
          <cell r="Z23">
            <v>426424</v>
          </cell>
          <cell r="AA23">
            <v>645876</v>
          </cell>
        </row>
        <row r="24">
          <cell r="A24">
            <v>1012057492</v>
          </cell>
          <cell r="B24" t="str">
            <v>CORFIELD</v>
          </cell>
          <cell r="C24" t="str">
            <v>Ricardo J.</v>
          </cell>
          <cell r="D24" t="str">
            <v>Jefe Produccion SR.</v>
          </cell>
          <cell r="E24">
            <v>58</v>
          </cell>
          <cell r="F24">
            <v>10395</v>
          </cell>
          <cell r="G24">
            <v>0</v>
          </cell>
          <cell r="H24">
            <v>4.09</v>
          </cell>
          <cell r="I24">
            <v>42481</v>
          </cell>
          <cell r="J24">
            <v>177616</v>
          </cell>
          <cell r="K24">
            <v>97339</v>
          </cell>
          <cell r="L24">
            <v>26556</v>
          </cell>
          <cell r="M24">
            <v>123895</v>
          </cell>
          <cell r="N24" t="str">
            <v>Venezuela - El Tigre</v>
          </cell>
          <cell r="O24">
            <v>0.15</v>
          </cell>
          <cell r="P24">
            <v>20270</v>
          </cell>
          <cell r="Q24">
            <v>6372</v>
          </cell>
          <cell r="R24">
            <v>0.15</v>
          </cell>
          <cell r="S24">
            <v>20270</v>
          </cell>
          <cell r="T24">
            <v>0</v>
          </cell>
          <cell r="U24">
            <v>35329</v>
          </cell>
          <cell r="V24">
            <v>9241</v>
          </cell>
          <cell r="W24">
            <v>0</v>
          </cell>
          <cell r="X24">
            <v>91482</v>
          </cell>
          <cell r="Y24">
            <v>143572</v>
          </cell>
          <cell r="Z24">
            <v>215377</v>
          </cell>
          <cell r="AA24">
            <v>321188</v>
          </cell>
        </row>
        <row r="25">
          <cell r="A25">
            <v>1017616061</v>
          </cell>
          <cell r="B25" t="str">
            <v>GOMEZ</v>
          </cell>
          <cell r="C25" t="str">
            <v>Pablo</v>
          </cell>
          <cell r="D25">
            <v>0</v>
          </cell>
          <cell r="E25">
            <v>0</v>
          </cell>
          <cell r="F25">
            <v>7370</v>
          </cell>
          <cell r="G25">
            <v>0</v>
          </cell>
          <cell r="H25">
            <v>3</v>
          </cell>
          <cell r="I25">
            <v>22110</v>
          </cell>
          <cell r="J25">
            <v>117920</v>
          </cell>
          <cell r="K25">
            <v>71380</v>
          </cell>
          <cell r="L25">
            <v>14713</v>
          </cell>
          <cell r="M25">
            <v>86093</v>
          </cell>
          <cell r="N25" t="str">
            <v>México - Reynosa</v>
          </cell>
          <cell r="O25">
            <v>0.15</v>
          </cell>
          <cell r="P25">
            <v>14372</v>
          </cell>
          <cell r="Q25">
            <v>3317</v>
          </cell>
          <cell r="R25">
            <v>0.15</v>
          </cell>
          <cell r="S25">
            <v>14372</v>
          </cell>
          <cell r="T25">
            <v>0</v>
          </cell>
          <cell r="U25">
            <v>54366</v>
          </cell>
          <cell r="V25">
            <v>0</v>
          </cell>
          <cell r="W25">
            <v>0</v>
          </cell>
          <cell r="X25">
            <v>86427</v>
          </cell>
          <cell r="Y25">
            <v>137334</v>
          </cell>
          <cell r="Z25">
            <v>172520</v>
          </cell>
          <cell r="AA25">
            <v>255254</v>
          </cell>
        </row>
        <row r="26">
          <cell r="A26">
            <v>1016509195</v>
          </cell>
          <cell r="B26" t="str">
            <v>CIFUENTES</v>
          </cell>
          <cell r="C26" t="str">
            <v>Gabriel</v>
          </cell>
          <cell r="D26" t="str">
            <v>Gte. Producción</v>
          </cell>
          <cell r="E26">
            <v>59</v>
          </cell>
          <cell r="F26">
            <v>11000</v>
          </cell>
          <cell r="G26">
            <v>0</v>
          </cell>
          <cell r="H26">
            <v>4</v>
          </cell>
          <cell r="I26">
            <v>44000</v>
          </cell>
          <cell r="J26">
            <v>187000</v>
          </cell>
          <cell r="K26">
            <v>101930</v>
          </cell>
          <cell r="L26">
            <v>28600</v>
          </cell>
          <cell r="M26">
            <v>130530</v>
          </cell>
          <cell r="N26" t="str">
            <v>Venezuela - Caracas</v>
          </cell>
          <cell r="O26">
            <v>0.15</v>
          </cell>
          <cell r="P26">
            <v>21450</v>
          </cell>
          <cell r="Q26">
            <v>6600</v>
          </cell>
          <cell r="R26">
            <v>0.05</v>
          </cell>
          <cell r="S26">
            <v>7150</v>
          </cell>
          <cell r="T26">
            <v>0</v>
          </cell>
          <cell r="U26">
            <v>167260</v>
          </cell>
          <cell r="V26">
            <v>0</v>
          </cell>
          <cell r="W26">
            <v>0</v>
          </cell>
          <cell r="X26">
            <v>202460</v>
          </cell>
          <cell r="Y26">
            <v>315131</v>
          </cell>
          <cell r="Z26">
            <v>332990</v>
          </cell>
          <cell r="AA26">
            <v>502131</v>
          </cell>
        </row>
        <row r="27">
          <cell r="A27">
            <v>266</v>
          </cell>
          <cell r="B27" t="str">
            <v>DALLASTA</v>
          </cell>
          <cell r="C27" t="str">
            <v>Alejandro</v>
          </cell>
          <cell r="D27">
            <v>0</v>
          </cell>
          <cell r="E27">
            <v>59</v>
          </cell>
          <cell r="F27">
            <v>7700</v>
          </cell>
          <cell r="G27">
            <v>2800</v>
          </cell>
          <cell r="H27">
            <v>4</v>
          </cell>
          <cell r="I27">
            <v>42000</v>
          </cell>
          <cell r="J27">
            <v>178500</v>
          </cell>
          <cell r="K27">
            <v>99546</v>
          </cell>
          <cell r="L27">
            <v>25780</v>
          </cell>
          <cell r="M27">
            <v>125326</v>
          </cell>
          <cell r="N27" t="str">
            <v>Brasil . Rio de Janeiro</v>
          </cell>
          <cell r="O27">
            <v>0.15</v>
          </cell>
          <cell r="P27">
            <v>20475</v>
          </cell>
          <cell r="Q27">
            <v>6300</v>
          </cell>
          <cell r="R27">
            <v>0.1</v>
          </cell>
          <cell r="S27">
            <v>13650</v>
          </cell>
          <cell r="T27">
            <v>0</v>
          </cell>
          <cell r="U27">
            <v>55227</v>
          </cell>
          <cell r="V27">
            <v>0</v>
          </cell>
          <cell r="W27">
            <v>0</v>
          </cell>
          <cell r="X27">
            <v>95652</v>
          </cell>
          <cell r="Y27">
            <v>151305</v>
          </cell>
          <cell r="Z27">
            <v>220978</v>
          </cell>
          <cell r="AA27">
            <v>329805</v>
          </cell>
        </row>
        <row r="28">
          <cell r="A28">
            <v>300</v>
          </cell>
          <cell r="B28" t="str">
            <v>GONZALEZ1</v>
          </cell>
          <cell r="C28" t="str">
            <v>Marcelo A.</v>
          </cell>
          <cell r="D28">
            <v>0</v>
          </cell>
          <cell r="E28">
            <v>64</v>
          </cell>
          <cell r="F28">
            <v>4270</v>
          </cell>
          <cell r="G28">
            <v>3000</v>
          </cell>
          <cell r="H28">
            <v>2</v>
          </cell>
          <cell r="I28">
            <v>8540</v>
          </cell>
          <cell r="J28">
            <v>103050</v>
          </cell>
          <cell r="K28">
            <v>70624</v>
          </cell>
          <cell r="L28">
            <v>5012</v>
          </cell>
          <cell r="M28">
            <v>75636</v>
          </cell>
          <cell r="N28" t="str">
            <v>Brasil . Rio de Janeiro</v>
          </cell>
          <cell r="O28">
            <v>0.15</v>
          </cell>
          <cell r="P28">
            <v>14177</v>
          </cell>
          <cell r="Q28">
            <v>1281</v>
          </cell>
          <cell r="R28">
            <v>0.1</v>
          </cell>
          <cell r="S28">
            <v>9451</v>
          </cell>
          <cell r="T28">
            <v>0</v>
          </cell>
          <cell r="U28">
            <v>42412</v>
          </cell>
          <cell r="V28">
            <v>0</v>
          </cell>
          <cell r="W28">
            <v>0</v>
          </cell>
          <cell r="X28">
            <v>67321</v>
          </cell>
          <cell r="Y28">
            <v>103069</v>
          </cell>
          <cell r="Z28">
            <v>142957</v>
          </cell>
          <cell r="AA28">
            <v>206119</v>
          </cell>
        </row>
        <row r="29">
          <cell r="A29">
            <v>1008311034</v>
          </cell>
          <cell r="B29" t="str">
            <v>IANNACI</v>
          </cell>
          <cell r="C29" t="str">
            <v>Nestor</v>
          </cell>
          <cell r="D29" t="str">
            <v>Gte. Comp. Y Contr.</v>
          </cell>
          <cell r="E29">
            <v>58</v>
          </cell>
          <cell r="F29">
            <v>7465.2</v>
          </cell>
          <cell r="G29">
            <v>0</v>
          </cell>
          <cell r="H29">
            <v>2</v>
          </cell>
          <cell r="I29">
            <v>14930.4</v>
          </cell>
          <cell r="J29">
            <v>111978</v>
          </cell>
          <cell r="K29">
            <v>72091</v>
          </cell>
          <cell r="L29">
            <v>9744</v>
          </cell>
          <cell r="M29">
            <v>81835</v>
          </cell>
          <cell r="N29" t="str">
            <v>Venezuela - Caracas</v>
          </cell>
          <cell r="O29">
            <v>0.15</v>
          </cell>
          <cell r="P29">
            <v>14557</v>
          </cell>
          <cell r="Q29">
            <v>2240</v>
          </cell>
          <cell r="R29">
            <v>0.05</v>
          </cell>
          <cell r="S29">
            <v>4852</v>
          </cell>
          <cell r="T29">
            <v>0</v>
          </cell>
          <cell r="U29">
            <v>125042</v>
          </cell>
          <cell r="V29">
            <v>15171</v>
          </cell>
          <cell r="W29">
            <v>0</v>
          </cell>
          <cell r="X29">
            <v>161862</v>
          </cell>
          <cell r="Y29">
            <v>252779</v>
          </cell>
          <cell r="Z29">
            <v>243697</v>
          </cell>
          <cell r="AA29">
            <v>364757</v>
          </cell>
        </row>
        <row r="30">
          <cell r="A30">
            <v>100</v>
          </cell>
          <cell r="B30" t="str">
            <v>MOUNTAFIAN</v>
          </cell>
          <cell r="C30" t="str">
            <v>Alejandro</v>
          </cell>
          <cell r="D30" t="str">
            <v>Gerente de Contraloría</v>
          </cell>
          <cell r="E30">
            <v>59</v>
          </cell>
          <cell r="F30">
            <v>6740</v>
          </cell>
          <cell r="G30">
            <v>0</v>
          </cell>
          <cell r="H30">
            <v>1</v>
          </cell>
          <cell r="I30">
            <v>6740</v>
          </cell>
          <cell r="J30">
            <v>94360</v>
          </cell>
          <cell r="K30">
            <v>65401</v>
          </cell>
          <cell r="L30">
            <v>4920</v>
          </cell>
          <cell r="M30">
            <v>70321</v>
          </cell>
          <cell r="N30" t="str">
            <v>Brasil . Rio de Janeiro</v>
          </cell>
          <cell r="O30">
            <v>0.15</v>
          </cell>
          <cell r="P30">
            <v>13143</v>
          </cell>
          <cell r="Q30">
            <v>1011</v>
          </cell>
          <cell r="R30">
            <v>0.1</v>
          </cell>
          <cell r="S30">
            <v>8762</v>
          </cell>
          <cell r="T30">
            <v>0</v>
          </cell>
          <cell r="U30">
            <v>32956</v>
          </cell>
          <cell r="V30">
            <v>0</v>
          </cell>
          <cell r="W30">
            <v>0</v>
          </cell>
          <cell r="X30">
            <v>55872</v>
          </cell>
          <cell r="Y30">
            <v>86133</v>
          </cell>
          <cell r="Z30">
            <v>126193</v>
          </cell>
          <cell r="AA30">
            <v>180493</v>
          </cell>
        </row>
        <row r="31">
          <cell r="A31">
            <v>1010189991</v>
          </cell>
          <cell r="B31" t="str">
            <v>ORTULAN</v>
          </cell>
          <cell r="C31" t="str">
            <v>Jorge Carlos</v>
          </cell>
          <cell r="D31" t="str">
            <v>Jefe de Producción</v>
          </cell>
          <cell r="E31">
            <v>57</v>
          </cell>
          <cell r="F31">
            <v>7140</v>
          </cell>
          <cell r="G31">
            <v>0</v>
          </cell>
          <cell r="H31">
            <v>3</v>
          </cell>
          <cell r="I31">
            <v>21420</v>
          </cell>
          <cell r="J31">
            <v>114240</v>
          </cell>
          <cell r="K31">
            <v>69390</v>
          </cell>
          <cell r="L31">
            <v>14322</v>
          </cell>
          <cell r="M31">
            <v>83712</v>
          </cell>
          <cell r="N31" t="str">
            <v>Venezuela - Caracas</v>
          </cell>
          <cell r="O31">
            <v>0.15</v>
          </cell>
          <cell r="P31">
            <v>13923</v>
          </cell>
          <cell r="Q31">
            <v>3213</v>
          </cell>
          <cell r="R31">
            <v>0.05</v>
          </cell>
          <cell r="S31">
            <v>4641</v>
          </cell>
          <cell r="T31">
            <v>0</v>
          </cell>
          <cell r="U31">
            <v>141892</v>
          </cell>
          <cell r="V31">
            <v>7308</v>
          </cell>
          <cell r="W31">
            <v>0</v>
          </cell>
          <cell r="X31">
            <v>170977</v>
          </cell>
          <cell r="Y31">
            <v>267428</v>
          </cell>
          <cell r="Z31">
            <v>254689</v>
          </cell>
          <cell r="AA31">
            <v>381668</v>
          </cell>
        </row>
        <row r="32">
          <cell r="A32">
            <v>1014471318</v>
          </cell>
          <cell r="B32" t="str">
            <v>MAFFONI</v>
          </cell>
          <cell r="C32" t="str">
            <v>Antonio</v>
          </cell>
          <cell r="D32" t="str">
            <v>Gte. Reservorio</v>
          </cell>
          <cell r="E32">
            <v>58</v>
          </cell>
          <cell r="F32">
            <v>6720</v>
          </cell>
          <cell r="G32">
            <v>0</v>
          </cell>
          <cell r="H32">
            <v>3</v>
          </cell>
          <cell r="I32">
            <v>20160</v>
          </cell>
          <cell r="J32">
            <v>107520</v>
          </cell>
          <cell r="K32">
            <v>65211</v>
          </cell>
          <cell r="L32">
            <v>13551</v>
          </cell>
          <cell r="M32">
            <v>78762</v>
          </cell>
          <cell r="N32" t="str">
            <v>Venezuela - Caracas</v>
          </cell>
          <cell r="O32">
            <v>0.15</v>
          </cell>
          <cell r="P32">
            <v>13104</v>
          </cell>
          <cell r="Q32">
            <v>3024</v>
          </cell>
          <cell r="R32">
            <v>0.05</v>
          </cell>
          <cell r="S32">
            <v>4368</v>
          </cell>
          <cell r="T32">
            <v>0</v>
          </cell>
          <cell r="U32">
            <v>128995</v>
          </cell>
          <cell r="V32">
            <v>0</v>
          </cell>
          <cell r="W32">
            <v>0</v>
          </cell>
          <cell r="X32">
            <v>149491</v>
          </cell>
          <cell r="Y32">
            <v>233477</v>
          </cell>
          <cell r="Z32">
            <v>228253</v>
          </cell>
          <cell r="AA32">
            <v>340997</v>
          </cell>
        </row>
        <row r="33">
          <cell r="A33">
            <v>1012591991</v>
          </cell>
          <cell r="B33" t="str">
            <v>DIODATTI</v>
          </cell>
          <cell r="C33" t="str">
            <v>Horacio</v>
          </cell>
          <cell r="D33" t="str">
            <v>Gete. Abastecimiento</v>
          </cell>
          <cell r="E33">
            <v>59</v>
          </cell>
          <cell r="F33">
            <v>6720</v>
          </cell>
          <cell r="G33">
            <v>0</v>
          </cell>
          <cell r="H33">
            <v>3</v>
          </cell>
          <cell r="I33">
            <v>20160</v>
          </cell>
          <cell r="J33">
            <v>107520</v>
          </cell>
          <cell r="K33">
            <v>65769</v>
          </cell>
          <cell r="L33">
            <v>13406</v>
          </cell>
          <cell r="M33">
            <v>79175</v>
          </cell>
          <cell r="N33" t="str">
            <v>Venezuela - Caracas</v>
          </cell>
          <cell r="O33">
            <v>0.15</v>
          </cell>
          <cell r="P33">
            <v>13104</v>
          </cell>
          <cell r="Q33">
            <v>3024</v>
          </cell>
          <cell r="R33">
            <v>0.05</v>
          </cell>
          <cell r="S33">
            <v>4368</v>
          </cell>
          <cell r="T33">
            <v>0</v>
          </cell>
          <cell r="U33">
            <v>143380</v>
          </cell>
          <cell r="V33">
            <v>0</v>
          </cell>
          <cell r="W33">
            <v>0</v>
          </cell>
          <cell r="X33">
            <v>163876</v>
          </cell>
          <cell r="Y33">
            <v>256243</v>
          </cell>
          <cell r="Z33">
            <v>243051</v>
          </cell>
          <cell r="AA33">
            <v>363763</v>
          </cell>
        </row>
        <row r="34">
          <cell r="A34">
            <v>15</v>
          </cell>
          <cell r="B34" t="str">
            <v>EJEMPLO5</v>
          </cell>
          <cell r="C34">
            <v>0</v>
          </cell>
          <cell r="D34">
            <v>0</v>
          </cell>
          <cell r="E34">
            <v>59</v>
          </cell>
          <cell r="F34">
            <v>9118</v>
          </cell>
          <cell r="G34">
            <v>0</v>
          </cell>
          <cell r="H34">
            <v>4</v>
          </cell>
          <cell r="I34">
            <v>36472</v>
          </cell>
          <cell r="J34">
            <v>155006</v>
          </cell>
          <cell r="K34">
            <v>86517</v>
          </cell>
          <cell r="L34">
            <v>23110</v>
          </cell>
          <cell r="M34">
            <v>109627</v>
          </cell>
          <cell r="N34" t="str">
            <v>México - Reynosa</v>
          </cell>
          <cell r="O34">
            <v>0.15</v>
          </cell>
          <cell r="P34">
            <v>17780</v>
          </cell>
          <cell r="Q34">
            <v>5471</v>
          </cell>
          <cell r="R34">
            <v>0.15</v>
          </cell>
          <cell r="S34">
            <v>17780</v>
          </cell>
          <cell r="T34">
            <v>0</v>
          </cell>
          <cell r="U34">
            <v>97213</v>
          </cell>
          <cell r="V34">
            <v>0</v>
          </cell>
          <cell r="W34">
            <v>0</v>
          </cell>
          <cell r="X34">
            <v>138244</v>
          </cell>
          <cell r="Y34">
            <v>216173</v>
          </cell>
          <cell r="Z34">
            <v>247871</v>
          </cell>
          <cell r="AA34">
            <v>371179</v>
          </cell>
        </row>
        <row r="35">
          <cell r="A35">
            <v>1013727062</v>
          </cell>
          <cell r="B35" t="str">
            <v>ARGUELLO</v>
          </cell>
          <cell r="C35" t="str">
            <v>Jorge</v>
          </cell>
          <cell r="D35" t="str">
            <v>Profesional Principal</v>
          </cell>
          <cell r="E35">
            <v>57</v>
          </cell>
          <cell r="F35">
            <v>5476.8</v>
          </cell>
          <cell r="G35">
            <v>0</v>
          </cell>
          <cell r="H35">
            <v>2.67</v>
          </cell>
          <cell r="I35">
            <v>14628</v>
          </cell>
          <cell r="J35">
            <v>85826</v>
          </cell>
          <cell r="K35">
            <v>54037</v>
          </cell>
          <cell r="L35">
            <v>10223</v>
          </cell>
          <cell r="M35">
            <v>64260</v>
          </cell>
          <cell r="N35" t="str">
            <v>Venezuela - Caracas</v>
          </cell>
          <cell r="O35">
            <v>0.15</v>
          </cell>
          <cell r="P35">
            <v>10680</v>
          </cell>
          <cell r="Q35">
            <v>2194</v>
          </cell>
          <cell r="R35">
            <v>0.05</v>
          </cell>
          <cell r="S35">
            <v>3560</v>
          </cell>
          <cell r="T35">
            <v>0</v>
          </cell>
          <cell r="U35">
            <v>117464</v>
          </cell>
          <cell r="V35">
            <v>0</v>
          </cell>
          <cell r="W35">
            <v>0</v>
          </cell>
          <cell r="X35">
            <v>133898</v>
          </cell>
          <cell r="Y35">
            <v>208871</v>
          </cell>
          <cell r="Z35">
            <v>198158</v>
          </cell>
          <cell r="AA35">
            <v>294697</v>
          </cell>
        </row>
        <row r="36">
          <cell r="A36">
            <v>1013259141</v>
          </cell>
          <cell r="B36" t="str">
            <v>MOLINA</v>
          </cell>
          <cell r="C36" t="str">
            <v>Alfredo</v>
          </cell>
          <cell r="D36" t="str">
            <v>Profesional Principal</v>
          </cell>
          <cell r="E36">
            <v>57</v>
          </cell>
          <cell r="F36">
            <v>5094</v>
          </cell>
          <cell r="G36">
            <v>2211.6</v>
          </cell>
          <cell r="H36">
            <v>0</v>
          </cell>
          <cell r="I36">
            <v>0</v>
          </cell>
          <cell r="J36">
            <v>94973</v>
          </cell>
          <cell r="K36">
            <v>70962</v>
          </cell>
          <cell r="L36">
            <v>0</v>
          </cell>
          <cell r="M36">
            <v>70962</v>
          </cell>
          <cell r="N36" t="str">
            <v>Venezuela - Caracas</v>
          </cell>
          <cell r="O36">
            <v>0.15</v>
          </cell>
          <cell r="P36">
            <v>14246</v>
          </cell>
          <cell r="Q36">
            <v>0</v>
          </cell>
          <cell r="R36">
            <v>0.05</v>
          </cell>
          <cell r="S36">
            <v>4749</v>
          </cell>
          <cell r="T36">
            <v>0</v>
          </cell>
          <cell r="U36">
            <v>125650</v>
          </cell>
          <cell r="V36">
            <v>0</v>
          </cell>
          <cell r="W36">
            <v>0</v>
          </cell>
          <cell r="X36">
            <v>144645</v>
          </cell>
          <cell r="Y36">
            <v>226569</v>
          </cell>
          <cell r="Z36">
            <v>215607</v>
          </cell>
          <cell r="AA36">
            <v>321542</v>
          </cell>
        </row>
        <row r="37">
          <cell r="A37">
            <v>1016951326</v>
          </cell>
          <cell r="B37" t="str">
            <v>GROSSO</v>
          </cell>
          <cell r="C37" t="str">
            <v>Santiago</v>
          </cell>
          <cell r="D37" t="str">
            <v xml:space="preserve">Profesional SR. </v>
          </cell>
          <cell r="E37">
            <v>57</v>
          </cell>
          <cell r="F37">
            <v>5002.8</v>
          </cell>
          <cell r="G37">
            <v>0</v>
          </cell>
          <cell r="H37">
            <v>2</v>
          </cell>
          <cell r="I37">
            <v>10005.6</v>
          </cell>
          <cell r="J37">
            <v>75042</v>
          </cell>
          <cell r="K37">
            <v>49292</v>
          </cell>
          <cell r="L37">
            <v>7705</v>
          </cell>
          <cell r="M37">
            <v>56997</v>
          </cell>
          <cell r="N37" t="str">
            <v>Venezuela - Caracas</v>
          </cell>
          <cell r="O37">
            <v>0.15</v>
          </cell>
          <cell r="P37">
            <v>9755</v>
          </cell>
          <cell r="Q37">
            <v>1501</v>
          </cell>
          <cell r="R37">
            <v>0.05</v>
          </cell>
          <cell r="S37">
            <v>3252</v>
          </cell>
          <cell r="T37">
            <v>0</v>
          </cell>
          <cell r="U37">
            <v>107405</v>
          </cell>
          <cell r="V37">
            <v>0</v>
          </cell>
          <cell r="W37">
            <v>0</v>
          </cell>
          <cell r="X37">
            <v>121913</v>
          </cell>
          <cell r="Y37">
            <v>190043</v>
          </cell>
          <cell r="Z37">
            <v>178910</v>
          </cell>
          <cell r="AA37">
            <v>265085</v>
          </cell>
        </row>
        <row r="38">
          <cell r="A38">
            <v>1010709840</v>
          </cell>
          <cell r="B38" t="str">
            <v>CRUZ</v>
          </cell>
          <cell r="C38" t="str">
            <v>Daniel</v>
          </cell>
          <cell r="D38" t="str">
            <v xml:space="preserve"> -</v>
          </cell>
          <cell r="E38">
            <v>0</v>
          </cell>
          <cell r="F38">
            <v>3152</v>
          </cell>
          <cell r="G38">
            <v>0</v>
          </cell>
          <cell r="H38">
            <v>0</v>
          </cell>
          <cell r="I38">
            <v>0</v>
          </cell>
          <cell r="J38">
            <v>40976</v>
          </cell>
          <cell r="K38">
            <v>32200</v>
          </cell>
          <cell r="L38">
            <v>0</v>
          </cell>
          <cell r="M38">
            <v>32200</v>
          </cell>
          <cell r="N38" t="str">
            <v>Bolivia - Sta. Cruz de la Sierra</v>
          </cell>
          <cell r="O38">
            <v>0.15</v>
          </cell>
          <cell r="P38">
            <v>6146</v>
          </cell>
          <cell r="Q38">
            <v>0</v>
          </cell>
          <cell r="R38">
            <v>0.15</v>
          </cell>
          <cell r="S38">
            <v>6146</v>
          </cell>
          <cell r="T38">
            <v>0</v>
          </cell>
          <cell r="U38">
            <v>12652</v>
          </cell>
          <cell r="V38">
            <v>0</v>
          </cell>
          <cell r="W38">
            <v>0</v>
          </cell>
          <cell r="X38">
            <v>24944</v>
          </cell>
          <cell r="Y38">
            <v>36675</v>
          </cell>
          <cell r="Z38">
            <v>57144</v>
          </cell>
          <cell r="AA38">
            <v>77651</v>
          </cell>
        </row>
        <row r="39">
          <cell r="A39">
            <v>1013735426</v>
          </cell>
          <cell r="B39" t="str">
            <v>NOVILLO</v>
          </cell>
          <cell r="C39" t="str">
            <v>Gumersindo Sergio</v>
          </cell>
          <cell r="D39" t="str">
            <v>Lider Equipos SR.</v>
          </cell>
          <cell r="E39">
            <v>58</v>
          </cell>
          <cell r="F39">
            <v>6600</v>
          </cell>
          <cell r="G39">
            <v>0</v>
          </cell>
          <cell r="H39">
            <v>3.5</v>
          </cell>
          <cell r="I39">
            <v>23100</v>
          </cell>
          <cell r="J39">
            <v>108900</v>
          </cell>
          <cell r="K39">
            <v>64404</v>
          </cell>
          <cell r="L39">
            <v>15641</v>
          </cell>
          <cell r="M39">
            <v>80045</v>
          </cell>
          <cell r="N39" t="str">
            <v>USA - Lubbock</v>
          </cell>
          <cell r="O39">
            <v>0.15</v>
          </cell>
          <cell r="P39">
            <v>12870</v>
          </cell>
          <cell r="Q39">
            <v>3465</v>
          </cell>
          <cell r="R39">
            <v>0</v>
          </cell>
          <cell r="S39">
            <v>0</v>
          </cell>
          <cell r="T39">
            <v>0</v>
          </cell>
          <cell r="U39">
            <v>161090</v>
          </cell>
          <cell r="V39">
            <v>0</v>
          </cell>
          <cell r="W39">
            <v>0</v>
          </cell>
          <cell r="X39">
            <v>177425</v>
          </cell>
          <cell r="Y39">
            <v>277046</v>
          </cell>
          <cell r="Z39">
            <v>257470</v>
          </cell>
          <cell r="AA39">
            <v>385946</v>
          </cell>
        </row>
        <row r="40">
          <cell r="A40">
            <v>1013128656</v>
          </cell>
          <cell r="B40" t="str">
            <v>WEIMANN</v>
          </cell>
          <cell r="C40" t="str">
            <v>Pablo</v>
          </cell>
          <cell r="D40">
            <v>0</v>
          </cell>
          <cell r="E40">
            <v>57</v>
          </cell>
          <cell r="F40">
            <v>4440</v>
          </cell>
          <cell r="G40">
            <v>2765</v>
          </cell>
          <cell r="H40">
            <v>1.6</v>
          </cell>
          <cell r="I40">
            <v>11544</v>
          </cell>
          <cell r="J40">
            <v>105209</v>
          </cell>
          <cell r="K40">
            <v>69043</v>
          </cell>
          <cell r="L40">
            <v>7481</v>
          </cell>
          <cell r="M40">
            <v>76524</v>
          </cell>
          <cell r="N40" t="str">
            <v>USA - Houston</v>
          </cell>
          <cell r="O40">
            <v>0.15</v>
          </cell>
          <cell r="P40">
            <v>14050</v>
          </cell>
          <cell r="Q40">
            <v>1732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10743</v>
          </cell>
          <cell r="X40">
            <v>26525</v>
          </cell>
          <cell r="Y40">
            <v>38450</v>
          </cell>
          <cell r="Z40">
            <v>103049</v>
          </cell>
          <cell r="AA40">
            <v>143659</v>
          </cell>
        </row>
        <row r="41">
          <cell r="A41">
            <v>1012447277</v>
          </cell>
          <cell r="B41" t="str">
            <v>CARRO</v>
          </cell>
          <cell r="C41" t="str">
            <v>José Luis</v>
          </cell>
          <cell r="D41" t="str">
            <v>Lider Equipo SR.</v>
          </cell>
          <cell r="E41">
            <v>58</v>
          </cell>
          <cell r="F41">
            <v>6240</v>
          </cell>
          <cell r="G41">
            <v>0</v>
          </cell>
          <cell r="H41">
            <v>4</v>
          </cell>
          <cell r="I41">
            <v>24960</v>
          </cell>
          <cell r="J41">
            <v>106080</v>
          </cell>
          <cell r="K41">
            <v>60964</v>
          </cell>
          <cell r="L41">
            <v>17160</v>
          </cell>
          <cell r="M41">
            <v>78124</v>
          </cell>
          <cell r="N41" t="str">
            <v>Perú - Talara</v>
          </cell>
          <cell r="O41">
            <v>0.15</v>
          </cell>
          <cell r="P41">
            <v>12168</v>
          </cell>
          <cell r="Q41">
            <v>3744</v>
          </cell>
          <cell r="R41">
            <v>0.4</v>
          </cell>
          <cell r="S41">
            <v>32448</v>
          </cell>
          <cell r="T41">
            <v>0</v>
          </cell>
          <cell r="U41">
            <v>151692</v>
          </cell>
          <cell r="V41">
            <v>0</v>
          </cell>
          <cell r="W41">
            <v>0</v>
          </cell>
          <cell r="X41">
            <v>200052</v>
          </cell>
          <cell r="Y41">
            <v>311722</v>
          </cell>
          <cell r="Z41">
            <v>278176</v>
          </cell>
          <cell r="AA41">
            <v>417802</v>
          </cell>
        </row>
        <row r="42">
          <cell r="A42">
            <v>1012495096</v>
          </cell>
          <cell r="B42" t="str">
            <v>TORRES</v>
          </cell>
          <cell r="C42" t="str">
            <v>Rodolfo</v>
          </cell>
          <cell r="D42" t="str">
            <v>Lider Equipo</v>
          </cell>
          <cell r="E42">
            <v>57</v>
          </cell>
          <cell r="F42">
            <v>6000</v>
          </cell>
          <cell r="G42">
            <v>0</v>
          </cell>
          <cell r="H42">
            <v>3</v>
          </cell>
          <cell r="I42">
            <v>18000</v>
          </cell>
          <cell r="J42">
            <v>96000</v>
          </cell>
          <cell r="K42">
            <v>58234</v>
          </cell>
          <cell r="L42">
            <v>13477</v>
          </cell>
          <cell r="M42">
            <v>71711</v>
          </cell>
          <cell r="N42" t="str">
            <v>Perú - Talara</v>
          </cell>
          <cell r="O42">
            <v>0.15</v>
          </cell>
          <cell r="P42">
            <v>11700</v>
          </cell>
          <cell r="Q42">
            <v>2700</v>
          </cell>
          <cell r="R42">
            <v>0.4</v>
          </cell>
          <cell r="S42">
            <v>31200</v>
          </cell>
          <cell r="T42">
            <v>0</v>
          </cell>
          <cell r="U42">
            <v>134977</v>
          </cell>
          <cell r="V42">
            <v>0</v>
          </cell>
          <cell r="W42">
            <v>0</v>
          </cell>
          <cell r="X42">
            <v>180577</v>
          </cell>
          <cell r="Y42">
            <v>281974</v>
          </cell>
          <cell r="Z42">
            <v>252288</v>
          </cell>
          <cell r="AA42">
            <v>377974</v>
          </cell>
        </row>
        <row r="43">
          <cell r="A43">
            <v>1013708736</v>
          </cell>
          <cell r="B43" t="str">
            <v>LOPEZ</v>
          </cell>
          <cell r="C43" t="str">
            <v>Leandro Leslie</v>
          </cell>
          <cell r="D43" t="str">
            <v>Lider SR.</v>
          </cell>
          <cell r="E43">
            <v>55</v>
          </cell>
          <cell r="F43">
            <v>5280</v>
          </cell>
          <cell r="G43">
            <v>0</v>
          </cell>
          <cell r="H43">
            <v>0</v>
          </cell>
          <cell r="I43">
            <v>0</v>
          </cell>
          <cell r="J43">
            <v>68640</v>
          </cell>
          <cell r="K43">
            <v>52278</v>
          </cell>
          <cell r="L43">
            <v>0</v>
          </cell>
          <cell r="M43">
            <v>52278</v>
          </cell>
          <cell r="N43" t="str">
            <v>Perú - Talara</v>
          </cell>
          <cell r="O43">
            <v>0.15</v>
          </cell>
          <cell r="P43">
            <v>10296</v>
          </cell>
          <cell r="Q43">
            <v>0</v>
          </cell>
          <cell r="R43">
            <v>0.4</v>
          </cell>
          <cell r="S43">
            <v>27456</v>
          </cell>
          <cell r="T43">
            <v>0</v>
          </cell>
          <cell r="U43">
            <v>109180</v>
          </cell>
          <cell r="V43">
            <v>0</v>
          </cell>
          <cell r="W43">
            <v>0</v>
          </cell>
          <cell r="X43">
            <v>146932</v>
          </cell>
          <cell r="Y43">
            <v>227676</v>
          </cell>
          <cell r="Z43">
            <v>199210</v>
          </cell>
          <cell r="AA43">
            <v>296316</v>
          </cell>
        </row>
        <row r="44">
          <cell r="A44">
            <v>1013997164</v>
          </cell>
          <cell r="B44" t="str">
            <v>JARAMILLO</v>
          </cell>
          <cell r="C44" t="str">
            <v>Carlos Alberto</v>
          </cell>
          <cell r="D44" t="str">
            <v>Profesional SR.</v>
          </cell>
          <cell r="E44">
            <v>56</v>
          </cell>
          <cell r="F44">
            <v>4854</v>
          </cell>
          <cell r="G44">
            <v>0</v>
          </cell>
          <cell r="H44">
            <v>0</v>
          </cell>
          <cell r="I44">
            <v>0</v>
          </cell>
          <cell r="J44">
            <v>63102</v>
          </cell>
          <cell r="K44">
            <v>47592</v>
          </cell>
          <cell r="L44">
            <v>0</v>
          </cell>
          <cell r="M44">
            <v>47592</v>
          </cell>
          <cell r="N44" t="str">
            <v>Perú - Talara</v>
          </cell>
          <cell r="O44">
            <v>0.15</v>
          </cell>
          <cell r="P44">
            <v>9465</v>
          </cell>
          <cell r="Q44">
            <v>0</v>
          </cell>
          <cell r="R44">
            <v>0.4</v>
          </cell>
          <cell r="S44">
            <v>25241</v>
          </cell>
          <cell r="T44">
            <v>0</v>
          </cell>
          <cell r="U44">
            <v>97805</v>
          </cell>
          <cell r="V44">
            <v>0</v>
          </cell>
          <cell r="W44">
            <v>0</v>
          </cell>
          <cell r="X44">
            <v>132511</v>
          </cell>
          <cell r="Y44">
            <v>203818</v>
          </cell>
          <cell r="Z44">
            <v>180103</v>
          </cell>
          <cell r="AA44">
            <v>266920</v>
          </cell>
        </row>
        <row r="45">
          <cell r="A45">
            <v>1006437773</v>
          </cell>
          <cell r="B45" t="str">
            <v>PETROBRAS</v>
          </cell>
          <cell r="C45" t="str">
            <v>Ramón</v>
          </cell>
          <cell r="D45" t="str">
            <v xml:space="preserve"> X </v>
          </cell>
          <cell r="E45">
            <v>56</v>
          </cell>
          <cell r="F45">
            <v>10003</v>
          </cell>
          <cell r="G45">
            <v>0</v>
          </cell>
          <cell r="H45">
            <v>0</v>
          </cell>
          <cell r="I45">
            <v>0</v>
          </cell>
          <cell r="J45">
            <v>130039</v>
          </cell>
          <cell r="K45">
            <v>94455</v>
          </cell>
          <cell r="L45">
            <v>0</v>
          </cell>
          <cell r="M45">
            <v>94455</v>
          </cell>
          <cell r="N45" t="str">
            <v>Brasil . Rio de Janeiro</v>
          </cell>
          <cell r="O45">
            <v>0.15</v>
          </cell>
          <cell r="P45">
            <v>19506</v>
          </cell>
          <cell r="Q45">
            <v>0</v>
          </cell>
          <cell r="R45">
            <v>0.1</v>
          </cell>
          <cell r="S45">
            <v>13004</v>
          </cell>
          <cell r="T45">
            <v>0</v>
          </cell>
          <cell r="U45">
            <v>42336</v>
          </cell>
          <cell r="V45">
            <v>0</v>
          </cell>
          <cell r="W45">
            <v>0</v>
          </cell>
          <cell r="X45">
            <v>74846</v>
          </cell>
          <cell r="Y45">
            <v>120263</v>
          </cell>
          <cell r="Z45">
            <v>169301</v>
          </cell>
          <cell r="AA45">
            <v>250302</v>
          </cell>
        </row>
        <row r="46">
          <cell r="A46" t="str">
            <v>1008318885/2</v>
          </cell>
          <cell r="B46" t="str">
            <v>AMOROSO/</v>
          </cell>
          <cell r="C46" t="str">
            <v>Juan Carlos</v>
          </cell>
          <cell r="D46" t="str">
            <v>Gte. Areas de Produc</v>
          </cell>
          <cell r="E46">
            <v>61</v>
          </cell>
          <cell r="F46">
            <v>17000</v>
          </cell>
          <cell r="G46">
            <v>1400</v>
          </cell>
          <cell r="H46">
            <v>5</v>
          </cell>
          <cell r="I46">
            <v>85000</v>
          </cell>
          <cell r="J46">
            <v>324200</v>
          </cell>
          <cell r="K46" t="e">
            <v>#N/A</v>
          </cell>
          <cell r="L46" t="e">
            <v>#N/A</v>
          </cell>
          <cell r="M46" t="e">
            <v>#N/A</v>
          </cell>
          <cell r="N46" t="str">
            <v>México - Reynosa</v>
          </cell>
          <cell r="O46">
            <v>0.15</v>
          </cell>
          <cell r="P46">
            <v>35880</v>
          </cell>
          <cell r="Q46">
            <v>12750</v>
          </cell>
          <cell r="R46">
            <v>0.15</v>
          </cell>
          <cell r="S46">
            <v>35880</v>
          </cell>
          <cell r="T46">
            <v>0</v>
          </cell>
          <cell r="U46">
            <v>135656</v>
          </cell>
          <cell r="V46">
            <v>0</v>
          </cell>
          <cell r="W46">
            <v>0</v>
          </cell>
          <cell r="X46">
            <v>220166</v>
          </cell>
          <cell r="Y46" t="e">
            <v>#N/A</v>
          </cell>
          <cell r="Z46" t="e">
            <v>#N/A</v>
          </cell>
          <cell r="AA46" t="e">
            <v>#N/A</v>
          </cell>
        </row>
        <row r="47">
          <cell r="A47">
            <v>1008150982</v>
          </cell>
          <cell r="B47" t="str">
            <v>BLAZQUEZ</v>
          </cell>
          <cell r="C47" t="str">
            <v>Ricardo Gerónimo</v>
          </cell>
          <cell r="D47" t="str">
            <v>Gte. Producción</v>
          </cell>
          <cell r="E47">
            <v>0</v>
          </cell>
          <cell r="F47">
            <v>10200</v>
          </cell>
          <cell r="G47">
            <v>0</v>
          </cell>
          <cell r="H47">
            <v>5</v>
          </cell>
          <cell r="I47">
            <v>51000</v>
          </cell>
          <cell r="J47">
            <v>183600</v>
          </cell>
          <cell r="K47">
            <v>96222</v>
          </cell>
          <cell r="L47">
            <v>31991</v>
          </cell>
          <cell r="M47">
            <v>128213</v>
          </cell>
          <cell r="N47" t="str">
            <v>Perú - Lima</v>
          </cell>
          <cell r="O47">
            <v>0.15</v>
          </cell>
          <cell r="P47">
            <v>19890</v>
          </cell>
          <cell r="Q47">
            <v>7650</v>
          </cell>
          <cell r="R47">
            <v>0.25</v>
          </cell>
          <cell r="S47">
            <v>33150</v>
          </cell>
          <cell r="T47">
            <v>0</v>
          </cell>
          <cell r="U47">
            <v>216332</v>
          </cell>
          <cell r="V47">
            <v>0</v>
          </cell>
          <cell r="W47">
            <v>0</v>
          </cell>
          <cell r="X47">
            <v>277022</v>
          </cell>
          <cell r="Y47">
            <v>429677</v>
          </cell>
          <cell r="Z47">
            <v>405235</v>
          </cell>
          <cell r="AA47">
            <v>613277</v>
          </cell>
        </row>
        <row r="48">
          <cell r="A48">
            <v>1013566176</v>
          </cell>
          <cell r="B48" t="str">
            <v>SEIJO</v>
          </cell>
          <cell r="C48" t="str">
            <v>Carlos</v>
          </cell>
          <cell r="D48">
            <v>0</v>
          </cell>
          <cell r="E48">
            <v>62</v>
          </cell>
          <cell r="F48">
            <v>18500</v>
          </cell>
          <cell r="G48">
            <v>0</v>
          </cell>
          <cell r="H48">
            <v>5</v>
          </cell>
          <cell r="I48">
            <v>92500</v>
          </cell>
          <cell r="J48">
            <v>333000</v>
          </cell>
          <cell r="K48">
            <v>162930</v>
          </cell>
          <cell r="L48">
            <v>60125</v>
          </cell>
          <cell r="M48">
            <v>223055</v>
          </cell>
          <cell r="N48" t="str">
            <v>Brasil . Rio de Janeiro</v>
          </cell>
          <cell r="O48">
            <v>0.15</v>
          </cell>
          <cell r="P48">
            <v>36075</v>
          </cell>
          <cell r="Q48">
            <v>13875</v>
          </cell>
          <cell r="R48">
            <v>0.1</v>
          </cell>
          <cell r="S48">
            <v>24050</v>
          </cell>
          <cell r="T48">
            <v>0</v>
          </cell>
          <cell r="U48">
            <v>89982</v>
          </cell>
          <cell r="V48">
            <v>0</v>
          </cell>
          <cell r="W48">
            <v>0</v>
          </cell>
          <cell r="X48">
            <v>163982</v>
          </cell>
          <cell r="Y48">
            <v>252280</v>
          </cell>
          <cell r="Z48">
            <v>387037</v>
          </cell>
          <cell r="AA48">
            <v>585280</v>
          </cell>
        </row>
        <row r="49">
          <cell r="A49">
            <v>1016415959</v>
          </cell>
          <cell r="B49" t="str">
            <v>GUTIERREZ</v>
          </cell>
          <cell r="C49" t="str">
            <v>Fabián Edgardo</v>
          </cell>
          <cell r="D49" t="str">
            <v>Lider Equipo SR.</v>
          </cell>
          <cell r="E49">
            <v>58</v>
          </cell>
          <cell r="F49">
            <v>6120</v>
          </cell>
          <cell r="G49">
            <v>0</v>
          </cell>
          <cell r="H49">
            <v>3</v>
          </cell>
          <cell r="I49">
            <v>18360</v>
          </cell>
          <cell r="J49">
            <v>97920</v>
          </cell>
          <cell r="K49">
            <v>59599</v>
          </cell>
          <cell r="L49">
            <v>13707</v>
          </cell>
          <cell r="M49">
            <v>73306</v>
          </cell>
          <cell r="N49" t="str">
            <v>Perú - Lima</v>
          </cell>
          <cell r="O49">
            <v>0.15</v>
          </cell>
          <cell r="P49">
            <v>11934</v>
          </cell>
          <cell r="Q49">
            <v>2754</v>
          </cell>
          <cell r="R49">
            <v>0.25</v>
          </cell>
          <cell r="S49">
            <v>19890</v>
          </cell>
          <cell r="T49">
            <v>0</v>
          </cell>
          <cell r="U49">
            <v>145808</v>
          </cell>
          <cell r="V49">
            <v>0</v>
          </cell>
          <cell r="W49">
            <v>0</v>
          </cell>
          <cell r="X49">
            <v>180386</v>
          </cell>
          <cell r="Y49">
            <v>282214</v>
          </cell>
          <cell r="Z49">
            <v>253692</v>
          </cell>
          <cell r="AA49">
            <v>380134</v>
          </cell>
        </row>
        <row r="50">
          <cell r="A50">
            <v>1008341804</v>
          </cell>
          <cell r="B50" t="str">
            <v>FUNARO CHAÑAL</v>
          </cell>
          <cell r="C50" t="str">
            <v>Juan Carlos</v>
          </cell>
          <cell r="D50" t="str">
            <v>Gte. Abastec.</v>
          </cell>
          <cell r="E50">
            <v>57</v>
          </cell>
          <cell r="F50">
            <v>5910</v>
          </cell>
          <cell r="G50">
            <v>0</v>
          </cell>
          <cell r="H50">
            <v>3</v>
          </cell>
          <cell r="I50">
            <v>17730</v>
          </cell>
          <cell r="J50">
            <v>94560</v>
          </cell>
          <cell r="K50">
            <v>56512</v>
          </cell>
          <cell r="L50">
            <v>13184</v>
          </cell>
          <cell r="M50">
            <v>69696</v>
          </cell>
          <cell r="N50" t="str">
            <v>Perú - Lima</v>
          </cell>
          <cell r="O50">
            <v>0.15</v>
          </cell>
          <cell r="P50">
            <v>11525</v>
          </cell>
          <cell r="Q50">
            <v>2660</v>
          </cell>
          <cell r="R50">
            <v>0.25</v>
          </cell>
          <cell r="S50">
            <v>19208</v>
          </cell>
          <cell r="T50">
            <v>0</v>
          </cell>
          <cell r="U50">
            <v>126015</v>
          </cell>
          <cell r="V50">
            <v>0</v>
          </cell>
          <cell r="W50">
            <v>0</v>
          </cell>
          <cell r="X50">
            <v>159408</v>
          </cell>
          <cell r="Y50">
            <v>247746</v>
          </cell>
          <cell r="Z50">
            <v>229104</v>
          </cell>
          <cell r="AA50">
            <v>342306</v>
          </cell>
        </row>
        <row r="51">
          <cell r="A51">
            <v>1014122177</v>
          </cell>
          <cell r="B51" t="str">
            <v>PARDO</v>
          </cell>
          <cell r="C51" t="str">
            <v>Jorge Héctor</v>
          </cell>
          <cell r="D51" t="str">
            <v>Profesional Principal</v>
          </cell>
          <cell r="E51">
            <v>57</v>
          </cell>
          <cell r="F51">
            <v>5820</v>
          </cell>
          <cell r="G51">
            <v>0</v>
          </cell>
          <cell r="H51">
            <v>3</v>
          </cell>
          <cell r="I51">
            <v>17460</v>
          </cell>
          <cell r="J51">
            <v>93120</v>
          </cell>
          <cell r="K51">
            <v>56432</v>
          </cell>
          <cell r="L51">
            <v>13177</v>
          </cell>
          <cell r="M51">
            <v>69609</v>
          </cell>
          <cell r="N51" t="str">
            <v>Perú - Lima</v>
          </cell>
          <cell r="O51">
            <v>0.15</v>
          </cell>
          <cell r="P51">
            <v>11349</v>
          </cell>
          <cell r="Q51">
            <v>2619</v>
          </cell>
          <cell r="R51">
            <v>0.25</v>
          </cell>
          <cell r="S51">
            <v>18915</v>
          </cell>
          <cell r="T51">
            <v>0</v>
          </cell>
          <cell r="U51">
            <v>149539</v>
          </cell>
          <cell r="V51">
            <v>0</v>
          </cell>
          <cell r="W51">
            <v>0</v>
          </cell>
          <cell r="X51">
            <v>182422</v>
          </cell>
          <cell r="Y51">
            <v>284459</v>
          </cell>
          <cell r="Z51">
            <v>252031</v>
          </cell>
          <cell r="AA51">
            <v>377579</v>
          </cell>
        </row>
        <row r="52">
          <cell r="A52">
            <v>1011741656</v>
          </cell>
          <cell r="B52" t="str">
            <v>LLOYD</v>
          </cell>
          <cell r="C52" t="str">
            <v>Roberto Daniel</v>
          </cell>
          <cell r="D52" t="str">
            <v>Profesional Principal</v>
          </cell>
          <cell r="E52">
            <v>57</v>
          </cell>
          <cell r="F52">
            <v>5820</v>
          </cell>
          <cell r="G52">
            <v>0</v>
          </cell>
          <cell r="H52">
            <v>3</v>
          </cell>
          <cell r="I52">
            <v>17460</v>
          </cell>
          <cell r="J52">
            <v>93120</v>
          </cell>
          <cell r="K52">
            <v>56596</v>
          </cell>
          <cell r="L52">
            <v>13206</v>
          </cell>
          <cell r="M52">
            <v>69802</v>
          </cell>
          <cell r="N52" t="str">
            <v>Perú - Lima</v>
          </cell>
          <cell r="O52">
            <v>0.15</v>
          </cell>
          <cell r="P52">
            <v>11349</v>
          </cell>
          <cell r="Q52">
            <v>2619</v>
          </cell>
          <cell r="R52">
            <v>0.25</v>
          </cell>
          <cell r="S52">
            <v>18915</v>
          </cell>
          <cell r="T52">
            <v>0</v>
          </cell>
          <cell r="U52">
            <v>157749</v>
          </cell>
          <cell r="V52">
            <v>0</v>
          </cell>
          <cell r="W52">
            <v>0</v>
          </cell>
          <cell r="X52">
            <v>190632</v>
          </cell>
          <cell r="Y52">
            <v>297386</v>
          </cell>
          <cell r="Z52">
            <v>260434</v>
          </cell>
          <cell r="AA52">
            <v>390506</v>
          </cell>
        </row>
        <row r="53">
          <cell r="A53">
            <v>200</v>
          </cell>
          <cell r="B53" t="str">
            <v>BB</v>
          </cell>
          <cell r="C53" t="str">
            <v xml:space="preserve"> </v>
          </cell>
          <cell r="D53" t="str">
            <v>Gerente de Planta</v>
          </cell>
          <cell r="E53">
            <v>60</v>
          </cell>
          <cell r="F53">
            <v>7700</v>
          </cell>
          <cell r="G53">
            <v>3800</v>
          </cell>
          <cell r="H53">
            <v>4</v>
          </cell>
          <cell r="I53">
            <v>46000</v>
          </cell>
          <cell r="J53">
            <v>195500</v>
          </cell>
          <cell r="K53">
            <v>106048</v>
          </cell>
          <cell r="L53">
            <v>29900</v>
          </cell>
          <cell r="M53">
            <v>135948</v>
          </cell>
          <cell r="N53" t="str">
            <v>Brasil . Rio de Janeiro</v>
          </cell>
          <cell r="O53">
            <v>0.15</v>
          </cell>
          <cell r="P53">
            <v>22425</v>
          </cell>
          <cell r="Q53">
            <v>6900</v>
          </cell>
          <cell r="R53">
            <v>0.1</v>
          </cell>
          <cell r="S53">
            <v>14950</v>
          </cell>
          <cell r="T53">
            <v>0</v>
          </cell>
          <cell r="U53">
            <v>61309</v>
          </cell>
          <cell r="V53">
            <v>0</v>
          </cell>
          <cell r="W53">
            <v>0</v>
          </cell>
          <cell r="X53">
            <v>105584</v>
          </cell>
          <cell r="Y53">
            <v>165926</v>
          </cell>
          <cell r="Z53">
            <v>241532</v>
          </cell>
          <cell r="AA53">
            <v>361426</v>
          </cell>
        </row>
        <row r="54">
          <cell r="A54">
            <v>1014349559</v>
          </cell>
          <cell r="B54" t="str">
            <v>GIAMPAOLI</v>
          </cell>
          <cell r="C54" t="str">
            <v>Hugo</v>
          </cell>
          <cell r="D54" t="str">
            <v>Gte. País</v>
          </cell>
          <cell r="E54">
            <v>62</v>
          </cell>
          <cell r="F54">
            <v>17160</v>
          </cell>
          <cell r="G54">
            <v>0</v>
          </cell>
          <cell r="H54">
            <v>6</v>
          </cell>
          <cell r="I54">
            <v>102960</v>
          </cell>
          <cell r="J54">
            <v>326040</v>
          </cell>
          <cell r="K54">
            <v>152363</v>
          </cell>
          <cell r="L54">
            <v>66168</v>
          </cell>
          <cell r="M54">
            <v>218531</v>
          </cell>
          <cell r="N54" t="str">
            <v>Ecuador - Quito</v>
          </cell>
          <cell r="O54">
            <v>0.15</v>
          </cell>
          <cell r="P54">
            <v>33462</v>
          </cell>
          <cell r="Q54">
            <v>15444</v>
          </cell>
          <cell r="R54">
            <v>0.15</v>
          </cell>
          <cell r="S54">
            <v>33462</v>
          </cell>
          <cell r="T54">
            <v>0</v>
          </cell>
          <cell r="U54">
            <v>246488</v>
          </cell>
          <cell r="V54">
            <v>0</v>
          </cell>
          <cell r="W54">
            <v>0</v>
          </cell>
          <cell r="X54">
            <v>328856</v>
          </cell>
          <cell r="Y54">
            <v>505933</v>
          </cell>
          <cell r="Z54">
            <v>547387</v>
          </cell>
          <cell r="AA54">
            <v>831973</v>
          </cell>
        </row>
        <row r="55">
          <cell r="A55">
            <v>1011863744</v>
          </cell>
          <cell r="B55" t="str">
            <v>XXXXX MEJICO</v>
          </cell>
          <cell r="C55" t="str">
            <v>Daniel Hugo</v>
          </cell>
          <cell r="D55">
            <v>0</v>
          </cell>
          <cell r="E55">
            <v>57</v>
          </cell>
          <cell r="F55">
            <v>7200</v>
          </cell>
          <cell r="G55">
            <v>0</v>
          </cell>
          <cell r="H55">
            <v>2</v>
          </cell>
          <cell r="I55">
            <v>14400</v>
          </cell>
          <cell r="J55">
            <v>108000</v>
          </cell>
          <cell r="K55">
            <v>69767</v>
          </cell>
          <cell r="L55">
            <v>9345</v>
          </cell>
          <cell r="M55">
            <v>79112</v>
          </cell>
          <cell r="N55" t="str">
            <v>México - Reynosa</v>
          </cell>
          <cell r="O55">
            <v>0.15</v>
          </cell>
          <cell r="P55">
            <v>14040</v>
          </cell>
          <cell r="Q55">
            <v>2160</v>
          </cell>
          <cell r="R55">
            <v>0.15</v>
          </cell>
          <cell r="S55">
            <v>14040</v>
          </cell>
          <cell r="T55">
            <v>0</v>
          </cell>
          <cell r="U55">
            <v>51643</v>
          </cell>
          <cell r="V55">
            <v>0</v>
          </cell>
          <cell r="W55">
            <v>0</v>
          </cell>
          <cell r="X55">
            <v>81883</v>
          </cell>
          <cell r="Y55">
            <v>128360</v>
          </cell>
          <cell r="Z55">
            <v>160995</v>
          </cell>
          <cell r="AA55">
            <v>236360</v>
          </cell>
        </row>
        <row r="56">
          <cell r="A56">
            <v>1008389973</v>
          </cell>
          <cell r="B56" t="str">
            <v>BEGARIES</v>
          </cell>
          <cell r="C56" t="str">
            <v xml:space="preserve">Horacio </v>
          </cell>
          <cell r="D56" t="str">
            <v>Gte. Comercial</v>
          </cell>
          <cell r="E56">
            <v>62</v>
          </cell>
          <cell r="F56">
            <v>16800</v>
          </cell>
          <cell r="G56">
            <v>0</v>
          </cell>
          <cell r="H56">
            <v>4.5</v>
          </cell>
          <cell r="I56">
            <v>75600</v>
          </cell>
          <cell r="J56">
            <v>294000</v>
          </cell>
          <cell r="K56">
            <v>149392</v>
          </cell>
          <cell r="L56">
            <v>48313</v>
          </cell>
          <cell r="M56">
            <v>197705</v>
          </cell>
          <cell r="N56" t="str">
            <v>Ecuador - Quito</v>
          </cell>
          <cell r="O56">
            <v>0.15</v>
          </cell>
          <cell r="P56">
            <v>32760</v>
          </cell>
          <cell r="Q56">
            <v>11340</v>
          </cell>
          <cell r="R56">
            <v>0.15</v>
          </cell>
          <cell r="S56">
            <v>32760</v>
          </cell>
          <cell r="T56">
            <v>0</v>
          </cell>
          <cell r="U56">
            <v>229954</v>
          </cell>
          <cell r="V56">
            <v>0</v>
          </cell>
          <cell r="W56">
            <v>0</v>
          </cell>
          <cell r="X56">
            <v>306814</v>
          </cell>
          <cell r="Y56">
            <v>472022</v>
          </cell>
          <cell r="Z56">
            <v>504519</v>
          </cell>
          <cell r="AA56">
            <v>766022</v>
          </cell>
        </row>
        <row r="57">
          <cell r="A57">
            <v>0</v>
          </cell>
          <cell r="B57" t="e">
            <v>#N/A</v>
          </cell>
          <cell r="C57" t="e">
            <v>#N/A</v>
          </cell>
          <cell r="D57">
            <v>0</v>
          </cell>
          <cell r="E57">
            <v>0</v>
          </cell>
          <cell r="F57" t="e">
            <v>#N/A</v>
          </cell>
          <cell r="G57" t="e">
            <v>#N/A</v>
          </cell>
          <cell r="H57">
            <v>0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>
            <v>0</v>
          </cell>
          <cell r="O57">
            <v>0</v>
          </cell>
          <cell r="P57" t="e">
            <v>#N/A</v>
          </cell>
          <cell r="Q57" t="e">
            <v>#N/A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 t="e">
            <v>#N/A</v>
          </cell>
          <cell r="W57" t="e">
            <v>#N/A</v>
          </cell>
          <cell r="X57">
            <v>0</v>
          </cell>
          <cell r="Y57">
            <v>0</v>
          </cell>
          <cell r="Z57" t="e">
            <v>#N/A</v>
          </cell>
          <cell r="AA57">
            <v>0</v>
          </cell>
        </row>
        <row r="58">
          <cell r="A58">
            <v>1011863745</v>
          </cell>
          <cell r="B58" t="str">
            <v>YYYYY MEJICO</v>
          </cell>
          <cell r="C58" t="str">
            <v>Miguel</v>
          </cell>
          <cell r="D58">
            <v>0</v>
          </cell>
          <cell r="E58">
            <v>55</v>
          </cell>
          <cell r="F58">
            <v>5200</v>
          </cell>
          <cell r="G58">
            <v>0</v>
          </cell>
          <cell r="H58">
            <v>0</v>
          </cell>
          <cell r="I58">
            <v>0</v>
          </cell>
          <cell r="J58">
            <v>67600</v>
          </cell>
          <cell r="K58">
            <v>51055</v>
          </cell>
          <cell r="L58">
            <v>0</v>
          </cell>
          <cell r="M58">
            <v>51055</v>
          </cell>
          <cell r="N58" t="str">
            <v>México - Reynosa</v>
          </cell>
          <cell r="O58">
            <v>0.15</v>
          </cell>
          <cell r="P58">
            <v>10140</v>
          </cell>
          <cell r="Q58">
            <v>0</v>
          </cell>
          <cell r="R58">
            <v>0.15</v>
          </cell>
          <cell r="S58">
            <v>10140</v>
          </cell>
          <cell r="T58">
            <v>0</v>
          </cell>
          <cell r="U58">
            <v>37975</v>
          </cell>
          <cell r="V58">
            <v>0</v>
          </cell>
          <cell r="W58">
            <v>0</v>
          </cell>
          <cell r="X58">
            <v>58255</v>
          </cell>
          <cell r="Y58">
            <v>86919</v>
          </cell>
          <cell r="Z58">
            <v>109310</v>
          </cell>
          <cell r="AA58">
            <v>154519</v>
          </cell>
        </row>
        <row r="59">
          <cell r="A59" t="str">
            <v>1013566176/1</v>
          </cell>
          <cell r="B59" t="str">
            <v>SEIJO/1</v>
          </cell>
          <cell r="C59" t="str">
            <v>Carlos</v>
          </cell>
          <cell r="D59">
            <v>0</v>
          </cell>
          <cell r="E59">
            <v>63</v>
          </cell>
          <cell r="F59">
            <v>15150</v>
          </cell>
          <cell r="G59">
            <v>0</v>
          </cell>
          <cell r="H59">
            <v>3.5</v>
          </cell>
          <cell r="I59">
            <v>53025</v>
          </cell>
          <cell r="J59">
            <v>249975</v>
          </cell>
          <cell r="K59">
            <v>137104</v>
          </cell>
          <cell r="L59">
            <v>31985</v>
          </cell>
          <cell r="M59">
            <v>169089</v>
          </cell>
          <cell r="N59" t="str">
            <v>Brasil . Rio de Janeiro</v>
          </cell>
          <cell r="O59">
            <v>0.15</v>
          </cell>
          <cell r="P59">
            <v>29543</v>
          </cell>
          <cell r="Q59">
            <v>7954</v>
          </cell>
          <cell r="R59">
            <v>0.1</v>
          </cell>
          <cell r="S59">
            <v>19695</v>
          </cell>
          <cell r="T59">
            <v>0</v>
          </cell>
          <cell r="U59">
            <v>114442</v>
          </cell>
          <cell r="V59">
            <v>0</v>
          </cell>
          <cell r="W59">
            <v>0</v>
          </cell>
          <cell r="X59">
            <v>171634</v>
          </cell>
          <cell r="Y59">
            <v>264053</v>
          </cell>
          <cell r="Z59">
            <v>340723</v>
          </cell>
          <cell r="AA59">
            <v>514028</v>
          </cell>
        </row>
        <row r="60">
          <cell r="A60">
            <v>1011863746</v>
          </cell>
          <cell r="B60" t="str">
            <v>ZZZZZMEJICO</v>
          </cell>
          <cell r="C60" t="str">
            <v>Héctor</v>
          </cell>
          <cell r="D60">
            <v>0</v>
          </cell>
          <cell r="E60">
            <v>59</v>
          </cell>
          <cell r="F60">
            <v>9600</v>
          </cell>
          <cell r="G60">
            <v>0</v>
          </cell>
          <cell r="H60">
            <v>3</v>
          </cell>
          <cell r="I60">
            <v>28800</v>
          </cell>
          <cell r="J60">
            <v>153600</v>
          </cell>
          <cell r="K60">
            <v>90840</v>
          </cell>
          <cell r="L60">
            <v>17873</v>
          </cell>
          <cell r="M60">
            <v>108713</v>
          </cell>
          <cell r="N60" t="str">
            <v>México - Reynosa</v>
          </cell>
          <cell r="O60">
            <v>0.15</v>
          </cell>
          <cell r="P60">
            <v>18720</v>
          </cell>
          <cell r="Q60">
            <v>4320</v>
          </cell>
          <cell r="R60">
            <v>0.15</v>
          </cell>
          <cell r="S60">
            <v>18720</v>
          </cell>
          <cell r="T60">
            <v>0</v>
          </cell>
          <cell r="U60">
            <v>64169</v>
          </cell>
          <cell r="V60">
            <v>0</v>
          </cell>
          <cell r="W60">
            <v>0</v>
          </cell>
          <cell r="X60">
            <v>105929</v>
          </cell>
          <cell r="Y60">
            <v>166457</v>
          </cell>
          <cell r="Z60">
            <v>214642</v>
          </cell>
          <cell r="AA60">
            <v>320057</v>
          </cell>
        </row>
        <row r="61">
          <cell r="A61" t="str">
            <v>1021787741MP</v>
          </cell>
          <cell r="B61" t="str">
            <v>LEBON</v>
          </cell>
          <cell r="C61" t="str">
            <v>GUSTAVO LUIS</v>
          </cell>
          <cell r="D61" t="str">
            <v>Gte. Administración</v>
          </cell>
          <cell r="E61">
            <v>58</v>
          </cell>
          <cell r="F61">
            <v>4900</v>
          </cell>
          <cell r="G61">
            <v>2600</v>
          </cell>
          <cell r="H61">
            <v>2</v>
          </cell>
          <cell r="I61">
            <v>15000</v>
          </cell>
          <cell r="J61">
            <v>112500</v>
          </cell>
          <cell r="K61">
            <v>72806</v>
          </cell>
          <cell r="L61">
            <v>9706</v>
          </cell>
          <cell r="M61">
            <v>82512</v>
          </cell>
          <cell r="N61" t="str">
            <v>México - Reynosa</v>
          </cell>
          <cell r="O61">
            <v>0.15</v>
          </cell>
          <cell r="P61">
            <v>14625</v>
          </cell>
          <cell r="Q61">
            <v>2250</v>
          </cell>
          <cell r="R61">
            <v>0.15</v>
          </cell>
          <cell r="S61">
            <v>14625</v>
          </cell>
          <cell r="T61">
            <v>0</v>
          </cell>
          <cell r="U61">
            <v>47733</v>
          </cell>
          <cell r="V61">
            <v>0</v>
          </cell>
          <cell r="W61">
            <v>0</v>
          </cell>
          <cell r="X61">
            <v>79233</v>
          </cell>
          <cell r="Y61">
            <v>124959</v>
          </cell>
          <cell r="Z61">
            <v>161745</v>
          </cell>
          <cell r="AA61">
            <v>237459</v>
          </cell>
        </row>
        <row r="62">
          <cell r="A62">
            <v>1016868207</v>
          </cell>
          <cell r="B62" t="str">
            <v>MUSRI</v>
          </cell>
          <cell r="C62" t="str">
            <v>Daniel Amado</v>
          </cell>
          <cell r="D62" t="str">
            <v>Gte. Reservorio</v>
          </cell>
          <cell r="E62">
            <v>60</v>
          </cell>
          <cell r="F62">
            <v>8148</v>
          </cell>
          <cell r="G62">
            <v>0</v>
          </cell>
          <cell r="H62">
            <v>4</v>
          </cell>
          <cell r="I62">
            <v>32592</v>
          </cell>
          <cell r="J62">
            <v>138516</v>
          </cell>
          <cell r="K62">
            <v>77734</v>
          </cell>
          <cell r="L62">
            <v>22729</v>
          </cell>
          <cell r="M62">
            <v>100463</v>
          </cell>
          <cell r="N62" t="str">
            <v>Ecuador - Quito</v>
          </cell>
          <cell r="O62">
            <v>0.15</v>
          </cell>
          <cell r="P62">
            <v>15889</v>
          </cell>
          <cell r="Q62">
            <v>4889</v>
          </cell>
          <cell r="R62">
            <v>0.15</v>
          </cell>
          <cell r="S62">
            <v>15889</v>
          </cell>
          <cell r="T62">
            <v>0</v>
          </cell>
          <cell r="U62">
            <v>153582</v>
          </cell>
          <cell r="V62">
            <v>0</v>
          </cell>
          <cell r="W62">
            <v>0</v>
          </cell>
          <cell r="X62">
            <v>190249</v>
          </cell>
          <cell r="Y62">
            <v>298572</v>
          </cell>
          <cell r="Z62">
            <v>290712</v>
          </cell>
          <cell r="AA62">
            <v>437088</v>
          </cell>
        </row>
        <row r="63">
          <cell r="A63">
            <v>1011863743</v>
          </cell>
          <cell r="B63" t="str">
            <v>GARCIA DE LAS LONGAS</v>
          </cell>
          <cell r="C63" t="str">
            <v>Eduardo</v>
          </cell>
          <cell r="D63" t="str">
            <v>Gte Administrativo</v>
          </cell>
          <cell r="E63">
            <v>59</v>
          </cell>
          <cell r="F63">
            <v>9240</v>
          </cell>
          <cell r="G63">
            <v>0</v>
          </cell>
          <cell r="H63">
            <v>2</v>
          </cell>
          <cell r="I63">
            <v>18480</v>
          </cell>
          <cell r="J63">
            <v>138600</v>
          </cell>
          <cell r="K63">
            <v>87927</v>
          </cell>
          <cell r="L63">
            <v>12752</v>
          </cell>
          <cell r="M63">
            <v>100679</v>
          </cell>
          <cell r="N63" t="str">
            <v>México - Reynosa</v>
          </cell>
          <cell r="O63">
            <v>0.15</v>
          </cell>
          <cell r="P63">
            <v>18018</v>
          </cell>
          <cell r="Q63">
            <v>2772</v>
          </cell>
          <cell r="R63">
            <v>0.15</v>
          </cell>
          <cell r="S63">
            <v>18018</v>
          </cell>
          <cell r="T63">
            <v>0</v>
          </cell>
          <cell r="U63">
            <v>63960</v>
          </cell>
          <cell r="V63">
            <v>0</v>
          </cell>
          <cell r="W63">
            <v>0</v>
          </cell>
          <cell r="X63">
            <v>102768</v>
          </cell>
          <cell r="Y63">
            <v>164234</v>
          </cell>
          <cell r="Z63">
            <v>203447</v>
          </cell>
          <cell r="AA63">
            <v>302834</v>
          </cell>
        </row>
        <row r="64">
          <cell r="A64">
            <v>1020007228</v>
          </cell>
          <cell r="B64" t="str">
            <v>CARRO</v>
          </cell>
          <cell r="C64" t="str">
            <v>Carlos Alberto</v>
          </cell>
          <cell r="D64" t="str">
            <v>Jefe de Producción</v>
          </cell>
          <cell r="E64">
            <v>0</v>
          </cell>
          <cell r="F64">
            <v>7620</v>
          </cell>
          <cell r="G64">
            <v>0</v>
          </cell>
          <cell r="H64">
            <v>4</v>
          </cell>
          <cell r="I64">
            <v>30480</v>
          </cell>
          <cell r="J64">
            <v>129540</v>
          </cell>
          <cell r="K64">
            <v>73945</v>
          </cell>
          <cell r="L64">
            <v>20324</v>
          </cell>
          <cell r="M64">
            <v>94269</v>
          </cell>
          <cell r="N64" t="str">
            <v>Venezuela - El Tigre</v>
          </cell>
          <cell r="O64">
            <v>0.15</v>
          </cell>
          <cell r="P64">
            <v>14859</v>
          </cell>
          <cell r="Q64">
            <v>4572</v>
          </cell>
          <cell r="R64">
            <v>0.15</v>
          </cell>
          <cell r="S64">
            <v>14859</v>
          </cell>
          <cell r="T64">
            <v>0</v>
          </cell>
          <cell r="U64">
            <v>147092</v>
          </cell>
          <cell r="V64">
            <v>0</v>
          </cell>
          <cell r="W64">
            <v>0</v>
          </cell>
          <cell r="X64">
            <v>181382</v>
          </cell>
          <cell r="Y64">
            <v>284377</v>
          </cell>
          <cell r="Z64">
            <v>275651</v>
          </cell>
          <cell r="AA64">
            <v>413917</v>
          </cell>
        </row>
        <row r="65">
          <cell r="A65">
            <v>1013789218</v>
          </cell>
          <cell r="B65" t="str">
            <v>ARIAS</v>
          </cell>
          <cell r="C65" t="str">
            <v>Carlos</v>
          </cell>
          <cell r="D65" t="str">
            <v>Coord. Ambiental</v>
          </cell>
          <cell r="E65">
            <v>58</v>
          </cell>
          <cell r="F65">
            <v>7080</v>
          </cell>
          <cell r="G65">
            <v>0</v>
          </cell>
          <cell r="H65">
            <v>3</v>
          </cell>
          <cell r="I65">
            <v>21240</v>
          </cell>
          <cell r="J65">
            <v>113280</v>
          </cell>
          <cell r="K65">
            <v>68821</v>
          </cell>
          <cell r="L65">
            <v>14229</v>
          </cell>
          <cell r="M65">
            <v>83050</v>
          </cell>
          <cell r="N65" t="str">
            <v>Ecuador - Quito</v>
          </cell>
          <cell r="O65">
            <v>0.15</v>
          </cell>
          <cell r="P65">
            <v>13806</v>
          </cell>
          <cell r="Q65">
            <v>3186</v>
          </cell>
          <cell r="R65">
            <v>0.15</v>
          </cell>
          <cell r="S65">
            <v>13806</v>
          </cell>
          <cell r="T65">
            <v>0</v>
          </cell>
          <cell r="U65">
            <v>135087</v>
          </cell>
          <cell r="V65">
            <v>0</v>
          </cell>
          <cell r="W65">
            <v>0</v>
          </cell>
          <cell r="X65">
            <v>165885</v>
          </cell>
          <cell r="Y65">
            <v>259536</v>
          </cell>
          <cell r="Z65">
            <v>248935</v>
          </cell>
          <cell r="AA65">
            <v>372816</v>
          </cell>
        </row>
        <row r="66">
          <cell r="A66">
            <v>1012219406</v>
          </cell>
          <cell r="B66" t="str">
            <v>CASALIS</v>
          </cell>
          <cell r="C66" t="str">
            <v>Daniel Jorge</v>
          </cell>
          <cell r="D66" t="str">
            <v>Lider Equipo</v>
          </cell>
          <cell r="E66">
            <v>0</v>
          </cell>
          <cell r="F66">
            <v>6295.2</v>
          </cell>
          <cell r="G66">
            <v>0</v>
          </cell>
          <cell r="H66">
            <v>4</v>
          </cell>
          <cell r="I66">
            <v>25180.799999999999</v>
          </cell>
          <cell r="J66">
            <v>107018</v>
          </cell>
          <cell r="K66">
            <v>61189</v>
          </cell>
          <cell r="L66">
            <v>17344</v>
          </cell>
          <cell r="M66">
            <v>78533</v>
          </cell>
          <cell r="N66" t="str">
            <v>Ecuador - Quito</v>
          </cell>
          <cell r="O66">
            <v>0.15</v>
          </cell>
          <cell r="P66">
            <v>12276</v>
          </cell>
          <cell r="Q66">
            <v>3777</v>
          </cell>
          <cell r="R66">
            <v>0.15</v>
          </cell>
          <cell r="S66">
            <v>12276</v>
          </cell>
          <cell r="T66">
            <v>0</v>
          </cell>
          <cell r="U66">
            <v>130394</v>
          </cell>
          <cell r="V66">
            <v>0</v>
          </cell>
          <cell r="W66">
            <v>0</v>
          </cell>
          <cell r="X66">
            <v>158723</v>
          </cell>
          <cell r="Y66">
            <v>247830</v>
          </cell>
          <cell r="Z66">
            <v>237256</v>
          </cell>
          <cell r="AA66">
            <v>354848</v>
          </cell>
        </row>
        <row r="67">
          <cell r="A67">
            <v>1008435173</v>
          </cell>
          <cell r="B67" t="str">
            <v>MALFETANA</v>
          </cell>
          <cell r="C67" t="str">
            <v>Angel Omar</v>
          </cell>
          <cell r="D67" t="str">
            <v>Lider Equipo SR.</v>
          </cell>
          <cell r="E67">
            <v>58</v>
          </cell>
          <cell r="F67">
            <v>6120</v>
          </cell>
          <cell r="G67">
            <v>0</v>
          </cell>
          <cell r="H67">
            <v>3</v>
          </cell>
          <cell r="I67">
            <v>18360</v>
          </cell>
          <cell r="J67">
            <v>97920</v>
          </cell>
          <cell r="K67">
            <v>59763</v>
          </cell>
          <cell r="L67">
            <v>13735</v>
          </cell>
          <cell r="M67">
            <v>73498</v>
          </cell>
          <cell r="N67" t="str">
            <v>Ecuador - Quito</v>
          </cell>
          <cell r="O67">
            <v>0.15</v>
          </cell>
          <cell r="P67">
            <v>11934</v>
          </cell>
          <cell r="Q67">
            <v>2754</v>
          </cell>
          <cell r="R67">
            <v>0.15</v>
          </cell>
          <cell r="S67">
            <v>11934</v>
          </cell>
          <cell r="T67">
            <v>0</v>
          </cell>
          <cell r="U67">
            <v>123186</v>
          </cell>
          <cell r="V67">
            <v>0</v>
          </cell>
          <cell r="W67">
            <v>0</v>
          </cell>
          <cell r="X67">
            <v>149808</v>
          </cell>
          <cell r="Y67">
            <v>235466</v>
          </cell>
          <cell r="Z67">
            <v>223306</v>
          </cell>
          <cell r="AA67">
            <v>333386</v>
          </cell>
        </row>
        <row r="68">
          <cell r="A68">
            <v>4009804911</v>
          </cell>
          <cell r="B68" t="str">
            <v>LAMANNA</v>
          </cell>
          <cell r="C68" t="str">
            <v>Darío</v>
          </cell>
          <cell r="D68" t="str">
            <v>Abogado  Sr</v>
          </cell>
          <cell r="E68">
            <v>0</v>
          </cell>
          <cell r="F68">
            <v>5520</v>
          </cell>
          <cell r="G68">
            <v>0</v>
          </cell>
          <cell r="H68">
            <v>2</v>
          </cell>
          <cell r="I68">
            <v>11040</v>
          </cell>
          <cell r="J68">
            <v>82800</v>
          </cell>
          <cell r="K68">
            <v>54047</v>
          </cell>
          <cell r="L68">
            <v>7554</v>
          </cell>
          <cell r="M68">
            <v>61601</v>
          </cell>
          <cell r="N68" t="str">
            <v>Ecuador - Quito</v>
          </cell>
          <cell r="O68">
            <v>0.15</v>
          </cell>
          <cell r="P68">
            <v>10764</v>
          </cell>
          <cell r="Q68">
            <v>1656</v>
          </cell>
          <cell r="R68">
            <v>0.15</v>
          </cell>
          <cell r="S68">
            <v>10764</v>
          </cell>
          <cell r="T68">
            <v>0</v>
          </cell>
          <cell r="U68">
            <v>99078</v>
          </cell>
          <cell r="V68">
            <v>0</v>
          </cell>
          <cell r="W68">
            <v>0</v>
          </cell>
          <cell r="X68">
            <v>122262</v>
          </cell>
          <cell r="Y68">
            <v>189905</v>
          </cell>
          <cell r="Z68">
            <v>183863</v>
          </cell>
          <cell r="AA68">
            <v>272705</v>
          </cell>
        </row>
        <row r="69">
          <cell r="A69" t="str">
            <v>1021787741MIN</v>
          </cell>
          <cell r="B69" t="str">
            <v>LEBON</v>
          </cell>
          <cell r="C69" t="str">
            <v>GUSTAVO LUIS</v>
          </cell>
          <cell r="D69">
            <v>0</v>
          </cell>
          <cell r="E69">
            <v>0</v>
          </cell>
          <cell r="F69">
            <v>4900</v>
          </cell>
          <cell r="G69">
            <v>1100</v>
          </cell>
          <cell r="H69">
            <v>2</v>
          </cell>
          <cell r="I69">
            <v>12000</v>
          </cell>
          <cell r="J69">
            <v>90000</v>
          </cell>
          <cell r="K69">
            <v>58234</v>
          </cell>
          <cell r="L69">
            <v>9097</v>
          </cell>
          <cell r="M69">
            <v>67331</v>
          </cell>
          <cell r="N69" t="str">
            <v>México - Reynosa</v>
          </cell>
          <cell r="O69">
            <v>0.15</v>
          </cell>
          <cell r="P69">
            <v>11700</v>
          </cell>
          <cell r="Q69">
            <v>1800</v>
          </cell>
          <cell r="R69">
            <v>0.15</v>
          </cell>
          <cell r="S69">
            <v>11700</v>
          </cell>
          <cell r="T69">
            <v>0</v>
          </cell>
          <cell r="U69">
            <v>41338</v>
          </cell>
          <cell r="V69">
            <v>0</v>
          </cell>
          <cell r="W69">
            <v>0</v>
          </cell>
          <cell r="X69">
            <v>66538</v>
          </cell>
          <cell r="Y69">
            <v>102137</v>
          </cell>
          <cell r="Z69">
            <v>133869</v>
          </cell>
          <cell r="AA69">
            <v>192137</v>
          </cell>
        </row>
        <row r="70">
          <cell r="A70">
            <v>1018429834</v>
          </cell>
          <cell r="B70" t="str">
            <v>GUIÑAZU</v>
          </cell>
          <cell r="C70" t="str">
            <v>Alfredo Walter</v>
          </cell>
          <cell r="D70" t="str">
            <v>Jefe Perforac.</v>
          </cell>
          <cell r="E70">
            <v>56</v>
          </cell>
          <cell r="F70">
            <v>5280</v>
          </cell>
          <cell r="G70">
            <v>0</v>
          </cell>
          <cell r="H70">
            <v>2</v>
          </cell>
          <cell r="I70">
            <v>10560</v>
          </cell>
          <cell r="J70">
            <v>79200</v>
          </cell>
          <cell r="K70">
            <v>51856</v>
          </cell>
          <cell r="L70">
            <v>7137</v>
          </cell>
          <cell r="M70">
            <v>58993</v>
          </cell>
          <cell r="N70" t="str">
            <v>Ecuador - Quito</v>
          </cell>
          <cell r="O70">
            <v>0.15</v>
          </cell>
          <cell r="P70">
            <v>10296</v>
          </cell>
          <cell r="Q70">
            <v>1584</v>
          </cell>
          <cell r="R70">
            <v>0.15</v>
          </cell>
          <cell r="S70">
            <v>10296</v>
          </cell>
          <cell r="T70">
            <v>0</v>
          </cell>
          <cell r="U70">
            <v>102232</v>
          </cell>
          <cell r="V70">
            <v>0</v>
          </cell>
          <cell r="W70">
            <v>0</v>
          </cell>
          <cell r="X70">
            <v>124408</v>
          </cell>
          <cell r="Y70">
            <v>192794</v>
          </cell>
          <cell r="Z70">
            <v>183401</v>
          </cell>
          <cell r="AA70">
            <v>271994</v>
          </cell>
        </row>
        <row r="71">
          <cell r="A71" t="str">
            <v>1013566776-</v>
          </cell>
          <cell r="B71" t="str">
            <v>SEIJO - TAKE OVER</v>
          </cell>
          <cell r="C71" t="str">
            <v>Carlos</v>
          </cell>
          <cell r="D71">
            <v>0</v>
          </cell>
          <cell r="E71">
            <v>62</v>
          </cell>
          <cell r="F71">
            <v>18500</v>
          </cell>
          <cell r="G71">
            <v>4625</v>
          </cell>
          <cell r="H71">
            <v>4</v>
          </cell>
          <cell r="I71">
            <v>74000</v>
          </cell>
          <cell r="J71">
            <v>374625</v>
          </cell>
          <cell r="K71">
            <v>202011</v>
          </cell>
          <cell r="L71">
            <v>48100</v>
          </cell>
          <cell r="M71">
            <v>250111</v>
          </cell>
          <cell r="N71" t="str">
            <v>Francia - París</v>
          </cell>
          <cell r="O71">
            <v>0.15</v>
          </cell>
          <cell r="P71">
            <v>45094</v>
          </cell>
          <cell r="Q71">
            <v>11100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56194</v>
          </cell>
          <cell r="Y71">
            <v>86452</v>
          </cell>
          <cell r="Z71">
            <v>306305</v>
          </cell>
          <cell r="AA71">
            <v>461077</v>
          </cell>
        </row>
        <row r="72">
          <cell r="A72">
            <v>13</v>
          </cell>
          <cell r="B72" t="str">
            <v>EJEMPLO 3</v>
          </cell>
          <cell r="C72">
            <v>0</v>
          </cell>
          <cell r="D72">
            <v>0</v>
          </cell>
          <cell r="E72">
            <v>0</v>
          </cell>
          <cell r="F72">
            <v>6471</v>
          </cell>
          <cell r="G72">
            <v>0</v>
          </cell>
          <cell r="H72">
            <v>4</v>
          </cell>
          <cell r="I72">
            <v>25884</v>
          </cell>
          <cell r="J72">
            <v>110007</v>
          </cell>
          <cell r="K72">
            <v>62784</v>
          </cell>
          <cell r="L72">
            <v>17793</v>
          </cell>
          <cell r="M72">
            <v>80577</v>
          </cell>
          <cell r="N72" t="str">
            <v>México - Reynosa</v>
          </cell>
          <cell r="O72">
            <v>0.15</v>
          </cell>
          <cell r="P72">
            <v>12618</v>
          </cell>
          <cell r="Q72">
            <v>3883</v>
          </cell>
          <cell r="R72">
            <v>0.15</v>
          </cell>
          <cell r="S72">
            <v>12618</v>
          </cell>
          <cell r="T72">
            <v>0</v>
          </cell>
          <cell r="U72">
            <v>78461</v>
          </cell>
          <cell r="V72">
            <v>0</v>
          </cell>
          <cell r="W72">
            <v>0</v>
          </cell>
          <cell r="X72">
            <v>107580</v>
          </cell>
          <cell r="Y72">
            <v>169304</v>
          </cell>
          <cell r="Z72">
            <v>188157</v>
          </cell>
          <cell r="AA72">
            <v>279311</v>
          </cell>
        </row>
        <row r="73">
          <cell r="A73">
            <v>1021368232</v>
          </cell>
          <cell r="B73" t="str">
            <v>RECIO</v>
          </cell>
          <cell r="C73" t="str">
            <v>Mauricio Nestor</v>
          </cell>
          <cell r="D73" t="str">
            <v>Profesional Sr.</v>
          </cell>
          <cell r="E73">
            <v>0</v>
          </cell>
          <cell r="F73">
            <v>4879.2</v>
          </cell>
          <cell r="G73">
            <v>0</v>
          </cell>
          <cell r="H73">
            <v>1</v>
          </cell>
          <cell r="I73">
            <v>4879.2</v>
          </cell>
          <cell r="J73">
            <v>68309</v>
          </cell>
          <cell r="K73">
            <v>47844</v>
          </cell>
          <cell r="L73">
            <v>3757</v>
          </cell>
          <cell r="M73">
            <v>51601</v>
          </cell>
          <cell r="N73" t="str">
            <v>Ecuador - Quito</v>
          </cell>
          <cell r="O73">
            <v>0.15</v>
          </cell>
          <cell r="P73">
            <v>9514</v>
          </cell>
          <cell r="Q73">
            <v>732</v>
          </cell>
          <cell r="R73">
            <v>0.15</v>
          </cell>
          <cell r="S73">
            <v>9514</v>
          </cell>
          <cell r="T73">
            <v>0</v>
          </cell>
          <cell r="U73">
            <v>93079</v>
          </cell>
          <cell r="V73">
            <v>0</v>
          </cell>
          <cell r="W73">
            <v>0</v>
          </cell>
          <cell r="X73">
            <v>112839</v>
          </cell>
          <cell r="Y73">
            <v>173351</v>
          </cell>
          <cell r="Z73">
            <v>164440</v>
          </cell>
          <cell r="AA73">
            <v>241660</v>
          </cell>
        </row>
        <row r="74">
          <cell r="A74">
            <v>0</v>
          </cell>
          <cell r="B74" t="e">
            <v>#N/A</v>
          </cell>
          <cell r="C74" t="e">
            <v>#N/A</v>
          </cell>
          <cell r="D74">
            <v>0</v>
          </cell>
          <cell r="E74">
            <v>0</v>
          </cell>
          <cell r="F74" t="e">
            <v>#N/A</v>
          </cell>
          <cell r="G74" t="e">
            <v>#N/A</v>
          </cell>
          <cell r="H74">
            <v>0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>
            <v>0</v>
          </cell>
          <cell r="O74">
            <v>0</v>
          </cell>
          <cell r="P74" t="e">
            <v>#N/A</v>
          </cell>
          <cell r="Q74" t="e">
            <v>#N/A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 t="e">
            <v>#N/A</v>
          </cell>
          <cell r="W74" t="e">
            <v>#N/A</v>
          </cell>
          <cell r="X74">
            <v>0</v>
          </cell>
          <cell r="Y74">
            <v>0</v>
          </cell>
          <cell r="Z74" t="e">
            <v>#N/A</v>
          </cell>
          <cell r="AA74">
            <v>0</v>
          </cell>
        </row>
        <row r="75">
          <cell r="A75">
            <v>1018084529</v>
          </cell>
          <cell r="B75" t="str">
            <v>CASTILLO</v>
          </cell>
          <cell r="C75" t="str">
            <v>Guillermo</v>
          </cell>
          <cell r="D75" t="str">
            <v>Gerente de Ventas</v>
          </cell>
          <cell r="E75">
            <v>0</v>
          </cell>
          <cell r="F75">
            <v>9000</v>
          </cell>
          <cell r="G75">
            <v>0</v>
          </cell>
          <cell r="H75">
            <v>0</v>
          </cell>
          <cell r="I75">
            <v>0</v>
          </cell>
          <cell r="J75">
            <v>117000</v>
          </cell>
          <cell r="K75">
            <v>85300</v>
          </cell>
          <cell r="L75">
            <v>0</v>
          </cell>
          <cell r="M75">
            <v>85300</v>
          </cell>
          <cell r="N75" t="str">
            <v>Brasil - San Pablo</v>
          </cell>
          <cell r="O75">
            <v>0.15</v>
          </cell>
          <cell r="P75">
            <v>17550</v>
          </cell>
          <cell r="Q75">
            <v>0</v>
          </cell>
          <cell r="R75">
            <v>0.05</v>
          </cell>
          <cell r="S75">
            <v>5850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23400</v>
          </cell>
          <cell r="Y75">
            <v>36745</v>
          </cell>
          <cell r="Z75">
            <v>108700</v>
          </cell>
          <cell r="AA75">
            <v>153745</v>
          </cell>
        </row>
        <row r="76">
          <cell r="A76">
            <v>1017653363</v>
          </cell>
          <cell r="B76" t="str">
            <v>MAS</v>
          </cell>
          <cell r="C76" t="str">
            <v>Gustavo</v>
          </cell>
          <cell r="D76">
            <v>0</v>
          </cell>
          <cell r="E76">
            <v>0</v>
          </cell>
          <cell r="F76">
            <v>14000</v>
          </cell>
          <cell r="G76">
            <v>0</v>
          </cell>
          <cell r="H76">
            <v>5</v>
          </cell>
          <cell r="I76">
            <v>70000</v>
          </cell>
          <cell r="J76">
            <v>252000</v>
          </cell>
          <cell r="K76">
            <v>127173</v>
          </cell>
          <cell r="L76">
            <v>43232</v>
          </cell>
          <cell r="M76">
            <v>170405</v>
          </cell>
          <cell r="N76" t="str">
            <v>Bolivia - Sta. Cruz de la Sierra</v>
          </cell>
          <cell r="O76">
            <v>0.15</v>
          </cell>
          <cell r="P76">
            <v>27300</v>
          </cell>
          <cell r="Q76">
            <v>10500</v>
          </cell>
          <cell r="R76">
            <v>0.15</v>
          </cell>
          <cell r="S76">
            <v>27300</v>
          </cell>
          <cell r="T76">
            <v>0</v>
          </cell>
          <cell r="U76">
            <v>128324</v>
          </cell>
          <cell r="V76">
            <v>0</v>
          </cell>
          <cell r="W76">
            <v>0</v>
          </cell>
          <cell r="X76">
            <v>193424</v>
          </cell>
          <cell r="Y76">
            <v>297576</v>
          </cell>
          <cell r="Z76">
            <v>363829</v>
          </cell>
          <cell r="AA76">
            <v>549576</v>
          </cell>
        </row>
        <row r="77">
          <cell r="A77">
            <v>1012780048</v>
          </cell>
          <cell r="B77" t="str">
            <v>ANGIOLINI</v>
          </cell>
          <cell r="C77" t="str">
            <v>Fernando</v>
          </cell>
          <cell r="D77">
            <v>0</v>
          </cell>
          <cell r="E77">
            <v>0</v>
          </cell>
          <cell r="F77">
            <v>7680</v>
          </cell>
          <cell r="G77">
            <v>0</v>
          </cell>
          <cell r="H77">
            <v>3</v>
          </cell>
          <cell r="I77">
            <v>23040</v>
          </cell>
          <cell r="J77">
            <v>122880</v>
          </cell>
          <cell r="K77">
            <v>73551</v>
          </cell>
          <cell r="L77">
            <v>15332</v>
          </cell>
          <cell r="M77">
            <v>88883</v>
          </cell>
          <cell r="N77" t="str">
            <v>Brasil - Porto Alegre</v>
          </cell>
          <cell r="O77">
            <v>0.15</v>
          </cell>
          <cell r="P77">
            <v>14976</v>
          </cell>
          <cell r="Q77">
            <v>3456</v>
          </cell>
          <cell r="R77">
            <v>0.05</v>
          </cell>
          <cell r="S77">
            <v>4992</v>
          </cell>
          <cell r="T77">
            <v>0</v>
          </cell>
          <cell r="U77">
            <v>37202</v>
          </cell>
          <cell r="V77">
            <v>0</v>
          </cell>
          <cell r="W77">
            <v>0</v>
          </cell>
          <cell r="X77">
            <v>60626</v>
          </cell>
          <cell r="Y77">
            <v>94142</v>
          </cell>
          <cell r="Z77">
            <v>149509</v>
          </cell>
          <cell r="AA77">
            <v>217022</v>
          </cell>
        </row>
        <row r="78">
          <cell r="A78">
            <v>1025647012</v>
          </cell>
          <cell r="B78" t="str">
            <v>BIGGI</v>
          </cell>
          <cell r="C78" t="str">
            <v>Diego</v>
          </cell>
          <cell r="D78">
            <v>0</v>
          </cell>
          <cell r="E78">
            <v>0</v>
          </cell>
          <cell r="F78">
            <v>4900</v>
          </cell>
          <cell r="G78">
            <v>0</v>
          </cell>
          <cell r="H78">
            <v>2</v>
          </cell>
          <cell r="I78">
            <v>9800</v>
          </cell>
          <cell r="J78">
            <v>73500</v>
          </cell>
          <cell r="K78">
            <v>48474</v>
          </cell>
          <cell r="L78">
            <v>7546</v>
          </cell>
          <cell r="M78">
            <v>56020</v>
          </cell>
          <cell r="N78" t="str">
            <v>Venezuela - Caracas</v>
          </cell>
          <cell r="O78">
            <v>0.15</v>
          </cell>
          <cell r="P78">
            <v>9555</v>
          </cell>
          <cell r="Q78">
            <v>1470</v>
          </cell>
          <cell r="R78">
            <v>0.05</v>
          </cell>
          <cell r="S78">
            <v>3185</v>
          </cell>
          <cell r="T78">
            <v>0</v>
          </cell>
          <cell r="U78">
            <v>80485</v>
          </cell>
          <cell r="V78">
            <v>0</v>
          </cell>
          <cell r="W78">
            <v>0</v>
          </cell>
          <cell r="X78">
            <v>94695</v>
          </cell>
          <cell r="Y78">
            <v>146935</v>
          </cell>
          <cell r="Z78">
            <v>150715</v>
          </cell>
          <cell r="AA78">
            <v>220435</v>
          </cell>
        </row>
        <row r="79">
          <cell r="A79">
            <v>14</v>
          </cell>
          <cell r="B79" t="str">
            <v>EJEMPLO 4</v>
          </cell>
          <cell r="C79">
            <v>0</v>
          </cell>
          <cell r="D79">
            <v>0</v>
          </cell>
          <cell r="E79">
            <v>0</v>
          </cell>
          <cell r="F79">
            <v>21053</v>
          </cell>
          <cell r="G79">
            <v>0</v>
          </cell>
          <cell r="H79">
            <v>6</v>
          </cell>
          <cell r="I79">
            <v>126318</v>
          </cell>
          <cell r="J79">
            <v>400007</v>
          </cell>
          <cell r="K79">
            <v>184503</v>
          </cell>
          <cell r="L79">
            <v>82106</v>
          </cell>
          <cell r="M79">
            <v>266609</v>
          </cell>
          <cell r="N79" t="str">
            <v>México - Reynosa</v>
          </cell>
          <cell r="O79">
            <v>0.15</v>
          </cell>
          <cell r="P79">
            <v>41053</v>
          </cell>
          <cell r="Q79">
            <v>18948</v>
          </cell>
          <cell r="R79">
            <v>0.15</v>
          </cell>
          <cell r="S79">
            <v>41053</v>
          </cell>
          <cell r="T79">
            <v>0</v>
          </cell>
          <cell r="U79">
            <v>172119</v>
          </cell>
          <cell r="V79">
            <v>0</v>
          </cell>
          <cell r="W79">
            <v>0</v>
          </cell>
          <cell r="X79">
            <v>273173</v>
          </cell>
          <cell r="Y79">
            <v>420266</v>
          </cell>
          <cell r="Z79">
            <v>539782</v>
          </cell>
          <cell r="AA79">
            <v>820273</v>
          </cell>
        </row>
        <row r="80">
          <cell r="A80">
            <v>1021787741</v>
          </cell>
          <cell r="B80" t="str">
            <v>LEBON</v>
          </cell>
          <cell r="C80" t="str">
            <v>GUSTAVO LUIS</v>
          </cell>
          <cell r="D80" t="str">
            <v>Gerente Operaciones</v>
          </cell>
          <cell r="E80">
            <v>58</v>
          </cell>
          <cell r="F80">
            <v>3465</v>
          </cell>
          <cell r="G80">
            <v>3135</v>
          </cell>
          <cell r="H80">
            <v>2</v>
          </cell>
          <cell r="I80">
            <v>13200</v>
          </cell>
          <cell r="J80">
            <v>99000</v>
          </cell>
          <cell r="K80">
            <v>64073</v>
          </cell>
          <cell r="L80">
            <v>9636</v>
          </cell>
          <cell r="M80">
            <v>73709</v>
          </cell>
          <cell r="N80" t="str">
            <v>México - Reynosa</v>
          </cell>
          <cell r="O80">
            <v>0.15</v>
          </cell>
          <cell r="P80">
            <v>12870</v>
          </cell>
          <cell r="Q80">
            <v>1980</v>
          </cell>
          <cell r="R80">
            <v>0.15</v>
          </cell>
          <cell r="S80">
            <v>12870</v>
          </cell>
          <cell r="T80">
            <v>0</v>
          </cell>
          <cell r="U80">
            <v>44236</v>
          </cell>
          <cell r="V80">
            <v>0</v>
          </cell>
          <cell r="W80">
            <v>0</v>
          </cell>
          <cell r="X80">
            <v>71956</v>
          </cell>
          <cell r="Y80">
            <v>113776</v>
          </cell>
          <cell r="Z80">
            <v>145665</v>
          </cell>
          <cell r="AA80">
            <v>212776</v>
          </cell>
        </row>
        <row r="81">
          <cell r="A81">
            <v>1020007227</v>
          </cell>
          <cell r="B81" t="str">
            <v>CARRO</v>
          </cell>
          <cell r="C81" t="str">
            <v>Carlos</v>
          </cell>
          <cell r="D81" t="str">
            <v>Jefe de Producción</v>
          </cell>
          <cell r="E81">
            <v>0</v>
          </cell>
          <cell r="F81">
            <v>8500</v>
          </cell>
          <cell r="G81">
            <v>1400</v>
          </cell>
          <cell r="H81">
            <v>4</v>
          </cell>
          <cell r="I81">
            <v>39600</v>
          </cell>
          <cell r="J81">
            <v>168300</v>
          </cell>
          <cell r="K81">
            <v>93690</v>
          </cell>
          <cell r="L81">
            <v>24685</v>
          </cell>
          <cell r="M81">
            <v>118375</v>
          </cell>
          <cell r="N81" t="str">
            <v>Venezuela - El Tigre</v>
          </cell>
          <cell r="O81">
            <v>0.15</v>
          </cell>
          <cell r="P81">
            <v>19305</v>
          </cell>
          <cell r="Q81">
            <v>5940</v>
          </cell>
          <cell r="R81">
            <v>0.15</v>
          </cell>
          <cell r="S81">
            <v>19305</v>
          </cell>
          <cell r="T81">
            <v>0</v>
          </cell>
          <cell r="U81">
            <v>119322</v>
          </cell>
          <cell r="V81">
            <v>0</v>
          </cell>
          <cell r="W81">
            <v>0</v>
          </cell>
          <cell r="X81">
            <v>163872</v>
          </cell>
          <cell r="Y81">
            <v>255765</v>
          </cell>
          <cell r="Z81">
            <v>282247</v>
          </cell>
          <cell r="AA81">
            <v>424065</v>
          </cell>
        </row>
        <row r="82">
          <cell r="A82">
            <v>1020007228</v>
          </cell>
          <cell r="B82" t="str">
            <v>CARRO</v>
          </cell>
          <cell r="C82" t="str">
            <v>Carlos Alberto</v>
          </cell>
          <cell r="D82" t="str">
            <v>Jefe de Producción</v>
          </cell>
          <cell r="E82">
            <v>0</v>
          </cell>
          <cell r="F82">
            <v>7620</v>
          </cell>
          <cell r="G82">
            <v>0</v>
          </cell>
          <cell r="H82">
            <v>4</v>
          </cell>
          <cell r="I82">
            <v>30480</v>
          </cell>
          <cell r="J82">
            <v>129540</v>
          </cell>
          <cell r="K82">
            <v>73945</v>
          </cell>
          <cell r="L82">
            <v>20324</v>
          </cell>
          <cell r="M82">
            <v>94269</v>
          </cell>
          <cell r="N82" t="str">
            <v>Venezuela - El Tigre</v>
          </cell>
          <cell r="O82">
            <v>0.15</v>
          </cell>
          <cell r="P82">
            <v>14859</v>
          </cell>
          <cell r="Q82">
            <v>4572</v>
          </cell>
          <cell r="R82">
            <v>0.15</v>
          </cell>
          <cell r="S82">
            <v>14859</v>
          </cell>
          <cell r="T82">
            <v>0</v>
          </cell>
          <cell r="U82">
            <v>147092</v>
          </cell>
          <cell r="V82">
            <v>0</v>
          </cell>
          <cell r="W82">
            <v>0</v>
          </cell>
          <cell r="X82">
            <v>181382</v>
          </cell>
          <cell r="Y82">
            <v>284377</v>
          </cell>
          <cell r="Z82">
            <v>275651</v>
          </cell>
          <cell r="AA82">
            <v>413917</v>
          </cell>
        </row>
        <row r="83">
          <cell r="A83">
            <v>0</v>
          </cell>
          <cell r="B83" t="e">
            <v>#N/A</v>
          </cell>
          <cell r="C83" t="e">
            <v>#N/A</v>
          </cell>
          <cell r="D83">
            <v>0</v>
          </cell>
          <cell r="E83">
            <v>0</v>
          </cell>
          <cell r="F83" t="e">
            <v>#N/A</v>
          </cell>
          <cell r="G83" t="e">
            <v>#N/A</v>
          </cell>
          <cell r="H83">
            <v>0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>
            <v>0</v>
          </cell>
          <cell r="O83">
            <v>0</v>
          </cell>
          <cell r="P83" t="e">
            <v>#N/A</v>
          </cell>
          <cell r="Q83" t="e">
            <v>#N/A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 t="e">
            <v>#N/A</v>
          </cell>
          <cell r="W83" t="e">
            <v>#N/A</v>
          </cell>
          <cell r="X83">
            <v>0</v>
          </cell>
          <cell r="Y83">
            <v>0</v>
          </cell>
          <cell r="Z83" t="e">
            <v>#N/A</v>
          </cell>
          <cell r="AA83">
            <v>0</v>
          </cell>
        </row>
        <row r="84">
          <cell r="A84">
            <v>0</v>
          </cell>
          <cell r="B84" t="e">
            <v>#N/A</v>
          </cell>
          <cell r="C84" t="e">
            <v>#N/A</v>
          </cell>
          <cell r="D84">
            <v>0</v>
          </cell>
          <cell r="E84">
            <v>0</v>
          </cell>
          <cell r="F84" t="e">
            <v>#N/A</v>
          </cell>
          <cell r="G84" t="e">
            <v>#N/A</v>
          </cell>
          <cell r="H84">
            <v>0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>
            <v>0</v>
          </cell>
          <cell r="O84">
            <v>0</v>
          </cell>
          <cell r="P84" t="e">
            <v>#N/A</v>
          </cell>
          <cell r="Q84" t="e">
            <v>#N/A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 t="e">
            <v>#N/A</v>
          </cell>
          <cell r="W84" t="e">
            <v>#N/A</v>
          </cell>
          <cell r="X84">
            <v>0</v>
          </cell>
          <cell r="Y84">
            <v>0</v>
          </cell>
          <cell r="Z84" t="e">
            <v>#N/A</v>
          </cell>
          <cell r="AA84">
            <v>0</v>
          </cell>
        </row>
        <row r="85">
          <cell r="A85">
            <v>0</v>
          </cell>
          <cell r="B85" t="e">
            <v>#N/A</v>
          </cell>
          <cell r="C85" t="e">
            <v>#N/A</v>
          </cell>
          <cell r="D85">
            <v>0</v>
          </cell>
          <cell r="E85">
            <v>0</v>
          </cell>
          <cell r="F85" t="e">
            <v>#N/A</v>
          </cell>
          <cell r="G85" t="e">
            <v>#N/A</v>
          </cell>
          <cell r="H85">
            <v>0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>
            <v>0</v>
          </cell>
          <cell r="O85">
            <v>0</v>
          </cell>
          <cell r="P85" t="e">
            <v>#N/A</v>
          </cell>
          <cell r="Q85" t="e">
            <v>#N/A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 t="e">
            <v>#N/A</v>
          </cell>
          <cell r="W85" t="e">
            <v>#N/A</v>
          </cell>
          <cell r="X85">
            <v>0</v>
          </cell>
          <cell r="Y85">
            <v>0</v>
          </cell>
          <cell r="Z85" t="e">
            <v>#N/A</v>
          </cell>
          <cell r="AA85">
            <v>0</v>
          </cell>
        </row>
        <row r="86">
          <cell r="A86">
            <v>0</v>
          </cell>
          <cell r="B86" t="e">
            <v>#N/A</v>
          </cell>
          <cell r="C86" t="e">
            <v>#N/A</v>
          </cell>
          <cell r="D86">
            <v>0</v>
          </cell>
          <cell r="E86">
            <v>0</v>
          </cell>
          <cell r="F86" t="e">
            <v>#N/A</v>
          </cell>
          <cell r="G86" t="e">
            <v>#N/A</v>
          </cell>
          <cell r="H86">
            <v>0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>
            <v>0</v>
          </cell>
          <cell r="O86">
            <v>0</v>
          </cell>
          <cell r="P86" t="e">
            <v>#N/A</v>
          </cell>
          <cell r="Q86" t="e">
            <v>#N/A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 t="e">
            <v>#N/A</v>
          </cell>
          <cell r="W86" t="e">
            <v>#N/A</v>
          </cell>
          <cell r="X86">
            <v>0</v>
          </cell>
          <cell r="Y86">
            <v>0</v>
          </cell>
          <cell r="Z86" t="e">
            <v>#N/A</v>
          </cell>
          <cell r="AA86">
            <v>0</v>
          </cell>
        </row>
        <row r="87">
          <cell r="A87">
            <v>0</v>
          </cell>
          <cell r="B87" t="e">
            <v>#N/A</v>
          </cell>
          <cell r="C87" t="e">
            <v>#N/A</v>
          </cell>
          <cell r="D87">
            <v>0</v>
          </cell>
          <cell r="E87">
            <v>0</v>
          </cell>
          <cell r="F87" t="e">
            <v>#N/A</v>
          </cell>
          <cell r="G87" t="e">
            <v>#N/A</v>
          </cell>
          <cell r="H87">
            <v>0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>
            <v>0</v>
          </cell>
          <cell r="O87">
            <v>0</v>
          </cell>
          <cell r="P87" t="e">
            <v>#N/A</v>
          </cell>
          <cell r="Q87" t="e">
            <v>#N/A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 t="e">
            <v>#N/A</v>
          </cell>
          <cell r="W87" t="e">
            <v>#N/A</v>
          </cell>
          <cell r="X87">
            <v>0</v>
          </cell>
          <cell r="Y87">
            <v>0</v>
          </cell>
          <cell r="Z87" t="e">
            <v>#N/A</v>
          </cell>
          <cell r="AA87">
            <v>0</v>
          </cell>
        </row>
        <row r="88">
          <cell r="A88">
            <v>0</v>
          </cell>
          <cell r="B88" t="e">
            <v>#N/A</v>
          </cell>
          <cell r="C88" t="e">
            <v>#N/A</v>
          </cell>
          <cell r="D88">
            <v>0</v>
          </cell>
          <cell r="E88">
            <v>0</v>
          </cell>
          <cell r="F88" t="e">
            <v>#N/A</v>
          </cell>
          <cell r="G88" t="e">
            <v>#N/A</v>
          </cell>
          <cell r="H88">
            <v>0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>
            <v>0</v>
          </cell>
          <cell r="O88">
            <v>0</v>
          </cell>
          <cell r="P88" t="e">
            <v>#N/A</v>
          </cell>
          <cell r="Q88" t="e">
            <v>#N/A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e">
            <v>#N/A</v>
          </cell>
          <cell r="W88" t="e">
            <v>#N/A</v>
          </cell>
          <cell r="X88">
            <v>0</v>
          </cell>
          <cell r="Y88">
            <v>0</v>
          </cell>
          <cell r="Z88" t="e">
            <v>#N/A</v>
          </cell>
          <cell r="AA88">
            <v>0</v>
          </cell>
        </row>
        <row r="89">
          <cell r="A89">
            <v>0</v>
          </cell>
          <cell r="B89" t="e">
            <v>#N/A</v>
          </cell>
          <cell r="C89" t="e">
            <v>#N/A</v>
          </cell>
          <cell r="D89">
            <v>0</v>
          </cell>
          <cell r="E89">
            <v>0</v>
          </cell>
          <cell r="F89" t="e">
            <v>#N/A</v>
          </cell>
          <cell r="G89" t="e">
            <v>#N/A</v>
          </cell>
          <cell r="H89">
            <v>0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>
            <v>0</v>
          </cell>
          <cell r="O89">
            <v>0</v>
          </cell>
          <cell r="P89" t="e">
            <v>#N/A</v>
          </cell>
          <cell r="Q89" t="e">
            <v>#N/A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 t="e">
            <v>#N/A</v>
          </cell>
          <cell r="W89" t="e">
            <v>#N/A</v>
          </cell>
          <cell r="X89">
            <v>0</v>
          </cell>
          <cell r="Y89">
            <v>0</v>
          </cell>
          <cell r="Z89" t="e">
            <v>#N/A</v>
          </cell>
          <cell r="AA89">
            <v>0</v>
          </cell>
        </row>
        <row r="90">
          <cell r="A90">
            <v>0</v>
          </cell>
          <cell r="B90" t="e">
            <v>#N/A</v>
          </cell>
          <cell r="C90" t="e">
            <v>#N/A</v>
          </cell>
          <cell r="D90">
            <v>0</v>
          </cell>
          <cell r="E90">
            <v>0</v>
          </cell>
          <cell r="F90" t="e">
            <v>#N/A</v>
          </cell>
          <cell r="G90" t="e">
            <v>#N/A</v>
          </cell>
          <cell r="H90">
            <v>0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>
            <v>0</v>
          </cell>
          <cell r="O90">
            <v>0</v>
          </cell>
          <cell r="P90" t="e">
            <v>#N/A</v>
          </cell>
          <cell r="Q90" t="e">
            <v>#N/A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 t="e">
            <v>#N/A</v>
          </cell>
          <cell r="W90" t="e">
            <v>#N/A</v>
          </cell>
          <cell r="X90">
            <v>0</v>
          </cell>
          <cell r="Y90">
            <v>0</v>
          </cell>
          <cell r="Z90" t="e">
            <v>#N/A</v>
          </cell>
          <cell r="AA90">
            <v>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ALISIS"/>
      <sheetName val="DIRECTOS - INDIRECTOS"/>
      <sheetName val="Notas"/>
      <sheetName val="Validaciones"/>
      <sheetName val="Hoja4"/>
      <sheetName val="Hoja5"/>
    </sheetNames>
    <sheetDataSet>
      <sheetData sheetId="0">
        <row r="4">
          <cell r="C4" t="str">
            <v>Bolland y Cia SA</v>
          </cell>
        </row>
      </sheetData>
      <sheetData sheetId="1" refreshError="1"/>
      <sheetData sheetId="2" refreshError="1"/>
      <sheetData sheetId="3" refreshError="1"/>
      <sheetData sheetId="4">
        <row r="35">
          <cell r="C35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4">
          <cell r="B4" t="str">
            <v>Geofísica</v>
          </cell>
          <cell r="D4" t="str">
            <v>ATE - Asociación Trabajadores del Estado</v>
          </cell>
          <cell r="F4" t="str">
            <v>396/04</v>
          </cell>
        </row>
        <row r="5">
          <cell r="B5" t="str">
            <v>Operaciones Especiales</v>
          </cell>
          <cell r="D5" t="str">
            <v>Autónomo</v>
          </cell>
          <cell r="F5" t="str">
            <v>536/08</v>
          </cell>
        </row>
        <row r="6">
          <cell r="B6" t="str">
            <v>Perforación</v>
          </cell>
          <cell r="D6" t="str">
            <v>Camionero - CH</v>
          </cell>
          <cell r="F6" t="str">
            <v>537/08</v>
          </cell>
        </row>
        <row r="7">
          <cell r="B7" t="str">
            <v>Producción</v>
          </cell>
          <cell r="D7" t="str">
            <v>Camionero - Neuquén y Río Negro</v>
          </cell>
          <cell r="F7" t="str">
            <v>511/07</v>
          </cell>
        </row>
        <row r="8">
          <cell r="B8" t="str">
            <v>Servicios Generales</v>
          </cell>
          <cell r="D8" t="str">
            <v>Camionero - Sta Cruz</v>
          </cell>
          <cell r="F8" t="str">
            <v>587/08</v>
          </cell>
        </row>
        <row r="9">
          <cell r="D9" t="str">
            <v>F.A.T.I.Q.Y.P. - Federación Argentina De Trabajadores De Industrias Químicas Y Petroquímicas</v>
          </cell>
          <cell r="F9" t="str">
            <v>605/10</v>
          </cell>
        </row>
        <row r="10">
          <cell r="D10" t="str">
            <v>FAECYS - Empleados de Comercio y Servicios</v>
          </cell>
          <cell r="F10" t="str">
            <v>Fuera de convenio</v>
          </cell>
        </row>
        <row r="11">
          <cell r="B11" t="str">
            <v>Buenos Aires</v>
          </cell>
          <cell r="D11" t="str">
            <v>Fuera de Convenio</v>
          </cell>
          <cell r="F11" t="str">
            <v>Otro (detallar)</v>
          </cell>
        </row>
        <row r="12">
          <cell r="B12" t="str">
            <v>Chubut</v>
          </cell>
          <cell r="D12" t="str">
            <v>Monotributista</v>
          </cell>
        </row>
        <row r="13">
          <cell r="B13" t="str">
            <v>Mendoza</v>
          </cell>
          <cell r="D13" t="str">
            <v>Pasante</v>
          </cell>
        </row>
        <row r="14">
          <cell r="B14" t="str">
            <v>Neuquén</v>
          </cell>
          <cell r="D14" t="str">
            <v>PJ - Petroleros Jerárquicos CH</v>
          </cell>
        </row>
        <row r="15">
          <cell r="B15" t="str">
            <v>Río Negro</v>
          </cell>
          <cell r="D15" t="str">
            <v>PJ - Petroleros Jerárquicos MZA</v>
          </cell>
        </row>
        <row r="16">
          <cell r="B16" t="str">
            <v>Salta</v>
          </cell>
          <cell r="D16" t="str">
            <v>PJ - Petroleros Jerárquicos Neuquén y Río Negro</v>
          </cell>
        </row>
        <row r="17">
          <cell r="B17" t="str">
            <v>Santa Cruz</v>
          </cell>
          <cell r="D17" t="str">
            <v xml:space="preserve">PJ - Petroleros Jerárquicos Sta Cruz </v>
          </cell>
        </row>
        <row r="18">
          <cell r="D18" t="str">
            <v>PP - Petroleros Privados CH</v>
          </cell>
        </row>
        <row r="19">
          <cell r="F19" t="str">
            <v>Inmueble Liviano</v>
          </cell>
        </row>
        <row r="20">
          <cell r="F20" t="str">
            <v>Inmueble Mampostería</v>
          </cell>
        </row>
        <row r="21">
          <cell r="D21" t="str">
            <v>PP - Petroleros Privados MZA</v>
          </cell>
          <cell r="F21" t="str">
            <v>Rodados</v>
          </cell>
        </row>
        <row r="22">
          <cell r="D22" t="str">
            <v>PP - Petroleros Privados Neuquén y Río Negro</v>
          </cell>
          <cell r="F22" t="str">
            <v>Equipo pesado</v>
          </cell>
        </row>
        <row r="23">
          <cell r="B23" t="str">
            <v>UNAO</v>
          </cell>
          <cell r="D23" t="str">
            <v>PP - Petroleros Privados Sta Cruz</v>
          </cell>
          <cell r="F23" t="str">
            <v>Herramientas</v>
          </cell>
        </row>
        <row r="24">
          <cell r="B24" t="str">
            <v>UNAS</v>
          </cell>
          <cell r="D24" t="str">
            <v>Régimen Especial Ley 27360 (Agrario)</v>
          </cell>
        </row>
        <row r="25">
          <cell r="B25" t="str">
            <v>BA</v>
          </cell>
          <cell r="D25" t="str">
            <v>Seguridad y Vigilancia</v>
          </cell>
        </row>
        <row r="26">
          <cell r="D26" t="str">
            <v>SI.PE.MOM - Sindicato Del Personal De Micros Y Ómnibus De Mendoza</v>
          </cell>
        </row>
        <row r="27">
          <cell r="D27" t="str">
            <v>Sindicato Del Personal De Obras Y Servicios Sanitarios</v>
          </cell>
        </row>
        <row r="28">
          <cell r="B28" t="str">
            <v>Si</v>
          </cell>
          <cell r="D28" t="str">
            <v>SMATA</v>
          </cell>
        </row>
        <row r="29">
          <cell r="B29" t="str">
            <v>No</v>
          </cell>
          <cell r="D29" t="str">
            <v>SUPEH</v>
          </cell>
        </row>
        <row r="30">
          <cell r="D30" t="str">
            <v>U.E.C.A.R.A. - Unión Empleados de la Construcción y Afines de la República Argentina</v>
          </cell>
        </row>
        <row r="31">
          <cell r="D31" t="str">
            <v>U.T.A. - Unión Tranviarios Automotor</v>
          </cell>
        </row>
        <row r="32">
          <cell r="D32" t="str">
            <v>U.T.A.C.E.T.A.P.O.</v>
          </cell>
        </row>
        <row r="33">
          <cell r="D33" t="str">
            <v>UOCRA - CH</v>
          </cell>
        </row>
        <row r="34">
          <cell r="B34" t="str">
            <v>Activo</v>
          </cell>
          <cell r="D34" t="str">
            <v>UOCRA - MZA</v>
          </cell>
        </row>
        <row r="35">
          <cell r="B35" t="str">
            <v>Stand By</v>
          </cell>
          <cell r="D35" t="str">
            <v>UOCRA - Neuquen y Rio Negro</v>
          </cell>
        </row>
        <row r="36">
          <cell r="D36" t="str">
            <v>UOCRA - Sta Cruz</v>
          </cell>
        </row>
        <row r="37">
          <cell r="D37" t="str">
            <v>UOM</v>
          </cell>
        </row>
        <row r="38">
          <cell r="D38" t="str">
            <v>UOYEP - Unión Obreros Y Empleados Plásticos</v>
          </cell>
        </row>
        <row r="39">
          <cell r="B39" t="str">
            <v>Directa</v>
          </cell>
        </row>
        <row r="40">
          <cell r="B40" t="str">
            <v>Indirecta</v>
          </cell>
        </row>
        <row r="41">
          <cell r="B41" t="str">
            <v>Indirecta Overhead</v>
          </cell>
        </row>
        <row r="42">
          <cell r="B42" t="str">
            <v>Coordinación Overhead</v>
          </cell>
        </row>
        <row r="51">
          <cell r="B51">
            <v>1</v>
          </cell>
        </row>
        <row r="52">
          <cell r="B52">
            <v>2</v>
          </cell>
        </row>
        <row r="53">
          <cell r="B53">
            <v>3</v>
          </cell>
        </row>
        <row r="54">
          <cell r="B54">
            <v>5</v>
          </cell>
        </row>
        <row r="55">
          <cell r="B55" t="str">
            <v>CA</v>
          </cell>
        </row>
        <row r="56">
          <cell r="B56" t="str">
            <v>MN</v>
          </cell>
        </row>
        <row r="57">
          <cell r="B57" t="str">
            <v>MS</v>
          </cell>
        </row>
        <row r="61">
          <cell r="B61" t="str">
            <v>Directo</v>
          </cell>
        </row>
        <row r="62">
          <cell r="B62" t="str">
            <v>Indirecto</v>
          </cell>
        </row>
        <row r="69">
          <cell r="B69" t="str">
            <v>Insumos Consumibles</v>
          </cell>
        </row>
        <row r="70">
          <cell r="B70" t="str">
            <v>Herramientas</v>
          </cell>
        </row>
        <row r="71">
          <cell r="B71" t="str">
            <v>Instrumentos</v>
          </cell>
        </row>
        <row r="72">
          <cell r="B72" t="str">
            <v>Materiales</v>
          </cell>
        </row>
        <row r="73">
          <cell r="B73" t="str">
            <v>Gastos de Personal</v>
          </cell>
        </row>
      </sheetData>
      <sheetData sheetId="10" refreshError="1"/>
      <sheetData sheetId="11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grama de trabajo"/>
      <sheetName val="FUERA DE CONVENIO"/>
      <sheetName val="JERARQUICO"/>
      <sheetName val="PP YACIMIENTO"/>
      <sheetName val="PP REFINERIA"/>
      <sheetName val="UOCRA PETROLERO"/>
      <sheetName val="UOCRA REFINERIA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43497</v>
          </cell>
        </row>
      </sheetData>
      <sheetData sheetId="2"/>
      <sheetData sheetId="3" refreshError="1"/>
      <sheetData sheetId="4" refreshError="1"/>
      <sheetData sheetId="5">
        <row r="8">
          <cell r="D8">
            <v>43405</v>
          </cell>
        </row>
      </sheetData>
      <sheetData sheetId="6" refreshError="1"/>
      <sheetData sheetId="7">
        <row r="7">
          <cell r="C7" t="str">
            <v>PETROLERO CHUBUT (605/10)</v>
          </cell>
        </row>
      </sheetData>
      <sheetData sheetId="8">
        <row r="6">
          <cell r="B6" t="str">
            <v>ASIG. VIANDA COMP. NO REM.</v>
          </cell>
        </row>
      </sheetData>
      <sheetData sheetId="9">
        <row r="103">
          <cell r="B103" t="str">
            <v>AYUDANTE</v>
          </cell>
        </row>
      </sheetData>
      <sheetData sheetId="10">
        <row r="6">
          <cell r="B6">
            <v>42917</v>
          </cell>
        </row>
      </sheetData>
      <sheetData sheetId="11" refreshError="1"/>
      <sheetData sheetId="12">
        <row r="6">
          <cell r="C6">
            <v>2018</v>
          </cell>
          <cell r="D6">
            <v>2019</v>
          </cell>
          <cell r="E6">
            <v>2020</v>
          </cell>
          <cell r="F6">
            <v>2021</v>
          </cell>
          <cell r="G6">
            <v>2022</v>
          </cell>
        </row>
        <row r="7">
          <cell r="B7" t="str">
            <v>Seleccionar Jurisdicción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B8" t="str">
            <v>Ciudad Autónoma de Buenos Aires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B9" t="str">
            <v>Gran Buenos Aires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B10" t="str">
            <v>Tercer Cinturón del G.B.A.</v>
          </cell>
          <cell r="C10">
            <v>-8.5000000000000006E-3</v>
          </cell>
          <cell r="D10">
            <v>-6.4999999999999997E-3</v>
          </cell>
          <cell r="E10">
            <v>-4.4999999999999997E-3</v>
          </cell>
          <cell r="F10">
            <v>-2E-3</v>
          </cell>
          <cell r="G10">
            <v>0</v>
          </cell>
        </row>
        <row r="11">
          <cell r="B11" t="str">
            <v>Resto de Buenos Aires</v>
          </cell>
          <cell r="C11">
            <v>-1.9E-2</v>
          </cell>
          <cell r="D11">
            <v>-1.4500000000000001E-2</v>
          </cell>
          <cell r="E11">
            <v>-9.4999999999999998E-3</v>
          </cell>
          <cell r="F11">
            <v>-5.0000000000000001E-3</v>
          </cell>
          <cell r="G11">
            <v>0</v>
          </cell>
        </row>
        <row r="12">
          <cell r="B12" t="str">
            <v>Buenos Aires - Patagones</v>
          </cell>
          <cell r="C12">
            <v>-2.9499999999999998E-2</v>
          </cell>
          <cell r="D12">
            <v>-2.1999999999999999E-2</v>
          </cell>
          <cell r="E12">
            <v>-1.4999999999999999E-2</v>
          </cell>
          <cell r="F12">
            <v>-7.4999999999999997E-3</v>
          </cell>
          <cell r="G12">
            <v>0</v>
          </cell>
        </row>
        <row r="13">
          <cell r="B13" t="str">
            <v>Buenos Aires - Carmen de Patagones</v>
          </cell>
          <cell r="C13">
            <v>-0.04</v>
          </cell>
          <cell r="D13">
            <v>-0.03</v>
          </cell>
          <cell r="E13">
            <v>-0.02</v>
          </cell>
          <cell r="F13">
            <v>-0.01</v>
          </cell>
          <cell r="G13">
            <v>0</v>
          </cell>
        </row>
        <row r="14">
          <cell r="B14" t="str">
            <v>Córdoba - Cruz del Eje</v>
          </cell>
          <cell r="C14">
            <v>-5.0500000000000003E-2</v>
          </cell>
          <cell r="D14">
            <v>-3.7999999999999999E-2</v>
          </cell>
          <cell r="E14">
            <v>-2.5499999999999998E-2</v>
          </cell>
          <cell r="F14">
            <v>-1.2500000000000001E-2</v>
          </cell>
          <cell r="G14">
            <v>0</v>
          </cell>
        </row>
        <row r="15">
          <cell r="B15" t="str">
            <v>Buenos Aires - Villarino</v>
          </cell>
          <cell r="C15">
            <v>-2.9499999999999998E-2</v>
          </cell>
          <cell r="D15">
            <v>-2.1999999999999999E-2</v>
          </cell>
          <cell r="E15">
            <v>-1.4999999999999999E-2</v>
          </cell>
          <cell r="F15">
            <v>-7.4999999999999997E-3</v>
          </cell>
          <cell r="G15">
            <v>0</v>
          </cell>
        </row>
        <row r="16">
          <cell r="B16" t="str">
            <v>Gran Catamarca</v>
          </cell>
          <cell r="C16">
            <v>-7.5999999999999998E-2</v>
          </cell>
          <cell r="D16">
            <v>-5.7000000000000002E-2</v>
          </cell>
          <cell r="E16">
            <v>-3.7999999999999999E-2</v>
          </cell>
          <cell r="F16">
            <v>-1.9E-2</v>
          </cell>
          <cell r="G16">
            <v>0</v>
          </cell>
        </row>
        <row r="17">
          <cell r="B17" t="str">
            <v>Resto de Catamarca</v>
          </cell>
          <cell r="C17">
            <v>-8.6499999999999994E-2</v>
          </cell>
          <cell r="D17">
            <v>-6.5000000000000002E-2</v>
          </cell>
          <cell r="E17">
            <v>-4.2999999999999997E-2</v>
          </cell>
          <cell r="F17">
            <v>-2.1499999999999998E-2</v>
          </cell>
          <cell r="G17">
            <v>0</v>
          </cell>
        </row>
        <row r="18">
          <cell r="B18" t="str">
            <v>Ciudad de Corrientes</v>
          </cell>
          <cell r="C18">
            <v>-9.7000000000000003E-2</v>
          </cell>
          <cell r="D18">
            <v>-7.2999999999999995E-2</v>
          </cell>
          <cell r="E18">
            <v>-4.8500000000000001E-2</v>
          </cell>
          <cell r="F18">
            <v>-2.4500000000000001E-2</v>
          </cell>
          <cell r="G18">
            <v>0</v>
          </cell>
        </row>
        <row r="19">
          <cell r="B19" t="str">
            <v>Formosa - Ciudad de Formosa</v>
          </cell>
          <cell r="C19">
            <v>-0.1075</v>
          </cell>
          <cell r="D19">
            <v>-8.0500000000000002E-2</v>
          </cell>
          <cell r="E19">
            <v>-5.3999999999999999E-2</v>
          </cell>
          <cell r="F19">
            <v>-2.7E-2</v>
          </cell>
          <cell r="G19">
            <v>0</v>
          </cell>
        </row>
        <row r="20">
          <cell r="B20" t="str">
            <v>Córdoba - Sobremonte</v>
          </cell>
          <cell r="C20">
            <v>-7.5999999999999998E-2</v>
          </cell>
          <cell r="D20">
            <v>-5.7000000000000002E-2</v>
          </cell>
          <cell r="E20">
            <v>-3.7999999999999999E-2</v>
          </cell>
          <cell r="F20">
            <v>-1.9E-2</v>
          </cell>
          <cell r="G20">
            <v>0</v>
          </cell>
        </row>
        <row r="21">
          <cell r="B21" t="str">
            <v>Resto de Chaco</v>
          </cell>
          <cell r="C21">
            <v>-0.11799999999999999</v>
          </cell>
          <cell r="D21">
            <v>-8.8499999999999995E-2</v>
          </cell>
          <cell r="E21">
            <v>-5.8999999999999997E-2</v>
          </cell>
          <cell r="F21">
            <v>-2.9499999999999998E-2</v>
          </cell>
          <cell r="G21">
            <v>0</v>
          </cell>
        </row>
        <row r="22">
          <cell r="B22" t="str">
            <v>Córdoba - Río Seco</v>
          </cell>
          <cell r="C22">
            <v>-7.5999999999999998E-2</v>
          </cell>
          <cell r="D22">
            <v>-5.7000000000000002E-2</v>
          </cell>
          <cell r="E22">
            <v>-3.7999999999999999E-2</v>
          </cell>
          <cell r="F22">
            <v>-1.9E-2</v>
          </cell>
          <cell r="G22">
            <v>0</v>
          </cell>
        </row>
        <row r="23">
          <cell r="B23" t="str">
            <v>Córdoba - Tulumba</v>
          </cell>
          <cell r="C23">
            <v>-7.5999999999999998E-2</v>
          </cell>
          <cell r="D23">
            <v>-5.7000000000000002E-2</v>
          </cell>
          <cell r="E23">
            <v>-3.7999999999999999E-2</v>
          </cell>
          <cell r="F23">
            <v>-1.9E-2</v>
          </cell>
          <cell r="G23">
            <v>0</v>
          </cell>
        </row>
        <row r="24">
          <cell r="B24" t="str">
            <v>Córdoba - Minas</v>
          </cell>
          <cell r="C24">
            <v>-5.0500000000000003E-2</v>
          </cell>
          <cell r="D24">
            <v>-3.7999999999999999E-2</v>
          </cell>
          <cell r="E24">
            <v>-2.5499999999999998E-2</v>
          </cell>
          <cell r="F24">
            <v>-1.2500000000000001E-2</v>
          </cell>
          <cell r="G24">
            <v>0</v>
          </cell>
        </row>
        <row r="25">
          <cell r="B25" t="str">
            <v>Córdoba - Pocho</v>
          </cell>
          <cell r="C25">
            <v>-5.0500000000000003E-2</v>
          </cell>
          <cell r="D25">
            <v>-3.7999999999999999E-2</v>
          </cell>
          <cell r="E25">
            <v>-2.5499999999999998E-2</v>
          </cell>
          <cell r="F25">
            <v>-1.2500000000000001E-2</v>
          </cell>
          <cell r="G25">
            <v>0</v>
          </cell>
        </row>
        <row r="26">
          <cell r="B26" t="str">
            <v>Córdoba - San Alberto</v>
          </cell>
          <cell r="C26">
            <v>-5.0500000000000003E-2</v>
          </cell>
          <cell r="D26">
            <v>-3.7999999999999999E-2</v>
          </cell>
          <cell r="E26">
            <v>-2.5499999999999998E-2</v>
          </cell>
          <cell r="F26">
            <v>-1.2500000000000001E-2</v>
          </cell>
          <cell r="G26">
            <v>0</v>
          </cell>
        </row>
        <row r="27">
          <cell r="B27" t="str">
            <v>Córdoba - San Javier</v>
          </cell>
          <cell r="C27">
            <v>-5.0500000000000003E-2</v>
          </cell>
          <cell r="D27">
            <v>-3.7999999999999999E-2</v>
          </cell>
          <cell r="E27">
            <v>-2.5499999999999998E-2</v>
          </cell>
          <cell r="F27">
            <v>-1.2500000000000001E-2</v>
          </cell>
          <cell r="G27">
            <v>0</v>
          </cell>
        </row>
        <row r="28">
          <cell r="B28" t="str">
            <v>Gran Córdoba</v>
          </cell>
          <cell r="C28">
            <v>-1.9E-2</v>
          </cell>
          <cell r="D28">
            <v>-1.4500000000000001E-2</v>
          </cell>
          <cell r="E28">
            <v>-9.4999999999999998E-3</v>
          </cell>
          <cell r="F28">
            <v>-5.0000000000000001E-3</v>
          </cell>
          <cell r="G28">
            <v>0</v>
          </cell>
        </row>
        <row r="29">
          <cell r="B29" t="str">
            <v>Resto de Córdoba</v>
          </cell>
          <cell r="C29">
            <v>-2.9499999999999998E-2</v>
          </cell>
          <cell r="D29">
            <v>-2.1999999999999999E-2</v>
          </cell>
          <cell r="E29">
            <v>-1.4999999999999999E-2</v>
          </cell>
          <cell r="F29">
            <v>-7.4999999999999997E-3</v>
          </cell>
          <cell r="G29">
            <v>0</v>
          </cell>
        </row>
        <row r="30">
          <cell r="B30" t="str">
            <v>Corrientes - Esquina</v>
          </cell>
          <cell r="C30">
            <v>-7.5999999999999998E-2</v>
          </cell>
          <cell r="D30">
            <v>-5.7000000000000002E-2</v>
          </cell>
          <cell r="E30">
            <v>-3.7999999999999999E-2</v>
          </cell>
          <cell r="F30">
            <v>-1.9E-2</v>
          </cell>
          <cell r="G30">
            <v>0</v>
          </cell>
        </row>
        <row r="31">
          <cell r="B31" t="str">
            <v>Corrientes - Sauce</v>
          </cell>
          <cell r="C31">
            <v>-7.5999999999999998E-2</v>
          </cell>
          <cell r="D31">
            <v>-5.7000000000000002E-2</v>
          </cell>
          <cell r="E31">
            <v>-3.7999999999999999E-2</v>
          </cell>
          <cell r="F31">
            <v>-1.9E-2</v>
          </cell>
          <cell r="G31">
            <v>0</v>
          </cell>
        </row>
        <row r="32">
          <cell r="B32" t="str">
            <v>Corrientes - Curuzú Cuatiá</v>
          </cell>
          <cell r="C32">
            <v>-7.5999999999999998E-2</v>
          </cell>
          <cell r="D32">
            <v>-5.7000000000000002E-2</v>
          </cell>
          <cell r="E32">
            <v>-3.7999999999999999E-2</v>
          </cell>
          <cell r="F32">
            <v>-1.9E-2</v>
          </cell>
          <cell r="G32">
            <v>0</v>
          </cell>
        </row>
        <row r="33">
          <cell r="B33" t="str">
            <v>Corrientes - Monte Caseros</v>
          </cell>
          <cell r="C33">
            <v>-7.5999999999999998E-2</v>
          </cell>
          <cell r="D33">
            <v>-5.7000000000000002E-2</v>
          </cell>
          <cell r="E33">
            <v>-3.7999999999999999E-2</v>
          </cell>
          <cell r="F33">
            <v>-1.9E-2</v>
          </cell>
          <cell r="G33">
            <v>0</v>
          </cell>
        </row>
        <row r="34">
          <cell r="B34" t="str">
            <v>Resto de Corrientes</v>
          </cell>
          <cell r="C34">
            <v>-9.7000000000000003E-2</v>
          </cell>
          <cell r="D34">
            <v>-7.2999999999999995E-2</v>
          </cell>
          <cell r="E34">
            <v>-4.8500000000000001E-2</v>
          </cell>
          <cell r="F34">
            <v>-2.4500000000000001E-2</v>
          </cell>
          <cell r="G34">
            <v>0</v>
          </cell>
        </row>
        <row r="35">
          <cell r="B35" t="str">
            <v>Gran Resistencia</v>
          </cell>
          <cell r="C35">
            <v>-9.7000000000000003E-2</v>
          </cell>
          <cell r="D35">
            <v>-7.2999999999999995E-2</v>
          </cell>
          <cell r="E35">
            <v>-4.8500000000000001E-2</v>
          </cell>
          <cell r="F35">
            <v>-2.4500000000000001E-2</v>
          </cell>
          <cell r="G35">
            <v>0</v>
          </cell>
        </row>
        <row r="36">
          <cell r="B36" t="str">
            <v>Chubut - Rawson Trelew</v>
          </cell>
          <cell r="C36">
            <v>-7.5999999999999998E-2</v>
          </cell>
          <cell r="D36">
            <v>-5.7000000000000002E-2</v>
          </cell>
          <cell r="E36">
            <v>-3.7999999999999999E-2</v>
          </cell>
          <cell r="F36">
            <v>-1.9E-2</v>
          </cell>
          <cell r="G36">
            <v>0</v>
          </cell>
        </row>
        <row r="37">
          <cell r="B37" t="str">
            <v>Resto de Chubut</v>
          </cell>
          <cell r="C37">
            <v>-8.6499999999999994E-2</v>
          </cell>
          <cell r="D37">
            <v>-6.5000000000000002E-2</v>
          </cell>
          <cell r="E37">
            <v>-4.2999999999999997E-2</v>
          </cell>
          <cell r="F37">
            <v>-2.1499999999999998E-2</v>
          </cell>
          <cell r="G37">
            <v>0</v>
          </cell>
        </row>
        <row r="38">
          <cell r="B38" t="str">
            <v>Entre Ríos - Federación</v>
          </cell>
          <cell r="C38">
            <v>-7.5999999999999998E-2</v>
          </cell>
          <cell r="D38">
            <v>-5.7000000000000002E-2</v>
          </cell>
          <cell r="E38">
            <v>-3.7999999999999999E-2</v>
          </cell>
          <cell r="F38">
            <v>-1.9E-2</v>
          </cell>
          <cell r="G38">
            <v>0</v>
          </cell>
        </row>
        <row r="39">
          <cell r="B39" t="str">
            <v>Entre Ríos - Feliciano</v>
          </cell>
          <cell r="C39">
            <v>-7.5999999999999998E-2</v>
          </cell>
          <cell r="D39">
            <v>-5.7000000000000002E-2</v>
          </cell>
          <cell r="E39">
            <v>-3.7999999999999999E-2</v>
          </cell>
          <cell r="F39">
            <v>-1.9E-2</v>
          </cell>
          <cell r="G39">
            <v>0</v>
          </cell>
        </row>
        <row r="40">
          <cell r="B40" t="str">
            <v>Entre Ríos - Paraná</v>
          </cell>
          <cell r="C40">
            <v>-2.9499999999999998E-2</v>
          </cell>
          <cell r="D40">
            <v>-2.1999999999999999E-2</v>
          </cell>
          <cell r="E40">
            <v>-1.4999999999999999E-2</v>
          </cell>
          <cell r="F40">
            <v>-7.4999999999999997E-3</v>
          </cell>
          <cell r="G40">
            <v>0</v>
          </cell>
        </row>
        <row r="41">
          <cell r="B41" t="str">
            <v>Resto de Entre Ríos</v>
          </cell>
          <cell r="C41">
            <v>-0.04</v>
          </cell>
          <cell r="D41">
            <v>-0.03</v>
          </cell>
          <cell r="E41">
            <v>-0.02</v>
          </cell>
          <cell r="F41">
            <v>-0.01</v>
          </cell>
          <cell r="G41">
            <v>0</v>
          </cell>
        </row>
        <row r="42">
          <cell r="B42" t="str">
            <v>Jujuy - Ciudad de Jujuy</v>
          </cell>
          <cell r="C42">
            <v>-9.7000000000000003E-2</v>
          </cell>
          <cell r="D42">
            <v>-7.2999999999999995E-2</v>
          </cell>
          <cell r="E42">
            <v>-4.8500000000000001E-2</v>
          </cell>
          <cell r="F42">
            <v>-2.4500000000000001E-2</v>
          </cell>
          <cell r="G42">
            <v>0</v>
          </cell>
        </row>
        <row r="43">
          <cell r="B43" t="str">
            <v>Resto de Jujuy</v>
          </cell>
          <cell r="C43">
            <v>-0.1075</v>
          </cell>
          <cell r="D43">
            <v>-8.0500000000000002E-2</v>
          </cell>
          <cell r="E43">
            <v>-5.3999999999999999E-2</v>
          </cell>
          <cell r="F43">
            <v>-2.7E-2</v>
          </cell>
          <cell r="G43">
            <v>0</v>
          </cell>
        </row>
        <row r="44">
          <cell r="B44" t="str">
            <v>La Pampa - Chicalco</v>
          </cell>
          <cell r="C44">
            <v>-5.0500000000000003E-2</v>
          </cell>
          <cell r="D44">
            <v>-3.7999999999999999E-2</v>
          </cell>
          <cell r="E44">
            <v>-2.5499999999999998E-2</v>
          </cell>
          <cell r="F44">
            <v>-1.2500000000000001E-2</v>
          </cell>
          <cell r="G44">
            <v>0</v>
          </cell>
        </row>
        <row r="45">
          <cell r="B45" t="str">
            <v>La Pampa - Chalileo</v>
          </cell>
          <cell r="C45">
            <v>-5.0500000000000003E-2</v>
          </cell>
          <cell r="D45">
            <v>-3.7999999999999999E-2</v>
          </cell>
          <cell r="E45">
            <v>-2.5499999999999998E-2</v>
          </cell>
          <cell r="F45">
            <v>-1.2500000000000001E-2</v>
          </cell>
          <cell r="G45">
            <v>0</v>
          </cell>
        </row>
        <row r="46">
          <cell r="B46" t="str">
            <v>La Pampa - Puelén</v>
          </cell>
          <cell r="C46">
            <v>-5.0500000000000003E-2</v>
          </cell>
          <cell r="D46">
            <v>-3.7999999999999999E-2</v>
          </cell>
          <cell r="E46">
            <v>-2.5499999999999998E-2</v>
          </cell>
          <cell r="F46">
            <v>-1.2500000000000001E-2</v>
          </cell>
          <cell r="G46">
            <v>0</v>
          </cell>
        </row>
        <row r="47">
          <cell r="B47" t="str">
            <v>La Pampa - Limay Mauhida</v>
          </cell>
          <cell r="C47">
            <v>-5.0500000000000003E-2</v>
          </cell>
          <cell r="D47">
            <v>-3.7999999999999999E-2</v>
          </cell>
          <cell r="E47">
            <v>-2.5499999999999998E-2</v>
          </cell>
          <cell r="F47">
            <v>-1.2500000000000001E-2</v>
          </cell>
          <cell r="G47">
            <v>0</v>
          </cell>
        </row>
        <row r="48">
          <cell r="B48" t="str">
            <v>La Pampa - Curacó</v>
          </cell>
          <cell r="C48">
            <v>-5.0500000000000003E-2</v>
          </cell>
          <cell r="D48">
            <v>-3.7999999999999999E-2</v>
          </cell>
          <cell r="E48">
            <v>-2.5499999999999998E-2</v>
          </cell>
          <cell r="F48">
            <v>-1.2500000000000001E-2</v>
          </cell>
          <cell r="G48">
            <v>0</v>
          </cell>
        </row>
        <row r="49">
          <cell r="B49" t="str">
            <v>La Pampa - Lihuel Calel</v>
          </cell>
          <cell r="C49">
            <v>-5.0500000000000003E-2</v>
          </cell>
          <cell r="D49">
            <v>-3.7999999999999999E-2</v>
          </cell>
          <cell r="E49">
            <v>-2.5499999999999998E-2</v>
          </cell>
          <cell r="F49">
            <v>-1.2500000000000001E-2</v>
          </cell>
          <cell r="G49">
            <v>0</v>
          </cell>
        </row>
        <row r="50">
          <cell r="B50" t="str">
            <v>La Pampa - Santa Rosa y Toay</v>
          </cell>
          <cell r="C50">
            <v>-2.9499999999999998E-2</v>
          </cell>
          <cell r="D50">
            <v>-2.1999999999999999E-2</v>
          </cell>
          <cell r="E50">
            <v>-1.4999999999999999E-2</v>
          </cell>
          <cell r="F50">
            <v>-7.4999999999999997E-3</v>
          </cell>
          <cell r="G50">
            <v>0</v>
          </cell>
        </row>
        <row r="51">
          <cell r="B51" t="str">
            <v>Resto de La Pampa</v>
          </cell>
          <cell r="C51">
            <v>-0.04</v>
          </cell>
          <cell r="D51">
            <v>-0.03</v>
          </cell>
          <cell r="E51">
            <v>-0.02</v>
          </cell>
          <cell r="F51">
            <v>-0.01</v>
          </cell>
          <cell r="G51">
            <v>0</v>
          </cell>
        </row>
        <row r="52">
          <cell r="B52" t="str">
            <v>Ciudad de La Rioja</v>
          </cell>
          <cell r="C52">
            <v>-7.5999999999999998E-2</v>
          </cell>
          <cell r="D52">
            <v>-5.7000000000000002E-2</v>
          </cell>
          <cell r="E52">
            <v>-3.7999999999999999E-2</v>
          </cell>
          <cell r="F52">
            <v>-1.9E-2</v>
          </cell>
          <cell r="G52">
            <v>0</v>
          </cell>
        </row>
        <row r="53">
          <cell r="B53" t="str">
            <v>Resto de La Rioja</v>
          </cell>
          <cell r="C53">
            <v>-8.6499999999999994E-2</v>
          </cell>
          <cell r="D53">
            <v>-6.5000000000000002E-2</v>
          </cell>
          <cell r="E53">
            <v>-4.2999999999999997E-2</v>
          </cell>
          <cell r="F53">
            <v>-2.1499999999999998E-2</v>
          </cell>
          <cell r="G53">
            <v>0</v>
          </cell>
        </row>
        <row r="54">
          <cell r="B54" t="str">
            <v>Gran Mendoza</v>
          </cell>
          <cell r="C54">
            <v>-0.04</v>
          </cell>
          <cell r="D54">
            <v>-0.03</v>
          </cell>
          <cell r="E54">
            <v>-0.02</v>
          </cell>
          <cell r="F54">
            <v>-0.01</v>
          </cell>
          <cell r="G54">
            <v>0</v>
          </cell>
        </row>
        <row r="55">
          <cell r="B55" t="str">
            <v>Resto de Mendoza</v>
          </cell>
          <cell r="C55">
            <v>-5.0500000000000003E-2</v>
          </cell>
          <cell r="D55">
            <v>-3.7999999999999999E-2</v>
          </cell>
          <cell r="E55">
            <v>-2.5499999999999998E-2</v>
          </cell>
          <cell r="F55">
            <v>-1.2500000000000001E-2</v>
          </cell>
          <cell r="G55">
            <v>0</v>
          </cell>
        </row>
        <row r="56">
          <cell r="B56" t="str">
            <v>Misiones - Posadas</v>
          </cell>
          <cell r="C56">
            <v>-9.7000000000000003E-2</v>
          </cell>
          <cell r="D56">
            <v>-7.2999999999999995E-2</v>
          </cell>
          <cell r="E56">
            <v>-4.8500000000000001E-2</v>
          </cell>
          <cell r="F56">
            <v>-2.4500000000000001E-2</v>
          </cell>
          <cell r="G56">
            <v>0</v>
          </cell>
        </row>
        <row r="57">
          <cell r="B57" t="str">
            <v>Resto de Misiones</v>
          </cell>
          <cell r="C57">
            <v>-0.1075</v>
          </cell>
          <cell r="D57">
            <v>-8.0500000000000002E-2</v>
          </cell>
          <cell r="E57">
            <v>-5.3999999999999999E-2</v>
          </cell>
          <cell r="F57">
            <v>-2.7E-2</v>
          </cell>
          <cell r="G57">
            <v>0</v>
          </cell>
        </row>
        <row r="58">
          <cell r="B58" t="str">
            <v>Ciudad Neuquén/Plottier</v>
          </cell>
          <cell r="C58">
            <v>-0.04</v>
          </cell>
          <cell r="D58">
            <v>-0.03</v>
          </cell>
          <cell r="E58">
            <v>-0.02</v>
          </cell>
          <cell r="F58">
            <v>-0.01</v>
          </cell>
          <cell r="G58">
            <v>0</v>
          </cell>
        </row>
        <row r="59">
          <cell r="B59" t="str">
            <v>Neuquén - Centenario</v>
          </cell>
          <cell r="C59">
            <v>-0.04</v>
          </cell>
          <cell r="D59">
            <v>-0.03</v>
          </cell>
          <cell r="E59">
            <v>-0.02</v>
          </cell>
          <cell r="F59">
            <v>-0.01</v>
          </cell>
          <cell r="G59">
            <v>0</v>
          </cell>
        </row>
        <row r="60">
          <cell r="B60" t="str">
            <v>Neuquén - Cutralcó</v>
          </cell>
          <cell r="C60">
            <v>-8.6499999999999994E-2</v>
          </cell>
          <cell r="D60">
            <v>-6.5000000000000002E-2</v>
          </cell>
          <cell r="E60">
            <v>-4.2999999999999997E-2</v>
          </cell>
          <cell r="F60">
            <v>-2.1499999999999998E-2</v>
          </cell>
          <cell r="G60">
            <v>0</v>
          </cell>
        </row>
        <row r="61">
          <cell r="B61" t="str">
            <v>Neuquén - Plaza Huincul</v>
          </cell>
          <cell r="C61">
            <v>-8.6499999999999994E-2</v>
          </cell>
          <cell r="D61">
            <v>-6.5000000000000002E-2</v>
          </cell>
          <cell r="E61">
            <v>-4.2999999999999997E-2</v>
          </cell>
          <cell r="F61">
            <v>-2.1499999999999998E-2</v>
          </cell>
          <cell r="G61">
            <v>0</v>
          </cell>
        </row>
        <row r="62">
          <cell r="B62" t="str">
            <v>Resto de Neuquén</v>
          </cell>
          <cell r="C62">
            <v>-5.0500000000000003E-2</v>
          </cell>
          <cell r="D62">
            <v>-3.7999999999999999E-2</v>
          </cell>
          <cell r="E62">
            <v>-2.5499999999999998E-2</v>
          </cell>
          <cell r="F62">
            <v>-1.2500000000000001E-2</v>
          </cell>
          <cell r="G62">
            <v>0</v>
          </cell>
        </row>
        <row r="63">
          <cell r="B63" t="str">
            <v>Río Negro sur hasta Paralelo 42</v>
          </cell>
          <cell r="C63">
            <v>-8.6499999999999994E-2</v>
          </cell>
          <cell r="D63">
            <v>-6.5000000000000002E-2</v>
          </cell>
          <cell r="E63">
            <v>-4.2999999999999997E-2</v>
          </cell>
          <cell r="F63">
            <v>-2.1499999999999998E-2</v>
          </cell>
          <cell r="G63">
            <v>0</v>
          </cell>
        </row>
        <row r="64">
          <cell r="B64" t="str">
            <v>Río Negro - Viedma</v>
          </cell>
          <cell r="C64">
            <v>-0.04</v>
          </cell>
          <cell r="D64">
            <v>-0.03</v>
          </cell>
          <cell r="E64">
            <v>-0.02</v>
          </cell>
          <cell r="F64">
            <v>-0.01</v>
          </cell>
          <cell r="G64">
            <v>0</v>
          </cell>
        </row>
        <row r="65">
          <cell r="B65" t="str">
            <v>Río Negro - Alto Valle</v>
          </cell>
          <cell r="C65">
            <v>-0.04</v>
          </cell>
          <cell r="D65">
            <v>-0.03</v>
          </cell>
          <cell r="E65">
            <v>-0.02</v>
          </cell>
          <cell r="F65">
            <v>-0.01</v>
          </cell>
          <cell r="G65">
            <v>0</v>
          </cell>
        </row>
        <row r="66">
          <cell r="B66" t="str">
            <v>Resto de Río Negro</v>
          </cell>
          <cell r="C66">
            <v>-5.0500000000000003E-2</v>
          </cell>
          <cell r="D66">
            <v>-3.7999999999999999E-2</v>
          </cell>
          <cell r="E66">
            <v>-2.5499999999999998E-2</v>
          </cell>
          <cell r="F66">
            <v>-1.2500000000000001E-2</v>
          </cell>
          <cell r="G66">
            <v>0</v>
          </cell>
        </row>
        <row r="67">
          <cell r="B67" t="str">
            <v>Gran Salta</v>
          </cell>
          <cell r="C67">
            <v>-9.7000000000000003E-2</v>
          </cell>
          <cell r="D67">
            <v>-7.2999999999999995E-2</v>
          </cell>
          <cell r="E67">
            <v>-4.8500000000000001E-2</v>
          </cell>
          <cell r="F67">
            <v>-2.4500000000000001E-2</v>
          </cell>
          <cell r="G67">
            <v>0</v>
          </cell>
        </row>
        <row r="68">
          <cell r="B68" t="str">
            <v>Resto de Salta</v>
          </cell>
          <cell r="C68">
            <v>-0.1075</v>
          </cell>
          <cell r="D68">
            <v>-8.0500000000000002E-2</v>
          </cell>
          <cell r="E68">
            <v>-5.3999999999999999E-2</v>
          </cell>
          <cell r="F68">
            <v>-2.7E-2</v>
          </cell>
          <cell r="G68">
            <v>0</v>
          </cell>
        </row>
        <row r="69">
          <cell r="B69" t="str">
            <v>Gran San Juan</v>
          </cell>
          <cell r="C69">
            <v>-5.0500000000000003E-2</v>
          </cell>
          <cell r="D69">
            <v>-3.7999999999999999E-2</v>
          </cell>
          <cell r="E69">
            <v>-2.5499999999999998E-2</v>
          </cell>
          <cell r="F69">
            <v>-1.2500000000000001E-2</v>
          </cell>
          <cell r="G69">
            <v>0</v>
          </cell>
        </row>
        <row r="70">
          <cell r="B70" t="str">
            <v>Resto de San Juan</v>
          </cell>
          <cell r="C70">
            <v>-7.5999999999999998E-2</v>
          </cell>
          <cell r="D70">
            <v>-5.7000000000000002E-2</v>
          </cell>
          <cell r="E70">
            <v>-3.7999999999999999E-2</v>
          </cell>
          <cell r="F70">
            <v>-1.9E-2</v>
          </cell>
          <cell r="G70">
            <v>0</v>
          </cell>
        </row>
        <row r="71">
          <cell r="B71" t="str">
            <v>Ciudad de San Luis</v>
          </cell>
          <cell r="C71">
            <v>-0.04</v>
          </cell>
          <cell r="D71">
            <v>-0.03</v>
          </cell>
          <cell r="E71">
            <v>-0.02</v>
          </cell>
          <cell r="F71">
            <v>-0.01</v>
          </cell>
          <cell r="G71">
            <v>0</v>
          </cell>
        </row>
        <row r="72">
          <cell r="B72" t="str">
            <v>Resto de San Luis</v>
          </cell>
          <cell r="C72">
            <v>-5.0500000000000003E-2</v>
          </cell>
          <cell r="D72">
            <v>-3.7999999999999999E-2</v>
          </cell>
          <cell r="E72">
            <v>-2.5499999999999998E-2</v>
          </cell>
          <cell r="F72">
            <v>-1.2500000000000001E-2</v>
          </cell>
          <cell r="G72">
            <v>0</v>
          </cell>
        </row>
        <row r="73">
          <cell r="B73" t="str">
            <v>Santa Cruz - Caleta Olivia</v>
          </cell>
          <cell r="C73">
            <v>-8.6499999999999994E-2</v>
          </cell>
          <cell r="D73">
            <v>-6.5000000000000002E-2</v>
          </cell>
          <cell r="E73">
            <v>-4.2999999999999997E-2</v>
          </cell>
          <cell r="F73">
            <v>-2.1499999999999998E-2</v>
          </cell>
          <cell r="G73">
            <v>0</v>
          </cell>
        </row>
        <row r="74">
          <cell r="B74" t="str">
            <v>Santa Cruz - Río Gallegos</v>
          </cell>
          <cell r="C74">
            <v>-8.6499999999999994E-2</v>
          </cell>
          <cell r="D74">
            <v>-6.5000000000000002E-2</v>
          </cell>
          <cell r="E74">
            <v>-4.2999999999999997E-2</v>
          </cell>
          <cell r="F74">
            <v>-2.1499999999999998E-2</v>
          </cell>
          <cell r="G74">
            <v>0</v>
          </cell>
        </row>
        <row r="75">
          <cell r="B75" t="str">
            <v>Resto de Santa Cruz</v>
          </cell>
          <cell r="C75">
            <v>-9.7000000000000003E-2</v>
          </cell>
          <cell r="D75">
            <v>-7.2999999999999995E-2</v>
          </cell>
          <cell r="E75">
            <v>-4.8500000000000001E-2</v>
          </cell>
          <cell r="F75">
            <v>-2.4500000000000001E-2</v>
          </cell>
          <cell r="G75">
            <v>0</v>
          </cell>
        </row>
        <row r="76">
          <cell r="B76" t="str">
            <v>Santa Fe - General Obligado</v>
          </cell>
          <cell r="C76">
            <v>-7.5999999999999998E-2</v>
          </cell>
          <cell r="D76">
            <v>-5.7000000000000002E-2</v>
          </cell>
          <cell r="E76">
            <v>-3.7999999999999999E-2</v>
          </cell>
          <cell r="F76">
            <v>-1.9E-2</v>
          </cell>
          <cell r="G76">
            <v>0</v>
          </cell>
        </row>
        <row r="77">
          <cell r="B77" t="str">
            <v>Santa Fe - San Javier</v>
          </cell>
          <cell r="C77">
            <v>-7.5999999999999998E-2</v>
          </cell>
          <cell r="D77">
            <v>-5.7000000000000002E-2</v>
          </cell>
          <cell r="E77">
            <v>-3.7999999999999999E-2</v>
          </cell>
          <cell r="F77">
            <v>-1.9E-2</v>
          </cell>
          <cell r="G77">
            <v>0</v>
          </cell>
        </row>
        <row r="78">
          <cell r="B78" t="str">
            <v>Santa Fe y Santo Tomé</v>
          </cell>
          <cell r="C78">
            <v>-2.9499999999999998E-2</v>
          </cell>
          <cell r="D78">
            <v>-2.1999999999999999E-2</v>
          </cell>
          <cell r="E78">
            <v>-1.4999999999999999E-2</v>
          </cell>
          <cell r="F78">
            <v>-7.4999999999999997E-3</v>
          </cell>
          <cell r="G78">
            <v>0</v>
          </cell>
        </row>
        <row r="79">
          <cell r="B79" t="str">
            <v>Santa Fe - 9 de Julio</v>
          </cell>
          <cell r="C79">
            <v>-7.5999999999999998E-2</v>
          </cell>
          <cell r="D79">
            <v>-5.7000000000000002E-2</v>
          </cell>
          <cell r="E79">
            <v>-3.7999999999999999E-2</v>
          </cell>
          <cell r="F79">
            <v>-1.9E-2</v>
          </cell>
          <cell r="G79">
            <v>0</v>
          </cell>
        </row>
        <row r="80">
          <cell r="B80" t="str">
            <v>Santa Fe - Vera</v>
          </cell>
          <cell r="C80">
            <v>-7.5999999999999998E-2</v>
          </cell>
          <cell r="D80">
            <v>-5.7000000000000002E-2</v>
          </cell>
          <cell r="E80">
            <v>-3.7999999999999999E-2</v>
          </cell>
          <cell r="F80">
            <v>-1.9E-2</v>
          </cell>
          <cell r="G80">
            <v>0</v>
          </cell>
        </row>
        <row r="81">
          <cell r="B81" t="str">
            <v>Resto de Santa Fe</v>
          </cell>
          <cell r="C81">
            <v>-2.9499999999999998E-2</v>
          </cell>
          <cell r="D81">
            <v>-2.1999999999999999E-2</v>
          </cell>
          <cell r="E81">
            <v>-1.4999999999999999E-2</v>
          </cell>
          <cell r="F81">
            <v>-7.4999999999999997E-3</v>
          </cell>
          <cell r="G81">
            <v>0</v>
          </cell>
        </row>
        <row r="82">
          <cell r="B82" t="str">
            <v>Ciudad de Santiago del Estero y La Banda</v>
          </cell>
          <cell r="C82">
            <v>-0.1075</v>
          </cell>
          <cell r="D82">
            <v>-8.0500000000000002E-2</v>
          </cell>
          <cell r="E82">
            <v>-5.3999999999999999E-2</v>
          </cell>
          <cell r="F82">
            <v>-2.7E-2</v>
          </cell>
          <cell r="G82">
            <v>0</v>
          </cell>
        </row>
        <row r="83">
          <cell r="B83" t="str">
            <v>Santiago del Estero - Ojo de Agua</v>
          </cell>
          <cell r="C83">
            <v>-7.5999999999999998E-2</v>
          </cell>
          <cell r="D83">
            <v>-5.7000000000000002E-2</v>
          </cell>
          <cell r="E83">
            <v>-3.7999999999999999E-2</v>
          </cell>
          <cell r="F83">
            <v>-1.9E-2</v>
          </cell>
          <cell r="G83">
            <v>0</v>
          </cell>
        </row>
        <row r="84">
          <cell r="B84" t="str">
            <v>Santiago del Estero - Quebrachos</v>
          </cell>
          <cell r="C84">
            <v>-7.5999999999999998E-2</v>
          </cell>
          <cell r="D84">
            <v>-5.7000000000000002E-2</v>
          </cell>
          <cell r="E84">
            <v>-3.7999999999999999E-2</v>
          </cell>
          <cell r="F84">
            <v>-1.9E-2</v>
          </cell>
          <cell r="G84">
            <v>0</v>
          </cell>
        </row>
        <row r="85">
          <cell r="B85" t="str">
            <v>Santiago del Estero - Rivadavia</v>
          </cell>
          <cell r="C85">
            <v>-7.5999999999999998E-2</v>
          </cell>
          <cell r="D85">
            <v>-5.7000000000000002E-2</v>
          </cell>
          <cell r="E85">
            <v>-3.7999999999999999E-2</v>
          </cell>
          <cell r="F85">
            <v>-1.9E-2</v>
          </cell>
          <cell r="G85">
            <v>0</v>
          </cell>
        </row>
        <row r="86">
          <cell r="B86" t="str">
            <v>Tierra del Fuego - Río Grande</v>
          </cell>
          <cell r="C86">
            <v>-8.6499999999999994E-2</v>
          </cell>
          <cell r="D86">
            <v>-6.5000000000000002E-2</v>
          </cell>
          <cell r="E86">
            <v>-4.2999999999999997E-2</v>
          </cell>
          <cell r="F86">
            <v>-2.1499999999999998E-2</v>
          </cell>
          <cell r="G86">
            <v>0</v>
          </cell>
        </row>
        <row r="87">
          <cell r="B87" t="str">
            <v>Tierra del Fuego - Ushuaia</v>
          </cell>
          <cell r="C87">
            <v>-8.6499999999999994E-2</v>
          </cell>
          <cell r="D87">
            <v>-6.5000000000000002E-2</v>
          </cell>
          <cell r="E87">
            <v>-4.2999999999999997E-2</v>
          </cell>
          <cell r="F87">
            <v>-2.1499999999999998E-2</v>
          </cell>
          <cell r="G87">
            <v>0</v>
          </cell>
        </row>
        <row r="88">
          <cell r="B88" t="str">
            <v>Resto de Tierra del Fuego</v>
          </cell>
          <cell r="C88">
            <v>-9.7000000000000003E-2</v>
          </cell>
          <cell r="D88">
            <v>-7.2999999999999995E-2</v>
          </cell>
          <cell r="E88">
            <v>-4.8500000000000001E-2</v>
          </cell>
          <cell r="F88">
            <v>-2.4500000000000001E-2</v>
          </cell>
          <cell r="G88">
            <v>0</v>
          </cell>
        </row>
        <row r="89">
          <cell r="B89" t="str">
            <v>Gran Tucumán</v>
          </cell>
          <cell r="C89">
            <v>-7.5999999999999998E-2</v>
          </cell>
          <cell r="D89">
            <v>-5.7000000000000002E-2</v>
          </cell>
          <cell r="E89">
            <v>-3.7999999999999999E-2</v>
          </cell>
          <cell r="F89">
            <v>-1.9E-2</v>
          </cell>
          <cell r="G89">
            <v>0</v>
          </cell>
        </row>
        <row r="90">
          <cell r="B90" t="str">
            <v>Resto de Tucumán</v>
          </cell>
          <cell r="C90">
            <v>-8.6499999999999994E-2</v>
          </cell>
          <cell r="D90">
            <v>-6.5000000000000002E-2</v>
          </cell>
          <cell r="E90">
            <v>-4.2999999999999997E-2</v>
          </cell>
          <cell r="F90">
            <v>-2.1499999999999998E-2</v>
          </cell>
          <cell r="G90">
            <v>0</v>
          </cell>
        </row>
      </sheetData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ciones"/>
      <sheetName val="Resumen"/>
      <sheetName val="Tiempos y Costos por Fase"/>
      <sheetName val="Tiempos"/>
      <sheetName val="Gráficos"/>
      <sheetName val="Costos"/>
      <sheetName val="Resultado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6">
          <cell r="G6" t="str">
            <v>ACONDICIONAR EL POZO</v>
          </cell>
          <cell r="K6" t="str">
            <v>Horas</v>
          </cell>
        </row>
        <row r="7">
          <cell r="G7" t="str">
            <v>BAJAR INSTALACION</v>
          </cell>
          <cell r="K7" t="str">
            <v>Dias</v>
          </cell>
        </row>
        <row r="8">
          <cell r="G8" t="str">
            <v>CASING / CEMENTACION</v>
          </cell>
          <cell r="K8" t="str">
            <v>mts/hrs</v>
          </cell>
        </row>
        <row r="9">
          <cell r="G9" t="str">
            <v>CONECTAR / DESCONECTAR RISER</v>
          </cell>
          <cell r="K9" t="str">
            <v>mts/dia</v>
          </cell>
        </row>
        <row r="10">
          <cell r="G10" t="str">
            <v>ENSAYOS DE POZO</v>
          </cell>
          <cell r="K10" t="str">
            <v>hrs/mts</v>
          </cell>
        </row>
        <row r="11">
          <cell r="G11" t="str">
            <v>ESTIMULACION</v>
          </cell>
        </row>
        <row r="12">
          <cell r="G12" t="str">
            <v>EVALUACION DE FORMACION</v>
          </cell>
        </row>
        <row r="13">
          <cell r="G13" t="str">
            <v>LOGGING P/ DIAGNOSTICO</v>
          </cell>
        </row>
        <row r="14">
          <cell r="G14" t="str">
            <v>MODIFICACIONES O REPARACIONES DE EQUIPO</v>
          </cell>
        </row>
        <row r="15">
          <cell r="G15" t="str">
            <v>MONTA / DESMONTA / TRANSPORTA / DESLIZA</v>
          </cell>
        </row>
        <row r="16">
          <cell r="G16" t="str">
            <v>PERFORACION</v>
          </cell>
        </row>
        <row r="17">
          <cell r="G17" t="str">
            <v>PREPARACION DE LOCACION</v>
          </cell>
        </row>
        <row r="18">
          <cell r="G18" t="str">
            <v>PROBLEMAS APRISIONAMIENTO Y PESCA</v>
          </cell>
        </row>
        <row r="19">
          <cell r="G19" t="str">
            <v>PROBLEMAS CONTROL DE POZO</v>
          </cell>
        </row>
        <row r="20">
          <cell r="G20" t="str">
            <v>PROBLEMAS DE SIDETRACK</v>
          </cell>
        </row>
        <row r="21">
          <cell r="G21" t="str">
            <v>PROBLEMAS ENTUB,CEMENT Y LOGGING</v>
          </cell>
        </row>
        <row r="22">
          <cell r="G22" t="str">
            <v>PROBLEMAS PERDIDA DE CIRCULACION</v>
          </cell>
        </row>
        <row r="23">
          <cell r="G23" t="str">
            <v>PROBLEMAS, ACONDICIONAR EL POZO</v>
          </cell>
        </row>
        <row r="24">
          <cell r="G24" t="str">
            <v>PUNZADOS</v>
          </cell>
        </row>
        <row r="25">
          <cell r="G25" t="str">
            <v>RESTAURAR LOCACION</v>
          </cell>
        </row>
        <row r="26">
          <cell r="G26" t="str">
            <v>SACAR INSTALACION EXISTENTE</v>
          </cell>
        </row>
        <row r="27">
          <cell r="G27" t="str">
            <v>SALUD, SEGURIDAD Y MEDIO AMBIENTE</v>
          </cell>
        </row>
        <row r="28">
          <cell r="G28" t="str">
            <v>TAPONAR Y ABANDONAR / ABANDONO TEMPORAL</v>
          </cell>
        </row>
        <row r="29">
          <cell r="G29" t="str">
            <v>TRABAJOS DE PRODUCCION</v>
          </cell>
        </row>
      </sheetData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Controles procesos"/>
      <sheetName val="Errores importacion"/>
      <sheetName val="CONVERSORA"/>
      <sheetName val="TRANSPORTE"/>
      <sheetName val="O_Procesar SyS"/>
      <sheetName val="O_Resumen SyS"/>
      <sheetName val="O_Procesar Aux"/>
    </sheetNames>
    <sheetDataSet>
      <sheetData sheetId="0"/>
      <sheetData sheetId="1">
        <row r="29">
          <cell r="B29" t="str">
            <v>Modulo IFRS-1</v>
          </cell>
        </row>
        <row r="30">
          <cell r="B30" t="str">
            <v>Modulo IFRS-2</v>
          </cell>
        </row>
        <row r="31">
          <cell r="B31" t="str">
            <v>Modulo IFRS-3</v>
          </cell>
        </row>
        <row r="32">
          <cell r="B32" t="str">
            <v>Modulo IFRS-4</v>
          </cell>
        </row>
        <row r="33">
          <cell r="B33" t="str">
            <v>Modulo IFRS-5</v>
          </cell>
        </row>
        <row r="34">
          <cell r="B34" t="str">
            <v>Modulo IFRS-6</v>
          </cell>
        </row>
        <row r="35">
          <cell r="B35" t="str">
            <v>Modulo IFRS-7</v>
          </cell>
        </row>
        <row r="36">
          <cell r="B36" t="str">
            <v>Modulo IFRS-Cuentas SyS 1 y 2</v>
          </cell>
        </row>
        <row r="37">
          <cell r="B37" t="str">
            <v>Schema Bilancio IFRS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240-18-P-RI-002"/>
      <sheetName val="Sold. y Gammagraf."/>
      <sheetName val="Aislación"/>
      <sheetName val="Tracing"/>
      <sheetName val="Pintura Ext"/>
      <sheetName val="1240_18_P_RI_0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"/>
      <sheetName val="Estructura Actual"/>
      <sheetName val="Resumen"/>
      <sheetName val="Resumen WO"/>
      <sheetName val="Resumen HH102"/>
      <sheetName val="Resumen HH220"/>
      <sheetName val="Datos Básicos"/>
      <sheetName val="Itemizado"/>
      <sheetName val="Organigrama"/>
      <sheetName val="Mod"/>
      <sheetName val="DatosMOD"/>
      <sheetName val="MOI"/>
      <sheetName val="DatosMOI"/>
      <sheetName val="OrgZon"/>
      <sheetName val="DatosZon"/>
      <sheetName val="CSoc"/>
      <sheetName val="GdP"/>
      <sheetName val="Mat"/>
      <sheetName val="Htas"/>
      <sheetName val="Equ"/>
      <sheetName val="CyL"/>
      <sheetName val="DatosEqu"/>
      <sheetName val="Sub"/>
      <sheetName val="Fle"/>
      <sheetName val="Bases"/>
      <sheetName val="GVs"/>
      <sheetName val="Ing"/>
      <sheetName val="CFinanc"/>
      <sheetName val="Seg"/>
      <sheetName val="EPP y Vestuario"/>
      <sheetName val="TARIFAS DINAMIC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7">
          <cell r="I7" t="str">
            <v>COSTO TOTAL ALQUILER</v>
          </cell>
        </row>
        <row r="8">
          <cell r="H8" t="str">
            <v>Propios</v>
          </cell>
          <cell r="I8" t="str">
            <v>a  3eros.</v>
          </cell>
          <cell r="J8" t="str">
            <v>Propios</v>
          </cell>
        </row>
        <row r="9">
          <cell r="H9">
            <v>1500</v>
          </cell>
          <cell r="J9">
            <v>0</v>
          </cell>
        </row>
        <row r="10">
          <cell r="H10">
            <v>0</v>
          </cell>
          <cell r="I10">
            <v>15000</v>
          </cell>
          <cell r="J10">
            <v>0</v>
          </cell>
        </row>
        <row r="11">
          <cell r="H11">
            <v>1800</v>
          </cell>
          <cell r="I11">
            <v>0</v>
          </cell>
          <cell r="J11">
            <v>0</v>
          </cell>
        </row>
        <row r="12">
          <cell r="H12">
            <v>1800</v>
          </cell>
          <cell r="I12">
            <v>0</v>
          </cell>
          <cell r="J12">
            <v>11250</v>
          </cell>
        </row>
        <row r="13">
          <cell r="I13">
            <v>17500</v>
          </cell>
          <cell r="J13">
            <v>0</v>
          </cell>
        </row>
        <row r="14">
          <cell r="H14">
            <v>0</v>
          </cell>
          <cell r="I14">
            <v>0</v>
          </cell>
          <cell r="J14">
            <v>0</v>
          </cell>
        </row>
        <row r="15">
          <cell r="H15">
            <v>0</v>
          </cell>
          <cell r="I15">
            <v>0</v>
          </cell>
          <cell r="J15">
            <v>0</v>
          </cell>
        </row>
        <row r="16">
          <cell r="H16">
            <v>0</v>
          </cell>
          <cell r="I16">
            <v>0</v>
          </cell>
          <cell r="J16">
            <v>0</v>
          </cell>
        </row>
        <row r="17">
          <cell r="I17">
            <v>0</v>
          </cell>
          <cell r="J17">
            <v>0</v>
          </cell>
        </row>
        <row r="18">
          <cell r="I18">
            <v>0</v>
          </cell>
          <cell r="J18">
            <v>0</v>
          </cell>
        </row>
        <row r="19">
          <cell r="H19">
            <v>120000</v>
          </cell>
          <cell r="I19">
            <v>0</v>
          </cell>
          <cell r="J19">
            <v>2500</v>
          </cell>
        </row>
        <row r="20">
          <cell r="H20">
            <v>42750</v>
          </cell>
          <cell r="I20">
            <v>0</v>
          </cell>
          <cell r="J20">
            <v>890.625</v>
          </cell>
        </row>
        <row r="21">
          <cell r="H21">
            <v>15000</v>
          </cell>
          <cell r="I21">
            <v>0</v>
          </cell>
          <cell r="J21">
            <v>312.5</v>
          </cell>
        </row>
        <row r="22">
          <cell r="H22">
            <v>15000</v>
          </cell>
          <cell r="I22">
            <v>0</v>
          </cell>
          <cell r="J22">
            <v>312.5</v>
          </cell>
        </row>
        <row r="23">
          <cell r="I23">
            <v>0</v>
          </cell>
        </row>
        <row r="24">
          <cell r="I24">
            <v>0</v>
          </cell>
        </row>
        <row r="25">
          <cell r="H25">
            <v>2500</v>
          </cell>
          <cell r="I25">
            <v>0</v>
          </cell>
          <cell r="J25">
            <v>10000</v>
          </cell>
        </row>
        <row r="26">
          <cell r="I26">
            <v>0</v>
          </cell>
          <cell r="J26">
            <v>0</v>
          </cell>
        </row>
        <row r="27">
          <cell r="H27" t="str">
            <v xml:space="preserve">Total Costos Mensuales  </v>
          </cell>
          <cell r="I27">
            <v>32500</v>
          </cell>
          <cell r="J27">
            <v>25265.625</v>
          </cell>
        </row>
        <row r="29">
          <cell r="I29" t="str">
            <v>COSTO TOTAL POR</v>
          </cell>
        </row>
        <row r="30">
          <cell r="H30" t="str">
            <v>Propios</v>
          </cell>
          <cell r="I30" t="str">
            <v xml:space="preserve"> 3eros.</v>
          </cell>
          <cell r="J30" t="str">
            <v>Propios</v>
          </cell>
        </row>
        <row r="31">
          <cell r="I31">
            <v>0</v>
          </cell>
          <cell r="J31">
            <v>0</v>
          </cell>
        </row>
        <row r="32">
          <cell r="I32">
            <v>0</v>
          </cell>
          <cell r="J32">
            <v>0</v>
          </cell>
        </row>
        <row r="33">
          <cell r="I33">
            <v>0</v>
          </cell>
          <cell r="J33">
            <v>0</v>
          </cell>
        </row>
        <row r="34">
          <cell r="I34">
            <v>0</v>
          </cell>
          <cell r="J34">
            <v>0</v>
          </cell>
        </row>
        <row r="35">
          <cell r="I35">
            <v>0</v>
          </cell>
          <cell r="J35">
            <v>0</v>
          </cell>
        </row>
        <row r="36">
          <cell r="I36">
            <v>0</v>
          </cell>
          <cell r="J36">
            <v>0</v>
          </cell>
        </row>
        <row r="37">
          <cell r="I37">
            <v>0</v>
          </cell>
          <cell r="J37">
            <v>0</v>
          </cell>
        </row>
        <row r="38">
          <cell r="I38">
            <v>0</v>
          </cell>
          <cell r="J38">
            <v>0</v>
          </cell>
        </row>
        <row r="39">
          <cell r="I39">
            <v>0</v>
          </cell>
          <cell r="J39">
            <v>0</v>
          </cell>
        </row>
        <row r="40">
          <cell r="I40">
            <v>0</v>
          </cell>
          <cell r="J40">
            <v>0</v>
          </cell>
        </row>
        <row r="41">
          <cell r="I41">
            <v>0</v>
          </cell>
          <cell r="J41">
            <v>0</v>
          </cell>
        </row>
        <row r="42">
          <cell r="I42">
            <v>0</v>
          </cell>
          <cell r="J42">
            <v>0</v>
          </cell>
        </row>
        <row r="43">
          <cell r="I43">
            <v>0</v>
          </cell>
          <cell r="J43">
            <v>0</v>
          </cell>
        </row>
        <row r="44">
          <cell r="I44">
            <v>0</v>
          </cell>
          <cell r="J44">
            <v>0</v>
          </cell>
        </row>
        <row r="45">
          <cell r="I45">
            <v>0</v>
          </cell>
          <cell r="J45">
            <v>0</v>
          </cell>
        </row>
        <row r="47">
          <cell r="H47" t="str">
            <v xml:space="preserve">Subtotal no Amortizables </v>
          </cell>
          <cell r="I47">
            <v>0</v>
          </cell>
          <cell r="J47">
            <v>0</v>
          </cell>
        </row>
        <row r="49">
          <cell r="I49" t="str">
            <v>COSTO TOTAL POR</v>
          </cell>
        </row>
        <row r="50">
          <cell r="H50" t="str">
            <v>Propios</v>
          </cell>
          <cell r="I50" t="str">
            <v xml:space="preserve"> 3eros.</v>
          </cell>
          <cell r="J50" t="str">
            <v>Propios</v>
          </cell>
        </row>
        <row r="51">
          <cell r="I51">
            <v>0</v>
          </cell>
          <cell r="J51">
            <v>0</v>
          </cell>
        </row>
        <row r="52">
          <cell r="I52">
            <v>0</v>
          </cell>
          <cell r="J52">
            <v>0</v>
          </cell>
        </row>
        <row r="53">
          <cell r="H53">
            <v>210000</v>
          </cell>
          <cell r="I53">
            <v>0</v>
          </cell>
          <cell r="J53">
            <v>0</v>
          </cell>
        </row>
        <row r="54">
          <cell r="I54">
            <v>0</v>
          </cell>
          <cell r="J54">
            <v>0</v>
          </cell>
        </row>
        <row r="56">
          <cell r="H56" t="str">
            <v>Subtotal Montajes y Desmontajes  $</v>
          </cell>
          <cell r="I56">
            <v>0</v>
          </cell>
          <cell r="J56">
            <v>0</v>
          </cell>
        </row>
        <row r="57">
          <cell r="I57" t="str">
            <v>Terceros</v>
          </cell>
          <cell r="J57" t="str">
            <v>Propios</v>
          </cell>
        </row>
        <row r="58">
          <cell r="I58">
            <v>32500</v>
          </cell>
          <cell r="J58">
            <v>25265.625</v>
          </cell>
        </row>
        <row r="59">
          <cell r="I59" t="str">
            <v>VALOR MENSUAL DE OBRADOR Y CAMPAMENTO $/mes</v>
          </cell>
          <cell r="J59">
            <v>57765.625</v>
          </cell>
        </row>
      </sheetData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"/>
      <sheetName val="BASE DE DATOS"/>
      <sheetName val="PAE"/>
    </sheetNames>
    <sheetDataSet>
      <sheetData sheetId="0" refreshError="1">
        <row r="1">
          <cell r="A1">
            <v>30</v>
          </cell>
        </row>
        <row r="3">
          <cell r="A3">
            <v>60</v>
          </cell>
        </row>
      </sheetData>
      <sheetData sheetId="1"/>
      <sheetData sheetId="2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DAT"/>
      <sheetName val="BASE-API"/>
      <sheetName val="BD NUEVA"/>
      <sheetName val="ESPARRAGOS - RJ"/>
      <sheetName val="PESO CAÑERIA"/>
      <sheetName val="VOL.AGUA"/>
      <sheetName val="Datos"/>
      <sheetName val="RESUMEN GRAL"/>
      <sheetName val="#¡REF"/>
      <sheetName val="AC.CO.#150"/>
      <sheetName val="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</sheetNames>
    <sheetDataSet>
      <sheetData sheetId="0" refreshError="1">
        <row r="48">
          <cell r="F48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Releases Details"/>
      <sheetName val="Macro1"/>
    </sheetNames>
    <sheetDataSet>
      <sheetData sheetId="0"/>
      <sheetData sheetId="1"/>
      <sheetData sheetId="2">
        <row r="314">
          <cell r="A314" t="str">
            <v>Recover</v>
          </cell>
        </row>
      </sheetData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c provisión u$s SCI UTE"/>
      <sheetName val="Solic provisión $ SCI UTE"/>
      <sheetName val="Solic provisión u$s SCI PESA"/>
      <sheetName val="Solic provisión u$s SCI O"/>
      <sheetName val="Solic provisión u$s SCII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CECO _ SCI _ SCI PESA"/>
    </sheetNames>
    <sheetDataSet>
      <sheetData sheetId="0">
        <row r="2">
          <cell r="A2" t="str">
            <v>AR64ESCG00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AR64ESCG00</v>
          </cell>
        </row>
        <row r="3">
          <cell r="A3" t="str">
            <v>AR64ESCM00</v>
          </cell>
        </row>
        <row r="4">
          <cell r="A4" t="str">
            <v>AR64ESCP00</v>
          </cell>
        </row>
        <row r="5">
          <cell r="A5" t="str">
            <v>AR64ESCP19</v>
          </cell>
        </row>
        <row r="6">
          <cell r="A6" t="str">
            <v>AR64ESCP20</v>
          </cell>
        </row>
        <row r="7">
          <cell r="A7" t="str">
            <v>AR64ESCP21</v>
          </cell>
        </row>
        <row r="8">
          <cell r="A8" t="str">
            <v>AR64ESCP22</v>
          </cell>
        </row>
        <row r="9">
          <cell r="A9" t="str">
            <v>AR64ESCP23</v>
          </cell>
        </row>
        <row r="10">
          <cell r="A10" t="str">
            <v>AR64ESCP24</v>
          </cell>
        </row>
        <row r="11">
          <cell r="A11" t="str">
            <v>AR64ESCP25</v>
          </cell>
        </row>
        <row r="12">
          <cell r="A12" t="str">
            <v>AR64ESCP26</v>
          </cell>
        </row>
        <row r="13">
          <cell r="A13" t="str">
            <v>AR64ESCP27</v>
          </cell>
        </row>
        <row r="14">
          <cell r="A14" t="str">
            <v>AR64ESCP28</v>
          </cell>
        </row>
        <row r="15">
          <cell r="A15" t="str">
            <v>AR64ESCP29</v>
          </cell>
        </row>
        <row r="16">
          <cell r="A16" t="str">
            <v>AR64ESCP30</v>
          </cell>
        </row>
        <row r="17">
          <cell r="A17" t="str">
            <v>AR64ESCP31</v>
          </cell>
        </row>
        <row r="18">
          <cell r="A18" t="str">
            <v>AR64ESCP32</v>
          </cell>
        </row>
        <row r="19">
          <cell r="A19" t="str">
            <v>AR64ESCP33</v>
          </cell>
        </row>
        <row r="20">
          <cell r="A20" t="str">
            <v>AR64ESCP34</v>
          </cell>
        </row>
        <row r="21">
          <cell r="A21" t="str">
            <v>AR64ESCP35</v>
          </cell>
        </row>
        <row r="22">
          <cell r="A22" t="str">
            <v>AR64ESCP36</v>
          </cell>
        </row>
        <row r="23">
          <cell r="A23" t="str">
            <v>AR64ESCP37</v>
          </cell>
        </row>
        <row r="24">
          <cell r="A24" t="str">
            <v>AR64ESCP38</v>
          </cell>
        </row>
        <row r="25">
          <cell r="A25" t="str">
            <v>AR64ESCP39</v>
          </cell>
        </row>
        <row r="26">
          <cell r="A26" t="str">
            <v>AR64ESCP40</v>
          </cell>
        </row>
        <row r="27">
          <cell r="A27" t="str">
            <v>AR64ESCP42</v>
          </cell>
        </row>
        <row r="28">
          <cell r="A28" t="str">
            <v>AR64ESCP43</v>
          </cell>
        </row>
        <row r="29">
          <cell r="A29" t="str">
            <v>AR64ESCP44</v>
          </cell>
        </row>
        <row r="30">
          <cell r="A30" t="str">
            <v>AR64ESCP45</v>
          </cell>
        </row>
        <row r="31">
          <cell r="A31" t="str">
            <v>AR64ESCP46</v>
          </cell>
        </row>
        <row r="32">
          <cell r="A32" t="str">
            <v>AR64ESCP47</v>
          </cell>
        </row>
        <row r="33">
          <cell r="A33" t="str">
            <v>AR64ESCP48</v>
          </cell>
        </row>
        <row r="34">
          <cell r="A34" t="str">
            <v>AR64ESCP49</v>
          </cell>
        </row>
        <row r="35">
          <cell r="A35" t="str">
            <v>AR64ESCP50</v>
          </cell>
        </row>
        <row r="36">
          <cell r="A36" t="str">
            <v>AR64ESCP51</v>
          </cell>
        </row>
        <row r="37">
          <cell r="A37" t="str">
            <v>AR64ESCP52</v>
          </cell>
        </row>
        <row r="38">
          <cell r="A38" t="str">
            <v>AR64ESCP53</v>
          </cell>
        </row>
        <row r="39">
          <cell r="A39" t="str">
            <v>AR64ESCP54</v>
          </cell>
        </row>
        <row r="40">
          <cell r="A40" t="str">
            <v>AR64ESCP55</v>
          </cell>
        </row>
        <row r="41">
          <cell r="A41" t="str">
            <v>AR64ESCP56</v>
          </cell>
        </row>
        <row r="42">
          <cell r="A42" t="str">
            <v>AR64ESCPA2</v>
          </cell>
        </row>
        <row r="43">
          <cell r="A43" t="str">
            <v>AR64ESCPA3</v>
          </cell>
        </row>
        <row r="44">
          <cell r="A44" t="str">
            <v>AR64ESCS00</v>
          </cell>
        </row>
      </sheetData>
      <sheetData sheetId="8">
        <row r="2">
          <cell r="A2" t="str">
            <v>AR64ESCG00</v>
          </cell>
        </row>
      </sheetData>
      <sheetData sheetId="9"/>
      <sheetData sheetId="10"/>
      <sheetData sheetId="1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Solic provisión $ SCI UTE"/>
      <sheetName val="Solic provisión $ SCI UTE PESA"/>
      <sheetName val="Solic provisión $ SCI O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Solic provisión $ GETRAN"/>
      <sheetName val="CECO _ SCI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2" t="str">
            <v>AR03ESIG00</v>
          </cell>
        </row>
        <row r="3">
          <cell r="A3" t="str">
            <v>AR03ESIM00</v>
          </cell>
        </row>
        <row r="4">
          <cell r="A4" t="str">
            <v>AR03ESIP00</v>
          </cell>
        </row>
        <row r="5">
          <cell r="A5" t="str">
            <v>AR03ESIP57</v>
          </cell>
        </row>
        <row r="6">
          <cell r="A6" t="str">
            <v>AR03ESIP59</v>
          </cell>
        </row>
        <row r="7">
          <cell r="A7" t="str">
            <v>AR03ESIP60</v>
          </cell>
        </row>
        <row r="8">
          <cell r="A8" t="str">
            <v>AR03ESIP61</v>
          </cell>
        </row>
        <row r="9">
          <cell r="A9" t="str">
            <v>AR03ESIP62</v>
          </cell>
        </row>
        <row r="10">
          <cell r="A10" t="str">
            <v>AR03ESIP63</v>
          </cell>
        </row>
        <row r="11">
          <cell r="A11" t="str">
            <v>AR03ESIP64</v>
          </cell>
        </row>
        <row r="12">
          <cell r="A12" t="str">
            <v>AR03ESIP65</v>
          </cell>
        </row>
        <row r="13">
          <cell r="A13" t="str">
            <v>AR03ESIP66</v>
          </cell>
        </row>
        <row r="14">
          <cell r="A14" t="str">
            <v>AR03ESIP67</v>
          </cell>
        </row>
        <row r="15">
          <cell r="A15" t="str">
            <v>AR03ESIP69</v>
          </cell>
        </row>
        <row r="16">
          <cell r="A16" t="str">
            <v>AR03ESIP70</v>
          </cell>
        </row>
        <row r="17">
          <cell r="A17" t="str">
            <v>AR03ESIP71</v>
          </cell>
        </row>
        <row r="18">
          <cell r="A18" t="str">
            <v>AR03ESIP72</v>
          </cell>
        </row>
        <row r="19">
          <cell r="A19" t="str">
            <v>AR03ESIP73</v>
          </cell>
        </row>
        <row r="20">
          <cell r="A20" t="str">
            <v>AR03ESIP73</v>
          </cell>
        </row>
        <row r="21">
          <cell r="A21" t="str">
            <v>AR03ESIP74</v>
          </cell>
        </row>
        <row r="22">
          <cell r="A22" t="str">
            <v>AR03ESIP76</v>
          </cell>
        </row>
        <row r="23">
          <cell r="A23" t="str">
            <v>AR03ESIP77</v>
          </cell>
        </row>
        <row r="24">
          <cell r="A24" t="str">
            <v>AR03ESIP77</v>
          </cell>
        </row>
        <row r="25">
          <cell r="A25" t="str">
            <v>AR03ESIP78</v>
          </cell>
        </row>
        <row r="26">
          <cell r="A26" t="str">
            <v>AR03ESIP79</v>
          </cell>
        </row>
        <row r="27">
          <cell r="A27" t="str">
            <v>AR03ESIP80</v>
          </cell>
        </row>
        <row r="28">
          <cell r="A28" t="str">
            <v>AR03ESIP81</v>
          </cell>
        </row>
        <row r="29">
          <cell r="A29" t="str">
            <v>AR03ESIP82</v>
          </cell>
        </row>
        <row r="30">
          <cell r="A30" t="str">
            <v>AR03ESIP83</v>
          </cell>
        </row>
        <row r="31">
          <cell r="A31" t="str">
            <v>AR03ESIP84</v>
          </cell>
        </row>
        <row r="32">
          <cell r="A32" t="str">
            <v>AR03ESIP85</v>
          </cell>
        </row>
        <row r="33">
          <cell r="A33" t="str">
            <v>AR03ESIP86</v>
          </cell>
        </row>
        <row r="34">
          <cell r="A34" t="str">
            <v>AR03ESIP87</v>
          </cell>
        </row>
        <row r="35">
          <cell r="A35" t="str">
            <v>AR03ESIP88</v>
          </cell>
        </row>
        <row r="36">
          <cell r="A36" t="str">
            <v>AR03ESIP88</v>
          </cell>
        </row>
        <row r="37">
          <cell r="A37" t="str">
            <v>AR03ESIP90</v>
          </cell>
        </row>
        <row r="38">
          <cell r="A38" t="str">
            <v>AR03ESIP92</v>
          </cell>
        </row>
        <row r="39">
          <cell r="A39" t="str">
            <v>AR03ESIP93</v>
          </cell>
        </row>
        <row r="40">
          <cell r="A40" t="str">
            <v>AR03ESIP94</v>
          </cell>
        </row>
        <row r="41">
          <cell r="A41" t="str">
            <v>AR03ESIP94</v>
          </cell>
        </row>
        <row r="42">
          <cell r="A42" t="str">
            <v>AR03ESIP95</v>
          </cell>
        </row>
        <row r="43">
          <cell r="A43" t="str">
            <v>AR03ESIP96</v>
          </cell>
        </row>
        <row r="44">
          <cell r="A44" t="str">
            <v>AR03ESIS00</v>
          </cell>
        </row>
        <row r="45">
          <cell r="A45" t="str">
            <v>100000225 OC</v>
          </cell>
        </row>
      </sheetData>
      <sheetData sheetId="9" refreshError="1"/>
      <sheetData sheetId="10" refreshError="1"/>
      <sheetData sheetId="1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c provisión u$s SCI UTE"/>
      <sheetName val="Solic provisión $ SCI UTE"/>
      <sheetName val="Solic provisión u$s SCI PESA"/>
      <sheetName val="Solic provisión $ SCI UTE PESA"/>
      <sheetName val="Solic provisión u$s SCI O"/>
      <sheetName val="Solic provisión $ SCI O"/>
      <sheetName val="Solic provisión u$s SCII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Solic provisión u$s GETRAN"/>
      <sheetName val="Solic provisión $ GETRAN"/>
      <sheetName val="CECO _ SC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AR03ESOG00</v>
          </cell>
        </row>
        <row r="3">
          <cell r="A3" t="str">
            <v>AR03ESOP14</v>
          </cell>
        </row>
        <row r="4">
          <cell r="A4" t="str">
            <v>AR03ESOP01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lling"/>
      <sheetName val="DataCombos"/>
      <sheetName val="DataCombos2"/>
      <sheetName val="Validacion"/>
    </sheetNames>
    <sheetDataSet>
      <sheetData sheetId="0" refreshError="1"/>
      <sheetData sheetId="1" refreshError="1"/>
      <sheetData sheetId="2">
        <row r="6">
          <cell r="D6" t="str">
            <v>N / A</v>
          </cell>
        </row>
        <row r="7">
          <cell r="D7" t="str">
            <v>—</v>
          </cell>
        </row>
        <row r="8">
          <cell r="D8" t="str">
            <v>DFS</v>
          </cell>
        </row>
        <row r="9">
          <cell r="D9" t="str">
            <v>DFSB</v>
          </cell>
        </row>
        <row r="10">
          <cell r="D10" t="str">
            <v>DFSB3</v>
          </cell>
        </row>
        <row r="11">
          <cell r="D11" t="str">
            <v>DFSB3LT</v>
          </cell>
        </row>
        <row r="12">
          <cell r="D12" t="str">
            <v>DFSB3LT3G</v>
          </cell>
        </row>
        <row r="13">
          <cell r="D13" t="str">
            <v>DFSC</v>
          </cell>
        </row>
        <row r="14">
          <cell r="D14" t="str">
            <v>DFSC3</v>
          </cell>
        </row>
        <row r="15">
          <cell r="D15" t="str">
            <v>DFSC3UT</v>
          </cell>
        </row>
        <row r="16">
          <cell r="D16" t="str">
            <v>DFSC3UT3GHL</v>
          </cell>
        </row>
        <row r="17">
          <cell r="D17" t="str">
            <v>DFST</v>
          </cell>
        </row>
        <row r="18">
          <cell r="D18" t="str">
            <v>DFST3</v>
          </cell>
        </row>
        <row r="19">
          <cell r="D19" t="str">
            <v>DFST3G</v>
          </cell>
        </row>
        <row r="20">
          <cell r="D20" t="str">
            <v>DFST3GHL</v>
          </cell>
        </row>
        <row r="21">
          <cell r="D21" t="str">
            <v>DFST3HL</v>
          </cell>
        </row>
        <row r="22">
          <cell r="D22" t="str">
            <v>ESP</v>
          </cell>
        </row>
        <row r="23">
          <cell r="D23" t="str">
            <v>FSB</v>
          </cell>
        </row>
        <row r="24">
          <cell r="D24" t="str">
            <v>FSB1</v>
          </cell>
        </row>
        <row r="25">
          <cell r="D25" t="str">
            <v>FSB3</v>
          </cell>
        </row>
        <row r="26">
          <cell r="D26" t="str">
            <v>FSB3DB</v>
          </cell>
        </row>
        <row r="27">
          <cell r="D27" t="str">
            <v>FSB3G</v>
          </cell>
        </row>
        <row r="28">
          <cell r="D28" t="str">
            <v>FSB3HL</v>
          </cell>
        </row>
        <row r="29">
          <cell r="D29" t="str">
            <v>FSB3HLPFS</v>
          </cell>
        </row>
        <row r="30">
          <cell r="D30" t="str">
            <v>FSB3PFS</v>
          </cell>
        </row>
        <row r="31">
          <cell r="D31" t="str">
            <v>FSB3UT</v>
          </cell>
        </row>
        <row r="32">
          <cell r="D32" t="str">
            <v>FSBHL</v>
          </cell>
        </row>
        <row r="33">
          <cell r="D33" t="str">
            <v>FSBLT3</v>
          </cell>
        </row>
        <row r="34">
          <cell r="D34" t="str">
            <v>FSBLT3PL</v>
          </cell>
        </row>
        <row r="35">
          <cell r="D35" t="str">
            <v>FSBLTG3PL</v>
          </cell>
        </row>
        <row r="36">
          <cell r="D36" t="str">
            <v>FSBUT3PLHL</v>
          </cell>
        </row>
        <row r="37">
          <cell r="D37" t="str">
            <v>FSBUTG3PLHL</v>
          </cell>
        </row>
        <row r="38">
          <cell r="D38" t="str">
            <v>FSBX</v>
          </cell>
        </row>
        <row r="39">
          <cell r="D39" t="str">
            <v>FSBX1</v>
          </cell>
        </row>
        <row r="40">
          <cell r="D40" t="str">
            <v>FSBX3</v>
          </cell>
        </row>
        <row r="41">
          <cell r="D41" t="str">
            <v>FSBLTX3</v>
          </cell>
        </row>
        <row r="42">
          <cell r="D42" t="str">
            <v>FSBLTX3PL</v>
          </cell>
        </row>
        <row r="43">
          <cell r="D43" t="str">
            <v>FSC</v>
          </cell>
        </row>
        <row r="44">
          <cell r="D44" t="str">
            <v>FSC2</v>
          </cell>
        </row>
        <row r="45">
          <cell r="D45" t="str">
            <v>FSC3</v>
          </cell>
        </row>
        <row r="46">
          <cell r="D46" t="str">
            <v>FSCG</v>
          </cell>
        </row>
        <row r="47">
          <cell r="D47" t="str">
            <v>FSCGX</v>
          </cell>
        </row>
        <row r="48">
          <cell r="D48" t="str">
            <v>FSCS2</v>
          </cell>
        </row>
        <row r="49">
          <cell r="D49" t="str">
            <v>FSCUT3PL</v>
          </cell>
        </row>
        <row r="50">
          <cell r="D50" t="str">
            <v>FSCUT3PL2PFS</v>
          </cell>
        </row>
        <row r="51">
          <cell r="D51" t="str">
            <v>FSCUT3PLHL</v>
          </cell>
        </row>
        <row r="52">
          <cell r="D52" t="str">
            <v>FSCUT3PLHLPFS</v>
          </cell>
        </row>
        <row r="53">
          <cell r="D53" t="str">
            <v>FSCUT3PLPFS</v>
          </cell>
        </row>
        <row r="54">
          <cell r="D54" t="str">
            <v>FSCUTG3PL</v>
          </cell>
        </row>
        <row r="55">
          <cell r="D55" t="str">
            <v>FSCUTG3PL2PFS</v>
          </cell>
        </row>
        <row r="56">
          <cell r="D56" t="str">
            <v>FSCUTG3PLHL</v>
          </cell>
        </row>
        <row r="57">
          <cell r="D57" t="str">
            <v>FSCUTG3PLHLPFS</v>
          </cell>
        </row>
        <row r="58">
          <cell r="D58" t="str">
            <v>FSCUTG3PLPFS</v>
          </cell>
        </row>
        <row r="59">
          <cell r="D59" t="str">
            <v>FSCX</v>
          </cell>
        </row>
        <row r="60">
          <cell r="D60" t="str">
            <v>FSCX2</v>
          </cell>
        </row>
        <row r="61">
          <cell r="D61" t="str">
            <v>FSCX3</v>
          </cell>
        </row>
        <row r="62">
          <cell r="D62" t="str">
            <v>FSCX3</v>
          </cell>
        </row>
        <row r="63">
          <cell r="D63" t="str">
            <v>FSCUTX3PL</v>
          </cell>
        </row>
        <row r="64">
          <cell r="D64" t="str">
            <v>FSF</v>
          </cell>
        </row>
        <row r="65">
          <cell r="D65" t="str">
            <v>FSFDB INV</v>
          </cell>
        </row>
        <row r="66">
          <cell r="D66" t="str">
            <v>FSFB</v>
          </cell>
        </row>
        <row r="67">
          <cell r="D67" t="str">
            <v>FSFB3</v>
          </cell>
        </row>
        <row r="68">
          <cell r="D68" t="str">
            <v>FSFBX</v>
          </cell>
        </row>
        <row r="69">
          <cell r="D69" t="str">
            <v>FSFBX3</v>
          </cell>
        </row>
        <row r="70">
          <cell r="D70" t="str">
            <v>FSFCT</v>
          </cell>
        </row>
        <row r="71">
          <cell r="D71" t="str">
            <v>FSFT</v>
          </cell>
        </row>
        <row r="72">
          <cell r="D72" t="str">
            <v>FSFT3</v>
          </cell>
        </row>
        <row r="73">
          <cell r="D73" t="str">
            <v>FSFTDB</v>
          </cell>
        </row>
        <row r="74">
          <cell r="D74" t="str">
            <v>FSFTG</v>
          </cell>
        </row>
        <row r="75">
          <cell r="D75" t="str">
            <v>FSFTS</v>
          </cell>
        </row>
        <row r="76">
          <cell r="D76" t="str">
            <v>FSFTX</v>
          </cell>
        </row>
        <row r="77">
          <cell r="D77" t="str">
            <v>FSFTX3</v>
          </cell>
        </row>
        <row r="78">
          <cell r="D78" t="str">
            <v>FST</v>
          </cell>
        </row>
        <row r="79">
          <cell r="D79" t="str">
            <v>FST C2</v>
          </cell>
        </row>
        <row r="80">
          <cell r="D80" t="str">
            <v>FST DB</v>
          </cell>
        </row>
        <row r="81">
          <cell r="D81" t="str">
            <v>FST G</v>
          </cell>
        </row>
        <row r="82">
          <cell r="D82" t="str">
            <v>FST GX</v>
          </cell>
        </row>
        <row r="83">
          <cell r="D83" t="str">
            <v>FST X</v>
          </cell>
        </row>
        <row r="84">
          <cell r="D84" t="str">
            <v>FST1</v>
          </cell>
        </row>
        <row r="85">
          <cell r="D85" t="str">
            <v>FST3</v>
          </cell>
        </row>
        <row r="86">
          <cell r="D86" t="str">
            <v>FST3 2PFS</v>
          </cell>
        </row>
        <row r="87">
          <cell r="D87" t="str">
            <v>FST3 DB</v>
          </cell>
        </row>
        <row r="88">
          <cell r="D88" t="str">
            <v>FST3 G</v>
          </cell>
        </row>
        <row r="89">
          <cell r="D89" t="str">
            <v>FST3 GHL</v>
          </cell>
        </row>
        <row r="90">
          <cell r="D90" t="str">
            <v>FST3 HL</v>
          </cell>
        </row>
        <row r="91">
          <cell r="D91" t="str">
            <v>FST3 PFS</v>
          </cell>
        </row>
        <row r="92">
          <cell r="D92" t="str">
            <v>FST3 X</v>
          </cell>
        </row>
        <row r="93">
          <cell r="D93" t="str">
            <v>FST3LT</v>
          </cell>
        </row>
        <row r="94">
          <cell r="D94" t="str">
            <v>FST3UT</v>
          </cell>
        </row>
        <row r="95">
          <cell r="D95" t="str">
            <v>FSTLT</v>
          </cell>
        </row>
        <row r="96">
          <cell r="D96" t="str">
            <v>FSTUT</v>
          </cell>
        </row>
        <row r="97">
          <cell r="D97" t="str">
            <v>GSB</v>
          </cell>
        </row>
        <row r="98">
          <cell r="D98" t="str">
            <v>GSB1</v>
          </cell>
        </row>
        <row r="99">
          <cell r="D99" t="str">
            <v>GSB1G</v>
          </cell>
        </row>
        <row r="100">
          <cell r="D100" t="str">
            <v>GSB3</v>
          </cell>
        </row>
        <row r="101">
          <cell r="D101" t="str">
            <v>GSB3DB</v>
          </cell>
        </row>
        <row r="102">
          <cell r="D102" t="str">
            <v>GSB3G</v>
          </cell>
        </row>
        <row r="103">
          <cell r="D103" t="str">
            <v>GSB3LT</v>
          </cell>
        </row>
        <row r="104">
          <cell r="D104" t="str">
            <v>GSB3LTDB</v>
          </cell>
        </row>
        <row r="105">
          <cell r="D105" t="str">
            <v>GSBUT3HL</v>
          </cell>
        </row>
        <row r="106">
          <cell r="D106" t="str">
            <v>GSBUTG3HL</v>
          </cell>
        </row>
        <row r="107">
          <cell r="D107" t="str">
            <v>GSB3LTG</v>
          </cell>
        </row>
        <row r="108">
          <cell r="D108" t="str">
            <v>GSB3LTHLPFS</v>
          </cell>
        </row>
        <row r="109">
          <cell r="D109" t="str">
            <v>GSB3LTHL</v>
          </cell>
        </row>
        <row r="110">
          <cell r="D110" t="str">
            <v>GSBDB</v>
          </cell>
        </row>
        <row r="111">
          <cell r="D111" t="str">
            <v>GSBG</v>
          </cell>
        </row>
        <row r="112">
          <cell r="D112" t="str">
            <v>GSBG1</v>
          </cell>
        </row>
        <row r="113">
          <cell r="D113" t="str">
            <v>GSBX</v>
          </cell>
        </row>
        <row r="114">
          <cell r="D114" t="str">
            <v>GSB1X</v>
          </cell>
        </row>
        <row r="115">
          <cell r="D115" t="str">
            <v>GSB3X</v>
          </cell>
        </row>
        <row r="116">
          <cell r="D116" t="str">
            <v>GSB3LTX</v>
          </cell>
        </row>
        <row r="117">
          <cell r="D117" t="str">
            <v>GSC</v>
          </cell>
        </row>
        <row r="118">
          <cell r="D118" t="str">
            <v>GSC1</v>
          </cell>
        </row>
        <row r="119">
          <cell r="D119" t="str">
            <v>GSC2</v>
          </cell>
        </row>
        <row r="120">
          <cell r="D120" t="str">
            <v>GSC3</v>
          </cell>
        </row>
        <row r="121">
          <cell r="D121" t="str">
            <v>GSC3PFS</v>
          </cell>
        </row>
        <row r="122">
          <cell r="D122" t="str">
            <v>GSC3HLPFS</v>
          </cell>
        </row>
        <row r="123">
          <cell r="D123" t="str">
            <v>GSC3G</v>
          </cell>
        </row>
        <row r="124">
          <cell r="D124" t="str">
            <v>GSC3GPFSVT</v>
          </cell>
        </row>
        <row r="125">
          <cell r="D125" t="str">
            <v>GSC3GHL</v>
          </cell>
        </row>
        <row r="126">
          <cell r="D126" t="str">
            <v>GSC3HL</v>
          </cell>
        </row>
        <row r="127">
          <cell r="D127" t="str">
            <v>GSCG</v>
          </cell>
        </row>
        <row r="128">
          <cell r="D128" t="str">
            <v>GSCGX</v>
          </cell>
        </row>
        <row r="129">
          <cell r="D129" t="str">
            <v>GSCX</v>
          </cell>
        </row>
        <row r="130">
          <cell r="D130" t="str">
            <v>GSCX3</v>
          </cell>
        </row>
        <row r="131">
          <cell r="D131" t="str">
            <v>GSD</v>
          </cell>
        </row>
        <row r="132">
          <cell r="D132" t="str">
            <v>GST</v>
          </cell>
        </row>
        <row r="133">
          <cell r="D133" t="str">
            <v>GST2</v>
          </cell>
        </row>
        <row r="134">
          <cell r="D134" t="str">
            <v>GST3</v>
          </cell>
        </row>
        <row r="135">
          <cell r="D135" t="str">
            <v>GST3X</v>
          </cell>
        </row>
        <row r="136">
          <cell r="D136" t="str">
            <v>GSTC2</v>
          </cell>
        </row>
        <row r="137">
          <cell r="D137" t="str">
            <v>GSTC3</v>
          </cell>
        </row>
        <row r="138">
          <cell r="D138" t="str">
            <v>GSTCX2</v>
          </cell>
        </row>
        <row r="139">
          <cell r="D139" t="str">
            <v>GSTDB</v>
          </cell>
        </row>
        <row r="140">
          <cell r="D140" t="str">
            <v>GSTF</v>
          </cell>
        </row>
        <row r="141">
          <cell r="D141" t="str">
            <v>GSTG</v>
          </cell>
        </row>
        <row r="142">
          <cell r="D142" t="str">
            <v>GSTG2</v>
          </cell>
        </row>
        <row r="143">
          <cell r="D143" t="str">
            <v>GSTG3</v>
          </cell>
        </row>
        <row r="144">
          <cell r="D144" t="str">
            <v>GSTGC2</v>
          </cell>
        </row>
        <row r="145">
          <cell r="D145" t="str">
            <v>GSTGDB</v>
          </cell>
        </row>
        <row r="146">
          <cell r="D146" t="str">
            <v>GSTGX</v>
          </cell>
        </row>
        <row r="147">
          <cell r="D147" t="str">
            <v>GSTX</v>
          </cell>
        </row>
        <row r="148">
          <cell r="D148" t="str">
            <v>GSTX2</v>
          </cell>
        </row>
        <row r="149">
          <cell r="D149" t="str">
            <v>GSTX3</v>
          </cell>
        </row>
        <row r="150">
          <cell r="D150" t="str">
            <v>GSTXC2</v>
          </cell>
        </row>
        <row r="151">
          <cell r="D151" t="str">
            <v>GSTXDB</v>
          </cell>
        </row>
        <row r="152">
          <cell r="D152" t="str">
            <v>HSB</v>
          </cell>
        </row>
        <row r="153">
          <cell r="D153" t="str">
            <v>HSB1</v>
          </cell>
        </row>
        <row r="154">
          <cell r="D154" t="str">
            <v>HSB3HL</v>
          </cell>
        </row>
        <row r="155">
          <cell r="D155" t="str">
            <v>HSB3</v>
          </cell>
        </row>
        <row r="156">
          <cell r="D156" t="str">
            <v>HSBX</v>
          </cell>
        </row>
        <row r="157">
          <cell r="D157" t="str">
            <v>HSC</v>
          </cell>
        </row>
        <row r="158">
          <cell r="D158" t="str">
            <v>HSC3</v>
          </cell>
        </row>
        <row r="159">
          <cell r="D159" t="str">
            <v>HSCG2</v>
          </cell>
        </row>
        <row r="160">
          <cell r="D160" t="str">
            <v>HSCP</v>
          </cell>
        </row>
        <row r="161">
          <cell r="D161" t="str">
            <v>HSCS</v>
          </cell>
        </row>
        <row r="162">
          <cell r="D162" t="str">
            <v>HSCS2</v>
          </cell>
        </row>
        <row r="163">
          <cell r="D163" t="str">
            <v>HSCT2</v>
          </cell>
        </row>
        <row r="164">
          <cell r="D164" t="str">
            <v>HSCT3</v>
          </cell>
        </row>
        <row r="165">
          <cell r="D165" t="str">
            <v>REDA</v>
          </cell>
        </row>
      </sheetData>
      <sheetData sheetId="3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FE00"/>
      <sheetName val="Conversion to Injector-AFE"/>
      <sheetName val="ce23"/>
      <sheetName val="programa4-8-04"/>
      <sheetName val="InfConv"/>
      <sheetName val="WO2008"/>
      <sheetName val="Caratula AFE2008"/>
      <sheetName val="Conversion to Injector-AFE004"/>
      <sheetName val="InfPull_10_08"/>
      <sheetName val="WO2009"/>
      <sheetName val="Caratula AFE2009"/>
      <sheetName val="Conversion to Injector-AFE-2009"/>
      <sheetName val="InfTer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 de la empresa"/>
      <sheetName val="Experiencia"/>
      <sheetName val="Hoja1"/>
      <sheetName val="Cobertura"/>
      <sheetName val="Estructura de Costos"/>
      <sheetName val="Resumen Financiero"/>
      <sheetName val="Proveedores"/>
      <sheetName val="Competencia"/>
      <sheetName val="Preguntas Directas"/>
    </sheetNames>
    <sheetDataSet>
      <sheetData sheetId="0" refreshError="1"/>
      <sheetData sheetId="1" refreshError="1"/>
      <sheetData sheetId="2" refreshError="1">
        <row r="3">
          <cell r="J3" t="str">
            <v xml:space="preserve">Seleccionar </v>
          </cell>
          <cell r="K3" t="str">
            <v xml:space="preserve">Seleccionar </v>
          </cell>
        </row>
        <row r="4">
          <cell r="K4" t="str">
            <v xml:space="preserve">SI </v>
          </cell>
        </row>
        <row r="5">
          <cell r="K5" t="str">
            <v>NO</v>
          </cell>
        </row>
        <row r="6">
          <cell r="K6" t="str">
            <v xml:space="preserve">a veces 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ENERO 2016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Abril 2014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"/>
      <sheetName val="Cuadros EFirma"/>
      <sheetName val="INMUEBLES EQUIPOS Y RODADOS"/>
      <sheetName val="MANO DE OBRA DICIEMBRE-11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4">
          <cell r="B4" t="str">
            <v>Geofísica</v>
          </cell>
        </row>
        <row r="46">
          <cell r="B46" t="str">
            <v>Liso</v>
          </cell>
        </row>
        <row r="47">
          <cell r="B47" t="str">
            <v>Taco</v>
          </cell>
        </row>
      </sheetData>
      <sheetData sheetId="14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  <sheetName val="Instructivo"/>
    </sheetNames>
    <sheetDataSet>
      <sheetData sheetId="0" refreshError="1">
        <row r="50">
          <cell r="H50" t="str">
            <v>m³/m³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ntander"/>
      <sheetName val="InfoSant"/>
      <sheetName val="Comparación"/>
      <sheetName val="TablaGral"/>
      <sheetName val="Hoja1"/>
      <sheetName val="Estad"/>
      <sheetName val="Resumen"/>
      <sheetName val="CG"/>
      <sheetName val="Proveedores"/>
      <sheetName val="Vol"/>
      <sheetName val="FormatoCotiz"/>
      <sheetName val="IP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9">
          <cell r="H9">
            <v>670</v>
          </cell>
        </row>
      </sheetData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LL98"/>
      <sheetName val="PULL98.xls"/>
      <sheetName val="\\PAMPA_02\Centrilift\Mis docum"/>
    </sheetNames>
    <definedNames>
      <definedName name="VOLVER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rcado YPF"/>
      <sheetName val="Hoja1"/>
      <sheetName val="Tratamientos"/>
      <sheetName val="BCConc"/>
      <sheetName val="Nov"/>
      <sheetName val="Dic"/>
      <sheetName val="EstimaciónYPF"/>
      <sheetName val="LP"/>
      <sheetName val="Análisis"/>
      <sheetName val="CtrlBat"/>
      <sheetName val="CtrlPozo"/>
    </sheetNames>
    <sheetDataSet>
      <sheetData sheetId="0"/>
      <sheetData sheetId="1"/>
      <sheetData sheetId="2">
        <row r="1">
          <cell r="H1">
            <v>8</v>
          </cell>
          <cell r="I1">
            <v>9</v>
          </cell>
          <cell r="J1">
            <v>10</v>
          </cell>
        </row>
        <row r="2">
          <cell r="H2" t="str">
            <v>Producto 
Quimico</v>
          </cell>
          <cell r="I2" t="str">
            <v>Precio unitario [USD/l]</v>
          </cell>
          <cell r="J2" t="str">
            <v>Tipo 
Quimico</v>
          </cell>
        </row>
        <row r="3">
          <cell r="H3" t="str">
            <v>SURFATRON DN-155</v>
          </cell>
          <cell r="I3">
            <v>4.25</v>
          </cell>
          <cell r="J3" t="str">
            <v>REDUCTOR DE FRICCIÓN</v>
          </cell>
        </row>
        <row r="4">
          <cell r="H4" t="str">
            <v>DVE4B003</v>
          </cell>
          <cell r="I4">
            <v>5.7</v>
          </cell>
          <cell r="J4" t="str">
            <v>BACTERICIDA</v>
          </cell>
        </row>
        <row r="5">
          <cell r="H5" t="str">
            <v>GYPTRON TA-416</v>
          </cell>
          <cell r="I5">
            <v>2.19</v>
          </cell>
          <cell r="J5" t="str">
            <v>INHIBIDOR DE INCRUSTACIONES</v>
          </cell>
        </row>
        <row r="6">
          <cell r="H6" t="str">
            <v>EMBR14512A</v>
          </cell>
          <cell r="I6">
            <v>3.16</v>
          </cell>
          <cell r="J6" t="str">
            <v>DESEMULSIONANTE</v>
          </cell>
        </row>
        <row r="7">
          <cell r="H7" t="str">
            <v>EC6539A</v>
          </cell>
          <cell r="I7">
            <v>5.47</v>
          </cell>
          <cell r="J7" t="str">
            <v>INHIBIDOR DE PARAFINAS Y ASFALTENOS</v>
          </cell>
        </row>
        <row r="8">
          <cell r="H8" t="str">
            <v>EC3156</v>
          </cell>
          <cell r="I8">
            <v>2.5</v>
          </cell>
          <cell r="J8" t="str">
            <v>ANTIESPUMANTE</v>
          </cell>
        </row>
        <row r="9">
          <cell r="H9" t="str">
            <v>CORTRON RN470</v>
          </cell>
          <cell r="I9">
            <v>2.65</v>
          </cell>
          <cell r="J9" t="str">
            <v>INHIBIDOR DE CORROSIÓN</v>
          </cell>
        </row>
        <row r="10">
          <cell r="H10" t="str">
            <v>EMBR14512A</v>
          </cell>
          <cell r="I10">
            <v>3.16</v>
          </cell>
          <cell r="J10" t="str">
            <v>DESEMULSIONANTE</v>
          </cell>
        </row>
        <row r="11">
          <cell r="H11" t="str">
            <v>EMBR14512A</v>
          </cell>
          <cell r="I11">
            <v>3.16</v>
          </cell>
          <cell r="J11" t="str">
            <v>DESEMULSIONANTE</v>
          </cell>
        </row>
        <row r="12">
          <cell r="H12" t="str">
            <v>EMBR14512A</v>
          </cell>
          <cell r="I12">
            <v>3.16</v>
          </cell>
          <cell r="J12" t="str">
            <v>DESEMULSIONANTE</v>
          </cell>
        </row>
        <row r="13">
          <cell r="H13" t="str">
            <v>EC6539A</v>
          </cell>
          <cell r="I13">
            <v>5.47</v>
          </cell>
          <cell r="J13" t="str">
            <v>INHIBIDOR DE PARAFINAS Y ASFALTENOS</v>
          </cell>
        </row>
        <row r="14">
          <cell r="H14" t="str">
            <v>SURFATRON DN-155</v>
          </cell>
          <cell r="I14">
            <v>4.25</v>
          </cell>
          <cell r="J14" t="str">
            <v>REDUCTOR DE FRICCIÓN</v>
          </cell>
        </row>
        <row r="15">
          <cell r="H15" t="str">
            <v>EMBR14512A</v>
          </cell>
          <cell r="I15">
            <v>3.16</v>
          </cell>
          <cell r="J15" t="str">
            <v>DESEMULSIONANTE</v>
          </cell>
        </row>
        <row r="16">
          <cell r="H16" t="str">
            <v>EMBR14512A</v>
          </cell>
          <cell r="I16">
            <v>3.16</v>
          </cell>
          <cell r="J16" t="str">
            <v>REDUCTOR DE FRICCIÓN</v>
          </cell>
        </row>
        <row r="17">
          <cell r="H17" t="str">
            <v>EMBR14512A</v>
          </cell>
          <cell r="I17">
            <v>3.16</v>
          </cell>
          <cell r="J17" t="str">
            <v>DESEMULSIONANTE</v>
          </cell>
        </row>
        <row r="18">
          <cell r="H18" t="str">
            <v>EMBR14512A</v>
          </cell>
          <cell r="I18">
            <v>3.16</v>
          </cell>
          <cell r="J18" t="str">
            <v>DESEMULSIONANTE</v>
          </cell>
        </row>
        <row r="19">
          <cell r="H19" t="str">
            <v>TX14120</v>
          </cell>
          <cell r="I19">
            <v>4.41</v>
          </cell>
          <cell r="J19" t="str">
            <v>HUMECTANTE DE SOLIDOS</v>
          </cell>
        </row>
        <row r="20">
          <cell r="H20" t="str">
            <v>EC6019A</v>
          </cell>
          <cell r="I20">
            <v>6.04</v>
          </cell>
          <cell r="J20" t="str">
            <v>FLOCULANTE</v>
          </cell>
        </row>
        <row r="21">
          <cell r="H21" t="str">
            <v>03VC057</v>
          </cell>
          <cell r="I21">
            <v>8.3000000000000007</v>
          </cell>
          <cell r="J21" t="str">
            <v>CLARIFICANTE</v>
          </cell>
        </row>
        <row r="22">
          <cell r="H22" t="str">
            <v>BACTRON L-133</v>
          </cell>
          <cell r="I22">
            <v>6.94</v>
          </cell>
          <cell r="J22" t="str">
            <v>BACTERICIDA</v>
          </cell>
        </row>
        <row r="23">
          <cell r="H23" t="str">
            <v>CORTRON RN470</v>
          </cell>
          <cell r="I23">
            <v>2.65</v>
          </cell>
          <cell r="J23" t="str">
            <v>INHIBIDOR DE CORROSIÓN</v>
          </cell>
        </row>
        <row r="24">
          <cell r="H24" t="str">
            <v>GYPTRON TA-416</v>
          </cell>
          <cell r="I24">
            <v>2.19</v>
          </cell>
          <cell r="J24" t="str">
            <v>INHIBIDOR DE INCRUSTACIONES</v>
          </cell>
        </row>
        <row r="25">
          <cell r="H25" t="str">
            <v>DVE4B003</v>
          </cell>
          <cell r="I25">
            <v>5.7</v>
          </cell>
          <cell r="J25" t="str">
            <v>BACTERICIDA</v>
          </cell>
        </row>
        <row r="26">
          <cell r="H26" t="str">
            <v>EC3156</v>
          </cell>
          <cell r="I26">
            <v>2.5</v>
          </cell>
          <cell r="J26" t="str">
            <v>ANTIESPUMANTE</v>
          </cell>
        </row>
        <row r="27">
          <cell r="H27" t="str">
            <v>EMBR14512A</v>
          </cell>
          <cell r="I27">
            <v>3.16</v>
          </cell>
          <cell r="J27" t="str">
            <v>DESEMULSIONANTE</v>
          </cell>
        </row>
        <row r="28">
          <cell r="H28" t="str">
            <v>GYPTRON TA-416</v>
          </cell>
          <cell r="I28">
            <v>2.19</v>
          </cell>
          <cell r="J28" t="str">
            <v>INHIBIDOR DE INCRUSTACIONES</v>
          </cell>
        </row>
        <row r="29">
          <cell r="H29" t="str">
            <v>EC6539A</v>
          </cell>
          <cell r="I29">
            <v>5.47</v>
          </cell>
          <cell r="J29" t="str">
            <v>INHIBIDOR DE PARAFINAS Y ASFALTENOS</v>
          </cell>
        </row>
        <row r="30">
          <cell r="H30" t="str">
            <v>EC3156</v>
          </cell>
          <cell r="I30">
            <v>2.5</v>
          </cell>
          <cell r="J30" t="str">
            <v>ANTIESPUMANTE</v>
          </cell>
        </row>
        <row r="31">
          <cell r="H31" t="str">
            <v>SURFATRON DN-155</v>
          </cell>
          <cell r="I31">
            <v>4.25</v>
          </cell>
          <cell r="J31" t="str">
            <v>REDUCTOR DE FRICCIÓN</v>
          </cell>
        </row>
        <row r="32">
          <cell r="H32" t="str">
            <v>EC6359A</v>
          </cell>
          <cell r="I32">
            <v>4.8099999999999996</v>
          </cell>
          <cell r="J32" t="str">
            <v>INHIBIDOR DE INCRUSTACIONES</v>
          </cell>
        </row>
        <row r="33">
          <cell r="H33" t="str">
            <v>EC6359A</v>
          </cell>
          <cell r="I33">
            <v>4.8099999999999996</v>
          </cell>
          <cell r="J33" t="str">
            <v>INHIBIDOR DE INCRUSTACIONES</v>
          </cell>
        </row>
        <row r="34">
          <cell r="H34" t="str">
            <v>EC6359A</v>
          </cell>
          <cell r="I34">
            <v>4.8099999999999996</v>
          </cell>
          <cell r="J34" t="str">
            <v>INHIBIDOR DE INCRUSTACIONES</v>
          </cell>
        </row>
        <row r="35">
          <cell r="H35" t="str">
            <v>EC6359A</v>
          </cell>
          <cell r="I35">
            <v>4.8099999999999996</v>
          </cell>
          <cell r="J35" t="str">
            <v>INHIBIDOR DE INCRUSTACIONES</v>
          </cell>
        </row>
        <row r="36">
          <cell r="H36" t="str">
            <v>EC6359A</v>
          </cell>
          <cell r="I36">
            <v>4.8099999999999996</v>
          </cell>
          <cell r="J36" t="str">
            <v>INHIBIDOR DE INCRUSTACIONES</v>
          </cell>
        </row>
        <row r="37">
          <cell r="H37" t="str">
            <v>EC6359A</v>
          </cell>
          <cell r="I37">
            <v>4.8099999999999996</v>
          </cell>
          <cell r="J37" t="str">
            <v>INHIBIDOR DE INCRUSTACIONES</v>
          </cell>
        </row>
        <row r="38">
          <cell r="H38" t="str">
            <v>EC6359A</v>
          </cell>
          <cell r="I38">
            <v>4.8099999999999996</v>
          </cell>
          <cell r="J38" t="str">
            <v>INHIBIDOR DE INCRUSTACIONES</v>
          </cell>
        </row>
        <row r="39">
          <cell r="H39" t="str">
            <v>CORTRON RN470</v>
          </cell>
          <cell r="I39">
            <v>2.65</v>
          </cell>
          <cell r="J39" t="str">
            <v>INHIBIDOR DE CORROSIÓN</v>
          </cell>
        </row>
        <row r="40">
          <cell r="H40" t="str">
            <v>EC6359A</v>
          </cell>
          <cell r="I40">
            <v>4.8099999999999996</v>
          </cell>
          <cell r="J40" t="str">
            <v>INHIBIDOR DE INCRUSTACIONES</v>
          </cell>
        </row>
        <row r="41">
          <cell r="H41" t="str">
            <v>EC6359A</v>
          </cell>
          <cell r="I41">
            <v>4.8099999999999996</v>
          </cell>
          <cell r="J41" t="str">
            <v>INHIBIDOR DE INCRUSTACIONES</v>
          </cell>
        </row>
        <row r="42">
          <cell r="H42" t="str">
            <v>EC6359A</v>
          </cell>
          <cell r="I42">
            <v>4.8099999999999996</v>
          </cell>
          <cell r="J42" t="str">
            <v>INHIBIDOR DE INCRUSTACIONES</v>
          </cell>
        </row>
        <row r="43">
          <cell r="H43" t="str">
            <v>EC3156</v>
          </cell>
          <cell r="I43">
            <v>2.5</v>
          </cell>
          <cell r="J43" t="str">
            <v>ANTIESPUMANTE</v>
          </cell>
        </row>
        <row r="44">
          <cell r="H44" t="str">
            <v>SURFATRON DN-155</v>
          </cell>
          <cell r="I44">
            <v>4.25</v>
          </cell>
          <cell r="J44" t="str">
            <v>REDUCTOR DE FRICCIÓN</v>
          </cell>
        </row>
        <row r="45">
          <cell r="H45" t="str">
            <v>GYPTRON TA-416</v>
          </cell>
          <cell r="I45">
            <v>2.19</v>
          </cell>
          <cell r="J45" t="str">
            <v>INHIBIDOR DE INCRUSTACIONES</v>
          </cell>
        </row>
        <row r="46">
          <cell r="H46" t="str">
            <v>DVE4B003</v>
          </cell>
          <cell r="I46">
            <v>5.7</v>
          </cell>
          <cell r="J46" t="str">
            <v>BACTERICIDA</v>
          </cell>
        </row>
        <row r="47">
          <cell r="H47" t="str">
            <v>DVE4B003</v>
          </cell>
          <cell r="I47">
            <v>5.7</v>
          </cell>
          <cell r="J47" t="str">
            <v>BACTERICIDA</v>
          </cell>
        </row>
        <row r="48">
          <cell r="H48" t="str">
            <v>EC6539A</v>
          </cell>
          <cell r="I48">
            <v>5.47</v>
          </cell>
          <cell r="J48" t="str">
            <v>INHIBIDOR DE PARAFINAS Y ASFALTENOS</v>
          </cell>
        </row>
        <row r="49">
          <cell r="H49" t="str">
            <v>TX14120</v>
          </cell>
          <cell r="I49">
            <v>4.41</v>
          </cell>
          <cell r="J49" t="str">
            <v>HUMECTANTE DE SOLIDOS</v>
          </cell>
        </row>
        <row r="50">
          <cell r="H50" t="str">
            <v>EMBR14512A</v>
          </cell>
          <cell r="I50">
            <v>3.16</v>
          </cell>
          <cell r="J50" t="str">
            <v>DESEMULSIONANTE</v>
          </cell>
        </row>
        <row r="51">
          <cell r="H51" t="str">
            <v>BACTRON L-133</v>
          </cell>
          <cell r="I51">
            <v>6.94</v>
          </cell>
          <cell r="J51" t="str">
            <v>BACTERICIDA</v>
          </cell>
        </row>
        <row r="52">
          <cell r="H52" t="str">
            <v>GYPTRON TA-416</v>
          </cell>
          <cell r="I52">
            <v>2.19</v>
          </cell>
          <cell r="J52" t="str">
            <v>INHIBIDOR DE INCRUSTACIONES</v>
          </cell>
        </row>
        <row r="53">
          <cell r="H53" t="str">
            <v>CORTRON RN470</v>
          </cell>
          <cell r="I53">
            <v>2.65</v>
          </cell>
          <cell r="J53" t="str">
            <v>INHIBIDOR DE CORROSIÓN</v>
          </cell>
        </row>
        <row r="54">
          <cell r="H54" t="str">
            <v>EC3156</v>
          </cell>
          <cell r="I54">
            <v>2.5</v>
          </cell>
          <cell r="J54" t="str">
            <v>ANTIESPUMANTE</v>
          </cell>
        </row>
        <row r="55">
          <cell r="H55" t="str">
            <v>CLEAR 2335</v>
          </cell>
          <cell r="I55">
            <v>4.38</v>
          </cell>
          <cell r="J55" t="str">
            <v>DISOLVENTE DE PARAFINAS Y ASFALTENOS</v>
          </cell>
        </row>
        <row r="56">
          <cell r="H56" t="str">
            <v>EC6359A</v>
          </cell>
          <cell r="I56">
            <v>4.8099999999999996</v>
          </cell>
          <cell r="J56" t="str">
            <v>INHIBIDOR DE INCRUSTACIONES</v>
          </cell>
        </row>
        <row r="57">
          <cell r="H57" t="str">
            <v>EMBR14512A</v>
          </cell>
          <cell r="I57">
            <v>3.16</v>
          </cell>
          <cell r="J57" t="str">
            <v>DESEMULSIONANTE</v>
          </cell>
        </row>
        <row r="58">
          <cell r="H58" t="str">
            <v>CORTRON RN470</v>
          </cell>
          <cell r="I58">
            <v>2.65</v>
          </cell>
          <cell r="J58" t="str">
            <v>INHIBIDOR DE CORROSIÓN</v>
          </cell>
        </row>
        <row r="59">
          <cell r="H59" t="str">
            <v>BACTRON L-133</v>
          </cell>
          <cell r="I59">
            <v>6.94</v>
          </cell>
          <cell r="J59" t="str">
            <v>BACTERICIDA</v>
          </cell>
        </row>
        <row r="60">
          <cell r="H60" t="str">
            <v>TX14120</v>
          </cell>
          <cell r="I60">
            <v>4.41</v>
          </cell>
          <cell r="J60" t="str">
            <v>HUMECTANTE DE SOLIDOS</v>
          </cell>
        </row>
        <row r="61">
          <cell r="H61" t="str">
            <v>EC2434A</v>
          </cell>
          <cell r="I61">
            <v>5.44</v>
          </cell>
          <cell r="J61" t="str">
            <v>RUPTOR</v>
          </cell>
        </row>
        <row r="62">
          <cell r="H62" t="str">
            <v>EMULSOTRON x-8131</v>
          </cell>
          <cell r="I62">
            <v>2.79</v>
          </cell>
          <cell r="J62" t="str">
            <v>REDUCTOR DE FRICCIÓN</v>
          </cell>
        </row>
        <row r="63">
          <cell r="H63" t="str">
            <v>CLEAR 2335</v>
          </cell>
          <cell r="I63">
            <v>4.38</v>
          </cell>
          <cell r="J63" t="str">
            <v>DISOLVENTE DE PARAFINAS Y ASFALTENOS</v>
          </cell>
        </row>
        <row r="64">
          <cell r="H64" t="str">
            <v>CLEAR 2335</v>
          </cell>
          <cell r="I64">
            <v>4.38</v>
          </cell>
          <cell r="J64" t="str">
            <v>DISOLVENTE DE PARAFINAS Y ASFALTENOS</v>
          </cell>
        </row>
        <row r="65">
          <cell r="H65" t="str">
            <v>CLEAR 2335</v>
          </cell>
          <cell r="I65">
            <v>4.38</v>
          </cell>
          <cell r="J65" t="str">
            <v>DISOLVENTE DE PARAFINAS Y ASFALTENOS</v>
          </cell>
        </row>
        <row r="66">
          <cell r="H66" t="str">
            <v>SURFATRON DN-155</v>
          </cell>
          <cell r="I66">
            <v>4.25</v>
          </cell>
          <cell r="J66" t="str">
            <v>REDUCTOR DE FRICCIÓN</v>
          </cell>
        </row>
        <row r="67">
          <cell r="H67" t="str">
            <v>EMBR17949A</v>
          </cell>
          <cell r="I67">
            <v>4</v>
          </cell>
          <cell r="J67" t="str">
            <v>DESEMULSIONANTE</v>
          </cell>
        </row>
        <row r="68">
          <cell r="H68" t="str">
            <v>EMBR17949A</v>
          </cell>
          <cell r="I68">
            <v>4</v>
          </cell>
          <cell r="J68" t="str">
            <v>DESEMULSIONANTE</v>
          </cell>
        </row>
        <row r="69">
          <cell r="H69" t="str">
            <v>EC2434A</v>
          </cell>
          <cell r="I69">
            <v>5.44</v>
          </cell>
          <cell r="J69" t="str">
            <v>RUPTOR</v>
          </cell>
        </row>
        <row r="70">
          <cell r="H70" t="str">
            <v>GYPTRON TA-416</v>
          </cell>
          <cell r="I70">
            <v>2.19</v>
          </cell>
          <cell r="J70" t="str">
            <v>INHIBIDOR DE INCRUSTACIONES</v>
          </cell>
        </row>
        <row r="71">
          <cell r="H71" t="str">
            <v>CLEAR 2335</v>
          </cell>
          <cell r="I71">
            <v>4.38</v>
          </cell>
          <cell r="J71" t="str">
            <v>DISOLVENTE DE PARAFINAS Y ASFALTENOS</v>
          </cell>
        </row>
        <row r="72">
          <cell r="H72" t="str">
            <v>CORTRON RN470</v>
          </cell>
          <cell r="I72">
            <v>2.65</v>
          </cell>
          <cell r="J72" t="str">
            <v>INHIBIDOR DE CORROSIÓN</v>
          </cell>
        </row>
        <row r="73">
          <cell r="H73" t="str">
            <v>BACTRON L-133</v>
          </cell>
          <cell r="I73">
            <v>6.94</v>
          </cell>
          <cell r="J73" t="str">
            <v>BACTERICIDA</v>
          </cell>
        </row>
        <row r="74">
          <cell r="H74" t="str">
            <v>EMBR17949A</v>
          </cell>
          <cell r="I74">
            <v>4</v>
          </cell>
          <cell r="J74" t="str">
            <v>DESEMULSIONANTE</v>
          </cell>
        </row>
        <row r="75">
          <cell r="H75" t="str">
            <v>TX14120</v>
          </cell>
          <cell r="I75">
            <v>4.41</v>
          </cell>
          <cell r="J75" t="str">
            <v>HUMECTANTE DE SOLIDOS</v>
          </cell>
        </row>
        <row r="76">
          <cell r="H76" t="str">
            <v>EMBR17949A</v>
          </cell>
          <cell r="I76">
            <v>4</v>
          </cell>
          <cell r="J76" t="str">
            <v>DESEMULSIONANTE</v>
          </cell>
        </row>
        <row r="77">
          <cell r="H77" t="str">
            <v>EC2434A</v>
          </cell>
          <cell r="I77">
            <v>5.44</v>
          </cell>
          <cell r="J77" t="str">
            <v>RUPTOR</v>
          </cell>
        </row>
        <row r="78">
          <cell r="H78" t="str">
            <v>GYPTRON TA-416</v>
          </cell>
          <cell r="I78">
            <v>2.19</v>
          </cell>
          <cell r="J78" t="str">
            <v>INHIBIDOR DE INCRUSTACIONES</v>
          </cell>
        </row>
        <row r="79">
          <cell r="H79" t="str">
            <v>CLEAR 2335</v>
          </cell>
          <cell r="I79">
            <v>4.38</v>
          </cell>
          <cell r="J79" t="str">
            <v>DISOLVENTE DE PARAFINAS Y ASFALTENOS</v>
          </cell>
        </row>
        <row r="80">
          <cell r="H80" t="str">
            <v>CORTRON RU312</v>
          </cell>
          <cell r="I80">
            <v>1.27</v>
          </cell>
          <cell r="J80" t="str">
            <v>SECUESTRANTE DE OXIGENO</v>
          </cell>
        </row>
        <row r="81">
          <cell r="H81" t="str">
            <v>EMBR17949A</v>
          </cell>
          <cell r="I81">
            <v>4</v>
          </cell>
          <cell r="J81" t="str">
            <v>DESEMULSIONANTE</v>
          </cell>
        </row>
        <row r="82">
          <cell r="H82" t="str">
            <v>EMBR17949A</v>
          </cell>
          <cell r="I82">
            <v>4</v>
          </cell>
          <cell r="J82" t="str">
            <v>DESEMULSIONANTE</v>
          </cell>
        </row>
        <row r="83">
          <cell r="H83" t="str">
            <v>SURFATRON DN-155</v>
          </cell>
          <cell r="I83">
            <v>4.25</v>
          </cell>
          <cell r="J83" t="str">
            <v>REDUCTOR DE FRICCIÓN</v>
          </cell>
        </row>
        <row r="84">
          <cell r="H84" t="str">
            <v>GYPTRON TA-416</v>
          </cell>
          <cell r="I84">
            <v>2.19</v>
          </cell>
          <cell r="J84" t="str">
            <v>INHIBIDOR DE INCRUSTACIONES</v>
          </cell>
        </row>
        <row r="85">
          <cell r="H85" t="str">
            <v>EMBR17949A</v>
          </cell>
          <cell r="I85">
            <v>4</v>
          </cell>
          <cell r="J85" t="str">
            <v>DESEMULSIONANTE</v>
          </cell>
        </row>
        <row r="86">
          <cell r="H86" t="str">
            <v>SURFATRON DN-155</v>
          </cell>
          <cell r="I86">
            <v>4.25</v>
          </cell>
          <cell r="J86" t="str">
            <v>REDUCTOR DE FRICCIÓN</v>
          </cell>
        </row>
        <row r="87">
          <cell r="H87" t="str">
            <v>EC6359A</v>
          </cell>
          <cell r="I87">
            <v>4.8099999999999996</v>
          </cell>
          <cell r="J87" t="str">
            <v>INHIBIDOR DE INCRUSTACIONES</v>
          </cell>
        </row>
        <row r="88">
          <cell r="H88" t="str">
            <v>GYPTRON TA-416</v>
          </cell>
          <cell r="I88">
            <v>2.19</v>
          </cell>
          <cell r="J88" t="str">
            <v>INHIBIDOR DE INCRUSTACIONES</v>
          </cell>
        </row>
        <row r="89">
          <cell r="H89" t="str">
            <v>EC3156</v>
          </cell>
          <cell r="I89">
            <v>2.5</v>
          </cell>
          <cell r="J89" t="str">
            <v>ANTIESPUMANTE</v>
          </cell>
        </row>
        <row r="90">
          <cell r="H90" t="str">
            <v>EMULSOTRON x-8134</v>
          </cell>
          <cell r="I90">
            <v>2.79</v>
          </cell>
          <cell r="J90" t="str">
            <v>DESEMULSIONANTE</v>
          </cell>
        </row>
        <row r="91">
          <cell r="H91" t="str">
            <v>CORTRON RN470</v>
          </cell>
          <cell r="I91">
            <v>2.65</v>
          </cell>
          <cell r="J91" t="str">
            <v>INHIBIDOR DE CORROSIÓN</v>
          </cell>
        </row>
        <row r="92">
          <cell r="H92" t="str">
            <v>EMULSOTRON x-8134</v>
          </cell>
          <cell r="I92">
            <v>2.79</v>
          </cell>
          <cell r="J92" t="str">
            <v>REDUCTOR DE FRICCIÓN</v>
          </cell>
        </row>
        <row r="93">
          <cell r="H93" t="str">
            <v>EMULSOTRON x-8134</v>
          </cell>
          <cell r="I93">
            <v>2.79</v>
          </cell>
          <cell r="J93" t="str">
            <v>DESEMULSIONANTE</v>
          </cell>
        </row>
        <row r="94">
          <cell r="H94" t="str">
            <v>GYPTRON TA-416</v>
          </cell>
          <cell r="I94">
            <v>2.19</v>
          </cell>
          <cell r="J94" t="str">
            <v>INHIBIDOR DE INCRUSTACIONES</v>
          </cell>
        </row>
        <row r="95">
          <cell r="H95" t="str">
            <v>SURFATRON DN-155</v>
          </cell>
          <cell r="I95">
            <v>4.25</v>
          </cell>
          <cell r="J95" t="str">
            <v>REDUCTOR DE FRICCIÓN</v>
          </cell>
        </row>
        <row r="96">
          <cell r="H96" t="str">
            <v>SURFATRON DN-155</v>
          </cell>
          <cell r="I96">
            <v>4.25</v>
          </cell>
          <cell r="J96" t="str">
            <v>REDUCTOR DE FRICCIÓN</v>
          </cell>
        </row>
        <row r="97">
          <cell r="H97" t="str">
            <v>CLEAR 2335</v>
          </cell>
          <cell r="I97">
            <v>4.38</v>
          </cell>
          <cell r="J97" t="str">
            <v>DISOLVENTE DE PARAFINAS Y ASFALTENOS</v>
          </cell>
        </row>
        <row r="98">
          <cell r="H98" t="str">
            <v>CLEAR 2335</v>
          </cell>
          <cell r="I98">
            <v>4.38</v>
          </cell>
          <cell r="J98" t="str">
            <v>DISOLVENTE DE PARAFINAS Y ASFALTENOS</v>
          </cell>
        </row>
        <row r="99">
          <cell r="H99" t="str">
            <v>SURFATRON DN-155</v>
          </cell>
          <cell r="I99">
            <v>4.25</v>
          </cell>
          <cell r="J99" t="str">
            <v>REDUCTOR DE FRICCIÓN</v>
          </cell>
        </row>
        <row r="100">
          <cell r="H100" t="str">
            <v>EMBR17949A</v>
          </cell>
          <cell r="I100">
            <v>4</v>
          </cell>
          <cell r="J100" t="str">
            <v>DESEMULSIONANTE</v>
          </cell>
        </row>
        <row r="101">
          <cell r="H101" t="str">
            <v>SURFATRON DN-155</v>
          </cell>
          <cell r="I101">
            <v>4.25</v>
          </cell>
          <cell r="J101" t="str">
            <v>REDUCTOR DE FRICCIÓN</v>
          </cell>
        </row>
        <row r="102">
          <cell r="H102" t="str">
            <v>EC6359A</v>
          </cell>
          <cell r="I102">
            <v>4.8099999999999996</v>
          </cell>
          <cell r="J102" t="str">
            <v>INHIBIDOR DE INCRUSTACIONES</v>
          </cell>
        </row>
        <row r="103">
          <cell r="H103" t="str">
            <v>EC6359A</v>
          </cell>
          <cell r="I103">
            <v>4.8099999999999996</v>
          </cell>
          <cell r="J103" t="str">
            <v>INHIBIDOR DE INCRUSTACIONES</v>
          </cell>
        </row>
        <row r="104">
          <cell r="H104" t="str">
            <v>SURFATRON DN-155</v>
          </cell>
          <cell r="I104">
            <v>4.25</v>
          </cell>
          <cell r="J104" t="str">
            <v>REDUCTOR DE FRICCIÓN</v>
          </cell>
        </row>
        <row r="105">
          <cell r="H105" t="str">
            <v>SURFATRON DN-155</v>
          </cell>
          <cell r="I105">
            <v>4.25</v>
          </cell>
          <cell r="J105" t="str">
            <v>REDUCTOR DE FRICCIÓN</v>
          </cell>
        </row>
        <row r="106">
          <cell r="H106" t="str">
            <v>EMBR12601A</v>
          </cell>
          <cell r="I106">
            <v>4</v>
          </cell>
          <cell r="J106" t="str">
            <v>DESEMULSIONANTE</v>
          </cell>
        </row>
        <row r="107">
          <cell r="H107" t="str">
            <v>EC3156</v>
          </cell>
          <cell r="I107">
            <v>2.5</v>
          </cell>
          <cell r="J107" t="str">
            <v>ANTIESPUMANTE</v>
          </cell>
        </row>
        <row r="108">
          <cell r="H108" t="str">
            <v>EMBR12601A</v>
          </cell>
          <cell r="I108">
            <v>4</v>
          </cell>
          <cell r="J108" t="str">
            <v>DESEMULSIONANTE</v>
          </cell>
        </row>
        <row r="109">
          <cell r="H109" t="str">
            <v>EMBR12601A</v>
          </cell>
          <cell r="I109">
            <v>4</v>
          </cell>
          <cell r="J109" t="str">
            <v>DESEMULSIONANTE</v>
          </cell>
        </row>
        <row r="110">
          <cell r="H110" t="str">
            <v>EMBR12601A</v>
          </cell>
          <cell r="I110">
            <v>4</v>
          </cell>
          <cell r="J110" t="str">
            <v>DESEMULSIONANTE</v>
          </cell>
        </row>
        <row r="111">
          <cell r="H111" t="str">
            <v>EC3156</v>
          </cell>
          <cell r="I111">
            <v>2.5</v>
          </cell>
          <cell r="J111" t="str">
            <v>ANTIESPUMANTE</v>
          </cell>
        </row>
        <row r="112">
          <cell r="H112" t="str">
            <v>EMBR12601A</v>
          </cell>
          <cell r="I112">
            <v>4</v>
          </cell>
          <cell r="J112" t="str">
            <v>DESEMULSIONANTE</v>
          </cell>
        </row>
        <row r="113">
          <cell r="H113" t="str">
            <v>EMBR12601A</v>
          </cell>
          <cell r="I113">
            <v>4</v>
          </cell>
          <cell r="J113" t="str">
            <v>DESEMULSIONANTE</v>
          </cell>
        </row>
        <row r="114">
          <cell r="H114" t="str">
            <v>EMBR12601A</v>
          </cell>
          <cell r="I114">
            <v>4</v>
          </cell>
          <cell r="J114" t="str">
            <v>DESEMULSIONANTE</v>
          </cell>
        </row>
        <row r="115">
          <cell r="H115" t="str">
            <v>EMBR12601A</v>
          </cell>
          <cell r="I115">
            <v>4</v>
          </cell>
          <cell r="J115" t="str">
            <v>DESEMULSIONANTE</v>
          </cell>
        </row>
        <row r="116">
          <cell r="H116" t="str">
            <v>EC6036A</v>
          </cell>
          <cell r="I116">
            <v>3.9</v>
          </cell>
          <cell r="J116" t="str">
            <v>CLARIFICANTE</v>
          </cell>
        </row>
        <row r="117">
          <cell r="H117" t="str">
            <v>EC6019A</v>
          </cell>
          <cell r="I117">
            <v>6.04</v>
          </cell>
          <cell r="J117" t="str">
            <v>FLOCULANTE</v>
          </cell>
        </row>
        <row r="118">
          <cell r="H118" t="str">
            <v>EC6019A</v>
          </cell>
          <cell r="I118">
            <v>6.04</v>
          </cell>
          <cell r="J118" t="str">
            <v>FLOCULANTE</v>
          </cell>
        </row>
        <row r="119">
          <cell r="H119" t="str">
            <v>LA3147A</v>
          </cell>
          <cell r="I119">
            <v>5.07</v>
          </cell>
          <cell r="J119" t="str">
            <v>DESEMULSIONANTE</v>
          </cell>
        </row>
        <row r="120">
          <cell r="H120" t="str">
            <v>EC6539A</v>
          </cell>
          <cell r="I120">
            <v>5.47</v>
          </cell>
          <cell r="J120" t="str">
            <v>INHIBIDOR DE PARAFINAS Y ASFALTENOS</v>
          </cell>
        </row>
        <row r="121">
          <cell r="H121" t="str">
            <v>EMBR14512A</v>
          </cell>
          <cell r="I121">
            <v>3.16</v>
          </cell>
          <cell r="J121" t="str">
            <v>DESEMULSIONANTE</v>
          </cell>
        </row>
        <row r="122">
          <cell r="H122" t="str">
            <v>EMBR14512A</v>
          </cell>
          <cell r="I122">
            <v>3.16</v>
          </cell>
          <cell r="J122" t="str">
            <v>DESEMULSIONANTE</v>
          </cell>
        </row>
        <row r="123">
          <cell r="H123" t="str">
            <v>CORE SHELL</v>
          </cell>
          <cell r="I123">
            <v>6</v>
          </cell>
          <cell r="J123" t="str">
            <v>FLOCULANTE</v>
          </cell>
        </row>
        <row r="124">
          <cell r="H124" t="str">
            <v>EC6359A</v>
          </cell>
          <cell r="I124">
            <v>4.8099999999999996</v>
          </cell>
          <cell r="J124" t="str">
            <v>INHIBIDOR DE INCRUSTACIONES</v>
          </cell>
        </row>
        <row r="125">
          <cell r="H125" t="str">
            <v>SURFATRON DN-155</v>
          </cell>
          <cell r="I125">
            <v>4.25</v>
          </cell>
          <cell r="J125" t="str">
            <v>REDUCTOR DE FRICCIÓN</v>
          </cell>
        </row>
        <row r="126">
          <cell r="H126" t="str">
            <v>GAS TREAT 200</v>
          </cell>
          <cell r="I126">
            <v>1.88</v>
          </cell>
          <cell r="J126" t="str">
            <v>SECUESTRANTE DE SULFHÍDRICO</v>
          </cell>
        </row>
        <row r="127">
          <cell r="H127" t="str">
            <v>EMBR17949A</v>
          </cell>
          <cell r="I127">
            <v>4</v>
          </cell>
          <cell r="J127" t="str">
            <v>REDUCTOR DE FRICCIÓN</v>
          </cell>
        </row>
        <row r="128">
          <cell r="H128" t="str">
            <v>GAS TREAT 200</v>
          </cell>
          <cell r="I128">
            <v>1.88</v>
          </cell>
          <cell r="J128" t="str">
            <v>SECUESTRANTE DE SULFHÍDRICO</v>
          </cell>
        </row>
        <row r="129">
          <cell r="H129" t="str">
            <v>GAS TREAT 200</v>
          </cell>
          <cell r="I129">
            <v>1.88</v>
          </cell>
          <cell r="J129" t="str">
            <v>SECUESTRANTE DE SULFHÍDRICO</v>
          </cell>
        </row>
        <row r="130">
          <cell r="H130" t="str">
            <v>SURFATRON DN-155</v>
          </cell>
          <cell r="I130">
            <v>4.25</v>
          </cell>
          <cell r="J130" t="str">
            <v>REDUCTOR DE FRICCIÓN</v>
          </cell>
        </row>
        <row r="131">
          <cell r="H131" t="str">
            <v>SURFATRON DN-155</v>
          </cell>
          <cell r="I131">
            <v>4.25</v>
          </cell>
          <cell r="J131" t="str">
            <v>REDUCTOR DE FRICCIÓN</v>
          </cell>
        </row>
        <row r="132">
          <cell r="H132" t="str">
            <v>EC6539A</v>
          </cell>
          <cell r="I132">
            <v>5.47</v>
          </cell>
          <cell r="J132" t="str">
            <v>REDUCTOR DE FRICCIÓN</v>
          </cell>
        </row>
        <row r="133">
          <cell r="H133" t="str">
            <v>SURFATRON DN-155</v>
          </cell>
          <cell r="I133">
            <v>4.25</v>
          </cell>
          <cell r="J133" t="str">
            <v>REDUCTOR DE FRICCIÓN</v>
          </cell>
        </row>
        <row r="134">
          <cell r="H134" t="str">
            <v>EC6539A</v>
          </cell>
          <cell r="I134">
            <v>5.47</v>
          </cell>
          <cell r="J134" t="str">
            <v>REDUCTOR DE FRICCIÓN</v>
          </cell>
        </row>
        <row r="135">
          <cell r="H135" t="str">
            <v>SURFATRON DN-155</v>
          </cell>
          <cell r="I135">
            <v>4.25</v>
          </cell>
          <cell r="J135" t="str">
            <v>REDUCTOR DE FRICCIÓN</v>
          </cell>
        </row>
        <row r="136">
          <cell r="H136" t="str">
            <v>CLEAR 2335</v>
          </cell>
          <cell r="I136">
            <v>4.38</v>
          </cell>
          <cell r="J136" t="str">
            <v>DISOLVENTE DE PARAFINAS Y ASFALTENOS</v>
          </cell>
        </row>
        <row r="137">
          <cell r="H137" t="str">
            <v>CLEAR 2335</v>
          </cell>
          <cell r="I137">
            <v>4.38</v>
          </cell>
          <cell r="J137" t="str">
            <v>DISOLVENTE DE PARAFINAS Y ASFALTENOS</v>
          </cell>
        </row>
        <row r="138">
          <cell r="H138" t="str">
            <v>SURFATRON DN-155</v>
          </cell>
          <cell r="I138">
            <v>4.25</v>
          </cell>
          <cell r="J138" t="str">
            <v>REDUCTOR DE FRICCIÓN</v>
          </cell>
        </row>
        <row r="139">
          <cell r="H139" t="str">
            <v>EMBR17949A</v>
          </cell>
          <cell r="I139">
            <v>4</v>
          </cell>
          <cell r="J139" t="str">
            <v>DESEMULSIONANTE</v>
          </cell>
        </row>
        <row r="140">
          <cell r="H140" t="str">
            <v>EC3156</v>
          </cell>
          <cell r="I140">
            <v>2.5</v>
          </cell>
          <cell r="J140" t="str">
            <v>ANTIESPUMANTE</v>
          </cell>
        </row>
        <row r="141">
          <cell r="H141" t="str">
            <v>EMULSOTRON x-8135</v>
          </cell>
          <cell r="I141">
            <v>4</v>
          </cell>
          <cell r="J141" t="str">
            <v>REDUCTOR DE FRICCIÓN</v>
          </cell>
        </row>
        <row r="142">
          <cell r="H142" t="str">
            <v>EC3156</v>
          </cell>
          <cell r="I142">
            <v>2.5</v>
          </cell>
          <cell r="J142" t="str">
            <v>ANTIESPUMANTE</v>
          </cell>
        </row>
        <row r="143">
          <cell r="H143" t="str">
            <v>EC3156</v>
          </cell>
          <cell r="I143">
            <v>2.5</v>
          </cell>
          <cell r="J143" t="str">
            <v>ANTIESPUMANTE</v>
          </cell>
        </row>
        <row r="144">
          <cell r="H144" t="str">
            <v>EC3156</v>
          </cell>
          <cell r="I144">
            <v>2.5</v>
          </cell>
          <cell r="J144" t="str">
            <v>ANTIESPUMANTE</v>
          </cell>
        </row>
        <row r="145">
          <cell r="H145" t="str">
            <v>EC3156</v>
          </cell>
          <cell r="I145">
            <v>2.5</v>
          </cell>
          <cell r="J145" t="str">
            <v>ANTIESPUMANTE</v>
          </cell>
        </row>
        <row r="146">
          <cell r="H146" t="str">
            <v>GAS TREAT 200</v>
          </cell>
          <cell r="I146">
            <v>1.88</v>
          </cell>
          <cell r="J146" t="str">
            <v>SECUESTRANTE DE SULFHÍDRICO</v>
          </cell>
        </row>
        <row r="147">
          <cell r="H147" t="str">
            <v>GAS TREAT 200</v>
          </cell>
          <cell r="I147">
            <v>1.88</v>
          </cell>
          <cell r="J147" t="str">
            <v>SECUESTRANTE DE SULFHÍDRICO</v>
          </cell>
        </row>
        <row r="148">
          <cell r="H148" t="str">
            <v>GAS TREAT 200</v>
          </cell>
          <cell r="I148">
            <v>1.88</v>
          </cell>
          <cell r="J148" t="str">
            <v>SECUESTRANTE DE SULFHÍDRICO</v>
          </cell>
        </row>
        <row r="149">
          <cell r="H149" t="str">
            <v>EC6620</v>
          </cell>
          <cell r="I149">
            <v>10.02</v>
          </cell>
          <cell r="J149" t="str">
            <v>REDUCTOR DE VISCOSIDAD</v>
          </cell>
        </row>
        <row r="150">
          <cell r="H150" t="str">
            <v>EC3156</v>
          </cell>
          <cell r="I150">
            <v>2.5</v>
          </cell>
          <cell r="J150" t="str">
            <v>ANTIESPUMANTE</v>
          </cell>
        </row>
        <row r="151">
          <cell r="H151" t="str">
            <v>SURFATRON DN-155</v>
          </cell>
          <cell r="I151">
            <v>4.25</v>
          </cell>
          <cell r="J151" t="str">
            <v>REDUCTOR DE FRICCIÓN</v>
          </cell>
        </row>
        <row r="152">
          <cell r="H152" t="str">
            <v>GYPTRON TA-416</v>
          </cell>
          <cell r="I152">
            <v>2.19</v>
          </cell>
          <cell r="J152" t="str">
            <v>INHIBIDOR DE INCRUSTACIONES</v>
          </cell>
        </row>
        <row r="153">
          <cell r="H153" t="str">
            <v>EMBR17949A</v>
          </cell>
          <cell r="I153">
            <v>4</v>
          </cell>
          <cell r="J153" t="str">
            <v>DESEMULSIONANTE</v>
          </cell>
        </row>
        <row r="154">
          <cell r="H154" t="str">
            <v>EMBR17949A</v>
          </cell>
          <cell r="I154">
            <v>4</v>
          </cell>
          <cell r="J154" t="str">
            <v>DESEMULSIONANTE</v>
          </cell>
        </row>
        <row r="155">
          <cell r="H155" t="str">
            <v>GYPTRON TA-416</v>
          </cell>
          <cell r="I155">
            <v>2.19</v>
          </cell>
          <cell r="J155" t="str">
            <v>INHIBIDOR DE INCRUSTACIONES</v>
          </cell>
        </row>
        <row r="156">
          <cell r="H156" t="str">
            <v>EC2434A</v>
          </cell>
          <cell r="I156">
            <v>5.44</v>
          </cell>
          <cell r="J156" t="str">
            <v>RUPTOR</v>
          </cell>
        </row>
        <row r="157">
          <cell r="H157" t="str">
            <v>EMBR17949A</v>
          </cell>
          <cell r="I157">
            <v>4</v>
          </cell>
          <cell r="J157" t="str">
            <v>DESEMULSIONANTE</v>
          </cell>
        </row>
        <row r="158">
          <cell r="H158" t="str">
            <v>CLEAR 2335</v>
          </cell>
          <cell r="I158">
            <v>4.38</v>
          </cell>
          <cell r="J158" t="str">
            <v>DISOLVENTE DE PARAFINAS Y ASFALTENOS</v>
          </cell>
        </row>
        <row r="159">
          <cell r="H159" t="str">
            <v>CORTRON RN470</v>
          </cell>
          <cell r="I159">
            <v>2.65</v>
          </cell>
          <cell r="J159" t="str">
            <v>INHIBIDOR DE CORROSIÓN</v>
          </cell>
        </row>
        <row r="160">
          <cell r="H160" t="str">
            <v>SURFATRON DN-155</v>
          </cell>
          <cell r="I160">
            <v>4.25</v>
          </cell>
          <cell r="J160" t="str">
            <v>REDUCTOR DE FRICCIÓN</v>
          </cell>
        </row>
        <row r="161">
          <cell r="H161" t="str">
            <v>SURFATRON DN-155</v>
          </cell>
          <cell r="I161">
            <v>4.25</v>
          </cell>
          <cell r="J161" t="str">
            <v>REDUCTOR DE FRICCIÓN</v>
          </cell>
        </row>
        <row r="162">
          <cell r="H162" t="str">
            <v>CLEAR 2335</v>
          </cell>
          <cell r="I162">
            <v>4.38</v>
          </cell>
          <cell r="J162" t="str">
            <v>DISOLVENTE DE PARAFINAS Y ASFALTENOS</v>
          </cell>
        </row>
        <row r="163">
          <cell r="H163" t="str">
            <v>CLEAR 2335</v>
          </cell>
          <cell r="I163">
            <v>4.38</v>
          </cell>
          <cell r="J163" t="str">
            <v>DISOLVENTE DE PARAFINAS Y ASFALTENOS</v>
          </cell>
        </row>
        <row r="164">
          <cell r="H164" t="str">
            <v>CLEAR 2335</v>
          </cell>
          <cell r="I164">
            <v>4.38</v>
          </cell>
          <cell r="J164" t="str">
            <v>DISOLVENTE DE PARAFINAS Y ASFALTENOS</v>
          </cell>
        </row>
        <row r="165">
          <cell r="H165" t="str">
            <v>CLEAR 2335</v>
          </cell>
          <cell r="I165">
            <v>4.38</v>
          </cell>
          <cell r="J165" t="str">
            <v>DISOLVENTE DE PARAFINAS Y ASFALTENOS</v>
          </cell>
        </row>
        <row r="166">
          <cell r="H166" t="str">
            <v>CLEAR 2335</v>
          </cell>
          <cell r="I166">
            <v>4.38</v>
          </cell>
          <cell r="J166" t="str">
            <v>INHIBIDOR DE INCRUSTACIONES</v>
          </cell>
        </row>
        <row r="167">
          <cell r="H167" t="str">
            <v>CLEAR 2335</v>
          </cell>
          <cell r="I167">
            <v>4.38</v>
          </cell>
          <cell r="J167" t="str">
            <v>DISOLVENTE DE PARAFINAS Y ASFALTENOS</v>
          </cell>
        </row>
        <row r="168">
          <cell r="H168" t="str">
            <v>CLEAR 2335</v>
          </cell>
          <cell r="I168">
            <v>4.38</v>
          </cell>
          <cell r="J168" t="str">
            <v>DISOLVENTE DE PARAFINAS Y ASFALTENOS</v>
          </cell>
        </row>
        <row r="169">
          <cell r="H169" t="str">
            <v>CLEAR 2335</v>
          </cell>
          <cell r="I169">
            <v>4.38</v>
          </cell>
          <cell r="J169" t="str">
            <v>DISOLVENTE DE PARAFINAS Y ASFALTENOS</v>
          </cell>
        </row>
        <row r="170">
          <cell r="H170" t="str">
            <v>CLEAR 2335</v>
          </cell>
          <cell r="I170">
            <v>4.38</v>
          </cell>
          <cell r="J170" t="str">
            <v>DISOLVENTE DE PARAFINAS Y ASFALTENOS</v>
          </cell>
        </row>
        <row r="171">
          <cell r="H171" t="str">
            <v>BACTRON L-133</v>
          </cell>
          <cell r="I171">
            <v>6.94</v>
          </cell>
          <cell r="J171" t="str">
            <v>BACTERICIDA</v>
          </cell>
        </row>
        <row r="172">
          <cell r="H172" t="str">
            <v>CORTRON 2533</v>
          </cell>
          <cell r="I172">
            <v>2.66</v>
          </cell>
          <cell r="J172" t="str">
            <v>INHIBIDOR DE CORROSIÓN</v>
          </cell>
        </row>
        <row r="173">
          <cell r="H173" t="str">
            <v>CLEAR 2335</v>
          </cell>
          <cell r="I173">
            <v>4.38</v>
          </cell>
          <cell r="J173" t="str">
            <v>DISOLVENTE DE PARAFINAS Y ASFALTENOS</v>
          </cell>
        </row>
        <row r="174">
          <cell r="H174" t="str">
            <v>CLEAR 2335</v>
          </cell>
          <cell r="I174">
            <v>4.38</v>
          </cell>
          <cell r="J174" t="str">
            <v>DISOLVENTE DE PARAFINAS Y ASFALTENOS</v>
          </cell>
        </row>
        <row r="175">
          <cell r="H175" t="str">
            <v>CLEAR 2335</v>
          </cell>
          <cell r="I175">
            <v>4.38</v>
          </cell>
          <cell r="J175" t="str">
            <v>DISOLVENTE DE PARAFINAS Y ASFALTENOS</v>
          </cell>
        </row>
        <row r="176">
          <cell r="H176" t="str">
            <v>CLEAR 2335</v>
          </cell>
          <cell r="I176">
            <v>4.38</v>
          </cell>
          <cell r="J176" t="str">
            <v>DISOLVENTE DE PARAFINAS Y ASFALTENOS</v>
          </cell>
        </row>
        <row r="177">
          <cell r="H177" t="str">
            <v>CLEAR 2335</v>
          </cell>
          <cell r="I177">
            <v>4.38</v>
          </cell>
          <cell r="J177" t="str">
            <v>DISOLVENTE DE PARAFINAS Y ASFALTENOS</v>
          </cell>
        </row>
        <row r="178">
          <cell r="H178" t="str">
            <v>CLEAR 2335</v>
          </cell>
          <cell r="I178">
            <v>4.38</v>
          </cell>
          <cell r="J178" t="str">
            <v>DISOLVENTE DE PARAFINAS Y ASFALTENOS</v>
          </cell>
        </row>
        <row r="179">
          <cell r="H179" t="str">
            <v>CLEAR 2335</v>
          </cell>
          <cell r="I179">
            <v>4.38</v>
          </cell>
          <cell r="J179" t="str">
            <v>DISOLVENTE DE PARAFINAS Y ASFALTENOS</v>
          </cell>
        </row>
        <row r="180">
          <cell r="H180" t="str">
            <v>CLEAR 2335</v>
          </cell>
          <cell r="I180">
            <v>4.38</v>
          </cell>
          <cell r="J180" t="str">
            <v>DISOLVENTE DE PARAFINAS Y ASFALTENOS</v>
          </cell>
        </row>
        <row r="181">
          <cell r="H181" t="str">
            <v>CLEAR 2335</v>
          </cell>
          <cell r="I181">
            <v>4.38</v>
          </cell>
          <cell r="J181" t="str">
            <v>DISOLVENTE DE PARAFINAS Y ASFALTENOS</v>
          </cell>
        </row>
        <row r="182">
          <cell r="H182" t="str">
            <v>CORTRON 2533</v>
          </cell>
          <cell r="I182">
            <v>2.66</v>
          </cell>
          <cell r="J182" t="str">
            <v>INHIBIDOR DE CORROSIÓN</v>
          </cell>
        </row>
        <row r="183">
          <cell r="H183" t="str">
            <v>BACTRON L-133</v>
          </cell>
          <cell r="I183">
            <v>6.94</v>
          </cell>
          <cell r="J183" t="str">
            <v>BACTERICIDA</v>
          </cell>
        </row>
        <row r="184">
          <cell r="H184" t="str">
            <v>CORTRON 2533</v>
          </cell>
          <cell r="I184">
            <v>2.66</v>
          </cell>
          <cell r="J184" t="str">
            <v>INHIBIDOR DE CORROSIÓN</v>
          </cell>
        </row>
        <row r="185">
          <cell r="H185" t="str">
            <v>GYPTRON TA-416</v>
          </cell>
          <cell r="I185">
            <v>2.19</v>
          </cell>
          <cell r="J185" t="str">
            <v>INHIBIDOR DE INCRUSTACIONES</v>
          </cell>
        </row>
        <row r="186">
          <cell r="H186" t="str">
            <v>CLEAR 2335</v>
          </cell>
          <cell r="I186">
            <v>4.38</v>
          </cell>
          <cell r="J186" t="str">
            <v>DISOLVENTE DE PARAFINAS Y ASFALTENOS</v>
          </cell>
        </row>
        <row r="187">
          <cell r="H187" t="str">
            <v>GYPTRON TA-416</v>
          </cell>
          <cell r="I187">
            <v>2.19</v>
          </cell>
          <cell r="J187" t="str">
            <v>INHIBIDOR DE INCRUSTACIONES</v>
          </cell>
        </row>
        <row r="188">
          <cell r="H188" t="str">
            <v>CORTRON 2533</v>
          </cell>
          <cell r="I188">
            <v>2.66</v>
          </cell>
          <cell r="J188" t="str">
            <v>INHIBIDOR DE CORROSIÓN</v>
          </cell>
        </row>
        <row r="189">
          <cell r="H189" t="str">
            <v>CLEAR 2335</v>
          </cell>
          <cell r="I189">
            <v>4.38</v>
          </cell>
          <cell r="J189" t="str">
            <v>DISOLVENTE DE PARAFINAS Y ASFALTENOS</v>
          </cell>
        </row>
        <row r="190">
          <cell r="H190" t="str">
            <v>CORTRON 2533</v>
          </cell>
          <cell r="I190">
            <v>2.66</v>
          </cell>
          <cell r="J190" t="str">
            <v>INHIBIDOR DE CORROSIÓN</v>
          </cell>
        </row>
        <row r="191">
          <cell r="H191" t="str">
            <v>CORTRON 2533</v>
          </cell>
          <cell r="I191">
            <v>2.66</v>
          </cell>
          <cell r="J191" t="str">
            <v>INHIBIDOR DE CORROSIÓN</v>
          </cell>
        </row>
        <row r="192">
          <cell r="H192" t="str">
            <v>BACTRON L-133</v>
          </cell>
          <cell r="I192">
            <v>6.94</v>
          </cell>
          <cell r="J192" t="str">
            <v>BACTERICIDA</v>
          </cell>
        </row>
        <row r="193">
          <cell r="H193" t="str">
            <v>CORTRON 2533</v>
          </cell>
          <cell r="I193">
            <v>2.66</v>
          </cell>
          <cell r="J193" t="str">
            <v>INHIBIDOR DE CORROSIÓN</v>
          </cell>
        </row>
        <row r="194">
          <cell r="H194" t="str">
            <v>CLEAR 2336</v>
          </cell>
          <cell r="I194">
            <v>3.74</v>
          </cell>
          <cell r="J194" t="str">
            <v>DISOLVENTE DE PARAFINAS Y ASFALTENOS</v>
          </cell>
        </row>
        <row r="195">
          <cell r="H195" t="str">
            <v>CLEAR 2335</v>
          </cell>
          <cell r="I195">
            <v>4.38</v>
          </cell>
          <cell r="J195" t="str">
            <v>DISOLVENTE DE PARAFINAS Y ASFALTENOS</v>
          </cell>
        </row>
        <row r="196">
          <cell r="H196" t="str">
            <v>EC6359A</v>
          </cell>
          <cell r="I196">
            <v>4.8099999999999996</v>
          </cell>
          <cell r="J196" t="str">
            <v>INHIBIDOR DE INCRUSTACIONES</v>
          </cell>
        </row>
        <row r="197">
          <cell r="H197" t="str">
            <v>CAPTRON 75/ENCAPTRON 95</v>
          </cell>
          <cell r="I197">
            <v>8.76</v>
          </cell>
          <cell r="J197" t="str">
            <v>INHIBIDOR DE INCRUSTACIÓN/CORROSIÓN</v>
          </cell>
        </row>
        <row r="198">
          <cell r="H198" t="str">
            <v>CAPTRON 75/ENCAPTRON 95</v>
          </cell>
          <cell r="I198">
            <v>8.76</v>
          </cell>
          <cell r="J198" t="str">
            <v>INHIBIDOR DE INCRUSTACIÓN/CORROSIÓN</v>
          </cell>
        </row>
        <row r="199">
          <cell r="H199" t="str">
            <v>CAPTRON 75</v>
          </cell>
          <cell r="I199">
            <v>10.58</v>
          </cell>
          <cell r="J199" t="str">
            <v>INHIBIDOR DE INCRUSTACIONES</v>
          </cell>
        </row>
        <row r="200">
          <cell r="H200" t="str">
            <v>ENCAPTRON 95</v>
          </cell>
          <cell r="I200">
            <v>6.94</v>
          </cell>
          <cell r="J200" t="str">
            <v>INHIBIDOR DE CORROSIÓN</v>
          </cell>
        </row>
        <row r="201">
          <cell r="H201" t="str">
            <v>ENCAPTRON 95</v>
          </cell>
          <cell r="I201">
            <v>6.94</v>
          </cell>
          <cell r="J201" t="str">
            <v>INHIBIDOR DE CORROSIÓN</v>
          </cell>
        </row>
        <row r="202">
          <cell r="H202" t="str">
            <v>ENCAPTRON 95</v>
          </cell>
          <cell r="I202">
            <v>6.94</v>
          </cell>
          <cell r="J202" t="str">
            <v>INHIBIDOR DE CORROSIÓN</v>
          </cell>
        </row>
        <row r="203">
          <cell r="H203" t="str">
            <v>CAPTRON 75/ENCAPTRON 95</v>
          </cell>
          <cell r="I203">
            <v>8.76</v>
          </cell>
          <cell r="J203" t="str">
            <v>INHIBIDOR DE INCRUSTACIÓN/CORROSIÓN</v>
          </cell>
        </row>
        <row r="204">
          <cell r="H204" t="str">
            <v>CAPTRON 75/ENCAPTRON 95</v>
          </cell>
          <cell r="I204">
            <v>8.76</v>
          </cell>
          <cell r="J204" t="str">
            <v>INHIBIDOR DE INCRUSTACIÓN/CORROSIÓN</v>
          </cell>
        </row>
        <row r="205">
          <cell r="H205" t="str">
            <v>CAPTRON 75/ENCAPTRON 95</v>
          </cell>
          <cell r="I205">
            <v>8.76</v>
          </cell>
          <cell r="J205" t="str">
            <v>INHIBIDOR DE INCRUSTACIÓN/CORROSIÓN</v>
          </cell>
        </row>
        <row r="206">
          <cell r="H206" t="str">
            <v>CAPTRON 75/ENCAPTRON 95</v>
          </cell>
          <cell r="I206">
            <v>8.76</v>
          </cell>
          <cell r="J206" t="str">
            <v>INHIBIDOR DE INCRUSTACIÓN/CORROSIÓN</v>
          </cell>
        </row>
        <row r="207">
          <cell r="H207" t="str">
            <v>CAPTRON 75/ENCAPTRON 95</v>
          </cell>
          <cell r="I207">
            <v>8.76</v>
          </cell>
          <cell r="J207" t="str">
            <v>INHIBIDOR DE INCRUSTACIÓN/CORROSIÓN</v>
          </cell>
        </row>
        <row r="208">
          <cell r="H208" t="str">
            <v>CAPTRON 75/ENCAPTRON 95</v>
          </cell>
          <cell r="I208">
            <v>8.76</v>
          </cell>
          <cell r="J208" t="str">
            <v>INHIBIDOR DE INCRUSTACIÓN/CORROSIÓN</v>
          </cell>
        </row>
        <row r="209">
          <cell r="H209" t="str">
            <v>CAPTRON 75/ENCAPTRON 95</v>
          </cell>
          <cell r="I209">
            <v>8.76</v>
          </cell>
          <cell r="J209" t="str">
            <v>INHIBIDOR DE INCRUSTACIÓN/CORROSIÓN</v>
          </cell>
        </row>
        <row r="210">
          <cell r="H210" t="str">
            <v>CAPTRON 75/ENCAPTRON 95</v>
          </cell>
          <cell r="I210">
            <v>8.76</v>
          </cell>
          <cell r="J210" t="str">
            <v>INHIBIDOR DE INCRUSTACIÓN/CORROSIÓN</v>
          </cell>
        </row>
        <row r="211">
          <cell r="H211" t="str">
            <v>CAPTRON 75/ENCAPTRON 95</v>
          </cell>
          <cell r="I211">
            <v>8.76</v>
          </cell>
          <cell r="J211" t="str">
            <v>INHIBIDOR DE INCRUSTACIÓN/CORROSIÓN</v>
          </cell>
        </row>
        <row r="212">
          <cell r="H212" t="str">
            <v>CAPTRON 75/ENCAPTRON 95</v>
          </cell>
          <cell r="I212">
            <v>8.76</v>
          </cell>
          <cell r="J212" t="str">
            <v>INHIBIDOR DE INCRUSTACIÓN/CORROSIÓN</v>
          </cell>
        </row>
        <row r="213">
          <cell r="H213" t="str">
            <v>CAPTRON 75/ENCAPTRON 95</v>
          </cell>
          <cell r="I213">
            <v>8.76</v>
          </cell>
          <cell r="J213" t="str">
            <v>INHIBIDOR DE INCRUSTACIÓN/CORROSIÓN</v>
          </cell>
        </row>
        <row r="214">
          <cell r="H214" t="str">
            <v>CAPTRON 75/ENCAPTRON 95</v>
          </cell>
          <cell r="I214">
            <v>8.76</v>
          </cell>
          <cell r="J214" t="str">
            <v>INHIBIDOR DE INCRUSTACIÓN/CORROSIÓN</v>
          </cell>
        </row>
        <row r="215">
          <cell r="H215" t="str">
            <v>CAPTRON 75/ENCAPTRON 95</v>
          </cell>
          <cell r="I215">
            <v>8.76</v>
          </cell>
          <cell r="J215" t="str">
            <v>INHIBIDOR DE INCRUSTACIÓN/CORROSIÓN</v>
          </cell>
        </row>
        <row r="216">
          <cell r="H216" t="str">
            <v>CAPTRON 75/ENCAPTRON 95</v>
          </cell>
          <cell r="I216">
            <v>8.76</v>
          </cell>
          <cell r="J216" t="str">
            <v>INHIBIDOR DE INCRUSTACIÓN/CORROSIÓN</v>
          </cell>
        </row>
        <row r="217">
          <cell r="H217" t="str">
            <v>CAPTRON 75/ENCAPTRON 95</v>
          </cell>
          <cell r="I217">
            <v>8.76</v>
          </cell>
          <cell r="J217" t="str">
            <v>INHIBIDOR DE INCRUSTACIÓN/CORROSIÓN</v>
          </cell>
        </row>
        <row r="218">
          <cell r="H218" t="str">
            <v>CAPTRON 75/ENCAPTRON 95</v>
          </cell>
          <cell r="I218">
            <v>8.76</v>
          </cell>
          <cell r="J218" t="str">
            <v>INHIBIDOR DE INCRUSTACIÓN/CORROSIÓN</v>
          </cell>
        </row>
        <row r="219">
          <cell r="H219" t="str">
            <v>CAPTRON 75/ENCAPTRON 95</v>
          </cell>
          <cell r="I219">
            <v>8.76</v>
          </cell>
          <cell r="J219" t="str">
            <v>INHIBIDOR DE INCRUSTACIÓN/CORROSIÓN</v>
          </cell>
        </row>
        <row r="220">
          <cell r="H220" t="str">
            <v>CAPTRON 75/ENCAPTRON 95</v>
          </cell>
          <cell r="I220">
            <v>8.76</v>
          </cell>
          <cell r="J220" t="str">
            <v>INHIBIDOR DE INCRUSTACIÓN/CORROSIÓN</v>
          </cell>
        </row>
        <row r="221">
          <cell r="H221" t="str">
            <v>CAPTRON 75/ENCAPTRON 96</v>
          </cell>
          <cell r="I221">
            <v>10.975</v>
          </cell>
          <cell r="J221" t="str">
            <v>INHIBIDOR DE INCRUSTACIÓN/CORROSIÓN</v>
          </cell>
        </row>
        <row r="222">
          <cell r="H222" t="str">
            <v>CAPTRON 75</v>
          </cell>
          <cell r="I222">
            <v>10.58</v>
          </cell>
          <cell r="J222" t="str">
            <v>INHIBIDOR DE INCRUSTACIONES</v>
          </cell>
        </row>
        <row r="223">
          <cell r="H223" t="str">
            <v>CAPTRON 75/ENCAPTRON 95</v>
          </cell>
          <cell r="I223">
            <v>8.76</v>
          </cell>
          <cell r="J223" t="str">
            <v>INHIBIDOR DE INCRUSTACIÓN/CORROSIÓN</v>
          </cell>
        </row>
        <row r="224">
          <cell r="H224" t="str">
            <v>CAPTRON 75/ENCAPTRON 95</v>
          </cell>
          <cell r="I224">
            <v>8.76</v>
          </cell>
          <cell r="J224" t="str">
            <v>INHIBIDOR DE INCRUSTACIÓN/CORROSIÓN</v>
          </cell>
        </row>
        <row r="225">
          <cell r="H225" t="str">
            <v>CAPTRON 75/ENCAPTRON 95</v>
          </cell>
          <cell r="I225">
            <v>8.76</v>
          </cell>
          <cell r="J225" t="str">
            <v>INHIBIDOR DE INCRUSTACIÓN/CORROSIÓN</v>
          </cell>
        </row>
        <row r="226">
          <cell r="H226" t="str">
            <v>CAPTRON 75/ENCAPTRON 95</v>
          </cell>
          <cell r="I226">
            <v>8.76</v>
          </cell>
          <cell r="J226" t="str">
            <v>INHIBIDOR DE INCRUSTACIÓN/CORROSIÓN</v>
          </cell>
        </row>
        <row r="227">
          <cell r="H227" t="str">
            <v>CAPTRON 75/ENCAPTRON 95</v>
          </cell>
          <cell r="I227">
            <v>8.76</v>
          </cell>
          <cell r="J227" t="str">
            <v>INHIBIDOR DE INCRUSTACIÓN/CORROSIÓN</v>
          </cell>
        </row>
        <row r="228">
          <cell r="H228" t="str">
            <v>CAPTRON 75/ENCAPTRON 95</v>
          </cell>
          <cell r="I228">
            <v>8.76</v>
          </cell>
          <cell r="J228" t="str">
            <v>INHIBIDOR DE INCRUSTACIÓN/CORROSIÓN</v>
          </cell>
        </row>
        <row r="229">
          <cell r="H229" t="str">
            <v>CAPTRON 75</v>
          </cell>
          <cell r="I229">
            <v>10.58</v>
          </cell>
          <cell r="J229" t="str">
            <v>INHIBIDOR DE INCRUSTACIONES</v>
          </cell>
        </row>
        <row r="230">
          <cell r="H230" t="str">
            <v>CAPTRON 75/ENCAPTRON 95</v>
          </cell>
          <cell r="I230">
            <v>8.76</v>
          </cell>
          <cell r="J230" t="str">
            <v>INHIBIDOR DE INCRUSTACIÓN/CORROSIÓN</v>
          </cell>
        </row>
        <row r="231">
          <cell r="H231" t="str">
            <v>CAPTRON 75/ENCAPTRON 95</v>
          </cell>
          <cell r="I231">
            <v>8.76</v>
          </cell>
          <cell r="J231" t="str">
            <v>INHIBIDOR DE INCRUSTACIÓN/CORROSIÓN</v>
          </cell>
        </row>
        <row r="232">
          <cell r="H232" t="str">
            <v>CAPTRON 75/ENCAPTRON 95</v>
          </cell>
          <cell r="I232">
            <v>8.76</v>
          </cell>
          <cell r="J232" t="str">
            <v>INHIBIDOR DE INCRUSTACIÓN/CORROSIÓN</v>
          </cell>
        </row>
        <row r="233">
          <cell r="H233" t="str">
            <v>ENCAPTRON 95</v>
          </cell>
          <cell r="I233">
            <v>6.94</v>
          </cell>
          <cell r="J233" t="str">
            <v>INHIBIDOR DE CORROSIÓN</v>
          </cell>
        </row>
        <row r="234">
          <cell r="H234" t="str">
            <v>CAPTRON 75/ENCAPTRON 95</v>
          </cell>
          <cell r="I234">
            <v>8.76</v>
          </cell>
          <cell r="J234" t="str">
            <v>INHIBIDOR DE INCRUSTACIÓN/CORROSIÓN</v>
          </cell>
        </row>
        <row r="235">
          <cell r="H235" t="str">
            <v>CAPTRON 75/ENCAPTRON 95</v>
          </cell>
          <cell r="I235">
            <v>8.76</v>
          </cell>
          <cell r="J235" t="str">
            <v>INHIBIDOR DE INCRUSTACIÓN/CORROSIÓN</v>
          </cell>
        </row>
        <row r="236">
          <cell r="H236" t="str">
            <v>CAPTRON 75/ENCAPTRON 95</v>
          </cell>
          <cell r="I236">
            <v>8.76</v>
          </cell>
          <cell r="J236" t="str">
            <v>INHIBIDOR DE INCRUSTACIÓN/CORROSIÓN</v>
          </cell>
        </row>
        <row r="237">
          <cell r="H237" t="str">
            <v>CAPTRON 75</v>
          </cell>
          <cell r="I237">
            <v>10.58</v>
          </cell>
          <cell r="J237" t="str">
            <v>INHIBIDOR DE INCRUSTACIONES</v>
          </cell>
        </row>
        <row r="238">
          <cell r="H238" t="str">
            <v>CAPTRON 75</v>
          </cell>
          <cell r="I238">
            <v>10.58</v>
          </cell>
          <cell r="J238" t="str">
            <v>INHIBIDOR DE INCRUSTACIONES</v>
          </cell>
        </row>
        <row r="239">
          <cell r="H239" t="str">
            <v>CAPTRON 75/ENCAPTRON 95</v>
          </cell>
          <cell r="I239">
            <v>8.76</v>
          </cell>
          <cell r="J239" t="str">
            <v>INHIBIDOR DE INCRUSTACIÓN/CORROSIÓN</v>
          </cell>
        </row>
        <row r="240">
          <cell r="H240" t="str">
            <v>CAPTRON 75/ENCAPTRON 95</v>
          </cell>
          <cell r="I240">
            <v>8.76</v>
          </cell>
          <cell r="J240" t="str">
            <v>INHIBIDOR DE INCRUSTACIÓN/CORROSIÓN</v>
          </cell>
        </row>
        <row r="241">
          <cell r="H241" t="str">
            <v>ENCAPTRON 95</v>
          </cell>
          <cell r="I241">
            <v>6.94</v>
          </cell>
          <cell r="J241" t="str">
            <v>INHIBIDOR DE CORROSIÓN</v>
          </cell>
        </row>
        <row r="242">
          <cell r="H242" t="str">
            <v>CAPTRON 75/ENCAPTRON 95</v>
          </cell>
          <cell r="I242">
            <v>8.76</v>
          </cell>
          <cell r="J242" t="str">
            <v>INHIBIDOR DE INCRUSTACIÓN/CORROSIÓN</v>
          </cell>
        </row>
        <row r="243">
          <cell r="H243" t="str">
            <v>ENCAPTRON 95</v>
          </cell>
          <cell r="I243">
            <v>6.94</v>
          </cell>
          <cell r="J243" t="str">
            <v>INHIBIDOR DE CORROSIÓN</v>
          </cell>
        </row>
        <row r="244">
          <cell r="H244" t="str">
            <v>CAPTRON 75</v>
          </cell>
          <cell r="I244">
            <v>10.58</v>
          </cell>
          <cell r="J244" t="str">
            <v>INHIBIDOR DE INCRUSTACIONES</v>
          </cell>
        </row>
        <row r="245">
          <cell r="H245" t="str">
            <v>CAPTRON 75</v>
          </cell>
          <cell r="I245">
            <v>10.58</v>
          </cell>
          <cell r="J245" t="str">
            <v>INHIBIDOR DE INCRUSTACIONES</v>
          </cell>
        </row>
        <row r="246">
          <cell r="H246" t="str">
            <v>ENCAPTRON 95</v>
          </cell>
          <cell r="I246">
            <v>6.94</v>
          </cell>
          <cell r="J246" t="str">
            <v>INHIBIDOR DE CORROSIÓN</v>
          </cell>
        </row>
        <row r="247">
          <cell r="H247" t="str">
            <v>CAPTRON 75/ENCAPTRON 95</v>
          </cell>
          <cell r="I247">
            <v>8.76</v>
          </cell>
          <cell r="J247" t="str">
            <v>INHIBIDOR DE INCRUSTACIÓN/CORROSIÓN</v>
          </cell>
        </row>
        <row r="248">
          <cell r="H248" t="str">
            <v>CAPTRON 75/ENCAPTRON 95</v>
          </cell>
          <cell r="I248">
            <v>8.76</v>
          </cell>
          <cell r="J248" t="str">
            <v>INHIBIDOR DE INCRUSTACIÓN/CORROSIÓN</v>
          </cell>
        </row>
        <row r="249">
          <cell r="H249" t="str">
            <v>CAPTRON 75/ENCAPTRON 95</v>
          </cell>
          <cell r="I249">
            <v>8.76</v>
          </cell>
          <cell r="J249" t="str">
            <v>INHIBIDOR DE INCRUSTACIÓN/CORROSIÓN</v>
          </cell>
        </row>
        <row r="250">
          <cell r="H250" t="str">
            <v>ENCAPTRON 95</v>
          </cell>
          <cell r="I250">
            <v>6.94</v>
          </cell>
          <cell r="J250" t="str">
            <v>INHIBIDOR DE CORROSIÓN</v>
          </cell>
        </row>
        <row r="251">
          <cell r="H251" t="str">
            <v>CAPTRON 75/ENCAPTRON 95</v>
          </cell>
          <cell r="I251">
            <v>8.76</v>
          </cell>
          <cell r="J251" t="str">
            <v>INHIBIDOR DE INCRUSTACIÓN/CORROSIÓN</v>
          </cell>
        </row>
        <row r="252">
          <cell r="H252" t="str">
            <v>CAPTRON 75/ENCAPTRON 95</v>
          </cell>
          <cell r="I252">
            <v>8.76</v>
          </cell>
          <cell r="J252" t="str">
            <v>INHIBIDOR DE INCRUSTACIÓN/CORROSIÓN</v>
          </cell>
        </row>
        <row r="253">
          <cell r="H253" t="str">
            <v>CAPTRON 75</v>
          </cell>
          <cell r="I253">
            <v>10.58</v>
          </cell>
          <cell r="J253" t="str">
            <v>INHIBIDOR DE INCRUSTACIONES</v>
          </cell>
        </row>
        <row r="254">
          <cell r="H254" t="str">
            <v>CAPTRON 75/ENCAPTRON 95</v>
          </cell>
          <cell r="I254">
            <v>8.76</v>
          </cell>
          <cell r="J254" t="str">
            <v>INHIBIDOR DE INCRUSTACIÓN/CORROSIÓN</v>
          </cell>
        </row>
        <row r="255">
          <cell r="H255" t="str">
            <v>CAPTRON 75/ENCAPTRON 95</v>
          </cell>
          <cell r="I255">
            <v>8.76</v>
          </cell>
          <cell r="J255" t="str">
            <v>INHIBIDOR DE INCRUSTACIÓN/CORROSIÓN</v>
          </cell>
        </row>
        <row r="256">
          <cell r="H256" t="str">
            <v>CAPTRON 75</v>
          </cell>
          <cell r="I256">
            <v>10.58</v>
          </cell>
          <cell r="J256" t="str">
            <v>INHIBIDOR DE INCRUSTACIONES</v>
          </cell>
        </row>
        <row r="257">
          <cell r="H257" t="str">
            <v>CAPTRON 75/ENCAPTRON 95</v>
          </cell>
          <cell r="I257">
            <v>8.76</v>
          </cell>
          <cell r="J257" t="str">
            <v>INHIBIDOR DE INCRUSTACIÓN/CORROSIÓN</v>
          </cell>
        </row>
        <row r="258">
          <cell r="H258" t="str">
            <v>CAPTRON 75</v>
          </cell>
          <cell r="I258">
            <v>10.58</v>
          </cell>
          <cell r="J258" t="str">
            <v>INHIBIDOR DE INCRUSTACIONES</v>
          </cell>
        </row>
        <row r="259">
          <cell r="H259" t="str">
            <v>CAPTRON 75/ENCAPTRON 95</v>
          </cell>
          <cell r="I259">
            <v>8.76</v>
          </cell>
          <cell r="J259" t="str">
            <v>INHIBIDOR DE INCRUSTACIÓN/CORROSIÓN</v>
          </cell>
        </row>
      </sheetData>
      <sheetData sheetId="3">
        <row r="1">
          <cell r="B1" t="str">
            <v>Familia</v>
          </cell>
          <cell r="C1" t="str">
            <v>Base</v>
          </cell>
          <cell r="D1" t="str">
            <v>Columna</v>
          </cell>
          <cell r="E1" t="str">
            <v>Familia Cod.</v>
          </cell>
        </row>
        <row r="2">
          <cell r="B2" t="str">
            <v>REDUCTOR DE FRICCIÓN</v>
          </cell>
          <cell r="C2" t="str">
            <v>PB</v>
          </cell>
          <cell r="D2">
            <v>6</v>
          </cell>
          <cell r="E2" t="str">
            <v>RF</v>
          </cell>
        </row>
        <row r="3">
          <cell r="B3" t="str">
            <v>BACTERICIDA</v>
          </cell>
          <cell r="C3" t="str">
            <v>PA</v>
          </cell>
          <cell r="D3">
            <v>5</v>
          </cell>
          <cell r="E3" t="str">
            <v>BX</v>
          </cell>
        </row>
        <row r="4">
          <cell r="B4" t="str">
            <v>INHIBIDOR DE INCRUSTACIONES</v>
          </cell>
          <cell r="C4" t="str">
            <v>PA</v>
          </cell>
          <cell r="D4">
            <v>5</v>
          </cell>
          <cell r="E4" t="str">
            <v>IC</v>
          </cell>
        </row>
        <row r="5">
          <cell r="B5" t="str">
            <v>DESEMULSIONANTE</v>
          </cell>
          <cell r="C5" t="str">
            <v>PN</v>
          </cell>
          <cell r="D5">
            <v>4</v>
          </cell>
          <cell r="E5" t="str">
            <v>DB</v>
          </cell>
        </row>
        <row r="6">
          <cell r="B6" t="str">
            <v>INHIBIDOR DE PARAFINAS Y ASFALTENOS</v>
          </cell>
          <cell r="C6" t="str">
            <v>PB</v>
          </cell>
          <cell r="D6">
            <v>6</v>
          </cell>
          <cell r="E6" t="str">
            <v>IP</v>
          </cell>
        </row>
        <row r="7">
          <cell r="B7" t="str">
            <v>ANTIESPUMANTE</v>
          </cell>
          <cell r="C7" t="str">
            <v>PB</v>
          </cell>
          <cell r="D7">
            <v>6</v>
          </cell>
          <cell r="E7" t="str">
            <v>AB</v>
          </cell>
        </row>
        <row r="8">
          <cell r="B8" t="str">
            <v>INHIBIDOR DE CORROSIÓN</v>
          </cell>
          <cell r="C8" t="str">
            <v>PA</v>
          </cell>
          <cell r="D8">
            <v>5</v>
          </cell>
          <cell r="E8" t="str">
            <v>CY</v>
          </cell>
        </row>
        <row r="9">
          <cell r="B9" t="str">
            <v>HUMECTANTE DE SOLIDOS</v>
          </cell>
          <cell r="C9" t="str">
            <v>PN</v>
          </cell>
          <cell r="D9">
            <v>4</v>
          </cell>
          <cell r="E9" t="str">
            <v>HS</v>
          </cell>
        </row>
        <row r="10">
          <cell r="B10" t="str">
            <v>FLOCULANTE</v>
          </cell>
          <cell r="C10" t="str">
            <v>PA</v>
          </cell>
          <cell r="D10">
            <v>5</v>
          </cell>
          <cell r="E10" t="str">
            <v>FB</v>
          </cell>
        </row>
        <row r="11">
          <cell r="B11" t="str">
            <v>CLARIFICANTE</v>
          </cell>
          <cell r="C11" t="str">
            <v>PA</v>
          </cell>
          <cell r="D11">
            <v>5</v>
          </cell>
          <cell r="E11" t="str">
            <v>FB</v>
          </cell>
        </row>
        <row r="12">
          <cell r="B12" t="str">
            <v>DISOLVENTE DE PARAFINAS Y ASFALTENOS</v>
          </cell>
          <cell r="C12" t="str">
            <v>PB</v>
          </cell>
          <cell r="D12">
            <v>6</v>
          </cell>
          <cell r="E12" t="str">
            <v>DP</v>
          </cell>
        </row>
        <row r="13">
          <cell r="B13" t="str">
            <v>RUPTOR</v>
          </cell>
          <cell r="C13" t="str">
            <v>PB</v>
          </cell>
          <cell r="D13">
            <v>6</v>
          </cell>
          <cell r="E13" t="str">
            <v>RT</v>
          </cell>
        </row>
        <row r="14">
          <cell r="B14" t="str">
            <v>SECUESTRANTE DE OXIGENO</v>
          </cell>
          <cell r="C14" t="str">
            <v>PA</v>
          </cell>
          <cell r="D14">
            <v>5</v>
          </cell>
          <cell r="E14" t="str">
            <v>SO</v>
          </cell>
        </row>
        <row r="15">
          <cell r="B15" t="str">
            <v>SECUESTRANTE DE SULFHÍDRICO</v>
          </cell>
          <cell r="C15" t="str">
            <v>PG</v>
          </cell>
          <cell r="D15">
            <v>7</v>
          </cell>
          <cell r="E15" t="str">
            <v>BS</v>
          </cell>
        </row>
        <row r="16">
          <cell r="B16" t="str">
            <v>REDUCTOR DE VISCOSIDAD</v>
          </cell>
          <cell r="C16" t="str">
            <v>PB</v>
          </cell>
          <cell r="D16">
            <v>6</v>
          </cell>
          <cell r="E16" t="str">
            <v>RV</v>
          </cell>
        </row>
        <row r="17">
          <cell r="B17" t="str">
            <v>INHIBIDOR DE INCRUSTACIÓN/CORROSIÓN</v>
          </cell>
          <cell r="C17" t="str">
            <v>PA</v>
          </cell>
          <cell r="D17">
            <v>5</v>
          </cell>
          <cell r="E17" t="str">
            <v>IC/CY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dice"/>
      <sheetName val="PUNTOS DE INYECCIÓN"/>
      <sheetName val="Servicio"/>
      <sheetName val="Base"/>
      <sheetName val="Optimización_Scio"/>
      <sheetName val="Optimizacion_consumo"/>
      <sheetName val="Nuevas_Tec_ME"/>
      <sheetName val="Areas_Integrales."/>
      <sheetName val="Optimización_Estructura"/>
      <sheetName val="Resumen"/>
    </sheetNames>
    <sheetDataSet>
      <sheetData sheetId="0"/>
      <sheetData sheetId="1">
        <row r="5">
          <cell r="L5">
            <v>68296.275999999998</v>
          </cell>
        </row>
        <row r="6">
          <cell r="L6">
            <v>7037.8</v>
          </cell>
        </row>
        <row r="7">
          <cell r="L7">
            <v>286</v>
          </cell>
        </row>
        <row r="8">
          <cell r="L8">
            <v>8439.2000000000007</v>
          </cell>
        </row>
        <row r="9">
          <cell r="L9">
            <v>116253.72</v>
          </cell>
        </row>
        <row r="10">
          <cell r="L10">
            <v>0</v>
          </cell>
        </row>
        <row r="11">
          <cell r="L11">
            <v>0</v>
          </cell>
        </row>
        <row r="12">
          <cell r="L12">
            <v>3116.8999999999996</v>
          </cell>
        </row>
        <row r="13">
          <cell r="L13">
            <v>2281.5</v>
          </cell>
        </row>
        <row r="14">
          <cell r="L14">
            <v>27762.563999999998</v>
          </cell>
        </row>
        <row r="15">
          <cell r="L15">
            <v>0</v>
          </cell>
        </row>
        <row r="16">
          <cell r="L16">
            <v>483.71999999999997</v>
          </cell>
        </row>
        <row r="17">
          <cell r="L17">
            <v>47637.314999999995</v>
          </cell>
        </row>
        <row r="18">
          <cell r="L18">
            <v>22764.053999999996</v>
          </cell>
        </row>
        <row r="19">
          <cell r="L19" t="str">
            <v/>
          </cell>
        </row>
        <row r="20">
          <cell r="L20">
            <v>1859.5500000000002</v>
          </cell>
        </row>
        <row r="21">
          <cell r="L21">
            <v>18265</v>
          </cell>
        </row>
        <row r="22">
          <cell r="L22">
            <v>0</v>
          </cell>
        </row>
        <row r="23">
          <cell r="L23">
            <v>30145.728000000003</v>
          </cell>
        </row>
        <row r="24">
          <cell r="L24" t="str">
            <v/>
          </cell>
        </row>
        <row r="25">
          <cell r="L25" t="str">
            <v/>
          </cell>
        </row>
        <row r="26">
          <cell r="L26">
            <v>5012.7</v>
          </cell>
        </row>
        <row r="27">
          <cell r="L27">
            <v>3246.9</v>
          </cell>
        </row>
        <row r="29">
          <cell r="L29">
            <v>32404.050000000003</v>
          </cell>
        </row>
        <row r="30">
          <cell r="L30">
            <v>12117.5</v>
          </cell>
        </row>
        <row r="31">
          <cell r="L31">
            <v>3984.5</v>
          </cell>
        </row>
        <row r="32">
          <cell r="L32">
            <v>528.80000000000007</v>
          </cell>
        </row>
        <row r="33">
          <cell r="L33">
            <v>8439.2000000000007</v>
          </cell>
        </row>
        <row r="34">
          <cell r="L34">
            <v>15321.980000000001</v>
          </cell>
        </row>
        <row r="35">
          <cell r="L35">
            <v>1208</v>
          </cell>
        </row>
        <row r="36">
          <cell r="L36">
            <v>0</v>
          </cell>
        </row>
        <row r="37">
          <cell r="L37">
            <v>1382.85</v>
          </cell>
        </row>
        <row r="38">
          <cell r="L38">
            <v>4623.84</v>
          </cell>
        </row>
        <row r="39">
          <cell r="L39">
            <v>13338.980000000001</v>
          </cell>
        </row>
        <row r="40">
          <cell r="L40">
            <v>25688.198499999999</v>
          </cell>
        </row>
        <row r="41">
          <cell r="L41">
            <v>8829.5280000000002</v>
          </cell>
        </row>
        <row r="42">
          <cell r="L42">
            <v>60632.640000000007</v>
          </cell>
        </row>
        <row r="43">
          <cell r="L43">
            <v>0</v>
          </cell>
        </row>
        <row r="44">
          <cell r="L44">
            <v>21506.999999999996</v>
          </cell>
        </row>
        <row r="45">
          <cell r="L45">
            <v>3016</v>
          </cell>
        </row>
        <row r="46">
          <cell r="L46" t="str">
            <v/>
          </cell>
        </row>
        <row r="47">
          <cell r="L47" t="str">
            <v/>
          </cell>
        </row>
        <row r="48">
          <cell r="L48">
            <v>10995.6</v>
          </cell>
        </row>
        <row r="49">
          <cell r="L49">
            <v>2794.8</v>
          </cell>
        </row>
        <row r="51">
          <cell r="L51">
            <v>16046.133399999999</v>
          </cell>
        </row>
        <row r="52">
          <cell r="L52">
            <v>78373.236799999999</v>
          </cell>
        </row>
        <row r="53">
          <cell r="L53">
            <v>17956.715</v>
          </cell>
        </row>
        <row r="54">
          <cell r="L54">
            <v>63878.621518879991</v>
          </cell>
        </row>
        <row r="55">
          <cell r="L55">
            <v>11139.652160000001</v>
          </cell>
        </row>
        <row r="56">
          <cell r="L56">
            <v>33558.202131999999</v>
          </cell>
        </row>
        <row r="57">
          <cell r="L57">
            <v>1812</v>
          </cell>
        </row>
        <row r="58">
          <cell r="L58">
            <v>55309.97600000001</v>
          </cell>
        </row>
        <row r="59">
          <cell r="L59">
            <v>3040.9</v>
          </cell>
        </row>
        <row r="60">
          <cell r="L60">
            <v>0</v>
          </cell>
        </row>
        <row r="61">
          <cell r="L61">
            <v>71.251999999999981</v>
          </cell>
        </row>
        <row r="62">
          <cell r="L62" t="str">
            <v/>
          </cell>
        </row>
        <row r="63">
          <cell r="L63">
            <v>28800.469999999998</v>
          </cell>
        </row>
        <row r="64">
          <cell r="L64">
            <v>0</v>
          </cell>
        </row>
        <row r="65">
          <cell r="L65">
            <v>15881.158400000002</v>
          </cell>
        </row>
        <row r="66">
          <cell r="L66">
            <v>8422.5999999999985</v>
          </cell>
        </row>
        <row r="67">
          <cell r="L67">
            <v>23375.768909999999</v>
          </cell>
        </row>
        <row r="68">
          <cell r="L68">
            <v>0</v>
          </cell>
        </row>
        <row r="69">
          <cell r="L69">
            <v>33379.432680000005</v>
          </cell>
        </row>
        <row r="70">
          <cell r="L70">
            <v>0</v>
          </cell>
        </row>
        <row r="71">
          <cell r="L71">
            <v>13133.376</v>
          </cell>
        </row>
        <row r="72">
          <cell r="L72" t="str">
            <v/>
          </cell>
        </row>
        <row r="73">
          <cell r="L73">
            <v>10981.945</v>
          </cell>
        </row>
        <row r="74">
          <cell r="L74">
            <v>3397.54</v>
          </cell>
        </row>
        <row r="75">
          <cell r="L75">
            <v>0</v>
          </cell>
        </row>
        <row r="76">
          <cell r="L76">
            <v>20670.056</v>
          </cell>
        </row>
        <row r="77">
          <cell r="L77">
            <v>1443.0500000000002</v>
          </cell>
        </row>
        <row r="78">
          <cell r="L78">
            <v>205.59</v>
          </cell>
        </row>
        <row r="79">
          <cell r="L79">
            <v>390.62099999999998</v>
          </cell>
        </row>
        <row r="80">
          <cell r="L80">
            <v>12332.320000000002</v>
          </cell>
        </row>
        <row r="82">
          <cell r="L82">
            <v>5584.86</v>
          </cell>
        </row>
        <row r="83">
          <cell r="L83" t="str">
            <v/>
          </cell>
        </row>
        <row r="84">
          <cell r="L84">
            <v>328.8</v>
          </cell>
        </row>
        <row r="85">
          <cell r="L85">
            <v>28851.669000000002</v>
          </cell>
        </row>
        <row r="86">
          <cell r="L86">
            <v>7620.4800000000005</v>
          </cell>
        </row>
        <row r="87">
          <cell r="L87">
            <v>3842.37</v>
          </cell>
        </row>
        <row r="88">
          <cell r="L88">
            <v>2142.66</v>
          </cell>
        </row>
        <row r="89">
          <cell r="L89" t="str">
            <v/>
          </cell>
        </row>
        <row r="90">
          <cell r="L90">
            <v>0</v>
          </cell>
        </row>
        <row r="92">
          <cell r="L92">
            <v>36661.417999999998</v>
          </cell>
        </row>
        <row r="93">
          <cell r="L93">
            <v>337.62</v>
          </cell>
        </row>
        <row r="94">
          <cell r="L94">
            <v>5151.2000000000007</v>
          </cell>
        </row>
        <row r="95">
          <cell r="L95">
            <v>69324.639999999999</v>
          </cell>
        </row>
        <row r="96">
          <cell r="L96">
            <v>498.3</v>
          </cell>
        </row>
        <row r="97">
          <cell r="L97">
            <v>4336.16</v>
          </cell>
        </row>
        <row r="98">
          <cell r="L98">
            <v>5012.62</v>
          </cell>
        </row>
        <row r="99">
          <cell r="L99">
            <v>95833.907999999996</v>
          </cell>
        </row>
        <row r="100">
          <cell r="L100" t="str">
            <v/>
          </cell>
        </row>
        <row r="101">
          <cell r="L101">
            <v>39213.491999999998</v>
          </cell>
        </row>
        <row r="102">
          <cell r="L102" t="str">
            <v/>
          </cell>
        </row>
        <row r="103">
          <cell r="L103" t="str">
            <v/>
          </cell>
        </row>
        <row r="104">
          <cell r="L104">
            <v>8477.7000000000007</v>
          </cell>
        </row>
        <row r="105">
          <cell r="L105">
            <v>1225</v>
          </cell>
        </row>
      </sheetData>
      <sheetData sheetId="2">
        <row r="3">
          <cell r="H3">
            <v>77955074.337926015</v>
          </cell>
          <cell r="K3">
            <v>45589875.119551703</v>
          </cell>
        </row>
        <row r="4">
          <cell r="H4">
            <v>68758127.365474075</v>
          </cell>
          <cell r="K4">
            <v>15935655.758374704</v>
          </cell>
        </row>
        <row r="5">
          <cell r="H5">
            <v>67444277.797980934</v>
          </cell>
          <cell r="K5">
            <v>15985821.750857301</v>
          </cell>
        </row>
        <row r="6">
          <cell r="H6">
            <v>21289835.5721507</v>
          </cell>
          <cell r="K6">
            <v>4390136.1226234976</v>
          </cell>
        </row>
        <row r="7">
          <cell r="H7">
            <v>72261726.212122425</v>
          </cell>
          <cell r="K7">
            <v>22611403.440937079</v>
          </cell>
        </row>
      </sheetData>
      <sheetData sheetId="3"/>
      <sheetData sheetId="4"/>
      <sheetData sheetId="5"/>
      <sheetData sheetId="6"/>
      <sheetData sheetId="7"/>
      <sheetData sheetId="8">
        <row r="4">
          <cell r="D4" t="str">
            <v>BARRANCAS</v>
          </cell>
          <cell r="E4" t="str">
            <v>LA VENTANA</v>
          </cell>
          <cell r="F4" t="str">
            <v>MALARGÜE</v>
          </cell>
          <cell r="G4" t="str">
            <v>UGARTECHE</v>
          </cell>
          <cell r="H4" t="str">
            <v>VIZCACHERAS</v>
          </cell>
        </row>
        <row r="6">
          <cell r="C6" t="str">
            <v>Servicio Batch</v>
          </cell>
          <cell r="D6">
            <v>34.967668277663677</v>
          </cell>
          <cell r="E6">
            <v>12.222729781220927</v>
          </cell>
          <cell r="F6">
            <v>12.261207355010091</v>
          </cell>
          <cell r="G6">
            <v>3.3672569452565027</v>
          </cell>
          <cell r="H6">
            <v>17.343062527408073</v>
          </cell>
        </row>
        <row r="7">
          <cell r="C7" t="str">
            <v>Servicio OyM</v>
          </cell>
          <cell r="D7">
            <v>59.791942242898919</v>
          </cell>
          <cell r="E7">
            <v>52.737836697388374</v>
          </cell>
          <cell r="F7">
            <v>51.730107333744002</v>
          </cell>
          <cell r="G7">
            <v>16.329413187045606</v>
          </cell>
          <cell r="H7">
            <v>55.425115000440002</v>
          </cell>
        </row>
        <row r="12">
          <cell r="C12" t="str">
            <v>Producto químico</v>
          </cell>
          <cell r="D12">
            <v>355.63114845999996</v>
          </cell>
          <cell r="E12">
            <v>222.27719716999999</v>
          </cell>
          <cell r="F12">
            <v>444.52860466086236</v>
          </cell>
          <cell r="G12">
            <v>47.403422220000003</v>
          </cell>
          <cell r="H12">
            <v>260.75061683999996</v>
          </cell>
        </row>
        <row r="14">
          <cell r="D14" t="str">
            <v>Químicos</v>
          </cell>
          <cell r="E14" t="str">
            <v>Servicios</v>
          </cell>
        </row>
        <row r="19">
          <cell r="D19">
            <v>1330590.9893508623</v>
          </cell>
          <cell r="E19">
            <v>316176.33934807614</v>
          </cell>
        </row>
        <row r="55">
          <cell r="D55" t="str">
            <v>Barrancas - Ugarteche</v>
          </cell>
          <cell r="E55" t="str">
            <v>La Ventana - Vizcacheras</v>
          </cell>
          <cell r="F55" t="str">
            <v>Malargüe</v>
          </cell>
          <cell r="G55" t="str">
            <v>Total</v>
          </cell>
        </row>
        <row r="56">
          <cell r="C56" t="str">
            <v>Personas (Choferes y recorredores)</v>
          </cell>
          <cell r="D56">
            <v>-0.53333333333333333</v>
          </cell>
          <cell r="E56">
            <v>-0.36363636363636365</v>
          </cell>
          <cell r="F56">
            <v>-0.45454545454545459</v>
          </cell>
          <cell r="G56">
            <v>-0.35135135135135132</v>
          </cell>
        </row>
        <row r="57">
          <cell r="C57" t="str">
            <v>Unidades pesadas (Camiones de reposición)</v>
          </cell>
          <cell r="D57">
            <v>-0.33333333333333337</v>
          </cell>
          <cell r="E57">
            <v>-0.33333333333333337</v>
          </cell>
          <cell r="F57">
            <v>0</v>
          </cell>
          <cell r="G57">
            <v>-0.25</v>
          </cell>
        </row>
        <row r="58">
          <cell r="C58" t="str">
            <v>Unidades livianas (camionetas)</v>
          </cell>
          <cell r="D58">
            <v>-0.33333333333333337</v>
          </cell>
          <cell r="E58">
            <v>-0.33333333333333337</v>
          </cell>
          <cell r="F58">
            <v>-0.33333333333333337</v>
          </cell>
          <cell r="G58">
            <v>-0.11111111111111116</v>
          </cell>
        </row>
      </sheetData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ergerat, Juan Gabriel" id="{435462F4-4589-441E-A299-6CB1A09DA7CD}" userId="S::Juan.Bergerat@pecomenergia.com.ar::29a54034-0434-4b0a-821e-67a33807f92c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rgerat, Juan Gabriel" refreshedDate="45363.483300925924" createdVersion="8" refreshedVersion="8" minRefreshableVersion="3" recordCount="170" xr:uid="{02F7B422-E557-4FFB-9022-9B1E97879AE3}">
  <cacheSource type="worksheet">
    <worksheetSource ref="B2:F172" sheet="Hoja2"/>
  </cacheSource>
  <cacheFields count="5">
    <cacheField name="Zona" numFmtId="0">
      <sharedItems/>
    </cacheField>
    <cacheField name="Cïa" numFmtId="0">
      <sharedItems/>
    </cacheField>
    <cacheField name="PQ" numFmtId="0">
      <sharedItems count="32">
        <s v="03VC057"/>
        <s v="Bactron L-133"/>
        <s v="CLEAR 2335"/>
        <s v="Cortron RN470"/>
        <s v="CORTRON RU312"/>
        <s v="Defoamer AF-177"/>
        <s v="DVE4B003"/>
        <s v="EC1093"/>
        <s v="EC2434"/>
        <s v="EC2434A"/>
        <s v="EC6019A"/>
        <s v="EC6036A"/>
        <s v="EC6359"/>
        <s v="EC6359A"/>
        <s v="EC6539A"/>
        <s v="EC6620"/>
        <s v="EC9297"/>
        <s v="EMB12601"/>
        <s v="EMB14512"/>
        <s v="EMB14512A"/>
        <s v="EMb17949A"/>
        <s v="EMBR10203"/>
        <s v="EMBR12601"/>
        <s v="EMBR12601a"/>
        <s v="EMBR14512A"/>
        <s v="EMBR17949"/>
        <s v="EMBR17949a"/>
        <s v="Gas treat"/>
        <s v="Gas treat 200"/>
        <s v="GyptronTA-416"/>
        <s v="SurfatronDN155"/>
        <s v="X-8134"/>
      </sharedItems>
    </cacheField>
    <cacheField name="Familia" numFmtId="0">
      <sharedItems containsBlank="1" count="14">
        <s v="Clarificante"/>
        <s v="Bactericida"/>
        <s v="Dispersante de parafinas y asflatenos"/>
        <s v="Inhibidor de corrosión"/>
        <s v="Antiespumante"/>
        <m/>
        <s v="Ruptor"/>
        <s v="Floculante"/>
        <s v="Inhibidor de Incrustaciones"/>
        <s v="Inhibidor de parafinas y asfaltenos"/>
        <s v="Redictor de viscosidad"/>
        <s v="Desemulsionante"/>
        <s v="Sec de H2S"/>
        <s v="Reductor de fricción"/>
      </sharedItems>
    </cacheField>
    <cacheField name="Dosis" numFmtId="0">
      <sharedItems containsString="0" containsBlank="1" containsNumber="1" minValue="2.6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s v="Mgue"/>
    <s v="Champion"/>
    <x v="0"/>
    <x v="0"/>
    <n v="10"/>
  </r>
  <r>
    <s v="Mgue"/>
    <s v="Champion"/>
    <x v="1"/>
    <x v="1"/>
    <n v="20"/>
  </r>
  <r>
    <s v="Mgue"/>
    <s v="Champion"/>
    <x v="1"/>
    <x v="1"/>
    <n v="3.9"/>
  </r>
  <r>
    <s v="Mgue"/>
    <s v="Champion"/>
    <x v="1"/>
    <x v="1"/>
    <n v="2.6"/>
  </r>
  <r>
    <s v="Mgue"/>
    <s v="Champion"/>
    <x v="1"/>
    <x v="1"/>
    <n v="5"/>
  </r>
  <r>
    <s v="Mgue"/>
    <s v="Champion"/>
    <x v="2"/>
    <x v="2"/>
    <n v="40"/>
  </r>
  <r>
    <s v="Mgue"/>
    <s v="Champion"/>
    <x v="2"/>
    <x v="2"/>
    <n v="10"/>
  </r>
  <r>
    <s v="Mgue"/>
    <s v="Champion"/>
    <x v="2"/>
    <x v="2"/>
    <n v="12"/>
  </r>
  <r>
    <s v="Mgue"/>
    <s v="Champion"/>
    <x v="2"/>
    <x v="2"/>
    <n v="12"/>
  </r>
  <r>
    <s v="Mgue"/>
    <s v="Champion"/>
    <x v="2"/>
    <x v="2"/>
    <n v="10"/>
  </r>
  <r>
    <s v="Mgue"/>
    <s v="Champion"/>
    <x v="2"/>
    <x v="2"/>
    <n v="12"/>
  </r>
  <r>
    <s v="Mgue"/>
    <s v="Champion"/>
    <x v="2"/>
    <x v="2"/>
    <n v="8"/>
  </r>
  <r>
    <s v="Mgue"/>
    <s v="Champion"/>
    <x v="2"/>
    <x v="2"/>
    <n v="15"/>
  </r>
  <r>
    <s v="Mgue"/>
    <s v="Champion"/>
    <x v="2"/>
    <x v="2"/>
    <n v="10"/>
  </r>
  <r>
    <s v="Mgue"/>
    <s v="Champion"/>
    <x v="2"/>
    <x v="2"/>
    <n v="25"/>
  </r>
  <r>
    <s v="Mgue"/>
    <s v="Champion"/>
    <x v="2"/>
    <x v="2"/>
    <n v="10"/>
  </r>
  <r>
    <s v="Mgue"/>
    <s v="Champion"/>
    <x v="2"/>
    <x v="2"/>
    <n v="16"/>
  </r>
  <r>
    <s v="Mgue"/>
    <s v="Champion"/>
    <x v="2"/>
    <x v="2"/>
    <n v="20"/>
  </r>
  <r>
    <s v="Mgue"/>
    <s v="Champion"/>
    <x v="2"/>
    <x v="2"/>
    <n v="15"/>
  </r>
  <r>
    <s v="Mgue"/>
    <s v="Champion"/>
    <x v="2"/>
    <x v="2"/>
    <n v="15"/>
  </r>
  <r>
    <s v="Mgue"/>
    <s v="Champion"/>
    <x v="2"/>
    <x v="2"/>
    <n v="15"/>
  </r>
  <r>
    <s v="Mgue"/>
    <s v="Champion"/>
    <x v="2"/>
    <x v="2"/>
    <n v="15"/>
  </r>
  <r>
    <s v="Mgue"/>
    <s v="Champion"/>
    <x v="2"/>
    <x v="2"/>
    <n v="20"/>
  </r>
  <r>
    <s v="Mgue"/>
    <s v="Champion"/>
    <x v="2"/>
    <x v="2"/>
    <n v="9"/>
  </r>
  <r>
    <s v="Mgue"/>
    <s v="Champion"/>
    <x v="2"/>
    <x v="2"/>
    <n v="14"/>
  </r>
  <r>
    <s v="Mgue"/>
    <s v="Champion"/>
    <x v="2"/>
    <x v="2"/>
    <n v="8"/>
  </r>
  <r>
    <s v="Mgue"/>
    <s v="Champion"/>
    <x v="2"/>
    <x v="2"/>
    <n v="10"/>
  </r>
  <r>
    <s v="Mgue"/>
    <s v="Champion"/>
    <x v="2"/>
    <x v="2"/>
    <n v="10"/>
  </r>
  <r>
    <s v="Mgue"/>
    <s v="Champion"/>
    <x v="2"/>
    <x v="2"/>
    <n v="15"/>
  </r>
  <r>
    <s v="Mgue"/>
    <s v="Champion"/>
    <x v="3"/>
    <x v="3"/>
    <n v="8"/>
  </r>
  <r>
    <s v="Mgue"/>
    <s v="Champion"/>
    <x v="3"/>
    <x v="3"/>
    <n v="9"/>
  </r>
  <r>
    <s v="Mgue"/>
    <s v="Champion"/>
    <x v="3"/>
    <x v="3"/>
    <n v="6"/>
  </r>
  <r>
    <s v="Mgue"/>
    <s v="Champion"/>
    <x v="3"/>
    <x v="3"/>
    <n v="7"/>
  </r>
  <r>
    <s v="Mgue"/>
    <s v="Champion"/>
    <x v="3"/>
    <x v="3"/>
    <n v="6"/>
  </r>
  <r>
    <s v="Mgue"/>
    <s v="Champion"/>
    <x v="3"/>
    <x v="3"/>
    <n v="8"/>
  </r>
  <r>
    <s v="Mgue"/>
    <s v="Champion"/>
    <x v="4"/>
    <x v="3"/>
    <n v="6"/>
  </r>
  <r>
    <s v="Mgue"/>
    <s v="Champion"/>
    <x v="5"/>
    <x v="4"/>
    <n v="25"/>
  </r>
  <r>
    <s v="Mgue"/>
    <s v="Champion"/>
    <x v="5"/>
    <x v="4"/>
    <n v="30"/>
  </r>
  <r>
    <s v="Mgue"/>
    <s v="Champion"/>
    <x v="5"/>
    <x v="4"/>
    <n v="30"/>
  </r>
  <r>
    <s v="Mgue"/>
    <s v="Champion"/>
    <x v="5"/>
    <x v="4"/>
    <n v="30"/>
  </r>
  <r>
    <s v="Mgue"/>
    <s v="Champion"/>
    <x v="5"/>
    <x v="4"/>
    <n v="10"/>
  </r>
  <r>
    <s v="Mgue"/>
    <s v="Champion"/>
    <x v="5"/>
    <x v="4"/>
    <n v="15"/>
  </r>
  <r>
    <s v="Mgue"/>
    <s v="Champion"/>
    <x v="5"/>
    <x v="4"/>
    <n v="10"/>
  </r>
  <r>
    <s v="Mgue"/>
    <s v="Champion"/>
    <x v="5"/>
    <x v="4"/>
    <n v="10"/>
  </r>
  <r>
    <s v="Mgue"/>
    <s v="Champion"/>
    <x v="5"/>
    <x v="4"/>
    <n v="10"/>
  </r>
  <r>
    <s v="Mgue"/>
    <s v="Champion"/>
    <x v="5"/>
    <x v="4"/>
    <n v="15"/>
  </r>
  <r>
    <s v="Mgue"/>
    <s v="Champion"/>
    <x v="5"/>
    <x v="4"/>
    <n v="8"/>
  </r>
  <r>
    <s v="Mgue"/>
    <s v="Champion"/>
    <x v="5"/>
    <x v="4"/>
    <n v="10"/>
  </r>
  <r>
    <s v="Mgue"/>
    <s v="Champion"/>
    <x v="5"/>
    <x v="4"/>
    <n v="15"/>
  </r>
  <r>
    <s v="Mgue"/>
    <s v="Champion"/>
    <x v="6"/>
    <x v="1"/>
    <n v="12"/>
  </r>
  <r>
    <s v="Mgue"/>
    <s v="Champion"/>
    <x v="6"/>
    <x v="1"/>
    <n v="11"/>
  </r>
  <r>
    <s v="Mgue"/>
    <s v="Champion"/>
    <x v="6"/>
    <x v="1"/>
    <n v="15"/>
  </r>
  <r>
    <s v="Mgue"/>
    <s v="Champion"/>
    <x v="6"/>
    <x v="1"/>
    <n v="15"/>
  </r>
  <r>
    <s v="Mgue"/>
    <s v="Champion"/>
    <x v="6"/>
    <x v="1"/>
    <n v="15"/>
  </r>
  <r>
    <s v="Mgue"/>
    <s v="Champion"/>
    <x v="6"/>
    <x v="1"/>
    <n v="2.6"/>
  </r>
  <r>
    <s v="Mgue"/>
    <s v="Champion"/>
    <x v="6"/>
    <x v="1"/>
    <n v="3.9"/>
  </r>
  <r>
    <s v="Mgue"/>
    <s v="Champion"/>
    <x v="6"/>
    <x v="1"/>
    <n v="2.6"/>
  </r>
  <r>
    <s v="Mgue"/>
    <s v="Champion"/>
    <x v="6"/>
    <x v="1"/>
    <n v="3"/>
  </r>
  <r>
    <s v="Mgue"/>
    <s v="Champion"/>
    <x v="6"/>
    <x v="1"/>
    <n v="3"/>
  </r>
  <r>
    <s v="Mgue"/>
    <s v="Champion"/>
    <x v="7"/>
    <x v="5"/>
    <n v="15"/>
  </r>
  <r>
    <s v="Mgue"/>
    <s v="Champion"/>
    <x v="7"/>
    <x v="5"/>
    <n v="15"/>
  </r>
  <r>
    <s v="Mgue"/>
    <s v="Champion"/>
    <x v="7"/>
    <x v="5"/>
    <n v="20"/>
  </r>
  <r>
    <s v="Mgue"/>
    <s v="Champion"/>
    <x v="8"/>
    <x v="6"/>
    <n v="10"/>
  </r>
  <r>
    <s v="Mgue"/>
    <s v="Champion"/>
    <x v="9"/>
    <x v="6"/>
    <n v="10"/>
  </r>
  <r>
    <s v="Mgue"/>
    <s v="Champion"/>
    <x v="9"/>
    <x v="6"/>
    <n v="15"/>
  </r>
  <r>
    <s v="Mgue"/>
    <s v="Champion"/>
    <x v="9"/>
    <x v="6"/>
    <n v="12"/>
  </r>
  <r>
    <s v="Mgue"/>
    <s v="Champion"/>
    <x v="9"/>
    <x v="6"/>
    <n v="18"/>
  </r>
  <r>
    <s v="Mgue"/>
    <s v="Champion"/>
    <x v="9"/>
    <x v="6"/>
    <n v="25"/>
  </r>
  <r>
    <s v="Mgue"/>
    <s v="Champion"/>
    <x v="9"/>
    <x v="6"/>
    <n v="25"/>
  </r>
  <r>
    <s v="Mgue"/>
    <s v="Champion"/>
    <x v="9"/>
    <x v="6"/>
    <n v="15"/>
  </r>
  <r>
    <s v="Mgue"/>
    <s v="Champion"/>
    <x v="10"/>
    <x v="7"/>
    <n v="12"/>
  </r>
  <r>
    <s v="Mgue"/>
    <s v="Champion"/>
    <x v="10"/>
    <x v="7"/>
    <n v="20"/>
  </r>
  <r>
    <s v="Mgue"/>
    <s v="Champion"/>
    <x v="10"/>
    <x v="7"/>
    <n v="35"/>
  </r>
  <r>
    <s v="Mgue"/>
    <s v="Champion"/>
    <x v="10"/>
    <x v="7"/>
    <n v="35"/>
  </r>
  <r>
    <s v="Mgue"/>
    <s v="Champion"/>
    <x v="11"/>
    <x v="7"/>
    <n v="20"/>
  </r>
  <r>
    <s v="Mgue"/>
    <s v="Champion"/>
    <x v="11"/>
    <x v="7"/>
    <n v="16"/>
  </r>
  <r>
    <s v="Mgue"/>
    <s v="Champion"/>
    <x v="12"/>
    <x v="8"/>
    <n v="12"/>
  </r>
  <r>
    <s v="Mgue"/>
    <s v="Champion"/>
    <x v="12"/>
    <x v="8"/>
    <n v="12"/>
  </r>
  <r>
    <s v="Mgue"/>
    <s v="Champion"/>
    <x v="12"/>
    <x v="8"/>
    <n v="12"/>
  </r>
  <r>
    <s v="Mgue"/>
    <s v="Champion"/>
    <x v="12"/>
    <x v="8"/>
    <n v="12"/>
  </r>
  <r>
    <s v="Mgue"/>
    <s v="Champion"/>
    <x v="12"/>
    <x v="8"/>
    <n v="9"/>
  </r>
  <r>
    <s v="Mgue"/>
    <s v="Champion"/>
    <x v="12"/>
    <x v="8"/>
    <n v="25"/>
  </r>
  <r>
    <s v="Mgue"/>
    <s v="Champion"/>
    <x v="12"/>
    <x v="8"/>
    <n v="60"/>
  </r>
  <r>
    <s v="Mgue"/>
    <s v="Champion"/>
    <x v="13"/>
    <x v="9"/>
    <n v="50"/>
  </r>
  <r>
    <s v="Mgue"/>
    <s v="Champion"/>
    <x v="13"/>
    <x v="9"/>
    <n v="9"/>
  </r>
  <r>
    <s v="Mgue"/>
    <s v="Champion"/>
    <x v="13"/>
    <x v="9"/>
    <n v="15"/>
  </r>
  <r>
    <s v="Mgue"/>
    <s v="Champion"/>
    <x v="13"/>
    <x v="9"/>
    <n v="20"/>
  </r>
  <r>
    <s v="Mgue"/>
    <s v="Champion"/>
    <x v="13"/>
    <x v="9"/>
    <n v="18"/>
  </r>
  <r>
    <s v="Mgue"/>
    <s v="Champion"/>
    <x v="13"/>
    <x v="9"/>
    <n v="18"/>
  </r>
  <r>
    <s v="Mgue"/>
    <s v="Champion"/>
    <x v="13"/>
    <x v="9"/>
    <n v="15"/>
  </r>
  <r>
    <s v="Mgue"/>
    <s v="Champion"/>
    <x v="13"/>
    <x v="9"/>
    <n v="12"/>
  </r>
  <r>
    <s v="Mgue"/>
    <s v="Champion"/>
    <x v="13"/>
    <x v="9"/>
    <n v="12"/>
  </r>
  <r>
    <s v="Mgue"/>
    <s v="Champion"/>
    <x v="13"/>
    <x v="9"/>
    <n v="10"/>
  </r>
  <r>
    <s v="Mgue"/>
    <s v="Champion"/>
    <x v="13"/>
    <x v="9"/>
    <n v="9"/>
  </r>
  <r>
    <s v="Mgue"/>
    <s v="Champion"/>
    <x v="13"/>
    <x v="9"/>
    <n v="6"/>
  </r>
  <r>
    <s v="Mgue"/>
    <s v="Champion"/>
    <x v="13"/>
    <x v="9"/>
    <n v="12"/>
  </r>
  <r>
    <s v="Mgue"/>
    <s v="Champion"/>
    <x v="14"/>
    <x v="9"/>
    <n v="15"/>
  </r>
  <r>
    <s v="Mgue"/>
    <s v="Champion"/>
    <x v="14"/>
    <x v="9"/>
    <n v="20"/>
  </r>
  <r>
    <s v="Mgue"/>
    <s v="Champion"/>
    <x v="14"/>
    <x v="9"/>
    <n v="15"/>
  </r>
  <r>
    <s v="Mgue"/>
    <s v="Champion"/>
    <x v="14"/>
    <x v="9"/>
    <n v="20"/>
  </r>
  <r>
    <s v="Mgue"/>
    <s v="Champion"/>
    <x v="14"/>
    <x v="9"/>
    <n v="22"/>
  </r>
  <r>
    <s v="Mgue"/>
    <s v="Champion"/>
    <x v="15"/>
    <x v="10"/>
    <n v="15"/>
  </r>
  <r>
    <s v="Mgue"/>
    <s v="Champion"/>
    <x v="15"/>
    <x v="10"/>
    <n v="16"/>
  </r>
  <r>
    <s v="Mgue"/>
    <s v="Champion"/>
    <x v="15"/>
    <x v="10"/>
    <n v="10"/>
  </r>
  <r>
    <s v="Mgue"/>
    <s v="Champion"/>
    <x v="16"/>
    <x v="5"/>
    <n v="3"/>
  </r>
  <r>
    <s v="Mgue"/>
    <s v="Champion"/>
    <x v="17"/>
    <x v="11"/>
    <n v="12"/>
  </r>
  <r>
    <s v="Mgue"/>
    <s v="Champion"/>
    <x v="18"/>
    <x v="11"/>
    <n v="45"/>
  </r>
  <r>
    <s v="Mgue"/>
    <s v="Champion"/>
    <x v="19"/>
    <x v="11"/>
    <n v="25"/>
  </r>
  <r>
    <s v="Mgue"/>
    <s v="Champion"/>
    <x v="19"/>
    <x v="11"/>
    <n v="15"/>
  </r>
  <r>
    <s v="Mgue"/>
    <s v="Champion"/>
    <x v="19"/>
    <x v="11"/>
    <n v="30"/>
  </r>
  <r>
    <s v="Mgue"/>
    <s v="Champion"/>
    <x v="19"/>
    <x v="11"/>
    <n v="15"/>
  </r>
  <r>
    <s v="Mgue"/>
    <s v="Champion"/>
    <x v="19"/>
    <x v="11"/>
    <n v="12"/>
  </r>
  <r>
    <s v="Mgue"/>
    <s v="Champion"/>
    <x v="19"/>
    <x v="11"/>
    <n v="35"/>
  </r>
  <r>
    <s v="Mgue"/>
    <s v="Champion"/>
    <x v="20"/>
    <x v="11"/>
    <n v="6"/>
  </r>
  <r>
    <s v="Mgue"/>
    <s v="Champion"/>
    <x v="20"/>
    <x v="11"/>
    <n v="9"/>
  </r>
  <r>
    <s v="Mgue"/>
    <s v="Champion"/>
    <x v="20"/>
    <x v="11"/>
    <n v="12"/>
  </r>
  <r>
    <s v="Mgue"/>
    <s v="Champion"/>
    <x v="20"/>
    <x v="11"/>
    <n v="15"/>
  </r>
  <r>
    <s v="Mgue"/>
    <s v="Champion"/>
    <x v="20"/>
    <x v="11"/>
    <n v="30"/>
  </r>
  <r>
    <s v="Mgue"/>
    <s v="Champion"/>
    <x v="20"/>
    <x v="11"/>
    <n v="8"/>
  </r>
  <r>
    <s v="Mgue"/>
    <s v="Champion"/>
    <x v="21"/>
    <x v="11"/>
    <n v="30"/>
  </r>
  <r>
    <s v="Mgue"/>
    <s v="Champion"/>
    <x v="22"/>
    <x v="11"/>
    <n v="20"/>
  </r>
  <r>
    <s v="Mgue"/>
    <s v="Champion"/>
    <x v="23"/>
    <x v="11"/>
    <n v="8"/>
  </r>
  <r>
    <s v="Mgue"/>
    <s v="Champion"/>
    <x v="23"/>
    <x v="11"/>
    <n v="5"/>
  </r>
  <r>
    <s v="Mgue"/>
    <s v="Champion"/>
    <x v="23"/>
    <x v="11"/>
    <n v="5"/>
  </r>
  <r>
    <s v="Mgue"/>
    <s v="Champion"/>
    <x v="23"/>
    <x v="11"/>
    <n v="10"/>
  </r>
  <r>
    <s v="Mgue"/>
    <s v="Champion"/>
    <x v="23"/>
    <x v="11"/>
    <n v="30"/>
  </r>
  <r>
    <s v="Mgue"/>
    <s v="Champion"/>
    <x v="23"/>
    <x v="11"/>
    <n v="15"/>
  </r>
  <r>
    <s v="Mgue"/>
    <s v="Champion"/>
    <x v="24"/>
    <x v="11"/>
    <n v="25"/>
  </r>
  <r>
    <s v="Mgue"/>
    <s v="Champion"/>
    <x v="24"/>
    <x v="11"/>
    <n v="10"/>
  </r>
  <r>
    <s v="Mgue"/>
    <s v="Champion"/>
    <x v="24"/>
    <x v="11"/>
    <n v="6"/>
  </r>
  <r>
    <s v="Mgue"/>
    <s v="Champion"/>
    <x v="24"/>
    <x v="11"/>
    <n v="15"/>
  </r>
  <r>
    <s v="Mgue"/>
    <s v="Champion"/>
    <x v="24"/>
    <x v="11"/>
    <n v="8"/>
  </r>
  <r>
    <s v="Mgue"/>
    <s v="Champion"/>
    <x v="24"/>
    <x v="11"/>
    <n v="40"/>
  </r>
  <r>
    <s v="Mgue"/>
    <s v="Champion"/>
    <x v="24"/>
    <x v="11"/>
    <n v="40"/>
  </r>
  <r>
    <s v="Mgue"/>
    <s v="Champion"/>
    <x v="24"/>
    <x v="11"/>
    <n v="40"/>
  </r>
  <r>
    <s v="Mgue"/>
    <s v="Champion"/>
    <x v="25"/>
    <x v="11"/>
    <n v="12"/>
  </r>
  <r>
    <s v="Mgue"/>
    <s v="Champion"/>
    <x v="26"/>
    <x v="11"/>
    <n v="15"/>
  </r>
  <r>
    <s v="Mgue"/>
    <s v="Champion"/>
    <x v="27"/>
    <x v="12"/>
    <n v="40"/>
  </r>
  <r>
    <s v="Mgue"/>
    <s v="Champion"/>
    <x v="27"/>
    <x v="12"/>
    <n v="45"/>
  </r>
  <r>
    <s v="Mgue"/>
    <s v="Champion"/>
    <x v="27"/>
    <x v="12"/>
    <n v="45"/>
  </r>
  <r>
    <s v="Mgue"/>
    <s v="Champion"/>
    <x v="28"/>
    <x v="12"/>
    <n v="55"/>
  </r>
  <r>
    <s v="Mgue"/>
    <s v="Champion"/>
    <x v="28"/>
    <x v="12"/>
    <n v="15"/>
  </r>
  <r>
    <s v="Mgue"/>
    <s v="Champion"/>
    <x v="29"/>
    <x v="8"/>
    <n v="6"/>
  </r>
  <r>
    <s v="Mgue"/>
    <s v="Champion"/>
    <x v="29"/>
    <x v="8"/>
    <n v="8"/>
  </r>
  <r>
    <s v="Mgue"/>
    <s v="Champion"/>
    <x v="29"/>
    <x v="8"/>
    <n v="10"/>
  </r>
  <r>
    <s v="Mgue"/>
    <s v="Champion"/>
    <x v="29"/>
    <x v="8"/>
    <n v="6"/>
  </r>
  <r>
    <s v="Mgue"/>
    <s v="Champion"/>
    <x v="29"/>
    <x v="8"/>
    <n v="6"/>
  </r>
  <r>
    <s v="Mgue"/>
    <s v="Champion"/>
    <x v="29"/>
    <x v="8"/>
    <m/>
  </r>
  <r>
    <s v="Mgue"/>
    <s v="Champion"/>
    <x v="29"/>
    <x v="8"/>
    <n v="5"/>
  </r>
  <r>
    <s v="Mgue"/>
    <s v="Champion"/>
    <x v="30"/>
    <x v="13"/>
    <n v="10"/>
  </r>
  <r>
    <s v="Mgue"/>
    <s v="Champion"/>
    <x v="30"/>
    <x v="13"/>
    <n v="8"/>
  </r>
  <r>
    <s v="Mgue"/>
    <s v="Champion"/>
    <x v="30"/>
    <x v="13"/>
    <n v="10"/>
  </r>
  <r>
    <s v="Mgue"/>
    <s v="Champion"/>
    <x v="30"/>
    <x v="13"/>
    <n v="10"/>
  </r>
  <r>
    <s v="Mgue"/>
    <s v="Champion"/>
    <x v="30"/>
    <x v="13"/>
    <n v="15"/>
  </r>
  <r>
    <s v="Mgue"/>
    <s v="Champion"/>
    <x v="30"/>
    <x v="13"/>
    <n v="30"/>
  </r>
  <r>
    <s v="Mgue"/>
    <s v="Champion"/>
    <x v="30"/>
    <x v="13"/>
    <n v="8"/>
  </r>
  <r>
    <s v="Mgue"/>
    <s v="Champion"/>
    <x v="30"/>
    <x v="13"/>
    <n v="9"/>
  </r>
  <r>
    <s v="Mgue"/>
    <s v="Champion"/>
    <x v="30"/>
    <x v="13"/>
    <n v="8"/>
  </r>
  <r>
    <s v="Mgue"/>
    <s v="Champion"/>
    <x v="30"/>
    <x v="13"/>
    <n v="10"/>
  </r>
  <r>
    <s v="Mgue"/>
    <s v="Champion"/>
    <x v="30"/>
    <x v="13"/>
    <n v="10"/>
  </r>
  <r>
    <s v="Mgue"/>
    <s v="Champion"/>
    <x v="30"/>
    <x v="13"/>
    <n v="10"/>
  </r>
  <r>
    <s v="Mgue"/>
    <s v="Champion"/>
    <x v="30"/>
    <x v="13"/>
    <n v="10"/>
  </r>
  <r>
    <s v="Mgue"/>
    <s v="Champion"/>
    <x v="31"/>
    <x v="13"/>
    <n v="30"/>
  </r>
  <r>
    <s v="Mgue"/>
    <s v="Champion"/>
    <x v="31"/>
    <x v="13"/>
    <n v="30"/>
  </r>
  <r>
    <s v="Mgue"/>
    <s v="Champion"/>
    <x v="31"/>
    <x v="13"/>
    <n v="50"/>
  </r>
  <r>
    <s v="Mgue"/>
    <s v="Champion"/>
    <x v="31"/>
    <x v="13"/>
    <n v="20"/>
  </r>
  <r>
    <s v="Mgue"/>
    <s v="Champion"/>
    <x v="31"/>
    <x v="13"/>
    <n v="40"/>
  </r>
  <r>
    <s v="Mgue"/>
    <s v="Champion"/>
    <x v="31"/>
    <x v="13"/>
    <n v="25"/>
  </r>
  <r>
    <s v="Mgue"/>
    <s v="Champion"/>
    <x v="31"/>
    <x v="13"/>
    <n v="30"/>
  </r>
  <r>
    <s v="Mgue"/>
    <s v="Champion"/>
    <x v="31"/>
    <x v="13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DC1A6B-FA6F-471F-B5F0-5964A1638E6F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50" firstHeaderRow="1" firstDataRow="1" firstDataCol="1"/>
  <pivotFields count="5">
    <pivotField showAll="0"/>
    <pivotField showAll="0"/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axis="axisRow" showAll="0">
      <items count="15">
        <item x="4"/>
        <item x="1"/>
        <item x="0"/>
        <item x="11"/>
        <item x="2"/>
        <item x="7"/>
        <item x="3"/>
        <item x="8"/>
        <item x="9"/>
        <item x="10"/>
        <item x="13"/>
        <item x="6"/>
        <item x="12"/>
        <item x="5"/>
        <item t="default"/>
      </items>
    </pivotField>
    <pivotField dataField="1" showAll="0"/>
  </pivotFields>
  <rowFields count="2">
    <field x="3"/>
    <field x="2"/>
  </rowFields>
  <rowItems count="47">
    <i>
      <x/>
    </i>
    <i r="1">
      <x v="5"/>
    </i>
    <i>
      <x v="1"/>
    </i>
    <i r="1">
      <x v="1"/>
    </i>
    <i r="1">
      <x v="6"/>
    </i>
    <i>
      <x v="2"/>
    </i>
    <i r="1">
      <x/>
    </i>
    <i>
      <x v="3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>
      <x v="4"/>
    </i>
    <i r="1">
      <x v="2"/>
    </i>
    <i>
      <x v="5"/>
    </i>
    <i r="1">
      <x v="10"/>
    </i>
    <i r="1">
      <x v="11"/>
    </i>
    <i>
      <x v="6"/>
    </i>
    <i r="1">
      <x v="3"/>
    </i>
    <i r="1">
      <x v="4"/>
    </i>
    <i>
      <x v="7"/>
    </i>
    <i r="1">
      <x v="12"/>
    </i>
    <i r="1">
      <x v="29"/>
    </i>
    <i>
      <x v="8"/>
    </i>
    <i r="1">
      <x v="13"/>
    </i>
    <i r="1">
      <x v="14"/>
    </i>
    <i>
      <x v="9"/>
    </i>
    <i r="1">
      <x v="15"/>
    </i>
    <i>
      <x v="10"/>
    </i>
    <i r="1">
      <x v="30"/>
    </i>
    <i r="1">
      <x v="31"/>
    </i>
    <i>
      <x v="11"/>
    </i>
    <i r="1">
      <x v="8"/>
    </i>
    <i r="1">
      <x v="9"/>
    </i>
    <i>
      <x v="12"/>
    </i>
    <i r="1">
      <x v="27"/>
    </i>
    <i r="1">
      <x v="28"/>
    </i>
    <i>
      <x v="13"/>
    </i>
    <i r="1">
      <x v="7"/>
    </i>
    <i r="1">
      <x v="16"/>
    </i>
    <i t="grand">
      <x/>
    </i>
  </rowItems>
  <colItems count="1">
    <i/>
  </colItems>
  <dataFields count="1">
    <dataField name="Suma de Dosi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5407B4-E956-43D9-9437-2E51A6CE8001}" name="Tabla13" displayName="Tabla13" ref="B3:N112" totalsRowShown="0" headerRowDxfId="14" dataDxfId="13">
  <autoFilter ref="B3:N112" xr:uid="{3ADAEFFE-FAFA-4FDC-A0F0-5559BBF0AE16}"/>
  <tableColumns count="13">
    <tableColumn id="1" xr3:uid="{747EAEFD-F586-4254-87D1-B65FFCD85E80}" name="Etiquetas de fila" dataDxfId="12"/>
    <tableColumn id="8" xr3:uid="{72F55F68-6F81-44B7-94D3-095E6A5AE309}" name="Optimización" dataDxfId="11" dataCellStyle="Porcentaje"/>
    <tableColumn id="2" xr3:uid="{F8DF5C8C-A625-4D85-BF8A-3F2E0192F815}" name="Suma de  Consumo (L/mes)" dataDxfId="10"/>
    <tableColumn id="9" xr3:uid="{584F5278-6BD9-4313-82D7-1901BC852294}" name="Consumo optimizado lmes" dataDxfId="9">
      <calculatedColumnFormula>+Tabla13[[#This Row],[Suma de  Consumo (L/mes)]]*(1-Tabla13[[#This Row],[Optimización]])</calculatedColumnFormula>
    </tableColumn>
    <tableColumn id="10" xr3:uid="{CC40C363-079B-40FB-AA1C-787B2BFA2A4D}" name="Dif litros" dataDxfId="8">
      <calculatedColumnFormula>+Tabla13[[#This Row],[Suma de  Consumo (L/mes)]]-Tabla13[[#This Row],[Consumo optimizado lmes]]</calculatedColumnFormula>
    </tableColumn>
    <tableColumn id="3" xr3:uid="{CA7320F6-46A3-4E17-9ADD-A65C04ECC2F2}" name="Suma de Bacheo B/P " dataDxfId="7"/>
    <tableColumn id="4" xr3:uid="{8B9C8F50-6F2A-4F6F-8EE6-2A3A3F1F8575}" name="Suma de Continua" dataDxfId="6"/>
    <tableColumn id="7" xr3:uid="{86D39EEF-542F-4759-A5A0-C36D748F1C6B}" name="Producto Químico, Denominación comercial" dataDxfId="5"/>
    <tableColumn id="5" xr3:uid="{582F30D1-613B-4C3F-8BF8-5B9DC1D5B19B}" name="Precio [USD/litro]" dataDxfId="4"/>
    <tableColumn id="6" xr3:uid="{662EC5EC-1D0A-4350-90B3-8B4E19DB0B7E}" name="Costo total [USD/mes]" dataDxfId="3">
      <calculatedColumnFormula>+IFERROR(Tabla13[[#This Row],[Suma de  Consumo (L/mes)]]*Tabla13[[#This Row],[Precio '[USD/litro']]],"")</calculatedColumnFormula>
    </tableColumn>
    <tableColumn id="11" xr3:uid="{51A41289-7B26-4752-B94D-3BEABFEC8E8F}" name="Costo optimizado [USD/mes]" dataDxfId="2">
      <calculatedColumnFormula>+IFERROR(Tabla13[[#This Row],[Precio '[USD/litro']]]*Tabla13[[#This Row],[Consumo optimizado lmes]],"")</calculatedColumnFormula>
    </tableColumn>
    <tableColumn id="12" xr3:uid="{A90DE136-FFDF-48CD-B48F-3E8429044997}" name="Dif costo" dataDxfId="1">
      <calculatedColumnFormula>IFERROR(Tabla13[[#This Row],[Costo total '[USD/mes']]]-Tabla13[[#This Row],[Costo optimizado '[USD/mes']]],"")</calculatedColumnFormula>
    </tableColumn>
    <tableColumn id="13" xr3:uid="{327CBFB8-CEF5-4F1A-9D43-72E80B0F2A4E}" name="CR" dataDxfId="0">
      <calculatedColumnFormula>IFERROR(VLOOKUP(Tabla13[[#This Row],[Producto Químico, Denominación comercial]],'PUNTOS DE INYECCIÓN'!Q:S,3,0),"")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C3:H130" totalsRowShown="0" headerRowDxfId="22" dataDxfId="21">
  <tableColumns count="6">
    <tableColumn id="1" xr3:uid="{00000000-0010-0000-0000-000001000000}" name="Etiquetas de fila" dataDxfId="20"/>
    <tableColumn id="6" xr3:uid="{E34157F5-B1DD-45F7-8C13-3BCF02B57D79}" name="Consumo optimizado [l/mes]" dataDxfId="19">
      <calculatedColumnFormula>+Tabla1[[#This Row],[Consumo presentado '[L/mes']]]*(1-EERR!$E$24)</calculatedColumnFormula>
    </tableColumn>
    <tableColumn id="2" xr3:uid="{00000000-0010-0000-0000-000002000000}" name="Consumo presentado [L/mes]" dataDxfId="18"/>
    <tableColumn id="3" xr3:uid="{00000000-0010-0000-0000-000003000000}" name="Suma de Bacheo B/P " dataDxfId="17"/>
    <tableColumn id="4" xr3:uid="{00000000-0010-0000-0000-000004000000}" name="Suma de Continua" dataDxfId="16"/>
    <tableColumn id="5" xr3:uid="{00000000-0010-0000-0000-000005000000}" name="PQB Antiguo Producto" dataDxfId="1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35" dT="2024-03-12T19:08:42.94" personId="{435462F4-4589-441E-A299-6CB1A09DA7CD}" id="{8AB5D43B-01E2-4E56-AC60-275DD63AE0BE}">
    <text>11 personas Champion + 3 de Baker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61" dT="2024-03-12T13:48:03.00" personId="{435462F4-4589-441E-A299-6CB1A09DA7CD}" id="{6D80A471-93E1-4537-8331-667389F2479A}">
    <text>O Bactron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ED080-0F0F-46D6-B0F7-D7CFE2FBE4E7}">
  <dimension ref="A2:L34"/>
  <sheetViews>
    <sheetView showGridLines="0" workbookViewId="0">
      <pane ySplit="2" topLeftCell="A21" activePane="bottomLeft" state="frozen"/>
      <selection pane="bottomLeft" activeCell="A2" sqref="A2:XFD2"/>
    </sheetView>
  </sheetViews>
  <sheetFormatPr baseColWidth="10" defaultColWidth="11.42578125" defaultRowHeight="14.1" customHeight="1"/>
  <cols>
    <col min="1" max="1" width="21.85546875" style="82" bestFit="1" customWidth="1"/>
    <col min="2" max="2" width="33.5703125" style="82" bestFit="1" customWidth="1"/>
    <col min="3" max="3" width="9.85546875" style="82" bestFit="1" customWidth="1"/>
    <col min="4" max="4" width="11.28515625" style="82" bestFit="1" customWidth="1"/>
    <col min="5" max="6" width="13.7109375" style="82" customWidth="1"/>
    <col min="7" max="7" width="10.42578125" style="82" bestFit="1" customWidth="1"/>
    <col min="8" max="8" width="10.42578125" style="82" customWidth="1"/>
    <col min="9" max="9" width="82" style="83" bestFit="1" customWidth="1"/>
    <col min="10" max="10" width="11.42578125" style="82"/>
    <col min="11" max="11" width="3.5703125" style="82" bestFit="1" customWidth="1"/>
    <col min="12" max="16384" width="11.42578125" style="82"/>
  </cols>
  <sheetData>
    <row r="2" spans="1:12" s="78" customFormat="1" ht="45" customHeight="1">
      <c r="A2" s="76" t="s">
        <v>0</v>
      </c>
      <c r="B2" s="76" t="s">
        <v>1</v>
      </c>
      <c r="C2" s="76" t="s">
        <v>2</v>
      </c>
      <c r="D2" s="76" t="s">
        <v>3</v>
      </c>
      <c r="E2" s="76" t="s">
        <v>4</v>
      </c>
      <c r="F2" s="76" t="s">
        <v>5</v>
      </c>
      <c r="G2" s="76" t="s">
        <v>6</v>
      </c>
      <c r="H2" s="76" t="s">
        <v>7</v>
      </c>
      <c r="I2" s="77" t="s">
        <v>8</v>
      </c>
      <c r="J2" s="76" t="s">
        <v>9</v>
      </c>
    </row>
    <row r="3" spans="1:12" ht="14.1" customHeight="1">
      <c r="A3" s="73" t="s">
        <v>10</v>
      </c>
      <c r="B3" s="73" t="str">
        <f>VLOOKUP(A3,[70]Tratamientos!$H:$J,3,0)</f>
        <v>INHIBIDOR DE INCRUSTACIÓN/CORROSIÓN</v>
      </c>
      <c r="C3" s="79">
        <f>0.5*6.94+0.5*10.58</f>
        <v>8.76</v>
      </c>
      <c r="D3" s="79">
        <v>2018</v>
      </c>
      <c r="E3" s="79" t="e">
        <f>COUNTIF([70]Tratamientos!$H$3:$H$259,LP!A3)</f>
        <v>#VALUE!</v>
      </c>
      <c r="F3" s="79" t="s">
        <v>11</v>
      </c>
      <c r="G3" s="80" t="e">
        <f t="shared" ref="G3:G33" si="0">E3/$K$34</f>
        <v>#VALUE!</v>
      </c>
      <c r="H3" s="80" t="e">
        <f>G3</f>
        <v>#VALUE!</v>
      </c>
      <c r="I3" s="81" t="s">
        <v>12</v>
      </c>
      <c r="J3" s="79" t="str">
        <f>VLOOKUP(B3,[70]BCConc!$B:$E,4,0)</f>
        <v>IC/CY</v>
      </c>
    </row>
    <row r="4" spans="1:12" ht="14.1" customHeight="1">
      <c r="A4" s="73" t="s">
        <v>13</v>
      </c>
      <c r="B4" s="73" t="str">
        <f>VLOOKUP(A4,[70]Tratamientos!$H:$J,3,0)</f>
        <v>DISOLVENTE DE PARAFINAS Y ASFALTENOS</v>
      </c>
      <c r="C4" s="79">
        <v>4.38</v>
      </c>
      <c r="D4" s="79">
        <v>2019</v>
      </c>
      <c r="E4" s="79" t="e">
        <f>COUNTIF([70]Tratamientos!$H$3:$H$259,LP!A4)</f>
        <v>#VALUE!</v>
      </c>
      <c r="F4" s="79" t="s">
        <v>14</v>
      </c>
      <c r="G4" s="80" t="e">
        <f t="shared" si="0"/>
        <v>#VALUE!</v>
      </c>
      <c r="H4" s="80" t="e">
        <f t="shared" ref="H4:H34" si="1">G4+H3</f>
        <v>#VALUE!</v>
      </c>
      <c r="I4" s="83" t="s">
        <v>15</v>
      </c>
      <c r="J4" s="79" t="str">
        <f>VLOOKUP(B4,[70]BCConc!$B:$E,4,0)</f>
        <v>DP</v>
      </c>
    </row>
    <row r="5" spans="1:12" ht="14.1" customHeight="1">
      <c r="A5" s="73" t="s">
        <v>16</v>
      </c>
      <c r="B5" s="73" t="str">
        <f>VLOOKUP(A5,[70]Tratamientos!$H:$J,3,0)</f>
        <v>REDUCTOR DE FRICCIÓN</v>
      </c>
      <c r="C5" s="79">
        <v>4.25</v>
      </c>
      <c r="D5" s="79">
        <v>2019</v>
      </c>
      <c r="E5" s="79" t="e">
        <f>COUNTIF([70]Tratamientos!$H$3:$H$259,LP!A5)</f>
        <v>#VALUE!</v>
      </c>
      <c r="F5" s="79" t="s">
        <v>17</v>
      </c>
      <c r="G5" s="80" t="e">
        <f t="shared" si="0"/>
        <v>#VALUE!</v>
      </c>
      <c r="H5" s="80" t="e">
        <f t="shared" si="1"/>
        <v>#VALUE!</v>
      </c>
      <c r="I5" s="81" t="s">
        <v>18</v>
      </c>
      <c r="J5" s="79" t="str">
        <f>VLOOKUP(B5,[70]BCConc!$B:$E,4,0)</f>
        <v>RF</v>
      </c>
    </row>
    <row r="6" spans="1:12" ht="14.1" customHeight="1">
      <c r="A6" s="73" t="s">
        <v>19</v>
      </c>
      <c r="B6" s="73" t="str">
        <f>VLOOKUP(A6,[70]Tratamientos!$H:$J,3,0)</f>
        <v>INHIBIDOR DE INCRUSTACIONES</v>
      </c>
      <c r="C6" s="79">
        <v>4.8099999999999996</v>
      </c>
      <c r="D6" s="79">
        <v>2019</v>
      </c>
      <c r="E6" s="79" t="e">
        <f>COUNTIF([70]Tratamientos!$H$3:$H$259,LP!A6)</f>
        <v>#VALUE!</v>
      </c>
      <c r="F6" s="79" t="s">
        <v>14</v>
      </c>
      <c r="G6" s="80" t="e">
        <f t="shared" si="0"/>
        <v>#VALUE!</v>
      </c>
      <c r="H6" s="80" t="e">
        <f t="shared" si="1"/>
        <v>#VALUE!</v>
      </c>
      <c r="I6" s="83" t="s">
        <v>15</v>
      </c>
      <c r="J6" s="79" t="str">
        <f>VLOOKUP(B6,[70]BCConc!$B:$E,4,0)</f>
        <v>IC</v>
      </c>
      <c r="K6" s="84"/>
      <c r="L6" s="84"/>
    </row>
    <row r="7" spans="1:12" ht="14.1" customHeight="1">
      <c r="A7" s="73" t="s">
        <v>20</v>
      </c>
      <c r="B7" s="73" t="str">
        <f>VLOOKUP(A7,[70]Tratamientos!$H:$J,3,0)</f>
        <v>INHIBIDOR DE INCRUSTACIONES</v>
      </c>
      <c r="C7" s="79">
        <v>2.19</v>
      </c>
      <c r="D7" s="79">
        <v>2017</v>
      </c>
      <c r="E7" s="79" t="e">
        <f>COUNTIF([70]Tratamientos!$H$3:$H$259,LP!A7)</f>
        <v>#VALUE!</v>
      </c>
      <c r="F7" s="79" t="s">
        <v>21</v>
      </c>
      <c r="G7" s="80" t="e">
        <f t="shared" si="0"/>
        <v>#VALUE!</v>
      </c>
      <c r="H7" s="80" t="e">
        <f t="shared" si="1"/>
        <v>#VALUE!</v>
      </c>
      <c r="I7" s="81" t="s">
        <v>22</v>
      </c>
      <c r="J7" s="79" t="str">
        <f>VLOOKUP(B7,[70]BCConc!$B:$E,4,0)</f>
        <v>IC</v>
      </c>
    </row>
    <row r="8" spans="1:12" ht="14.1" customHeight="1">
      <c r="A8" s="73" t="s">
        <v>23</v>
      </c>
      <c r="B8" s="73" t="str">
        <f>VLOOKUP(A8,[70]Tratamientos!$H:$J,3,0)</f>
        <v>ANTIESPUMANTE</v>
      </c>
      <c r="C8" s="79">
        <v>2.5</v>
      </c>
      <c r="D8" s="79"/>
      <c r="E8" s="79" t="e">
        <f>COUNTIF([70]Tratamientos!$H$3:$H$259,LP!A8)</f>
        <v>#VALUE!</v>
      </c>
      <c r="F8" s="79"/>
      <c r="G8" s="80" t="e">
        <f t="shared" si="0"/>
        <v>#VALUE!</v>
      </c>
      <c r="H8" s="80" t="e">
        <f t="shared" si="1"/>
        <v>#VALUE!</v>
      </c>
      <c r="I8" s="81" t="s">
        <v>24</v>
      </c>
      <c r="J8" s="79" t="str">
        <f>VLOOKUP(B8,[70]BCConc!$B:$E,4,0)</f>
        <v>AB</v>
      </c>
    </row>
    <row r="9" spans="1:12" ht="14.1" customHeight="1">
      <c r="A9" s="73" t="s">
        <v>25</v>
      </c>
      <c r="B9" s="73" t="str">
        <f>VLOOKUP(A9,[70]Tratamientos!$H:$J,3,0)</f>
        <v>DESEMULSIONANTE</v>
      </c>
      <c r="C9" s="79">
        <v>3.16</v>
      </c>
      <c r="D9" s="79"/>
      <c r="E9" s="79" t="e">
        <f>COUNTIF([70]Tratamientos!$H$3:$H$259,LP!A9)</f>
        <v>#VALUE!</v>
      </c>
      <c r="F9" s="79" t="s">
        <v>14</v>
      </c>
      <c r="G9" s="80" t="e">
        <f t="shared" si="0"/>
        <v>#VALUE!</v>
      </c>
      <c r="H9" s="80" t="e">
        <f t="shared" si="1"/>
        <v>#VALUE!</v>
      </c>
      <c r="I9" s="81" t="s">
        <v>15</v>
      </c>
      <c r="J9" s="79" t="str">
        <f>VLOOKUP(B9,[70]BCConc!$B:$E,4,0)</f>
        <v>DB</v>
      </c>
    </row>
    <row r="10" spans="1:12" ht="14.1" customHeight="1">
      <c r="A10" s="73" t="s">
        <v>26</v>
      </c>
      <c r="B10" s="73" t="str">
        <f>VLOOKUP(A10,[70]Tratamientos!$H:$J,3,0)</f>
        <v>DESEMULSIONANTE</v>
      </c>
      <c r="C10" s="79">
        <v>4</v>
      </c>
      <c r="D10" s="79"/>
      <c r="E10" s="79" t="e">
        <f>COUNTIF([70]Tratamientos!$H$3:$H$259,LP!A10)</f>
        <v>#VALUE!</v>
      </c>
      <c r="F10" s="79"/>
      <c r="G10" s="80" t="e">
        <f t="shared" si="0"/>
        <v>#VALUE!</v>
      </c>
      <c r="H10" s="80" t="e">
        <f t="shared" si="1"/>
        <v>#VALUE!</v>
      </c>
      <c r="I10" s="81" t="s">
        <v>24</v>
      </c>
      <c r="J10" s="79" t="str">
        <f>VLOOKUP(B10,[70]BCConc!$B:$E,4,0)</f>
        <v>DB</v>
      </c>
    </row>
    <row r="11" spans="1:12" ht="14.1" customHeight="1">
      <c r="A11" s="73" t="s">
        <v>27</v>
      </c>
      <c r="B11" s="73" t="str">
        <f>VLOOKUP(A11,[70]Tratamientos!$H:$J,3,0)</f>
        <v>INHIBIDOR DE INCRUSTACIONES</v>
      </c>
      <c r="C11" s="79">
        <v>10.58</v>
      </c>
      <c r="D11" s="79">
        <v>2018</v>
      </c>
      <c r="E11" s="79" t="e">
        <f>COUNTIF([70]Tratamientos!$H$3:$H$259,LP!A11)</f>
        <v>#VALUE!</v>
      </c>
      <c r="F11" s="79" t="s">
        <v>11</v>
      </c>
      <c r="G11" s="80" t="e">
        <f t="shared" si="0"/>
        <v>#VALUE!</v>
      </c>
      <c r="H11" s="80" t="e">
        <f t="shared" si="1"/>
        <v>#VALUE!</v>
      </c>
      <c r="I11" s="81"/>
      <c r="J11" s="79" t="str">
        <f>VLOOKUP(B11,[70]BCConc!$B:$E,4,0)</f>
        <v>IC</v>
      </c>
    </row>
    <row r="12" spans="1:12" ht="14.1" customHeight="1">
      <c r="A12" s="73" t="s">
        <v>28</v>
      </c>
      <c r="B12" s="73" t="str">
        <f>VLOOKUP(A12,[70]Tratamientos!$H:$J,3,0)</f>
        <v>INHIBIDOR DE CORROSIÓN</v>
      </c>
      <c r="C12" s="79">
        <v>2.65</v>
      </c>
      <c r="D12" s="79">
        <v>2017</v>
      </c>
      <c r="E12" s="79" t="e">
        <f>COUNTIF([70]Tratamientos!$H$3:$H$259,LP!A12)</f>
        <v>#VALUE!</v>
      </c>
      <c r="F12" s="79" t="s">
        <v>29</v>
      </c>
      <c r="G12" s="80" t="e">
        <f t="shared" si="0"/>
        <v>#VALUE!</v>
      </c>
      <c r="H12" s="80" t="e">
        <f t="shared" si="1"/>
        <v>#VALUE!</v>
      </c>
      <c r="I12" s="81"/>
      <c r="J12" s="79" t="str">
        <f>VLOOKUP(B12,[70]BCConc!$B:$E,4,0)</f>
        <v>CY</v>
      </c>
    </row>
    <row r="13" spans="1:12" ht="14.1" customHeight="1">
      <c r="A13" s="73" t="s">
        <v>30</v>
      </c>
      <c r="B13" s="73" t="str">
        <f>VLOOKUP(A13,[70]Tratamientos!$H:$J,3,0)</f>
        <v>DESEMULSIONANTE</v>
      </c>
      <c r="C13" s="79">
        <v>4</v>
      </c>
      <c r="D13" s="79"/>
      <c r="E13" s="79" t="e">
        <f>COUNTIF([70]Tratamientos!$H$3:$H$259,LP!A13)</f>
        <v>#VALUE!</v>
      </c>
      <c r="F13" s="79"/>
      <c r="G13" s="80" t="e">
        <f t="shared" si="0"/>
        <v>#VALUE!</v>
      </c>
      <c r="H13" s="80" t="e">
        <f t="shared" si="1"/>
        <v>#VALUE!</v>
      </c>
      <c r="I13" s="81" t="s">
        <v>24</v>
      </c>
      <c r="J13" s="79" t="str">
        <f>VLOOKUP(B13,[70]BCConc!$B:$E,4,0)</f>
        <v>DB</v>
      </c>
    </row>
    <row r="14" spans="1:12" ht="14.1" customHeight="1">
      <c r="A14" s="73" t="s">
        <v>31</v>
      </c>
      <c r="B14" s="73" t="str">
        <f>VLOOKUP(A14,[70]Tratamientos!$H:$J,3,0)</f>
        <v>INHIBIDOR DE CORROSIÓN</v>
      </c>
      <c r="C14" s="79">
        <v>6.94</v>
      </c>
      <c r="D14" s="79">
        <v>2019</v>
      </c>
      <c r="E14" s="79" t="e">
        <f>COUNTIF([70]Tratamientos!$H$3:$H$259,LP!A14)</f>
        <v>#VALUE!</v>
      </c>
      <c r="F14" s="79" t="s">
        <v>14</v>
      </c>
      <c r="G14" s="80" t="e">
        <f t="shared" si="0"/>
        <v>#VALUE!</v>
      </c>
      <c r="H14" s="80" t="e">
        <f t="shared" si="1"/>
        <v>#VALUE!</v>
      </c>
      <c r="I14" s="81" t="s">
        <v>15</v>
      </c>
      <c r="J14" s="79" t="str">
        <f>VLOOKUP(B14,[70]BCConc!$B:$E,4,0)</f>
        <v>CY</v>
      </c>
    </row>
    <row r="15" spans="1:12" ht="14.1" customHeight="1">
      <c r="A15" s="73" t="s">
        <v>32</v>
      </c>
      <c r="B15" s="73" t="str">
        <f>VLOOKUP(A15,[70]Tratamientos!$H:$J,3,0)</f>
        <v>INHIBIDOR DE PARAFINAS Y ASFALTENOS</v>
      </c>
      <c r="C15" s="79">
        <v>5.47</v>
      </c>
      <c r="D15" s="79">
        <v>2019</v>
      </c>
      <c r="E15" s="79" t="e">
        <f>COUNTIF([70]Tratamientos!$H$3:$H$259,LP!A15)</f>
        <v>#VALUE!</v>
      </c>
      <c r="F15" s="79" t="s">
        <v>33</v>
      </c>
      <c r="G15" s="80" t="e">
        <f t="shared" si="0"/>
        <v>#VALUE!</v>
      </c>
      <c r="H15" s="80" t="e">
        <f t="shared" si="1"/>
        <v>#VALUE!</v>
      </c>
      <c r="I15" s="81" t="s">
        <v>34</v>
      </c>
      <c r="J15" s="79" t="str">
        <f>VLOOKUP(B15,[70]BCConc!$B:$E,4,0)</f>
        <v>IP</v>
      </c>
    </row>
    <row r="16" spans="1:12" ht="14.1" customHeight="1">
      <c r="A16" s="74" t="s">
        <v>35</v>
      </c>
      <c r="B16" s="73" t="str">
        <f>VLOOKUP(A16,[70]Tratamientos!$H:$J,3,0)</f>
        <v>BACTERICIDA</v>
      </c>
      <c r="C16" s="79">
        <v>6.94</v>
      </c>
      <c r="D16" s="85">
        <v>43525</v>
      </c>
      <c r="E16" s="79" t="e">
        <f>COUNTIF([70]Tratamientos!$H$3:$H$259,LP!A16)</f>
        <v>#VALUE!</v>
      </c>
      <c r="F16" s="79" t="s">
        <v>36</v>
      </c>
      <c r="G16" s="80" t="e">
        <f t="shared" si="0"/>
        <v>#VALUE!</v>
      </c>
      <c r="H16" s="80" t="e">
        <f t="shared" si="1"/>
        <v>#VALUE!</v>
      </c>
      <c r="I16" s="81" t="s">
        <v>37</v>
      </c>
      <c r="J16" s="79" t="str">
        <f>VLOOKUP(B16,[70]BCConc!$B:$E,4,0)</f>
        <v>BX</v>
      </c>
    </row>
    <row r="17" spans="1:10" ht="14.1" customHeight="1">
      <c r="A17" s="74" t="s">
        <v>38</v>
      </c>
      <c r="B17" s="73" t="str">
        <f>VLOOKUP(A17,[70]Tratamientos!$H:$J,3,0)</f>
        <v>INHIBIDOR DE CORROSIÓN</v>
      </c>
      <c r="C17" s="79">
        <v>2.66</v>
      </c>
      <c r="D17" s="79">
        <v>2017</v>
      </c>
      <c r="E17" s="79" t="e">
        <f>COUNTIF([70]Tratamientos!$H$3:$H$259,LP!A17)</f>
        <v>#VALUE!</v>
      </c>
      <c r="F17" s="79" t="s">
        <v>29</v>
      </c>
      <c r="G17" s="80" t="e">
        <f t="shared" si="0"/>
        <v>#VALUE!</v>
      </c>
      <c r="H17" s="80" t="e">
        <f t="shared" si="1"/>
        <v>#VALUE!</v>
      </c>
      <c r="I17" s="81"/>
      <c r="J17" s="79" t="str">
        <f>VLOOKUP(B17,[70]BCConc!$B:$E,4,0)</f>
        <v>CY</v>
      </c>
    </row>
    <row r="18" spans="1:10" ht="14.1" customHeight="1">
      <c r="A18" s="74" t="s">
        <v>39</v>
      </c>
      <c r="B18" s="73" t="str">
        <f>VLOOKUP(A18,[70]Tratamientos!$H:$J,3,0)</f>
        <v>SECUESTRANTE DE SULFHÍDRICO</v>
      </c>
      <c r="C18" s="79">
        <v>1.88</v>
      </c>
      <c r="D18" s="79">
        <v>2017</v>
      </c>
      <c r="E18" s="79" t="e">
        <f>COUNTIF([70]Tratamientos!$H$3:$H$259,LP!A18)</f>
        <v>#VALUE!</v>
      </c>
      <c r="F18" s="79" t="s">
        <v>29</v>
      </c>
      <c r="G18" s="80" t="e">
        <f t="shared" si="0"/>
        <v>#VALUE!</v>
      </c>
      <c r="H18" s="80" t="e">
        <f t="shared" si="1"/>
        <v>#VALUE!</v>
      </c>
      <c r="I18" s="81"/>
      <c r="J18" s="79" t="str">
        <f>VLOOKUP(B18,[70]BCConc!$B:$E,4,0)</f>
        <v>BS</v>
      </c>
    </row>
    <row r="19" spans="1:10" ht="14.1" customHeight="1">
      <c r="A19" s="74" t="s">
        <v>40</v>
      </c>
      <c r="B19" s="73" t="str">
        <f>VLOOKUP(A19,[70]Tratamientos!$H:$J,3,0)</f>
        <v>BACTERICIDA</v>
      </c>
      <c r="C19" s="79">
        <v>5.7</v>
      </c>
      <c r="D19" s="79">
        <v>2017</v>
      </c>
      <c r="E19" s="79" t="e">
        <f>COUNTIF([70]Tratamientos!$H$3:$H$259,LP!A19)</f>
        <v>#VALUE!</v>
      </c>
      <c r="F19" s="79" t="s">
        <v>21</v>
      </c>
      <c r="G19" s="80" t="e">
        <f t="shared" si="0"/>
        <v>#VALUE!</v>
      </c>
      <c r="H19" s="80" t="e">
        <f t="shared" si="1"/>
        <v>#VALUE!</v>
      </c>
      <c r="I19" s="81"/>
      <c r="J19" s="79" t="str">
        <f>VLOOKUP(B19,[70]BCConc!$B:$E,4,0)</f>
        <v>BX</v>
      </c>
    </row>
    <row r="20" spans="1:10" ht="14.1" customHeight="1">
      <c r="A20" s="75" t="s">
        <v>41</v>
      </c>
      <c r="B20" s="73" t="str">
        <f>VLOOKUP(A20,[70]Tratamientos!$H:$J,3,0)</f>
        <v>HUMECTANTE DE SOLIDOS</v>
      </c>
      <c r="C20" s="79">
        <v>4.41</v>
      </c>
      <c r="D20" s="79">
        <v>2019</v>
      </c>
      <c r="E20" s="79" t="e">
        <f>COUNTIF([70]Tratamientos!$H$3:$H$259,LP!A20)</f>
        <v>#VALUE!</v>
      </c>
      <c r="F20" s="79" t="s">
        <v>17</v>
      </c>
      <c r="G20" s="80" t="e">
        <f t="shared" si="0"/>
        <v>#VALUE!</v>
      </c>
      <c r="H20" s="80" t="e">
        <f t="shared" si="1"/>
        <v>#VALUE!</v>
      </c>
      <c r="I20" s="81" t="s">
        <v>42</v>
      </c>
      <c r="J20" s="79" t="str">
        <f>VLOOKUP(B20,[70]BCConc!$B:$E,4,0)</f>
        <v>HS</v>
      </c>
    </row>
    <row r="21" spans="1:10" ht="14.1" customHeight="1">
      <c r="A21" s="74" t="s">
        <v>43</v>
      </c>
      <c r="B21" s="73" t="str">
        <f>VLOOKUP(A21,[70]Tratamientos!$H:$J,3,0)</f>
        <v>RUPTOR</v>
      </c>
      <c r="C21" s="79">
        <v>5.44</v>
      </c>
      <c r="D21" s="79">
        <v>2017</v>
      </c>
      <c r="E21" s="79" t="e">
        <f>COUNTIF([70]Tratamientos!$H$3:$H$259,LP!A21)</f>
        <v>#VALUE!</v>
      </c>
      <c r="F21" s="79" t="s">
        <v>21</v>
      </c>
      <c r="G21" s="80" t="e">
        <f t="shared" si="0"/>
        <v>#VALUE!</v>
      </c>
      <c r="H21" s="80" t="e">
        <f t="shared" si="1"/>
        <v>#VALUE!</v>
      </c>
      <c r="I21" s="81"/>
      <c r="J21" s="79" t="str">
        <f>VLOOKUP(B21,[70]BCConc!$B:$E,4,0)</f>
        <v>RT</v>
      </c>
    </row>
    <row r="22" spans="1:10" ht="14.1" customHeight="1">
      <c r="A22" s="75" t="s">
        <v>44</v>
      </c>
      <c r="B22" s="73" t="str">
        <f>VLOOKUP(A22,[70]Tratamientos!$H:$J,3,0)</f>
        <v>FLOCULANTE</v>
      </c>
      <c r="C22" s="79">
        <v>6.04</v>
      </c>
      <c r="D22" s="79">
        <v>2017</v>
      </c>
      <c r="E22" s="79" t="e">
        <f>COUNTIF([70]Tratamientos!$H$3:$H$259,LP!A22)</f>
        <v>#VALUE!</v>
      </c>
      <c r="F22" s="79" t="s">
        <v>21</v>
      </c>
      <c r="G22" s="80" t="e">
        <f t="shared" si="0"/>
        <v>#VALUE!</v>
      </c>
      <c r="H22" s="80" t="e">
        <f t="shared" si="1"/>
        <v>#VALUE!</v>
      </c>
      <c r="I22" s="81" t="s">
        <v>45</v>
      </c>
      <c r="J22" s="79" t="str">
        <f>VLOOKUP(B22,[70]BCConc!$B:$E,4,0)</f>
        <v>FB</v>
      </c>
    </row>
    <row r="23" spans="1:10" ht="14.1" customHeight="1">
      <c r="A23" s="75" t="s">
        <v>46</v>
      </c>
      <c r="B23" s="73" t="str">
        <f>VLOOKUP(A23,[70]Tratamientos!$H:$J,3,0)</f>
        <v>DESEMULSIONANTE</v>
      </c>
      <c r="C23" s="79">
        <v>2.79</v>
      </c>
      <c r="D23" s="79">
        <v>2016</v>
      </c>
      <c r="E23" s="79" t="e">
        <f>COUNTIF([70]Tratamientos!$H$3:$H$259,LP!A23)</f>
        <v>#VALUE!</v>
      </c>
      <c r="F23" s="79" t="s">
        <v>47</v>
      </c>
      <c r="G23" s="80" t="e">
        <f t="shared" si="0"/>
        <v>#VALUE!</v>
      </c>
      <c r="H23" s="80" t="e">
        <f t="shared" si="1"/>
        <v>#VALUE!</v>
      </c>
      <c r="I23" s="81" t="s">
        <v>48</v>
      </c>
      <c r="J23" s="79" t="str">
        <f>VLOOKUP(B23,[70]BCConc!$B:$E,4,0)</f>
        <v>DB</v>
      </c>
    </row>
    <row r="24" spans="1:10" ht="14.1" customHeight="1">
      <c r="A24" s="75" t="s">
        <v>49</v>
      </c>
      <c r="B24" s="73" t="str">
        <f>VLOOKUP(A24,[70]Tratamientos!$H:$J,3,0)</f>
        <v>CLARIFICANTE</v>
      </c>
      <c r="C24" s="79">
        <v>8.3000000000000007</v>
      </c>
      <c r="D24" s="79">
        <v>2017</v>
      </c>
      <c r="E24" s="79" t="e">
        <f>COUNTIF([70]Tratamientos!$H$3:$H$259,LP!A24)</f>
        <v>#VALUE!</v>
      </c>
      <c r="F24" s="79" t="s">
        <v>21</v>
      </c>
      <c r="G24" s="80" t="e">
        <f t="shared" si="0"/>
        <v>#VALUE!</v>
      </c>
      <c r="H24" s="80" t="e">
        <f t="shared" si="1"/>
        <v>#VALUE!</v>
      </c>
      <c r="I24" s="81"/>
      <c r="J24" s="79" t="str">
        <f>VLOOKUP(B24,[70]BCConc!$B:$E,4,0)</f>
        <v>FB</v>
      </c>
    </row>
    <row r="25" spans="1:10" ht="14.1" customHeight="1">
      <c r="A25" s="74" t="s">
        <v>50</v>
      </c>
      <c r="B25" s="73" t="str">
        <f>VLOOKUP(A25,[70]Tratamientos!$H:$J,3,0)</f>
        <v>REDUCTOR DE FRICCIÓN</v>
      </c>
      <c r="C25" s="79">
        <v>2.79</v>
      </c>
      <c r="D25" s="79">
        <v>2017</v>
      </c>
      <c r="E25" s="79" t="e">
        <f>COUNTIF([70]Tratamientos!$H$3:$H$259,LP!A25)</f>
        <v>#VALUE!</v>
      </c>
      <c r="F25" s="79" t="s">
        <v>21</v>
      </c>
      <c r="G25" s="80" t="e">
        <f t="shared" si="0"/>
        <v>#VALUE!</v>
      </c>
      <c r="H25" s="80" t="e">
        <f t="shared" si="1"/>
        <v>#VALUE!</v>
      </c>
      <c r="I25" s="81"/>
      <c r="J25" s="79" t="str">
        <f>VLOOKUP(B25,[70]BCConc!$B:$E,4,0)</f>
        <v>RF</v>
      </c>
    </row>
    <row r="26" spans="1:10" ht="14.1" customHeight="1">
      <c r="A26" s="74" t="s">
        <v>51</v>
      </c>
      <c r="B26" s="74" t="str">
        <f>VLOOKUP(A26,[70]Tratamientos!$H:$J,3,0)</f>
        <v>SECUESTRANTE DE OXIGENO</v>
      </c>
      <c r="C26" s="79">
        <v>1.27</v>
      </c>
      <c r="D26" s="79">
        <v>2017</v>
      </c>
      <c r="E26" s="79" t="e">
        <f>COUNTIF([70]Tratamientos!$H$3:$H$259,LP!A26)</f>
        <v>#VALUE!</v>
      </c>
      <c r="F26" s="79" t="s">
        <v>29</v>
      </c>
      <c r="G26" s="86" t="e">
        <f t="shared" si="0"/>
        <v>#VALUE!</v>
      </c>
      <c r="H26" s="86" t="e">
        <f t="shared" si="1"/>
        <v>#VALUE!</v>
      </c>
      <c r="I26" s="81"/>
      <c r="J26" s="79" t="str">
        <f>VLOOKUP(B26,[70]BCConc!$B:$E,4,0)</f>
        <v>SO</v>
      </c>
    </row>
    <row r="27" spans="1:10" ht="14.1" customHeight="1">
      <c r="A27" s="74" t="s">
        <v>52</v>
      </c>
      <c r="B27" s="74" t="str">
        <f>VLOOKUP(A27,[70]Tratamientos!$H:$J,3,0)</f>
        <v>CLARIFICANTE</v>
      </c>
      <c r="C27" s="79">
        <v>3.9</v>
      </c>
      <c r="D27" s="79">
        <v>2017</v>
      </c>
      <c r="E27" s="79" t="e">
        <f>COUNTIF([70]Tratamientos!$H$3:$H$259,LP!A27)</f>
        <v>#VALUE!</v>
      </c>
      <c r="F27" s="79" t="s">
        <v>21</v>
      </c>
      <c r="G27" s="86" t="e">
        <f t="shared" si="0"/>
        <v>#VALUE!</v>
      </c>
      <c r="H27" s="86" t="e">
        <f t="shared" si="1"/>
        <v>#VALUE!</v>
      </c>
      <c r="I27" s="81"/>
      <c r="J27" s="79" t="str">
        <f>VLOOKUP(B27,[70]BCConc!$B:$E,4,0)</f>
        <v>FB</v>
      </c>
    </row>
    <row r="28" spans="1:10" ht="14.1" customHeight="1">
      <c r="A28" s="74" t="s">
        <v>53</v>
      </c>
      <c r="B28" s="74" t="str">
        <f>VLOOKUP(A28,[70]Tratamientos!$H:$J,3,0)</f>
        <v>DESEMULSIONANTE</v>
      </c>
      <c r="C28" s="79">
        <v>5.07</v>
      </c>
      <c r="D28" s="79">
        <v>2019</v>
      </c>
      <c r="E28" s="79" t="e">
        <f>COUNTIF([70]Tratamientos!$H$3:$H$259,LP!A28)</f>
        <v>#VALUE!</v>
      </c>
      <c r="F28" s="79" t="s">
        <v>33</v>
      </c>
      <c r="G28" s="86" t="e">
        <f t="shared" si="0"/>
        <v>#VALUE!</v>
      </c>
      <c r="H28" s="86" t="e">
        <f t="shared" si="1"/>
        <v>#VALUE!</v>
      </c>
      <c r="I28" s="81" t="s">
        <v>54</v>
      </c>
      <c r="J28" s="79" t="str">
        <f>VLOOKUP(B28,[70]BCConc!$B:$E,4,0)</f>
        <v>DB</v>
      </c>
    </row>
    <row r="29" spans="1:10" ht="14.1" customHeight="1">
      <c r="A29" s="74" t="s">
        <v>55</v>
      </c>
      <c r="B29" s="74" t="str">
        <f>VLOOKUP(A29,[70]Tratamientos!$H:$J,3,0)</f>
        <v>FLOCULANTE</v>
      </c>
      <c r="C29" s="79">
        <v>6</v>
      </c>
      <c r="D29" s="79"/>
      <c r="E29" s="79" t="e">
        <f>COUNTIF([70]Tratamientos!$H$3:$H$259,LP!A29)</f>
        <v>#VALUE!</v>
      </c>
      <c r="F29" s="79"/>
      <c r="G29" s="86" t="e">
        <f t="shared" si="0"/>
        <v>#VALUE!</v>
      </c>
      <c r="H29" s="86" t="e">
        <f t="shared" si="1"/>
        <v>#VALUE!</v>
      </c>
      <c r="I29" s="81" t="s">
        <v>24</v>
      </c>
      <c r="J29" s="79" t="str">
        <f>VLOOKUP(B29,[70]BCConc!$B:$E,4,0)</f>
        <v>FB</v>
      </c>
    </row>
    <row r="30" spans="1:10" ht="14.1" customHeight="1">
      <c r="A30" s="74" t="s">
        <v>56</v>
      </c>
      <c r="B30" s="74" t="str">
        <f>VLOOKUP(A30,[70]Tratamientos!$H:$J,3,0)</f>
        <v>REDUCTOR DE FRICCIÓN</v>
      </c>
      <c r="C30" s="79">
        <v>4</v>
      </c>
      <c r="D30" s="79"/>
      <c r="E30" s="79" t="e">
        <f>COUNTIF([70]Tratamientos!$H$3:$H$259,LP!A30)</f>
        <v>#VALUE!</v>
      </c>
      <c r="F30" s="79"/>
      <c r="G30" s="86" t="e">
        <f t="shared" si="0"/>
        <v>#VALUE!</v>
      </c>
      <c r="H30" s="86" t="e">
        <f t="shared" si="1"/>
        <v>#VALUE!</v>
      </c>
      <c r="I30" s="81" t="s">
        <v>24</v>
      </c>
      <c r="J30" s="79" t="str">
        <f>VLOOKUP(B30,[70]BCConc!$B:$E,4,0)</f>
        <v>RF</v>
      </c>
    </row>
    <row r="31" spans="1:10" ht="14.1" customHeight="1">
      <c r="A31" s="74" t="s">
        <v>57</v>
      </c>
      <c r="B31" s="74" t="str">
        <f>VLOOKUP(A31,[70]Tratamientos!$H:$J,3,0)</f>
        <v>REDUCTOR DE VISCOSIDAD</v>
      </c>
      <c r="C31" s="79">
        <v>10.02</v>
      </c>
      <c r="D31" s="79">
        <v>2019</v>
      </c>
      <c r="E31" s="79" t="e">
        <f>COUNTIF([70]Tratamientos!$H$3:$H$259,LP!A31)</f>
        <v>#VALUE!</v>
      </c>
      <c r="F31" s="79" t="s">
        <v>17</v>
      </c>
      <c r="G31" s="86" t="e">
        <f t="shared" si="0"/>
        <v>#VALUE!</v>
      </c>
      <c r="H31" s="86" t="e">
        <f t="shared" si="1"/>
        <v>#VALUE!</v>
      </c>
      <c r="I31" s="81"/>
      <c r="J31" s="79" t="str">
        <f>VLOOKUP(B31,[70]BCConc!$B:$E,4,0)</f>
        <v>RV</v>
      </c>
    </row>
    <row r="32" spans="1:10" ht="14.1" customHeight="1">
      <c r="A32" s="74" t="s">
        <v>58</v>
      </c>
      <c r="B32" s="74" t="str">
        <f>VLOOKUP(A32,[70]Tratamientos!$H:$J,3,0)</f>
        <v>DISOLVENTE DE PARAFINAS Y ASFALTENOS</v>
      </c>
      <c r="C32" s="79">
        <v>3.74</v>
      </c>
      <c r="D32" s="79">
        <v>2019</v>
      </c>
      <c r="E32" s="79" t="e">
        <f>COUNTIF([70]Tratamientos!$H$3:$H$259,LP!A32)</f>
        <v>#VALUE!</v>
      </c>
      <c r="F32" s="79" t="s">
        <v>33</v>
      </c>
      <c r="G32" s="86" t="e">
        <f t="shared" si="0"/>
        <v>#VALUE!</v>
      </c>
      <c r="H32" s="86" t="e">
        <f t="shared" si="1"/>
        <v>#VALUE!</v>
      </c>
      <c r="I32" s="81" t="s">
        <v>59</v>
      </c>
      <c r="J32" s="79" t="str">
        <f>VLOOKUP(B32,[70]BCConc!$B:$E,4,0)</f>
        <v>DP</v>
      </c>
    </row>
    <row r="33" spans="1:11" ht="14.1" customHeight="1">
      <c r="A33" s="74" t="s">
        <v>60</v>
      </c>
      <c r="B33" s="74" t="str">
        <f>VLOOKUP(A33,[70]Tratamientos!$H:$J,3,0)</f>
        <v>INHIBIDOR DE INCRUSTACIÓN/CORROSIÓN</v>
      </c>
      <c r="C33" s="79">
        <v>10.975</v>
      </c>
      <c r="D33" s="79"/>
      <c r="E33" s="79" t="e">
        <f>COUNTIF([70]Tratamientos!$H$3:$H$259,LP!A33)</f>
        <v>#VALUE!</v>
      </c>
      <c r="F33" s="79"/>
      <c r="G33" s="86" t="e">
        <f t="shared" si="0"/>
        <v>#VALUE!</v>
      </c>
      <c r="H33" s="86" t="e">
        <f t="shared" si="1"/>
        <v>#VALUE!</v>
      </c>
      <c r="I33" s="81" t="s">
        <v>24</v>
      </c>
      <c r="J33" s="79" t="str">
        <f>VLOOKUP(B33,[70]BCConc!$B:$E,4,0)</f>
        <v>IC/CY</v>
      </c>
    </row>
    <row r="34" spans="1:11" ht="14.1" customHeight="1">
      <c r="B34" s="87"/>
      <c r="G34" s="88"/>
      <c r="H34" s="86" t="e">
        <f t="shared" si="1"/>
        <v>#VALUE!</v>
      </c>
      <c r="K34" s="82" t="e">
        <f>SUM(E3:E33)</f>
        <v>#VALUE!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94D2F-BE47-4547-BB2D-E0DDAEB4F6CA}">
  <dimension ref="C1:M197"/>
  <sheetViews>
    <sheetView showGridLines="0" tabSelected="1" topLeftCell="A57" zoomScale="80" zoomScaleNormal="80" workbookViewId="0">
      <selection activeCell="N70" sqref="N70"/>
    </sheetView>
  </sheetViews>
  <sheetFormatPr baseColWidth="10" defaultRowHeight="15"/>
  <cols>
    <col min="3" max="3" width="46" customWidth="1"/>
    <col min="4" max="4" width="24.85546875" customWidth="1"/>
    <col min="5" max="7" width="17.140625" customWidth="1"/>
    <col min="8" max="8" width="14.7109375" customWidth="1"/>
    <col min="9" max="9" width="7.140625" customWidth="1"/>
    <col min="10" max="10" width="13" bestFit="1" customWidth="1"/>
    <col min="11" max="11" width="18.85546875" customWidth="1"/>
    <col min="12" max="12" width="15.28515625" customWidth="1"/>
  </cols>
  <sheetData>
    <row r="1" spans="3:11">
      <c r="C1" s="490" t="s">
        <v>1387</v>
      </c>
    </row>
    <row r="2" spans="3:11">
      <c r="C2" s="2" t="s">
        <v>61</v>
      </c>
      <c r="D2" s="2">
        <v>864</v>
      </c>
      <c r="E2" s="523">
        <v>45390</v>
      </c>
    </row>
    <row r="4" spans="3:11">
      <c r="C4" s="10"/>
      <c r="D4" s="10" t="s">
        <v>97</v>
      </c>
      <c r="E4" s="10" t="s">
        <v>98</v>
      </c>
      <c r="F4" s="10" t="s">
        <v>252</v>
      </c>
      <c r="G4" s="10" t="s">
        <v>100</v>
      </c>
      <c r="H4" s="10" t="s">
        <v>101</v>
      </c>
      <c r="J4" s="10" t="s">
        <v>82</v>
      </c>
    </row>
    <row r="5" spans="3:11" ht="8.25" customHeight="1">
      <c r="C5" s="7"/>
      <c r="D5" s="7"/>
      <c r="E5" s="7"/>
      <c r="F5" s="7"/>
      <c r="G5" s="7"/>
      <c r="H5" s="7"/>
      <c r="J5" s="7"/>
    </row>
    <row r="6" spans="3:11" ht="15" customHeight="1">
      <c r="C6" s="10" t="s">
        <v>1355</v>
      </c>
      <c r="D6" s="524">
        <f>[71]Servicio!K3/D2/1000*0.98</f>
        <v>51.710737982824845</v>
      </c>
      <c r="E6" s="524">
        <f>[71]Servicio!K4/D2/1000*0.98</f>
        <v>18.075165096304641</v>
      </c>
      <c r="F6" s="524">
        <f>[71]Servicio!K5/D2/1000*0.98</f>
        <v>18.132066337777957</v>
      </c>
      <c r="G6" s="524">
        <f>[71]Servicio!K6/D2/1000*0.98</f>
        <v>4.9795525464942454</v>
      </c>
      <c r="H6" s="524">
        <f>[71]Servicio!K7/D2/1000*0.98</f>
        <v>25.647193717729557</v>
      </c>
      <c r="J6" s="524">
        <f>+H6+G6+F6+E6+D6</f>
        <v>118.54471568113124</v>
      </c>
    </row>
    <row r="7" spans="3:11" ht="15" customHeight="1">
      <c r="C7" s="10" t="s">
        <v>1356</v>
      </c>
      <c r="D7" s="524">
        <f>[71]Servicio!H3/D2/1000*0.98*(1-6.5%)</f>
        <v>82.673882657224084</v>
      </c>
      <c r="E7" s="524">
        <f>[71]Servicio!H4/D2/1000*0.98*(1-6.5%)</f>
        <v>72.920222343731353</v>
      </c>
      <c r="F7" s="524">
        <f>[71]Servicio!H5/D2/1000*0.98*(1-6.5%)</f>
        <v>71.526842298946676</v>
      </c>
      <c r="G7" s="524">
        <f>[71]Servicio!H6/D2/1000*0.98*(1-6.5%)</f>
        <v>22.578560572640839</v>
      </c>
      <c r="H7" s="524">
        <f>[71]Servicio!H7/D2/1000*0.98*(1-6.5%)</f>
        <v>76.635902463157151</v>
      </c>
      <c r="J7" s="524">
        <f>+H7+G7+F7+E7+D7</f>
        <v>326.33541033570009</v>
      </c>
      <c r="K7" s="525">
        <f>+J7+J6</f>
        <v>444.88012601683135</v>
      </c>
    </row>
    <row r="8" spans="3:11" ht="2.1" customHeight="1">
      <c r="C8" s="7"/>
      <c r="D8" s="526"/>
      <c r="E8" s="526"/>
      <c r="F8" s="526"/>
      <c r="G8" s="526"/>
      <c r="H8" s="526"/>
      <c r="J8" s="526"/>
      <c r="K8" s="113">
        <f>+K7/(K7+J12)</f>
        <v>0.25057018509968731</v>
      </c>
    </row>
    <row r="9" spans="3:11" ht="2.1" customHeight="1">
      <c r="C9" s="7"/>
      <c r="D9" s="527"/>
      <c r="E9" s="527"/>
      <c r="F9" s="527"/>
      <c r="G9" s="527"/>
      <c r="H9" s="527"/>
      <c r="J9" s="527"/>
    </row>
    <row r="10" spans="3:11" ht="2.1" customHeight="1">
      <c r="C10" s="7"/>
      <c r="D10" s="527"/>
      <c r="E10" s="527"/>
      <c r="F10" s="527"/>
      <c r="G10" s="527"/>
      <c r="H10" s="527"/>
      <c r="J10" s="527"/>
    </row>
    <row r="11" spans="3:11" ht="2.1" customHeight="1">
      <c r="C11" s="7"/>
      <c r="D11" s="527"/>
      <c r="E11" s="527"/>
      <c r="F11" s="527"/>
      <c r="G11" s="527"/>
      <c r="H11" s="527"/>
      <c r="J11" s="527"/>
    </row>
    <row r="12" spans="3:11" ht="15" customHeight="1">
      <c r="C12" s="10" t="s">
        <v>1357</v>
      </c>
      <c r="D12" s="404">
        <f>+SUM('[71]PUNTOS DE INYECCIÓN'!L5:L27)/1000*0.98</f>
        <v>355.63114845999996</v>
      </c>
      <c r="E12" s="404">
        <f>SUM('[71]PUNTOS DE INYECCIÓN'!L29:L49)/1000*0.98</f>
        <v>222.27719716999999</v>
      </c>
      <c r="F12" s="404">
        <f>SUM('[71]PUNTOS DE INYECCIÓN'!L51:L80)/1000*0.98</f>
        <v>444.52860466086236</v>
      </c>
      <c r="G12" s="404">
        <f>SUM('[71]PUNTOS DE INYECCIÓN'!L82:L90)/1000*0.98</f>
        <v>47.403422220000003</v>
      </c>
      <c r="H12" s="404">
        <f>SUM('[71]PUNTOS DE INYECCIÓN'!L92:L105)/1000*0.98</f>
        <v>260.75061683999996</v>
      </c>
      <c r="J12" s="404">
        <f>+H12+G12+F12+E12+D12</f>
        <v>1330.5909893508624</v>
      </c>
      <c r="K12" s="528"/>
    </row>
    <row r="14" spans="3:11">
      <c r="C14" s="2" t="s">
        <v>1423</v>
      </c>
      <c r="D14" s="2" t="s">
        <v>1362</v>
      </c>
      <c r="E14" s="2" t="s">
        <v>1358</v>
      </c>
      <c r="F14" s="2" t="s">
        <v>1385</v>
      </c>
      <c r="G14" s="2" t="s">
        <v>1424</v>
      </c>
    </row>
    <row r="15" spans="3:11">
      <c r="C15" s="2" t="s">
        <v>1361</v>
      </c>
      <c r="D15" s="408">
        <v>1498255.3009635999</v>
      </c>
      <c r="E15" s="408">
        <v>518294.8518509866</v>
      </c>
      <c r="F15" s="2"/>
      <c r="G15" s="2"/>
    </row>
    <row r="16" spans="3:11">
      <c r="C16" s="2" t="s">
        <v>1363</v>
      </c>
      <c r="D16" s="408">
        <v>1498255.3009635999</v>
      </c>
      <c r="E16" s="408">
        <v>477108.71930323902</v>
      </c>
      <c r="F16" s="408">
        <v>41186.132547747577</v>
      </c>
      <c r="G16" s="531">
        <v>-7.9464676140732493E-2</v>
      </c>
      <c r="H16" t="s">
        <v>1346</v>
      </c>
    </row>
    <row r="17" spans="3:8">
      <c r="C17" s="2" t="s">
        <v>1337</v>
      </c>
      <c r="D17" s="408">
        <v>1330590.9893508623</v>
      </c>
      <c r="E17" s="408">
        <v>477108.71930323902</v>
      </c>
      <c r="F17" s="408">
        <v>167664.3116127376</v>
      </c>
      <c r="G17" s="531">
        <v>-0.11190636969874534</v>
      </c>
      <c r="H17" t="s">
        <v>0</v>
      </c>
    </row>
    <row r="18" spans="3:8">
      <c r="C18" s="532" t="s">
        <v>1425</v>
      </c>
      <c r="D18" s="513">
        <v>1330590.9893508623</v>
      </c>
      <c r="E18" s="513">
        <v>477108.71930323902</v>
      </c>
      <c r="F18" s="513">
        <v>208850.44416048517</v>
      </c>
      <c r="G18" s="533">
        <v>0.10356818741601023</v>
      </c>
      <c r="H18" t="s">
        <v>1426</v>
      </c>
    </row>
    <row r="19" spans="3:8">
      <c r="C19" s="2" t="s">
        <v>1427</v>
      </c>
      <c r="D19" s="408">
        <v>1330590.9893508623</v>
      </c>
      <c r="E19" s="408"/>
      <c r="F19" s="408">
        <v>685959.16346372431</v>
      </c>
      <c r="G19" s="531">
        <v>0.3401646929069933</v>
      </c>
    </row>
    <row r="34" spans="3:13">
      <c r="F34" s="539"/>
      <c r="G34" s="539"/>
      <c r="H34" s="539"/>
      <c r="I34" s="539"/>
      <c r="J34" s="539"/>
      <c r="K34" s="539"/>
    </row>
    <row r="35" spans="3:13">
      <c r="D35" s="405"/>
      <c r="E35" s="405"/>
      <c r="F35" s="405"/>
      <c r="G35" s="405"/>
      <c r="H35" s="540"/>
      <c r="I35" s="405"/>
    </row>
    <row r="36" spans="3:13">
      <c r="D36" s="405"/>
      <c r="E36" s="405"/>
      <c r="F36" s="405"/>
      <c r="I36" s="405"/>
      <c r="J36" s="405"/>
      <c r="K36" s="541"/>
    </row>
    <row r="41" spans="3:13" ht="16.5">
      <c r="C41" s="542"/>
      <c r="D41" s="543"/>
      <c r="E41" s="544"/>
      <c r="F41" s="545"/>
      <c r="G41" s="546"/>
      <c r="H41" s="547"/>
      <c r="I41" s="548"/>
      <c r="J41" s="548"/>
      <c r="K41" s="542"/>
      <c r="L41" s="542"/>
      <c r="M41" s="542"/>
    </row>
    <row r="42" spans="3:13" ht="16.5">
      <c r="C42" s="485" t="s">
        <v>1428</v>
      </c>
      <c r="D42" s="486"/>
      <c r="E42" s="486"/>
      <c r="F42" s="486"/>
      <c r="G42" s="486"/>
      <c r="H42" s="487"/>
      <c r="I42" s="551"/>
      <c r="J42" s="551"/>
      <c r="K42" s="542"/>
      <c r="L42" s="542"/>
      <c r="M42" s="547"/>
    </row>
    <row r="43" spans="3:13" ht="30">
      <c r="C43" s="488" t="s">
        <v>1373</v>
      </c>
      <c r="D43" s="488" t="s">
        <v>1374</v>
      </c>
      <c r="E43" s="488" t="s">
        <v>1375</v>
      </c>
      <c r="F43" s="488" t="s">
        <v>65</v>
      </c>
      <c r="G43" s="488" t="s">
        <v>1376</v>
      </c>
      <c r="H43" s="488" t="s">
        <v>96</v>
      </c>
      <c r="I43" s="551"/>
      <c r="J43" s="551"/>
      <c r="K43" s="542"/>
      <c r="L43" s="542"/>
      <c r="M43" s="542"/>
    </row>
    <row r="44" spans="3:13" ht="16.5">
      <c r="C44" s="10" t="s">
        <v>1377</v>
      </c>
      <c r="D44" s="10">
        <f>13+2</f>
        <v>15</v>
      </c>
      <c r="E44" s="10">
        <v>11</v>
      </c>
      <c r="F44" s="10">
        <v>11</v>
      </c>
      <c r="G44" s="10"/>
      <c r="H44" s="10">
        <f>+SUM(D44:G44)</f>
        <v>37</v>
      </c>
      <c r="I44" s="551"/>
      <c r="J44" s="551"/>
      <c r="K44" s="542"/>
      <c r="L44" s="542"/>
      <c r="M44" s="542"/>
    </row>
    <row r="45" spans="3:13" ht="16.5">
      <c r="C45" s="10" t="s">
        <v>1378</v>
      </c>
      <c r="D45" s="10">
        <v>3</v>
      </c>
      <c r="E45" s="10">
        <v>3</v>
      </c>
      <c r="F45" s="10">
        <v>2</v>
      </c>
      <c r="G45" s="10"/>
      <c r="H45" s="10">
        <f>+SUM(D45:G45)</f>
        <v>8</v>
      </c>
      <c r="I45" s="551"/>
      <c r="J45" s="551"/>
      <c r="K45" s="542"/>
      <c r="L45" s="542"/>
      <c r="M45" s="542"/>
    </row>
    <row r="46" spans="3:13" ht="16.5">
      <c r="C46" s="10" t="s">
        <v>1379</v>
      </c>
      <c r="D46" s="10">
        <v>6</v>
      </c>
      <c r="E46" s="10">
        <v>6</v>
      </c>
      <c r="F46" s="10">
        <v>6</v>
      </c>
      <c r="G46" s="10"/>
      <c r="H46" s="10">
        <f>+SUM(D46:G46)</f>
        <v>18</v>
      </c>
      <c r="I46" s="551"/>
      <c r="J46" s="551"/>
      <c r="K46" s="542"/>
      <c r="L46" s="542"/>
      <c r="M46" s="542"/>
    </row>
    <row r="47" spans="3:13" ht="16.5">
      <c r="C47" s="7"/>
      <c r="D47" s="7"/>
      <c r="E47" s="7"/>
      <c r="F47" s="7"/>
      <c r="G47" s="7"/>
      <c r="H47" s="7"/>
      <c r="I47" s="551"/>
      <c r="J47" s="551"/>
      <c r="K47" s="542"/>
      <c r="L47" s="542"/>
      <c r="M47" s="542"/>
    </row>
    <row r="48" spans="3:13" ht="16.5">
      <c r="C48" s="485" t="s">
        <v>1380</v>
      </c>
      <c r="D48" s="486"/>
      <c r="E48" s="486"/>
      <c r="F48" s="486"/>
      <c r="G48" s="486"/>
      <c r="H48" s="487"/>
      <c r="I48" s="551"/>
      <c r="J48" s="551"/>
      <c r="K48" s="542"/>
      <c r="L48" s="542"/>
      <c r="M48" s="542"/>
    </row>
    <row r="49" spans="3:13" ht="30">
      <c r="C49" s="488" t="s">
        <v>1373</v>
      </c>
      <c r="D49" s="488" t="s">
        <v>1374</v>
      </c>
      <c r="E49" s="488" t="s">
        <v>1375</v>
      </c>
      <c r="F49" s="488" t="s">
        <v>65</v>
      </c>
      <c r="G49" s="488" t="s">
        <v>1376</v>
      </c>
      <c r="H49" s="488" t="s">
        <v>96</v>
      </c>
      <c r="I49" s="549"/>
      <c r="J49" s="549"/>
      <c r="K49" s="542"/>
      <c r="L49" s="542"/>
      <c r="M49" s="542"/>
    </row>
    <row r="50" spans="3:13" ht="16.5">
      <c r="C50" s="10" t="s">
        <v>1377</v>
      </c>
      <c r="D50" s="10">
        <v>7</v>
      </c>
      <c r="E50" s="10">
        <v>7</v>
      </c>
      <c r="F50" s="10">
        <v>7</v>
      </c>
      <c r="G50" s="10">
        <v>4</v>
      </c>
      <c r="H50" s="10">
        <f>+SUM(D50:G50)</f>
        <v>25</v>
      </c>
      <c r="I50" s="549"/>
      <c r="J50" s="549"/>
      <c r="K50" s="542"/>
      <c r="L50" s="542"/>
      <c r="M50" s="542"/>
    </row>
    <row r="51" spans="3:13" ht="16.5">
      <c r="C51" s="10" t="s">
        <v>1378</v>
      </c>
      <c r="D51" s="10">
        <v>2.5</v>
      </c>
      <c r="E51" s="10">
        <v>2.5</v>
      </c>
      <c r="F51" s="10">
        <v>2</v>
      </c>
      <c r="G51" s="10"/>
      <c r="H51" s="10">
        <f>+SUM(D51:G51)</f>
        <v>7</v>
      </c>
      <c r="I51" s="549"/>
      <c r="J51" s="549"/>
      <c r="K51" s="542"/>
      <c r="L51" s="542"/>
      <c r="M51" s="542"/>
    </row>
    <row r="52" spans="3:13" ht="16.5">
      <c r="C52" s="10" t="s">
        <v>1379</v>
      </c>
      <c r="D52" s="10">
        <v>4</v>
      </c>
      <c r="E52" s="10">
        <v>4</v>
      </c>
      <c r="F52" s="10">
        <v>4</v>
      </c>
      <c r="G52" s="10">
        <v>4</v>
      </c>
      <c r="H52" s="10">
        <f>+SUM(D52:G52)</f>
        <v>16</v>
      </c>
      <c r="I52" s="549"/>
      <c r="J52" s="549"/>
      <c r="K52" s="542"/>
      <c r="L52" s="542"/>
      <c r="M52" s="542"/>
    </row>
    <row r="53" spans="3:13" ht="16.5">
      <c r="C53" s="7"/>
      <c r="D53" s="7"/>
      <c r="E53" s="7"/>
      <c r="F53" s="7"/>
      <c r="G53" s="7"/>
      <c r="H53" s="7"/>
      <c r="I53" s="549"/>
      <c r="J53" s="549"/>
      <c r="K53" s="542"/>
      <c r="L53" s="542"/>
      <c r="M53" s="542"/>
    </row>
    <row r="54" spans="3:13" ht="16.5">
      <c r="C54" s="485" t="s">
        <v>1381</v>
      </c>
      <c r="D54" s="486"/>
      <c r="E54" s="486"/>
      <c r="F54" s="486"/>
      <c r="G54" s="486"/>
      <c r="H54" s="489"/>
      <c r="I54" s="549"/>
      <c r="J54" s="549"/>
      <c r="K54" s="542"/>
      <c r="L54" s="542"/>
      <c r="M54" s="542"/>
    </row>
    <row r="55" spans="3:13" ht="30">
      <c r="C55" s="488" t="s">
        <v>1373</v>
      </c>
      <c r="D55" s="488" t="s">
        <v>1374</v>
      </c>
      <c r="E55" s="488" t="s">
        <v>1375</v>
      </c>
      <c r="F55" s="488" t="s">
        <v>65</v>
      </c>
      <c r="G55" s="488" t="s">
        <v>96</v>
      </c>
      <c r="H55" s="7"/>
      <c r="I55" s="549"/>
      <c r="J55" s="549"/>
      <c r="K55" s="542"/>
      <c r="L55" s="542"/>
      <c r="M55" s="542"/>
    </row>
    <row r="56" spans="3:13" ht="16.5">
      <c r="C56" s="10" t="s">
        <v>1377</v>
      </c>
      <c r="D56" s="371">
        <f>+D50/D44-1</f>
        <v>-0.53333333333333333</v>
      </c>
      <c r="E56" s="371">
        <f>+E50/E44-1</f>
        <v>-0.36363636363636365</v>
      </c>
      <c r="F56" s="371">
        <f>+F50/F44-1</f>
        <v>-0.36363636363636365</v>
      </c>
      <c r="G56" s="371">
        <f>+H50/H44-1</f>
        <v>-0.32432432432432434</v>
      </c>
      <c r="H56" s="7"/>
      <c r="I56" s="549"/>
      <c r="J56" s="549"/>
      <c r="K56" s="542"/>
      <c r="L56" s="542"/>
      <c r="M56" s="542"/>
    </row>
    <row r="57" spans="3:13" ht="16.5">
      <c r="C57" s="10" t="s">
        <v>1378</v>
      </c>
      <c r="D57" s="371">
        <f>+D51/D45-1</f>
        <v>-0.16666666666666663</v>
      </c>
      <c r="E57" s="371">
        <f>+E51/E45-1</f>
        <v>-0.16666666666666663</v>
      </c>
      <c r="F57" s="371">
        <f>+F51/F45-1</f>
        <v>0</v>
      </c>
      <c r="G57" s="371">
        <f>+H51/H45-1</f>
        <v>-0.125</v>
      </c>
      <c r="H57" s="7"/>
      <c r="I57" s="549"/>
      <c r="J57" s="549"/>
      <c r="K57" s="542"/>
      <c r="L57" s="542"/>
      <c r="M57" s="542"/>
    </row>
    <row r="58" spans="3:13" ht="16.5">
      <c r="C58" s="10" t="s">
        <v>1379</v>
      </c>
      <c r="D58" s="371">
        <f>+D52/D46-1</f>
        <v>-0.33333333333333337</v>
      </c>
      <c r="E58" s="371">
        <f>+E52/E46-1</f>
        <v>-0.33333333333333337</v>
      </c>
      <c r="F58" s="371">
        <f>+F52/F46-1</f>
        <v>-0.33333333333333337</v>
      </c>
      <c r="G58" s="371">
        <f>+H52/H46-1</f>
        <v>-0.11111111111111116</v>
      </c>
      <c r="H58" s="7"/>
      <c r="I58" s="549"/>
      <c r="J58" s="549"/>
      <c r="K58" s="542"/>
      <c r="L58" s="542"/>
      <c r="M58" s="542"/>
    </row>
    <row r="59" spans="3:13" ht="16.5">
      <c r="C59" s="542"/>
      <c r="D59" s="543"/>
      <c r="E59" s="544"/>
      <c r="F59" s="545"/>
      <c r="G59" s="546"/>
      <c r="H59" s="547"/>
      <c r="I59" s="549"/>
      <c r="J59" s="549"/>
      <c r="K59" s="542"/>
      <c r="L59" s="542"/>
      <c r="M59" s="542"/>
    </row>
    <row r="60" spans="3:13" ht="16.5">
      <c r="C60" s="542"/>
      <c r="D60" s="543"/>
      <c r="E60" s="544"/>
      <c r="F60" s="545"/>
      <c r="G60" s="546"/>
      <c r="H60" s="547"/>
      <c r="I60" s="549"/>
      <c r="J60" s="549"/>
      <c r="K60" s="542"/>
      <c r="L60" s="542"/>
      <c r="M60" s="542"/>
    </row>
    <row r="61" spans="3:13" ht="16.5">
      <c r="C61" s="542"/>
      <c r="D61" s="543"/>
      <c r="E61" s="544"/>
      <c r="F61" s="545"/>
      <c r="G61" s="546"/>
      <c r="H61" s="547"/>
      <c r="I61" s="549"/>
      <c r="J61" s="549"/>
      <c r="K61" s="542"/>
      <c r="L61" s="542"/>
      <c r="M61" s="542"/>
    </row>
    <row r="62" spans="3:13" ht="16.5">
      <c r="C62" s="529"/>
      <c r="D62" s="529" t="s">
        <v>146</v>
      </c>
      <c r="E62" s="529" t="s">
        <v>147</v>
      </c>
      <c r="F62" s="529" t="s">
        <v>148</v>
      </c>
      <c r="G62" s="530"/>
      <c r="H62" s="550"/>
      <c r="I62" s="550"/>
      <c r="J62" s="550"/>
      <c r="K62" s="542"/>
      <c r="L62" s="542"/>
      <c r="M62" s="542"/>
    </row>
    <row r="63" spans="3:13">
      <c r="C63" s="529" t="s">
        <v>1369</v>
      </c>
      <c r="D63" s="529">
        <v>8</v>
      </c>
      <c r="E63" s="529">
        <v>18</v>
      </c>
      <c r="F63" s="529">
        <v>39</v>
      </c>
      <c r="G63" s="530"/>
    </row>
    <row r="64" spans="3:13">
      <c r="C64" s="529" t="s">
        <v>1370</v>
      </c>
      <c r="D64" s="529">
        <f>+H51</f>
        <v>7</v>
      </c>
      <c r="E64" s="529">
        <f>+H52</f>
        <v>16</v>
      </c>
      <c r="F64" s="529">
        <f>+H50</f>
        <v>25</v>
      </c>
      <c r="G64" s="530"/>
    </row>
    <row r="65" spans="3:7">
      <c r="C65" s="534" t="s">
        <v>141</v>
      </c>
      <c r="D65" s="535">
        <v>6886.666666666667</v>
      </c>
      <c r="E65" s="535">
        <v>2400</v>
      </c>
      <c r="F65" s="535">
        <v>3600</v>
      </c>
      <c r="G65" s="536"/>
    </row>
    <row r="66" spans="3:7">
      <c r="C66" s="529" t="s">
        <v>1429</v>
      </c>
      <c r="D66" s="537">
        <f>+D65*D63</f>
        <v>55093.333333333336</v>
      </c>
      <c r="E66" s="537">
        <f t="shared" ref="E66:F66" si="0">+E65*E63</f>
        <v>43200</v>
      </c>
      <c r="F66" s="537">
        <f t="shared" si="0"/>
        <v>140400</v>
      </c>
      <c r="G66" s="552">
        <f>+SUM(D66:F66)</f>
        <v>238693.33333333334</v>
      </c>
    </row>
    <row r="67" spans="3:7">
      <c r="C67" s="553" t="s">
        <v>1430</v>
      </c>
      <c r="D67" s="537">
        <f>+D65*D64</f>
        <v>48206.666666666672</v>
      </c>
      <c r="E67" s="537">
        <f t="shared" ref="E67:F67" si="1">+E65*E64</f>
        <v>38400</v>
      </c>
      <c r="F67" s="537">
        <f t="shared" si="1"/>
        <v>90000</v>
      </c>
      <c r="G67" s="552">
        <f>+SUM(D67:F67)</f>
        <v>176606.66666666669</v>
      </c>
    </row>
    <row r="68" spans="3:7">
      <c r="G68" s="538"/>
    </row>
    <row r="69" spans="3:7">
      <c r="C69" s="554" t="s">
        <v>75</v>
      </c>
    </row>
    <row r="74" spans="3:7" ht="16.5">
      <c r="C74" s="556" t="s">
        <v>1431</v>
      </c>
      <c r="D74" s="557">
        <v>53374</v>
      </c>
      <c r="E74" s="557">
        <v>53374</v>
      </c>
      <c r="F74" s="557">
        <v>49774</v>
      </c>
      <c r="G74" s="558">
        <v>156522</v>
      </c>
    </row>
    <row r="75" spans="3:7" ht="16.5">
      <c r="C75" s="556" t="s">
        <v>75</v>
      </c>
      <c r="D75" s="557">
        <v>114456.28065286471</v>
      </c>
      <c r="E75" s="557">
        <v>137728.74400645736</v>
      </c>
      <c r="F75" s="557">
        <v>63991.314688754093</v>
      </c>
      <c r="G75" s="558">
        <v>316176.33934807614</v>
      </c>
    </row>
    <row r="76" spans="3:7" ht="16.5">
      <c r="C76" s="556" t="s">
        <v>1339</v>
      </c>
      <c r="D76" s="557">
        <v>54501.044515324982</v>
      </c>
      <c r="E76" s="557">
        <v>76435.341226086064</v>
      </c>
      <c r="F76" s="557">
        <v>10537.814094150734</v>
      </c>
      <c r="G76" s="557">
        <v>141474.19983556177</v>
      </c>
    </row>
    <row r="77" spans="3:7" ht="16.5">
      <c r="C77" s="556" t="s">
        <v>1339</v>
      </c>
      <c r="D77" s="555">
        <v>0.47617347169109575</v>
      </c>
      <c r="E77" s="555">
        <v>0.55497014640968789</v>
      </c>
      <c r="F77" s="555">
        <v>0.16467569302811436</v>
      </c>
      <c r="G77" s="555">
        <v>0.44745346893213883</v>
      </c>
    </row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</sheetData>
  <mergeCells count="11">
    <mergeCell ref="I49:I52"/>
    <mergeCell ref="J49:J52"/>
    <mergeCell ref="I53:I57"/>
    <mergeCell ref="J53:J57"/>
    <mergeCell ref="C54:G54"/>
    <mergeCell ref="I58:I61"/>
    <mergeCell ref="J58:J61"/>
    <mergeCell ref="F34:H34"/>
    <mergeCell ref="I34:K34"/>
    <mergeCell ref="C42:H42"/>
    <mergeCell ref="C48:H48"/>
  </mergeCells>
  <hyperlinks>
    <hyperlink ref="C1" location="Indice!A1" display="Indice" xr:uid="{DB367DE0-037D-4789-BC75-947D325D8D04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B613B-9D4C-4384-82F6-A2DA984C0B04}">
  <dimension ref="A1:R122"/>
  <sheetViews>
    <sheetView topLeftCell="G97" workbookViewId="0">
      <selection activeCell="N119" sqref="N119:R122"/>
    </sheetView>
  </sheetViews>
  <sheetFormatPr baseColWidth="10" defaultRowHeight="12.75"/>
  <cols>
    <col min="1" max="1" width="5" style="71" customWidth="1"/>
    <col min="2" max="2" width="38" style="71" customWidth="1"/>
    <col min="3" max="3" width="19.7109375" style="71" customWidth="1"/>
    <col min="4" max="6" width="17.28515625" style="71" customWidth="1"/>
    <col min="7" max="7" width="16.140625" style="71" customWidth="1"/>
    <col min="8" max="8" width="12" style="71" customWidth="1"/>
    <col min="9" max="9" width="20.28515625" style="71" customWidth="1"/>
    <col min="10" max="10" width="15.85546875" style="71" customWidth="1"/>
    <col min="11" max="11" width="11.42578125" style="71" customWidth="1"/>
    <col min="12" max="12" width="14.42578125" style="71" customWidth="1"/>
    <col min="13" max="16384" width="11.42578125" style="71"/>
  </cols>
  <sheetData>
    <row r="1" spans="1:14" ht="15">
      <c r="B1" s="490" t="s">
        <v>1387</v>
      </c>
    </row>
    <row r="2" spans="1:14" ht="13.5" thickBot="1"/>
    <row r="3" spans="1:14" ht="39" thickBot="1">
      <c r="B3" s="491" t="s">
        <v>150</v>
      </c>
      <c r="C3" s="492" t="s">
        <v>1388</v>
      </c>
      <c r="D3" s="492" t="s">
        <v>1389</v>
      </c>
      <c r="E3" s="492" t="s">
        <v>1390</v>
      </c>
      <c r="F3" s="492" t="s">
        <v>1391</v>
      </c>
      <c r="G3" s="492" t="s">
        <v>153</v>
      </c>
      <c r="H3" s="493" t="s">
        <v>154</v>
      </c>
      <c r="I3" s="491" t="s">
        <v>1392</v>
      </c>
      <c r="J3" s="493" t="s">
        <v>1393</v>
      </c>
      <c r="K3" s="491" t="s">
        <v>1394</v>
      </c>
      <c r="L3" s="493" t="s">
        <v>1395</v>
      </c>
      <c r="M3" s="494" t="s">
        <v>1396</v>
      </c>
      <c r="N3" s="494" t="s">
        <v>163</v>
      </c>
    </row>
    <row r="4" spans="1:14">
      <c r="B4" s="495" t="s">
        <v>97</v>
      </c>
      <c r="C4" s="496"/>
      <c r="D4" s="497">
        <v>111305</v>
      </c>
      <c r="E4" s="497">
        <f>+Tabla13[[#This Row],[Suma de  Consumo (L/mes)]]*(1-Tabla13[[#This Row],[Optimización]])</f>
        <v>111305</v>
      </c>
      <c r="F4" s="497">
        <f>+Tabla13[[#This Row],[Suma de  Consumo (L/mes)]]-Tabla13[[#This Row],[Consumo optimizado lmes]]</f>
        <v>0</v>
      </c>
      <c r="G4" s="497">
        <v>540</v>
      </c>
      <c r="H4" s="498">
        <v>178</v>
      </c>
      <c r="I4" s="499"/>
      <c r="J4" s="500">
        <v>0</v>
      </c>
      <c r="K4" s="499">
        <f>+IFERROR(Tabla13[[#This Row],[Suma de  Consumo (L/mes)]]*Tabla13[[#This Row],[Precio '[USD/litro']]],"")</f>
        <v>0</v>
      </c>
      <c r="L4" s="500">
        <f>+IFERROR(Tabla13[[#This Row],[Precio '[USD/litro']]]*Tabla13[[#This Row],[Consumo optimizado lmes]],"")</f>
        <v>0</v>
      </c>
      <c r="M4" s="71">
        <f>IFERROR(Tabla13[[#This Row],[Costo total '[USD/mes']]]-Tabla13[[#This Row],[Costo optimizado '[USD/mes']]],"")</f>
        <v>0</v>
      </c>
      <c r="N4" s="71" t="str">
        <f>IFERROR(VLOOKUP(Tabla13[[#This Row],[Producto Químico, Denominación comercial]],'PUNTOS DE INYECCIÓN'!Q:S,3,0),"")</f>
        <v/>
      </c>
    </row>
    <row r="5" spans="1:14">
      <c r="A5" s="71" t="s">
        <v>1397</v>
      </c>
      <c r="B5" s="499" t="s">
        <v>166</v>
      </c>
      <c r="C5" s="501">
        <v>0.15</v>
      </c>
      <c r="D5" s="71">
        <v>17023</v>
      </c>
      <c r="E5" s="71">
        <f>+Tabla13[[#This Row],[Suma de  Consumo (L/mes)]]*(1-Tabla13[[#This Row],[Optimización]])</f>
        <v>14469.55</v>
      </c>
      <c r="F5" s="71">
        <f>+Tabla13[[#This Row],[Suma de  Consumo (L/mes)]]-Tabla13[[#This Row],[Consumo optimizado lmes]]</f>
        <v>2553.4500000000007</v>
      </c>
      <c r="G5" s="71">
        <v>98</v>
      </c>
      <c r="H5" s="500">
        <v>54</v>
      </c>
      <c r="I5" s="499" t="s">
        <v>169</v>
      </c>
      <c r="J5" s="500">
        <v>4.72</v>
      </c>
      <c r="K5" s="499">
        <f>+IFERROR(Tabla13[[#This Row],[Suma de  Consumo (L/mes)]]*Tabla13[[#This Row],[Precio '[USD/litro']]],"")</f>
        <v>80348.56</v>
      </c>
      <c r="L5" s="500">
        <f>+IFERROR(Tabla13[[#This Row],[Precio '[USD/litro']]]*Tabla13[[#This Row],[Consumo optimizado lmes]],"")</f>
        <v>68296.275999999998</v>
      </c>
      <c r="M5" s="71">
        <f>IFERROR(Tabla13[[#This Row],[Costo total '[USD/mes']]]-Tabla13[[#This Row],[Costo optimizado '[USD/mes']]],"")</f>
        <v>12052.284</v>
      </c>
      <c r="N5" s="71">
        <f>IFERROR(VLOOKUP(Tabla13[[#This Row],[Producto Químico, Denominación comercial]],'PUNTOS DE INYECCIÓN'!Q:S,3,0),"")</f>
        <v>3.5365995976854712</v>
      </c>
    </row>
    <row r="6" spans="1:14">
      <c r="B6" s="499" t="s">
        <v>173</v>
      </c>
      <c r="C6" s="501"/>
      <c r="D6" s="71">
        <v>1540</v>
      </c>
      <c r="E6" s="71">
        <f>+Tabla13[[#This Row],[Suma de  Consumo (L/mes)]]*(1-Tabla13[[#This Row],[Optimización]])</f>
        <v>1540</v>
      </c>
      <c r="F6" s="71">
        <f>+Tabla13[[#This Row],[Suma de  Consumo (L/mes)]]-Tabla13[[#This Row],[Consumo optimizado lmes]]</f>
        <v>0</v>
      </c>
      <c r="H6" s="500">
        <v>6</v>
      </c>
      <c r="I6" s="499" t="s">
        <v>174</v>
      </c>
      <c r="J6" s="500">
        <v>4.57</v>
      </c>
      <c r="K6" s="499">
        <f>+IFERROR(Tabla13[[#This Row],[Suma de  Consumo (L/mes)]]*Tabla13[[#This Row],[Precio '[USD/litro']]],"")</f>
        <v>7037.8</v>
      </c>
      <c r="L6" s="500">
        <f>+IFERROR(Tabla13[[#This Row],[Precio '[USD/litro']]]*Tabla13[[#This Row],[Consumo optimizado lmes]],"")</f>
        <v>7037.8</v>
      </c>
      <c r="M6" s="71">
        <f>IFERROR(Tabla13[[#This Row],[Costo total '[USD/mes']]]-Tabla13[[#This Row],[Costo optimizado '[USD/mes']]],"")</f>
        <v>0</v>
      </c>
      <c r="N6" s="71">
        <f>IFERROR(VLOOKUP(Tabla13[[#This Row],[Producto Químico, Denominación comercial]],'PUNTOS DE INYECCIÓN'!Q:S,3,0),"")</f>
        <v>2.9792596308615686</v>
      </c>
    </row>
    <row r="7" spans="1:14">
      <c r="A7" s="71" t="s">
        <v>1398</v>
      </c>
      <c r="B7" s="499" t="s">
        <v>175</v>
      </c>
      <c r="C7" s="501">
        <v>0.2</v>
      </c>
      <c r="D7" s="71">
        <v>110</v>
      </c>
      <c r="E7" s="71">
        <f>+Tabla13[[#This Row],[Suma de  Consumo (L/mes)]]*(1-Tabla13[[#This Row],[Optimización]])</f>
        <v>88</v>
      </c>
      <c r="F7" s="71">
        <f>+Tabla13[[#This Row],[Suma de  Consumo (L/mes)]]-Tabla13[[#This Row],[Consumo optimizado lmes]]</f>
        <v>22</v>
      </c>
      <c r="H7" s="500">
        <v>2</v>
      </c>
      <c r="I7" s="499" t="s">
        <v>177</v>
      </c>
      <c r="J7" s="500">
        <v>3.25</v>
      </c>
      <c r="K7" s="499">
        <f>+IFERROR(Tabla13[[#This Row],[Suma de  Consumo (L/mes)]]*Tabla13[[#This Row],[Precio '[USD/litro']]],"")</f>
        <v>357.5</v>
      </c>
      <c r="L7" s="500">
        <f>+IFERROR(Tabla13[[#This Row],[Precio '[USD/litro']]]*Tabla13[[#This Row],[Consumo optimizado lmes]],"")</f>
        <v>286</v>
      </c>
      <c r="M7" s="71">
        <f>IFERROR(Tabla13[[#This Row],[Costo total '[USD/mes']]]-Tabla13[[#This Row],[Costo optimizado '[USD/mes']]],"")</f>
        <v>71.5</v>
      </c>
      <c r="N7" s="71">
        <f>IFERROR(VLOOKUP(Tabla13[[#This Row],[Producto Químico, Denominación comercial]],'PUNTOS DE INYECCIÓN'!Q:S,3,0),"")</f>
        <v>2.3434332647628273</v>
      </c>
    </row>
    <row r="8" spans="1:14">
      <c r="B8" s="499" t="s">
        <v>178</v>
      </c>
      <c r="C8" s="501"/>
      <c r="D8" s="71">
        <v>3080</v>
      </c>
      <c r="E8" s="71">
        <f>+Tabla13[[#This Row],[Suma de  Consumo (L/mes)]]*(1-Tabla13[[#This Row],[Optimización]])</f>
        <v>3080</v>
      </c>
      <c r="F8" s="71">
        <f>+Tabla13[[#This Row],[Suma de  Consumo (L/mes)]]-Tabla13[[#This Row],[Consumo optimizado lmes]]</f>
        <v>0</v>
      </c>
      <c r="H8" s="500">
        <v>4</v>
      </c>
      <c r="I8" s="499" t="s">
        <v>179</v>
      </c>
      <c r="J8" s="500">
        <v>2.74</v>
      </c>
      <c r="K8" s="499">
        <f>+IFERROR(Tabla13[[#This Row],[Suma de  Consumo (L/mes)]]*Tabla13[[#This Row],[Precio '[USD/litro']]],"")</f>
        <v>8439.2000000000007</v>
      </c>
      <c r="L8" s="500">
        <f>+IFERROR(Tabla13[[#This Row],[Precio '[USD/litro']]]*Tabla13[[#This Row],[Consumo optimizado lmes]],"")</f>
        <v>8439.2000000000007</v>
      </c>
      <c r="M8" s="71">
        <f>IFERROR(Tabla13[[#This Row],[Costo total '[USD/mes']]]-Tabla13[[#This Row],[Costo optimizado '[USD/mes']]],"")</f>
        <v>0</v>
      </c>
      <c r="N8" s="71">
        <f>IFERROR(VLOOKUP(Tabla13[[#This Row],[Producto Químico, Denominación comercial]],'PUNTOS DE INYECCIÓN'!Q:S,3,0),"")</f>
        <v>1.504731491417457</v>
      </c>
    </row>
    <row r="9" spans="1:14">
      <c r="B9" s="499" t="s">
        <v>180</v>
      </c>
      <c r="C9" s="501"/>
      <c r="D9" s="71">
        <v>17046</v>
      </c>
      <c r="E9" s="71">
        <f>+Tabla13[[#This Row],[Suma de  Consumo (L/mes)]]*(1-Tabla13[[#This Row],[Optimización]])</f>
        <v>17046</v>
      </c>
      <c r="F9" s="71">
        <f>+Tabla13[[#This Row],[Suma de  Consumo (L/mes)]]-Tabla13[[#This Row],[Consumo optimizado lmes]]</f>
        <v>0</v>
      </c>
      <c r="G9" s="71">
        <v>59</v>
      </c>
      <c r="H9" s="500">
        <v>22</v>
      </c>
      <c r="I9" s="499" t="s">
        <v>182</v>
      </c>
      <c r="J9" s="500">
        <v>6.82</v>
      </c>
      <c r="K9" s="499">
        <f>+IFERROR(Tabla13[[#This Row],[Suma de  Consumo (L/mes)]]*Tabla13[[#This Row],[Precio '[USD/litro']]],"")</f>
        <v>116253.72</v>
      </c>
      <c r="L9" s="500">
        <f>+IFERROR(Tabla13[[#This Row],[Precio '[USD/litro']]]*Tabla13[[#This Row],[Consumo optimizado lmes]],"")</f>
        <v>116253.72</v>
      </c>
      <c r="M9" s="71">
        <f>IFERROR(Tabla13[[#This Row],[Costo total '[USD/mes']]]-Tabla13[[#This Row],[Costo optimizado '[USD/mes']]],"")</f>
        <v>0</v>
      </c>
      <c r="N9" s="71">
        <f>IFERROR(VLOOKUP(Tabla13[[#This Row],[Producto Químico, Denominación comercial]],'PUNTOS DE INYECCIÓN'!Q:S,3,0),"")</f>
        <v>4.03</v>
      </c>
    </row>
    <row r="10" spans="1:14">
      <c r="B10" s="499" t="s">
        <v>185</v>
      </c>
      <c r="C10" s="501"/>
      <c r="D10" s="71">
        <v>0</v>
      </c>
      <c r="E10" s="71">
        <f>+Tabla13[[#This Row],[Suma de  Consumo (L/mes)]]*(1-Tabla13[[#This Row],[Optimización]])</f>
        <v>0</v>
      </c>
      <c r="F10" s="71">
        <f>+Tabla13[[#This Row],[Suma de  Consumo (L/mes)]]-Tabla13[[#This Row],[Consumo optimizado lmes]]</f>
        <v>0</v>
      </c>
      <c r="H10" s="500"/>
      <c r="I10" s="499"/>
      <c r="J10" s="500"/>
      <c r="K10" s="499">
        <f>+IFERROR(Tabla13[[#This Row],[Suma de  Consumo (L/mes)]]*Tabla13[[#This Row],[Precio '[USD/litro']]],"")</f>
        <v>0</v>
      </c>
      <c r="L10" s="500">
        <f>+IFERROR(Tabla13[[#This Row],[Precio '[USD/litro']]]*Tabla13[[#This Row],[Consumo optimizado lmes]],"")</f>
        <v>0</v>
      </c>
      <c r="M10" s="71">
        <f>IFERROR(Tabla13[[#This Row],[Costo total '[USD/mes']]]-Tabla13[[#This Row],[Costo optimizado '[USD/mes']]],"")</f>
        <v>0</v>
      </c>
      <c r="N10" s="71" t="str">
        <f>IFERROR(VLOOKUP(Tabla13[[#This Row],[Producto Químico, Denominación comercial]],'PUNTOS DE INYECCIÓN'!Q:S,3,0),"")</f>
        <v/>
      </c>
    </row>
    <row r="11" spans="1:14">
      <c r="B11" s="499" t="s">
        <v>187</v>
      </c>
      <c r="C11" s="501"/>
      <c r="D11" s="71">
        <v>0</v>
      </c>
      <c r="E11" s="71">
        <f>+Tabla13[[#This Row],[Suma de  Consumo (L/mes)]]*(1-Tabla13[[#This Row],[Optimización]])</f>
        <v>0</v>
      </c>
      <c r="F11" s="71">
        <f>+Tabla13[[#This Row],[Suma de  Consumo (L/mes)]]-Tabla13[[#This Row],[Consumo optimizado lmes]]</f>
        <v>0</v>
      </c>
      <c r="H11" s="500">
        <v>2</v>
      </c>
      <c r="I11" s="499" t="s">
        <v>188</v>
      </c>
      <c r="J11" s="500">
        <v>1.51</v>
      </c>
      <c r="K11" s="499">
        <f>+IFERROR(Tabla13[[#This Row],[Suma de  Consumo (L/mes)]]*Tabla13[[#This Row],[Precio '[USD/litro']]],"")</f>
        <v>0</v>
      </c>
      <c r="L11" s="500">
        <f>+IFERROR(Tabla13[[#This Row],[Precio '[USD/litro']]]*Tabla13[[#This Row],[Consumo optimizado lmes]],"")</f>
        <v>0</v>
      </c>
      <c r="M11" s="71">
        <f>IFERROR(Tabla13[[#This Row],[Costo total '[USD/mes']]]-Tabla13[[#This Row],[Costo optimizado '[USD/mes']]],"")</f>
        <v>0</v>
      </c>
      <c r="N11" s="71">
        <f>IFERROR(VLOOKUP(Tabla13[[#This Row],[Producto Químico, Denominación comercial]],'PUNTOS DE INYECCIÓN'!Q:S,3,0),"")</f>
        <v>0.96794871794871795</v>
      </c>
    </row>
    <row r="12" spans="1:14">
      <c r="B12" s="499" t="s">
        <v>190</v>
      </c>
      <c r="C12" s="501"/>
      <c r="D12" s="71">
        <v>710</v>
      </c>
      <c r="E12" s="71">
        <f>+Tabla13[[#This Row],[Suma de  Consumo (L/mes)]]*(1-Tabla13[[#This Row],[Optimización]])</f>
        <v>710</v>
      </c>
      <c r="F12" s="71">
        <f>+Tabla13[[#This Row],[Suma de  Consumo (L/mes)]]-Tabla13[[#This Row],[Consumo optimizado lmes]]</f>
        <v>0</v>
      </c>
      <c r="G12" s="71">
        <v>1</v>
      </c>
      <c r="H12" s="500">
        <v>2</v>
      </c>
      <c r="I12" s="499" t="s">
        <v>191</v>
      </c>
      <c r="J12" s="500">
        <v>4.3899999999999997</v>
      </c>
      <c r="K12" s="499">
        <f>+IFERROR(Tabla13[[#This Row],[Suma de  Consumo (L/mes)]]*Tabla13[[#This Row],[Precio '[USD/litro']]],"")</f>
        <v>3116.8999999999996</v>
      </c>
      <c r="L12" s="500">
        <f>+IFERROR(Tabla13[[#This Row],[Precio '[USD/litro']]]*Tabla13[[#This Row],[Consumo optimizado lmes]],"")</f>
        <v>3116.8999999999996</v>
      </c>
      <c r="M12" s="71">
        <f>IFERROR(Tabla13[[#This Row],[Costo total '[USD/mes']]]-Tabla13[[#This Row],[Costo optimizado '[USD/mes']]],"")</f>
        <v>0</v>
      </c>
      <c r="N12" s="71">
        <f>IFERROR(VLOOKUP(Tabla13[[#This Row],[Producto Químico, Denominación comercial]],'PUNTOS DE INYECCIÓN'!Q:S,3,0),"")</f>
        <v>3.7827244302954339</v>
      </c>
    </row>
    <row r="13" spans="1:14">
      <c r="B13" s="499" t="s">
        <v>193</v>
      </c>
      <c r="C13" s="501"/>
      <c r="D13" s="71">
        <v>450</v>
      </c>
      <c r="E13" s="71">
        <f>+Tabla13[[#This Row],[Suma de  Consumo (L/mes)]]*(1-Tabla13[[#This Row],[Optimización]])</f>
        <v>450</v>
      </c>
      <c r="F13" s="71">
        <f>+Tabla13[[#This Row],[Suma de  Consumo (L/mes)]]-Tabla13[[#This Row],[Consumo optimizado lmes]]</f>
        <v>0</v>
      </c>
      <c r="H13" s="500">
        <v>4</v>
      </c>
      <c r="I13" s="499" t="s">
        <v>194</v>
      </c>
      <c r="J13" s="500">
        <v>5.07</v>
      </c>
      <c r="K13" s="499">
        <f>+IFERROR(Tabla13[[#This Row],[Suma de  Consumo (L/mes)]]*Tabla13[[#This Row],[Precio '[USD/litro']]],"")</f>
        <v>2281.5</v>
      </c>
      <c r="L13" s="500">
        <f>+IFERROR(Tabla13[[#This Row],[Precio '[USD/litro']]]*Tabla13[[#This Row],[Consumo optimizado lmes]],"")</f>
        <v>2281.5</v>
      </c>
      <c r="M13" s="71">
        <f>IFERROR(Tabla13[[#This Row],[Costo total '[USD/mes']]]-Tabla13[[#This Row],[Costo optimizado '[USD/mes']]],"")</f>
        <v>0</v>
      </c>
      <c r="N13" s="71">
        <f>IFERROR(VLOOKUP(Tabla13[[#This Row],[Producto Químico, Denominación comercial]],'PUNTOS DE INYECCIÓN'!Q:S,3,0),"")</f>
        <v>2.6700881534365926</v>
      </c>
    </row>
    <row r="14" spans="1:14">
      <c r="A14" s="71" t="s">
        <v>1399</v>
      </c>
      <c r="B14" s="499" t="s">
        <v>195</v>
      </c>
      <c r="C14" s="501">
        <v>0.15</v>
      </c>
      <c r="D14" s="71">
        <v>4462</v>
      </c>
      <c r="E14" s="71">
        <f>+Tabla13[[#This Row],[Suma de  Consumo (L/mes)]]*(1-Tabla13[[#This Row],[Optimización]])</f>
        <v>3792.7</v>
      </c>
      <c r="F14" s="71">
        <f>+Tabla13[[#This Row],[Suma de  Consumo (L/mes)]]-Tabla13[[#This Row],[Consumo optimizado lmes]]</f>
        <v>669.30000000000018</v>
      </c>
      <c r="G14" s="71">
        <v>40</v>
      </c>
      <c r="H14" s="500">
        <v>14</v>
      </c>
      <c r="I14" s="499" t="s">
        <v>197</v>
      </c>
      <c r="J14" s="500">
        <v>7.32</v>
      </c>
      <c r="K14" s="499">
        <f>+IFERROR(Tabla13[[#This Row],[Suma de  Consumo (L/mes)]]*Tabla13[[#This Row],[Precio '[USD/litro']]],"")</f>
        <v>32661.84</v>
      </c>
      <c r="L14" s="500">
        <f>+IFERROR(Tabla13[[#This Row],[Precio '[USD/litro']]]*Tabla13[[#This Row],[Consumo optimizado lmes]],"")</f>
        <v>27762.563999999998</v>
      </c>
      <c r="M14" s="71">
        <f>IFERROR(Tabla13[[#This Row],[Costo total '[USD/mes']]]-Tabla13[[#This Row],[Costo optimizado '[USD/mes']]],"")</f>
        <v>4899.2760000000017</v>
      </c>
      <c r="N14" s="71">
        <f>IFERROR(VLOOKUP(Tabla13[[#This Row],[Producto Químico, Denominación comercial]],'PUNTOS DE INYECCIÓN'!Q:S,3,0),"")</f>
        <v>4.47</v>
      </c>
    </row>
    <row r="15" spans="1:14">
      <c r="B15" s="499" t="s">
        <v>198</v>
      </c>
      <c r="C15" s="501"/>
      <c r="D15" s="71">
        <v>0</v>
      </c>
      <c r="E15" s="71">
        <f>+Tabla13[[#This Row],[Suma de  Consumo (L/mes)]]*(1-Tabla13[[#This Row],[Optimización]])</f>
        <v>0</v>
      </c>
      <c r="F15" s="71">
        <f>+Tabla13[[#This Row],[Suma de  Consumo (L/mes)]]-Tabla13[[#This Row],[Consumo optimizado lmes]]</f>
        <v>0</v>
      </c>
      <c r="H15" s="500"/>
      <c r="I15" s="499" t="s">
        <v>170</v>
      </c>
      <c r="J15" s="500">
        <v>3.89</v>
      </c>
      <c r="K15" s="499">
        <f>+IFERROR(Tabla13[[#This Row],[Suma de  Consumo (L/mes)]]*Tabla13[[#This Row],[Precio '[USD/litro']]],"")</f>
        <v>0</v>
      </c>
      <c r="L15" s="500">
        <f>+IFERROR(Tabla13[[#This Row],[Precio '[USD/litro']]]*Tabla13[[#This Row],[Consumo optimizado lmes]],"")</f>
        <v>0</v>
      </c>
      <c r="M15" s="71">
        <f>IFERROR(Tabla13[[#This Row],[Costo total '[USD/mes']]]-Tabla13[[#This Row],[Costo optimizado '[USD/mes']]],"")</f>
        <v>0</v>
      </c>
      <c r="N15" s="71">
        <f>IFERROR(VLOOKUP(Tabla13[[#This Row],[Producto Químico, Denominación comercial]],'PUNTOS DE INYECCIÓN'!Q:S,3,0),"")</f>
        <v>3.1358174612778318</v>
      </c>
    </row>
    <row r="16" spans="1:14">
      <c r="B16" s="499" t="s">
        <v>200</v>
      </c>
      <c r="C16" s="501"/>
      <c r="D16" s="71">
        <v>139</v>
      </c>
      <c r="E16" s="71">
        <f>+Tabla13[[#This Row],[Suma de  Consumo (L/mes)]]*(1-Tabla13[[#This Row],[Optimización]])</f>
        <v>139</v>
      </c>
      <c r="F16" s="71">
        <f>+Tabla13[[#This Row],[Suma de  Consumo (L/mes)]]-Tabla13[[#This Row],[Consumo optimizado lmes]]</f>
        <v>0</v>
      </c>
      <c r="H16" s="500">
        <v>1</v>
      </c>
      <c r="I16" s="499" t="s">
        <v>201</v>
      </c>
      <c r="J16" s="500">
        <v>3.48</v>
      </c>
      <c r="K16" s="499">
        <f>+IFERROR(Tabla13[[#This Row],[Suma de  Consumo (L/mes)]]*Tabla13[[#This Row],[Precio '[USD/litro']]],"")</f>
        <v>483.71999999999997</v>
      </c>
      <c r="L16" s="500">
        <f>+IFERROR(Tabla13[[#This Row],[Precio '[USD/litro']]]*Tabla13[[#This Row],[Consumo optimizado lmes]],"")</f>
        <v>483.71999999999997</v>
      </c>
      <c r="M16" s="71">
        <f>IFERROR(Tabla13[[#This Row],[Costo total '[USD/mes']]]-Tabla13[[#This Row],[Costo optimizado '[USD/mes']]],"")</f>
        <v>0</v>
      </c>
      <c r="N16" s="71">
        <f>IFERROR(VLOOKUP(Tabla13[[#This Row],[Producto Químico, Denominación comercial]],'PUNTOS DE INYECCIÓN'!Q:S,3,0),"")</f>
        <v>1.7864625248587429</v>
      </c>
    </row>
    <row r="17" spans="1:14">
      <c r="A17" s="71" t="s">
        <v>1400</v>
      </c>
      <c r="B17" s="499" t="s">
        <v>202</v>
      </c>
      <c r="C17" s="501">
        <v>0.15</v>
      </c>
      <c r="D17" s="71">
        <v>15147</v>
      </c>
      <c r="E17" s="71">
        <f>+Tabla13[[#This Row],[Suma de  Consumo (L/mes)]]*(1-Tabla13[[#This Row],[Optimización]])</f>
        <v>12874.949999999999</v>
      </c>
      <c r="F17" s="71">
        <f>+Tabla13[[#This Row],[Suma de  Consumo (L/mes)]]-Tabla13[[#This Row],[Consumo optimizado lmes]]</f>
        <v>2272.0500000000011</v>
      </c>
      <c r="G17" s="71">
        <v>130</v>
      </c>
      <c r="H17" s="500">
        <v>20</v>
      </c>
      <c r="I17" s="499" t="s">
        <v>644</v>
      </c>
      <c r="J17" s="500">
        <v>3.7</v>
      </c>
      <c r="K17" s="499">
        <f>+IFERROR(Tabla13[[#This Row],[Suma de  Consumo (L/mes)]]*Tabla13[[#This Row],[Precio '[USD/litro']]],"")</f>
        <v>56043.9</v>
      </c>
      <c r="L17" s="500">
        <f>+IFERROR(Tabla13[[#This Row],[Precio '[USD/litro']]]*Tabla13[[#This Row],[Consumo optimizado lmes]],"")</f>
        <v>47637.314999999995</v>
      </c>
      <c r="M17" s="71">
        <f>IFERROR(Tabla13[[#This Row],[Costo total '[USD/mes']]]-Tabla13[[#This Row],[Costo optimizado '[USD/mes']]],"")</f>
        <v>8406.5850000000064</v>
      </c>
      <c r="N17" s="71">
        <f>IFERROR(VLOOKUP(Tabla13[[#This Row],[Producto Químico, Denominación comercial]],'PUNTOS DE INYECCIÓN'!Q:S,3,0),"")</f>
        <v>2.42</v>
      </c>
    </row>
    <row r="18" spans="1:14">
      <c r="A18" s="71" t="s">
        <v>1401</v>
      </c>
      <c r="B18" s="499" t="s">
        <v>205</v>
      </c>
      <c r="C18" s="501">
        <v>0.15</v>
      </c>
      <c r="D18" s="71">
        <v>6662</v>
      </c>
      <c r="E18" s="71">
        <f>+Tabla13[[#This Row],[Suma de  Consumo (L/mes)]]*(1-Tabla13[[#This Row],[Optimización]])</f>
        <v>5662.7</v>
      </c>
      <c r="F18" s="71">
        <f>+Tabla13[[#This Row],[Suma de  Consumo (L/mes)]]-Tabla13[[#This Row],[Consumo optimizado lmes]]</f>
        <v>999.30000000000018</v>
      </c>
      <c r="G18" s="71">
        <v>9</v>
      </c>
      <c r="H18" s="500">
        <v>14</v>
      </c>
      <c r="I18" s="499" t="s">
        <v>208</v>
      </c>
      <c r="J18" s="500">
        <v>4.0199999999999996</v>
      </c>
      <c r="K18" s="499">
        <f>+IFERROR(Tabla13[[#This Row],[Suma de  Consumo (L/mes)]]*Tabla13[[#This Row],[Precio '[USD/litro']]],"")</f>
        <v>26781.239999999998</v>
      </c>
      <c r="L18" s="500">
        <f>+IFERROR(Tabla13[[#This Row],[Precio '[USD/litro']]]*Tabla13[[#This Row],[Consumo optimizado lmes]],"")</f>
        <v>22764.053999999996</v>
      </c>
      <c r="M18" s="71">
        <f>IFERROR(Tabla13[[#This Row],[Costo total '[USD/mes']]]-Tabla13[[#This Row],[Costo optimizado '[USD/mes']]],"")</f>
        <v>4017.1860000000015</v>
      </c>
      <c r="N18" s="71">
        <f>IFERROR(VLOOKUP(Tabla13[[#This Row],[Producto Químico, Denominación comercial]],'PUNTOS DE INYECCIÓN'!Q:S,3,0),"")</f>
        <v>1.8969840434471943</v>
      </c>
    </row>
    <row r="19" spans="1:14">
      <c r="B19" s="499" t="s">
        <v>209</v>
      </c>
      <c r="C19" s="501"/>
      <c r="D19" s="71">
        <v>0</v>
      </c>
      <c r="E19" s="71">
        <f>+Tabla13[[#This Row],[Suma de  Consumo (L/mes)]]*(1-Tabla13[[#This Row],[Optimización]])</f>
        <v>0</v>
      </c>
      <c r="F19" s="71">
        <f>+Tabla13[[#This Row],[Suma de  Consumo (L/mes)]]-Tabla13[[#This Row],[Consumo optimizado lmes]]</f>
        <v>0</v>
      </c>
      <c r="H19" s="500"/>
      <c r="I19" s="499"/>
      <c r="J19" s="500" t="s">
        <v>471</v>
      </c>
      <c r="K19" s="499" t="str">
        <f>+IFERROR(Tabla13[[#This Row],[Suma de  Consumo (L/mes)]]*Tabla13[[#This Row],[Precio '[USD/litro']]],"")</f>
        <v/>
      </c>
      <c r="L19" s="500" t="str">
        <f>+IFERROR(Tabla13[[#This Row],[Precio '[USD/litro']]]*Tabla13[[#This Row],[Consumo optimizado lmes]],"")</f>
        <v/>
      </c>
      <c r="M19" s="71" t="str">
        <f>IFERROR(Tabla13[[#This Row],[Costo total '[USD/mes']]]-Tabla13[[#This Row],[Costo optimizado '[USD/mes']]],"")</f>
        <v/>
      </c>
      <c r="N19" s="71" t="str">
        <f>IFERROR(VLOOKUP(Tabla13[[#This Row],[Producto Químico, Denominación comercial]],'PUNTOS DE INYECCIÓN'!Q:S,3,0),"")</f>
        <v/>
      </c>
    </row>
    <row r="20" spans="1:14">
      <c r="B20" s="499" t="s">
        <v>210</v>
      </c>
      <c r="C20" s="501"/>
      <c r="D20" s="71">
        <v>539</v>
      </c>
      <c r="E20" s="71">
        <f>+Tabla13[[#This Row],[Suma de  Consumo (L/mes)]]*(1-Tabla13[[#This Row],[Optimización]])</f>
        <v>539</v>
      </c>
      <c r="F20" s="71">
        <f>+Tabla13[[#This Row],[Suma de  Consumo (L/mes)]]-Tabla13[[#This Row],[Consumo optimizado lmes]]</f>
        <v>0</v>
      </c>
      <c r="H20" s="500">
        <v>3</v>
      </c>
      <c r="I20" s="499" t="s">
        <v>212</v>
      </c>
      <c r="J20" s="500">
        <v>3.45</v>
      </c>
      <c r="K20" s="499">
        <f>+IFERROR(Tabla13[[#This Row],[Suma de  Consumo (L/mes)]]*Tabla13[[#This Row],[Precio '[USD/litro']]],"")</f>
        <v>1859.5500000000002</v>
      </c>
      <c r="L20" s="500">
        <f>+IFERROR(Tabla13[[#This Row],[Precio '[USD/litro']]]*Tabla13[[#This Row],[Consumo optimizado lmes]],"")</f>
        <v>1859.5500000000002</v>
      </c>
      <c r="M20" s="71">
        <f>IFERROR(Tabla13[[#This Row],[Costo total '[USD/mes']]]-Tabla13[[#This Row],[Costo optimizado '[USD/mes']]],"")</f>
        <v>0</v>
      </c>
      <c r="N20" s="71">
        <f>IFERROR(VLOOKUP(Tabla13[[#This Row],[Producto Químico, Denominación comercial]],'PUNTOS DE INYECCIÓN'!Q:S,3,0),"")</f>
        <v>2.2115384615384617</v>
      </c>
    </row>
    <row r="21" spans="1:14">
      <c r="A21" s="71" t="s">
        <v>1402</v>
      </c>
      <c r="B21" s="499" t="s">
        <v>213</v>
      </c>
      <c r="C21" s="501">
        <v>0.2</v>
      </c>
      <c r="D21" s="71">
        <v>7025</v>
      </c>
      <c r="E21" s="71">
        <f>+Tabla13[[#This Row],[Suma de  Consumo (L/mes)]]*(1-Tabla13[[#This Row],[Optimización]])</f>
        <v>5620</v>
      </c>
      <c r="F21" s="71">
        <f>+Tabla13[[#This Row],[Suma de  Consumo (L/mes)]]-Tabla13[[#This Row],[Consumo optimizado lmes]]</f>
        <v>1405</v>
      </c>
      <c r="G21" s="71">
        <v>156</v>
      </c>
      <c r="H21" s="500">
        <v>1</v>
      </c>
      <c r="I21" s="499" t="s">
        <v>177</v>
      </c>
      <c r="J21" s="500">
        <v>3.25</v>
      </c>
      <c r="K21" s="499">
        <f>+IFERROR(Tabla13[[#This Row],[Suma de  Consumo (L/mes)]]*Tabla13[[#This Row],[Precio '[USD/litro']]],"")</f>
        <v>22831.25</v>
      </c>
      <c r="L21" s="500">
        <f>+IFERROR(Tabla13[[#This Row],[Precio '[USD/litro']]]*Tabla13[[#This Row],[Consumo optimizado lmes]],"")</f>
        <v>18265</v>
      </c>
      <c r="M21" s="71">
        <f>IFERROR(Tabla13[[#This Row],[Costo total '[USD/mes']]]-Tabla13[[#This Row],[Costo optimizado '[USD/mes']]],"")</f>
        <v>4566.25</v>
      </c>
      <c r="N21" s="71">
        <f>IFERROR(VLOOKUP(Tabla13[[#This Row],[Producto Químico, Denominación comercial]],'PUNTOS DE INYECCIÓN'!Q:S,3,0),"")</f>
        <v>2.3434332647628273</v>
      </c>
    </row>
    <row r="22" spans="1:14">
      <c r="B22" s="499" t="s">
        <v>215</v>
      </c>
      <c r="C22" s="501"/>
      <c r="D22" s="71">
        <v>0</v>
      </c>
      <c r="E22" s="71">
        <f>+Tabla13[[#This Row],[Suma de  Consumo (L/mes)]]*(1-Tabla13[[#This Row],[Optimización]])</f>
        <v>0</v>
      </c>
      <c r="F22" s="71">
        <f>+Tabla13[[#This Row],[Suma de  Consumo (L/mes)]]-Tabla13[[#This Row],[Consumo optimizado lmes]]</f>
        <v>0</v>
      </c>
      <c r="G22" s="71">
        <v>2</v>
      </c>
      <c r="H22" s="500"/>
      <c r="I22" s="499" t="s">
        <v>216</v>
      </c>
      <c r="J22" s="500">
        <v>3.77</v>
      </c>
      <c r="K22" s="499">
        <f>+IFERROR(Tabla13[[#This Row],[Suma de  Consumo (L/mes)]]*Tabla13[[#This Row],[Precio '[USD/litro']]],"")</f>
        <v>0</v>
      </c>
      <c r="L22" s="500">
        <f>+IFERROR(Tabla13[[#This Row],[Precio '[USD/litro']]]*Tabla13[[#This Row],[Consumo optimizado lmes]],"")</f>
        <v>0</v>
      </c>
      <c r="M22" s="71">
        <f>IFERROR(Tabla13[[#This Row],[Costo total '[USD/mes']]]-Tabla13[[#This Row],[Costo optimizado '[USD/mes']]],"")</f>
        <v>0</v>
      </c>
      <c r="N22" s="71">
        <f>IFERROR(VLOOKUP(Tabla13[[#This Row],[Producto Químico, Denominación comercial]],'PUNTOS DE INYECCIÓN'!Q:S,3,0),"")</f>
        <v>1.5604308196088428</v>
      </c>
    </row>
    <row r="23" spans="1:14">
      <c r="A23" s="71" t="s">
        <v>1403</v>
      </c>
      <c r="B23" s="499" t="s">
        <v>217</v>
      </c>
      <c r="C23" s="501">
        <v>0.2</v>
      </c>
      <c r="D23" s="71">
        <v>4782</v>
      </c>
      <c r="E23" s="71">
        <f>+Tabla13[[#This Row],[Suma de  Consumo (L/mes)]]*(1-Tabla13[[#This Row],[Optimización]])</f>
        <v>3825.6000000000004</v>
      </c>
      <c r="F23" s="71">
        <f>+Tabla13[[#This Row],[Suma de  Consumo (L/mes)]]-Tabla13[[#This Row],[Consumo optimizado lmes]]</f>
        <v>956.39999999999964</v>
      </c>
      <c r="G23" s="71">
        <v>44</v>
      </c>
      <c r="H23" s="500">
        <v>7</v>
      </c>
      <c r="I23" s="499" t="s">
        <v>218</v>
      </c>
      <c r="J23" s="500">
        <v>7.88</v>
      </c>
      <c r="K23" s="499">
        <f>+IFERROR(Tabla13[[#This Row],[Suma de  Consumo (L/mes)]]*Tabla13[[#This Row],[Precio '[USD/litro']]],"")</f>
        <v>37682.159999999996</v>
      </c>
      <c r="L23" s="500">
        <f>+IFERROR(Tabla13[[#This Row],[Precio '[USD/litro']]]*Tabla13[[#This Row],[Consumo optimizado lmes]],"")</f>
        <v>30145.728000000003</v>
      </c>
      <c r="M23" s="71">
        <f>IFERROR(Tabla13[[#This Row],[Costo total '[USD/mes']]]-Tabla13[[#This Row],[Costo optimizado '[USD/mes']]],"")</f>
        <v>7536.4319999999934</v>
      </c>
      <c r="N23" s="71">
        <f>IFERROR(VLOOKUP(Tabla13[[#This Row],[Producto Químico, Denominación comercial]],'PUNTOS DE INYECCIÓN'!Q:S,3,0),"")</f>
        <v>4.144528449302924</v>
      </c>
    </row>
    <row r="24" spans="1:14">
      <c r="B24" s="499" t="s">
        <v>219</v>
      </c>
      <c r="C24" s="501"/>
      <c r="D24" s="71">
        <v>1130</v>
      </c>
      <c r="E24" s="71">
        <f>+Tabla13[[#This Row],[Suma de  Consumo (L/mes)]]*(1-Tabla13[[#This Row],[Optimización]])</f>
        <v>1130</v>
      </c>
      <c r="F24" s="71">
        <f>+Tabla13[[#This Row],[Suma de  Consumo (L/mes)]]-Tabla13[[#This Row],[Consumo optimizado lmes]]</f>
        <v>0</v>
      </c>
      <c r="H24" s="500">
        <v>4</v>
      </c>
      <c r="I24" s="499"/>
      <c r="J24" s="500" t="s">
        <v>471</v>
      </c>
      <c r="K24" s="499" t="str">
        <f>+IFERROR(Tabla13[[#This Row],[Suma de  Consumo (L/mes)]]*Tabla13[[#This Row],[Precio '[USD/litro']]],"")</f>
        <v/>
      </c>
      <c r="L24" s="500" t="str">
        <f>+IFERROR(Tabla13[[#This Row],[Precio '[USD/litro']]]*Tabla13[[#This Row],[Consumo optimizado lmes]],"")</f>
        <v/>
      </c>
      <c r="M24" s="71" t="str">
        <f>IFERROR(Tabla13[[#This Row],[Costo total '[USD/mes']]]-Tabla13[[#This Row],[Costo optimizado '[USD/mes']]],"")</f>
        <v/>
      </c>
      <c r="N24" s="71" t="str">
        <f>IFERROR(VLOOKUP(Tabla13[[#This Row],[Producto Químico, Denominación comercial]],'PUNTOS DE INYECCIÓN'!Q:S,3,0),"")</f>
        <v/>
      </c>
    </row>
    <row r="25" spans="1:14">
      <c r="B25" s="499" t="s">
        <v>221</v>
      </c>
      <c r="C25" s="501"/>
      <c r="D25" s="71">
        <v>28500</v>
      </c>
      <c r="E25" s="71">
        <f>+Tabla13[[#This Row],[Suma de  Consumo (L/mes)]]*(1-Tabla13[[#This Row],[Optimización]])</f>
        <v>28500</v>
      </c>
      <c r="F25" s="71">
        <f>+Tabla13[[#This Row],[Suma de  Consumo (L/mes)]]-Tabla13[[#This Row],[Consumo optimizado lmes]]</f>
        <v>0</v>
      </c>
      <c r="H25" s="500">
        <v>2</v>
      </c>
      <c r="I25" s="499"/>
      <c r="J25" s="500" t="s">
        <v>471</v>
      </c>
      <c r="K25" s="499" t="str">
        <f>+IFERROR(Tabla13[[#This Row],[Suma de  Consumo (L/mes)]]*Tabla13[[#This Row],[Precio '[USD/litro']]],"")</f>
        <v/>
      </c>
      <c r="L25" s="500" t="str">
        <f>+IFERROR(Tabla13[[#This Row],[Precio '[USD/litro']]]*Tabla13[[#This Row],[Consumo optimizado lmes]],"")</f>
        <v/>
      </c>
      <c r="M25" s="71" t="str">
        <f>IFERROR(Tabla13[[#This Row],[Costo total '[USD/mes']]]-Tabla13[[#This Row],[Costo optimizado '[USD/mes']]],"")</f>
        <v/>
      </c>
      <c r="N25" s="71" t="str">
        <f>IFERROR(VLOOKUP(Tabla13[[#This Row],[Producto Químico, Denominación comercial]],'PUNTOS DE INYECCIÓN'!Q:S,3,0),"")</f>
        <v/>
      </c>
    </row>
    <row r="26" spans="1:14">
      <c r="B26" s="499" t="s">
        <v>224</v>
      </c>
      <c r="C26" s="501"/>
      <c r="D26" s="71">
        <v>2170</v>
      </c>
      <c r="E26" s="71">
        <f>+Tabla13[[#This Row],[Suma de  Consumo (L/mes)]]*(1-Tabla13[[#This Row],[Optimización]])</f>
        <v>2170</v>
      </c>
      <c r="F26" s="71">
        <f>+Tabla13[[#This Row],[Suma de  Consumo (L/mes)]]-Tabla13[[#This Row],[Consumo optimizado lmes]]</f>
        <v>0</v>
      </c>
      <c r="G26" s="71">
        <v>1</v>
      </c>
      <c r="H26" s="500">
        <v>8</v>
      </c>
      <c r="I26" s="499" t="s">
        <v>226</v>
      </c>
      <c r="J26" s="500">
        <v>2.31</v>
      </c>
      <c r="K26" s="499">
        <f>+IFERROR(Tabla13[[#This Row],[Suma de  Consumo (L/mes)]]*Tabla13[[#This Row],[Precio '[USD/litro']]],"")</f>
        <v>5012.7</v>
      </c>
      <c r="L26" s="500">
        <f>+IFERROR(Tabla13[[#This Row],[Precio '[USD/litro']]]*Tabla13[[#This Row],[Consumo optimizado lmes]],"")</f>
        <v>5012.7</v>
      </c>
      <c r="M26" s="71">
        <f>IFERROR(Tabla13[[#This Row],[Costo total '[USD/mes']]]-Tabla13[[#This Row],[Costo optimizado '[USD/mes']]],"")</f>
        <v>0</v>
      </c>
      <c r="N26" s="71">
        <f>IFERROR(VLOOKUP(Tabla13[[#This Row],[Producto Químico, Denominación comercial]],'PUNTOS DE INYECCIÓN'!Q:S,3,0),"")</f>
        <v>1.8266571757018397</v>
      </c>
    </row>
    <row r="27" spans="1:14">
      <c r="B27" s="499" t="s">
        <v>227</v>
      </c>
      <c r="C27" s="501"/>
      <c r="D27" s="71">
        <v>790</v>
      </c>
      <c r="E27" s="71">
        <f>+Tabla13[[#This Row],[Suma de  Consumo (L/mes)]]*(1-Tabla13[[#This Row],[Optimización]])</f>
        <v>790</v>
      </c>
      <c r="F27" s="71">
        <f>+Tabla13[[#This Row],[Suma de  Consumo (L/mes)]]-Tabla13[[#This Row],[Consumo optimizado lmes]]</f>
        <v>0</v>
      </c>
      <c r="H27" s="500">
        <v>8</v>
      </c>
      <c r="I27" s="499" t="s">
        <v>230</v>
      </c>
      <c r="J27" s="500">
        <v>4.1100000000000003</v>
      </c>
      <c r="K27" s="499">
        <f>+IFERROR(Tabla13[[#This Row],[Suma de  Consumo (L/mes)]]*Tabla13[[#This Row],[Precio '[USD/litro']]],"")</f>
        <v>3246.9</v>
      </c>
      <c r="L27" s="500">
        <f>+IFERROR(Tabla13[[#This Row],[Precio '[USD/litro']]]*Tabla13[[#This Row],[Consumo optimizado lmes]],"")</f>
        <v>3246.9</v>
      </c>
      <c r="M27" s="71">
        <f>IFERROR(Tabla13[[#This Row],[Costo total '[USD/mes']]]-Tabla13[[#This Row],[Costo optimizado '[USD/mes']]],"")</f>
        <v>0</v>
      </c>
      <c r="N27" s="71">
        <f>IFERROR(VLOOKUP(Tabla13[[#This Row],[Producto Químico, Denominación comercial]],'PUNTOS DE INYECCIÓN'!Q:S,3,0),"")</f>
        <v>2.1833464266698939</v>
      </c>
    </row>
    <row r="28" spans="1:14">
      <c r="B28" s="502" t="s">
        <v>98</v>
      </c>
      <c r="C28" s="503"/>
      <c r="D28" s="71">
        <v>61181</v>
      </c>
      <c r="E28" s="71">
        <f>+Tabla13[[#This Row],[Suma de  Consumo (L/mes)]]*(1-Tabla13[[#This Row],[Optimización]])</f>
        <v>61181</v>
      </c>
      <c r="F28" s="71">
        <f>+Tabla13[[#This Row],[Suma de  Consumo (L/mes)]]-Tabla13[[#This Row],[Consumo optimizado lmes]]</f>
        <v>0</v>
      </c>
      <c r="G28" s="71">
        <v>148</v>
      </c>
      <c r="H28" s="500">
        <v>157</v>
      </c>
      <c r="I28" s="499"/>
      <c r="J28" s="500"/>
      <c r="K28" s="499">
        <f>+IFERROR(Tabla13[[#This Row],[Suma de  Consumo (L/mes)]]*Tabla13[[#This Row],[Precio '[USD/litro']]],"")</f>
        <v>0</v>
      </c>
      <c r="L28" s="500">
        <f>+IFERROR(Tabla13[[#This Row],[Precio '[USD/litro']]]*Tabla13[[#This Row],[Consumo optimizado lmes]],"")</f>
        <v>0</v>
      </c>
      <c r="M28" s="71">
        <f>IFERROR(Tabla13[[#This Row],[Costo total '[USD/mes']]]-Tabla13[[#This Row],[Costo optimizado '[USD/mes']]],"")</f>
        <v>0</v>
      </c>
      <c r="N28" s="71" t="str">
        <f>IFERROR(VLOOKUP(Tabla13[[#This Row],[Producto Químico, Denominación comercial]],'PUNTOS DE INYECCIÓN'!Q:S,3,0),"")</f>
        <v/>
      </c>
    </row>
    <row r="29" spans="1:14">
      <c r="A29" s="71" t="s">
        <v>1404</v>
      </c>
      <c r="B29" s="499" t="s">
        <v>166</v>
      </c>
      <c r="C29" s="501">
        <v>0.1</v>
      </c>
      <c r="D29" s="71">
        <v>8001</v>
      </c>
      <c r="E29" s="71">
        <f>+Tabla13[[#This Row],[Suma de  Consumo (L/mes)]]*(1-Tabla13[[#This Row],[Optimización]])</f>
        <v>7200.9000000000005</v>
      </c>
      <c r="F29" s="71">
        <f>+Tabla13[[#This Row],[Suma de  Consumo (L/mes)]]-Tabla13[[#This Row],[Consumo optimizado lmes]]</f>
        <v>800.09999999999945</v>
      </c>
      <c r="G29" s="71">
        <v>53</v>
      </c>
      <c r="H29" s="500">
        <v>12</v>
      </c>
      <c r="I29" s="499" t="s">
        <v>237</v>
      </c>
      <c r="J29" s="500">
        <v>4.5</v>
      </c>
      <c r="K29" s="499">
        <f>+IFERROR(Tabla13[[#This Row],[Suma de  Consumo (L/mes)]]*Tabla13[[#This Row],[Precio '[USD/litro']]],"")</f>
        <v>36004.5</v>
      </c>
      <c r="L29" s="500">
        <f>+IFERROR(Tabla13[[#This Row],[Precio '[USD/litro']]]*Tabla13[[#This Row],[Consumo optimizado lmes]],"")</f>
        <v>32404.050000000003</v>
      </c>
      <c r="M29" s="71">
        <f>IFERROR(Tabla13[[#This Row],[Costo total '[USD/mes']]]-Tabla13[[#This Row],[Costo optimizado '[USD/mes']]],"")</f>
        <v>3600.4499999999971</v>
      </c>
      <c r="N29" s="71">
        <f>IFERROR(VLOOKUP(Tabla13[[#This Row],[Producto Químico, Denominación comercial]],'PUNTOS DE INYECCIÓN'!Q:S,3,0),"")</f>
        <v>2.305250610594519</v>
      </c>
    </row>
    <row r="30" spans="1:14">
      <c r="B30" s="499" t="s">
        <v>173</v>
      </c>
      <c r="C30" s="501"/>
      <c r="D30" s="71">
        <v>1310</v>
      </c>
      <c r="E30" s="71">
        <f>+Tabla13[[#This Row],[Suma de  Consumo (L/mes)]]*(1-Tabla13[[#This Row],[Optimización]])</f>
        <v>1310</v>
      </c>
      <c r="F30" s="71">
        <f>+Tabla13[[#This Row],[Suma de  Consumo (L/mes)]]-Tabla13[[#This Row],[Consumo optimizado lmes]]</f>
        <v>0</v>
      </c>
      <c r="H30" s="500">
        <v>2</v>
      </c>
      <c r="I30" s="499" t="s">
        <v>238</v>
      </c>
      <c r="J30" s="500">
        <v>9.25</v>
      </c>
      <c r="K30" s="499">
        <f>+IFERROR(Tabla13[[#This Row],[Suma de  Consumo (L/mes)]]*Tabla13[[#This Row],[Precio '[USD/litro']]],"")</f>
        <v>12117.5</v>
      </c>
      <c r="L30" s="500">
        <f>+IFERROR(Tabla13[[#This Row],[Precio '[USD/litro']]]*Tabla13[[#This Row],[Consumo optimizado lmes]],"")</f>
        <v>12117.5</v>
      </c>
      <c r="M30" s="71">
        <f>IFERROR(Tabla13[[#This Row],[Costo total '[USD/mes']]]-Tabla13[[#This Row],[Costo optimizado '[USD/mes']]],"")</f>
        <v>0</v>
      </c>
      <c r="N30" s="71">
        <f>IFERROR(VLOOKUP(Tabla13[[#This Row],[Producto Químico, Denominación comercial]],'PUNTOS DE INYECCIÓN'!Q:S,3,0),"")</f>
        <v>5.0747919288480157</v>
      </c>
    </row>
    <row r="31" spans="1:14">
      <c r="B31" s="499" t="s">
        <v>239</v>
      </c>
      <c r="C31" s="501"/>
      <c r="D31" s="71">
        <v>1226</v>
      </c>
      <c r="E31" s="71">
        <f>+Tabla13[[#This Row],[Suma de  Consumo (L/mes)]]*(1-Tabla13[[#This Row],[Optimización]])</f>
        <v>1226</v>
      </c>
      <c r="F31" s="71">
        <f>+Tabla13[[#This Row],[Suma de  Consumo (L/mes)]]-Tabla13[[#This Row],[Consumo optimizado lmes]]</f>
        <v>0</v>
      </c>
      <c r="H31" s="500">
        <v>2</v>
      </c>
      <c r="I31" s="499" t="s">
        <v>177</v>
      </c>
      <c r="J31" s="500">
        <v>3.25</v>
      </c>
      <c r="K31" s="499">
        <f>+IFERROR(Tabla13[[#This Row],[Suma de  Consumo (L/mes)]]*Tabla13[[#This Row],[Precio '[USD/litro']]],"")</f>
        <v>3984.5</v>
      </c>
      <c r="L31" s="500">
        <f>+IFERROR(Tabla13[[#This Row],[Precio '[USD/litro']]]*Tabla13[[#This Row],[Consumo optimizado lmes]],"")</f>
        <v>3984.5</v>
      </c>
      <c r="M31" s="71">
        <f>IFERROR(Tabla13[[#This Row],[Costo total '[USD/mes']]]-Tabla13[[#This Row],[Costo optimizado '[USD/mes']]],"")</f>
        <v>0</v>
      </c>
      <c r="N31" s="71">
        <f>IFERROR(VLOOKUP(Tabla13[[#This Row],[Producto Químico, Denominación comercial]],'PUNTOS DE INYECCIÓN'!Q:S,3,0),"")</f>
        <v>2.3434332647628273</v>
      </c>
    </row>
    <row r="32" spans="1:14">
      <c r="B32" s="499" t="s">
        <v>175</v>
      </c>
      <c r="C32" s="501"/>
      <c r="D32" s="71">
        <v>80</v>
      </c>
      <c r="E32" s="71">
        <f>+Tabla13[[#This Row],[Suma de  Consumo (L/mes)]]*(1-Tabla13[[#This Row],[Optimización]])</f>
        <v>80</v>
      </c>
      <c r="F32" s="71">
        <f>+Tabla13[[#This Row],[Suma de  Consumo (L/mes)]]-Tabla13[[#This Row],[Consumo optimizado lmes]]</f>
        <v>0</v>
      </c>
      <c r="H32" s="500">
        <v>2</v>
      </c>
      <c r="I32" s="499" t="s">
        <v>241</v>
      </c>
      <c r="J32" s="500">
        <v>6.61</v>
      </c>
      <c r="K32" s="499">
        <f>+IFERROR(Tabla13[[#This Row],[Suma de  Consumo (L/mes)]]*Tabla13[[#This Row],[Precio '[USD/litro']]],"")</f>
        <v>528.80000000000007</v>
      </c>
      <c r="L32" s="500">
        <f>+IFERROR(Tabla13[[#This Row],[Precio '[USD/litro']]]*Tabla13[[#This Row],[Consumo optimizado lmes]],"")</f>
        <v>528.80000000000007</v>
      </c>
      <c r="M32" s="71">
        <f>IFERROR(Tabla13[[#This Row],[Costo total '[USD/mes']]]-Tabla13[[#This Row],[Costo optimizado '[USD/mes']]],"")</f>
        <v>0</v>
      </c>
      <c r="N32" s="71">
        <f>IFERROR(VLOOKUP(Tabla13[[#This Row],[Producto Químico, Denominación comercial]],'PUNTOS DE INYECCIÓN'!Q:S,3,0),"")</f>
        <v>4.13</v>
      </c>
    </row>
    <row r="33" spans="1:14">
      <c r="B33" s="499" t="s">
        <v>178</v>
      </c>
      <c r="C33" s="501"/>
      <c r="D33" s="71">
        <v>3080</v>
      </c>
      <c r="E33" s="71">
        <f>+Tabla13[[#This Row],[Suma de  Consumo (L/mes)]]*(1-Tabla13[[#This Row],[Optimización]])</f>
        <v>3080</v>
      </c>
      <c r="F33" s="71">
        <f>+Tabla13[[#This Row],[Suma de  Consumo (L/mes)]]-Tabla13[[#This Row],[Consumo optimizado lmes]]</f>
        <v>0</v>
      </c>
      <c r="H33" s="500">
        <v>4</v>
      </c>
      <c r="I33" s="499" t="s">
        <v>179</v>
      </c>
      <c r="J33" s="500">
        <v>2.74</v>
      </c>
      <c r="K33" s="499">
        <f>+IFERROR(Tabla13[[#This Row],[Suma de  Consumo (L/mes)]]*Tabla13[[#This Row],[Precio '[USD/litro']]],"")</f>
        <v>8439.2000000000007</v>
      </c>
      <c r="L33" s="500">
        <f>+IFERROR(Tabla13[[#This Row],[Precio '[USD/litro']]]*Tabla13[[#This Row],[Consumo optimizado lmes]],"")</f>
        <v>8439.2000000000007</v>
      </c>
      <c r="M33" s="71">
        <f>IFERROR(Tabla13[[#This Row],[Costo total '[USD/mes']]]-Tabla13[[#This Row],[Costo optimizado '[USD/mes']]],"")</f>
        <v>0</v>
      </c>
      <c r="N33" s="71">
        <f>IFERROR(VLOOKUP(Tabla13[[#This Row],[Producto Químico, Denominación comercial]],'PUNTOS DE INYECCIÓN'!Q:S,3,0),"")</f>
        <v>1.504731491417457</v>
      </c>
    </row>
    <row r="34" spans="1:14">
      <c r="B34" s="499" t="s">
        <v>180</v>
      </c>
      <c r="C34" s="501"/>
      <c r="D34" s="71">
        <v>2318</v>
      </c>
      <c r="E34" s="71">
        <f>+Tabla13[[#This Row],[Suma de  Consumo (L/mes)]]*(1-Tabla13[[#This Row],[Optimización]])</f>
        <v>2318</v>
      </c>
      <c r="F34" s="71">
        <f>+Tabla13[[#This Row],[Suma de  Consumo (L/mes)]]-Tabla13[[#This Row],[Consumo optimizado lmes]]</f>
        <v>0</v>
      </c>
      <c r="G34" s="71">
        <v>7</v>
      </c>
      <c r="H34" s="500">
        <v>15</v>
      </c>
      <c r="I34" s="499" t="s">
        <v>241</v>
      </c>
      <c r="J34" s="500">
        <v>6.61</v>
      </c>
      <c r="K34" s="499">
        <f>+IFERROR(Tabla13[[#This Row],[Suma de  Consumo (L/mes)]]*Tabla13[[#This Row],[Precio '[USD/litro']]],"")</f>
        <v>15321.980000000001</v>
      </c>
      <c r="L34" s="500">
        <f>+IFERROR(Tabla13[[#This Row],[Precio '[USD/litro']]]*Tabla13[[#This Row],[Consumo optimizado lmes]],"")</f>
        <v>15321.980000000001</v>
      </c>
      <c r="M34" s="71">
        <f>IFERROR(Tabla13[[#This Row],[Costo total '[USD/mes']]]-Tabla13[[#This Row],[Costo optimizado '[USD/mes']]],"")</f>
        <v>0</v>
      </c>
      <c r="N34" s="71">
        <f>IFERROR(VLOOKUP(Tabla13[[#This Row],[Producto Químico, Denominación comercial]],'PUNTOS DE INYECCIÓN'!Q:S,3,0),"")</f>
        <v>4.13</v>
      </c>
    </row>
    <row r="35" spans="1:14">
      <c r="B35" s="499" t="s">
        <v>187</v>
      </c>
      <c r="C35" s="501"/>
      <c r="D35" s="71">
        <v>800</v>
      </c>
      <c r="E35" s="71">
        <f>+Tabla13[[#This Row],[Suma de  Consumo (L/mes)]]*(1-Tabla13[[#This Row],[Optimización]])</f>
        <v>800</v>
      </c>
      <c r="F35" s="71">
        <f>+Tabla13[[#This Row],[Suma de  Consumo (L/mes)]]-Tabla13[[#This Row],[Consumo optimizado lmes]]</f>
        <v>0</v>
      </c>
      <c r="G35" s="71">
        <v>1</v>
      </c>
      <c r="H35" s="500">
        <v>2</v>
      </c>
      <c r="I35" s="499" t="s">
        <v>188</v>
      </c>
      <c r="J35" s="500">
        <v>1.51</v>
      </c>
      <c r="K35" s="499">
        <f>+IFERROR(Tabla13[[#This Row],[Suma de  Consumo (L/mes)]]*Tabla13[[#This Row],[Precio '[USD/litro']]],"")</f>
        <v>1208</v>
      </c>
      <c r="L35" s="500">
        <f>+IFERROR(Tabla13[[#This Row],[Precio '[USD/litro']]]*Tabla13[[#This Row],[Consumo optimizado lmes]],"")</f>
        <v>1208</v>
      </c>
      <c r="M35" s="71">
        <f>IFERROR(Tabla13[[#This Row],[Costo total '[USD/mes']]]-Tabla13[[#This Row],[Costo optimizado '[USD/mes']]],"")</f>
        <v>0</v>
      </c>
      <c r="N35" s="71">
        <f>IFERROR(VLOOKUP(Tabla13[[#This Row],[Producto Químico, Denominación comercial]],'PUNTOS DE INYECCIÓN'!Q:S,3,0),"")</f>
        <v>0.96794871794871795</v>
      </c>
    </row>
    <row r="36" spans="1:14">
      <c r="B36" s="499" t="s">
        <v>190</v>
      </c>
      <c r="C36" s="501"/>
      <c r="D36" s="71">
        <v>0</v>
      </c>
      <c r="E36" s="71">
        <f>+Tabla13[[#This Row],[Suma de  Consumo (L/mes)]]*(1-Tabla13[[#This Row],[Optimización]])</f>
        <v>0</v>
      </c>
      <c r="F36" s="71">
        <f>+Tabla13[[#This Row],[Suma de  Consumo (L/mes)]]-Tabla13[[#This Row],[Consumo optimizado lmes]]</f>
        <v>0</v>
      </c>
      <c r="H36" s="500">
        <v>4</v>
      </c>
      <c r="I36" s="499" t="s">
        <v>191</v>
      </c>
      <c r="J36" s="500">
        <v>4.3899999999999997</v>
      </c>
      <c r="K36" s="499">
        <f>+IFERROR(Tabla13[[#This Row],[Suma de  Consumo (L/mes)]]*Tabla13[[#This Row],[Precio '[USD/litro']]],"")</f>
        <v>0</v>
      </c>
      <c r="L36" s="500">
        <f>+IFERROR(Tabla13[[#This Row],[Precio '[USD/litro']]]*Tabla13[[#This Row],[Consumo optimizado lmes]],"")</f>
        <v>0</v>
      </c>
      <c r="M36" s="71">
        <f>IFERROR(Tabla13[[#This Row],[Costo total '[USD/mes']]]-Tabla13[[#This Row],[Costo optimizado '[USD/mes']]],"")</f>
        <v>0</v>
      </c>
      <c r="N36" s="71">
        <f>IFERROR(VLOOKUP(Tabla13[[#This Row],[Producto Químico, Denominación comercial]],'PUNTOS DE INYECCIÓN'!Q:S,3,0),"")</f>
        <v>3.7827244302954339</v>
      </c>
    </row>
    <row r="37" spans="1:14">
      <c r="B37" s="499" t="s">
        <v>193</v>
      </c>
      <c r="C37" s="501"/>
      <c r="D37" s="71">
        <v>315</v>
      </c>
      <c r="E37" s="71">
        <f>+Tabla13[[#This Row],[Suma de  Consumo (L/mes)]]*(1-Tabla13[[#This Row],[Optimización]])</f>
        <v>315</v>
      </c>
      <c r="F37" s="71">
        <f>+Tabla13[[#This Row],[Suma de  Consumo (L/mes)]]-Tabla13[[#This Row],[Consumo optimizado lmes]]</f>
        <v>0</v>
      </c>
      <c r="G37" s="71">
        <v>1</v>
      </c>
      <c r="H37" s="500">
        <v>4</v>
      </c>
      <c r="I37" s="499" t="s">
        <v>191</v>
      </c>
      <c r="J37" s="500">
        <v>4.3899999999999997</v>
      </c>
      <c r="K37" s="499">
        <f>+IFERROR(Tabla13[[#This Row],[Suma de  Consumo (L/mes)]]*Tabla13[[#This Row],[Precio '[USD/litro']]],"")</f>
        <v>1382.85</v>
      </c>
      <c r="L37" s="500">
        <f>+IFERROR(Tabla13[[#This Row],[Precio '[USD/litro']]]*Tabla13[[#This Row],[Consumo optimizado lmes]],"")</f>
        <v>1382.85</v>
      </c>
      <c r="M37" s="71">
        <f>IFERROR(Tabla13[[#This Row],[Costo total '[USD/mes']]]-Tabla13[[#This Row],[Costo optimizado '[USD/mes']]],"")</f>
        <v>0</v>
      </c>
      <c r="N37" s="71">
        <f>IFERROR(VLOOKUP(Tabla13[[#This Row],[Producto Químico, Denominación comercial]],'PUNTOS DE INYECCIÓN'!Q:S,3,0),"")</f>
        <v>3.7827244302954339</v>
      </c>
    </row>
    <row r="38" spans="1:14">
      <c r="B38" s="499" t="s">
        <v>195</v>
      </c>
      <c r="C38" s="501"/>
      <c r="D38" s="71">
        <v>912</v>
      </c>
      <c r="E38" s="71">
        <f>+Tabla13[[#This Row],[Suma de  Consumo (L/mes)]]*(1-Tabla13[[#This Row],[Optimización]])</f>
        <v>912</v>
      </c>
      <c r="F38" s="71">
        <f>+Tabla13[[#This Row],[Suma de  Consumo (L/mes)]]-Tabla13[[#This Row],[Consumo optimizado lmes]]</f>
        <v>0</v>
      </c>
      <c r="G38" s="71">
        <v>8</v>
      </c>
      <c r="H38" s="500">
        <v>15</v>
      </c>
      <c r="I38" s="499" t="s">
        <v>243</v>
      </c>
      <c r="J38" s="500">
        <v>5.07</v>
      </c>
      <c r="K38" s="499">
        <f>+IFERROR(Tabla13[[#This Row],[Suma de  Consumo (L/mes)]]*Tabla13[[#This Row],[Precio '[USD/litro']]],"")</f>
        <v>4623.84</v>
      </c>
      <c r="L38" s="500">
        <f>+IFERROR(Tabla13[[#This Row],[Precio '[USD/litro']]]*Tabla13[[#This Row],[Consumo optimizado lmes]],"")</f>
        <v>4623.84</v>
      </c>
      <c r="M38" s="71">
        <f>IFERROR(Tabla13[[#This Row],[Costo total '[USD/mes']]]-Tabla13[[#This Row],[Costo optimizado '[USD/mes']]],"")</f>
        <v>0</v>
      </c>
      <c r="N38" s="71">
        <f>IFERROR(VLOOKUP(Tabla13[[#This Row],[Producto Químico, Denominación comercial]],'PUNTOS DE INYECCIÓN'!Q:S,3,0),"")</f>
        <v>2.6700881534365926</v>
      </c>
    </row>
    <row r="39" spans="1:14">
      <c r="B39" s="499" t="s">
        <v>244</v>
      </c>
      <c r="C39" s="501"/>
      <c r="D39" s="71">
        <v>2018</v>
      </c>
      <c r="E39" s="71">
        <f>+Tabla13[[#This Row],[Suma de  Consumo (L/mes)]]*(1-Tabla13[[#This Row],[Optimización]])</f>
        <v>2018</v>
      </c>
      <c r="F39" s="71">
        <f>+Tabla13[[#This Row],[Suma de  Consumo (L/mes)]]-Tabla13[[#This Row],[Consumo optimizado lmes]]</f>
        <v>0</v>
      </c>
      <c r="G39" s="71">
        <v>2</v>
      </c>
      <c r="H39" s="500">
        <v>3</v>
      </c>
      <c r="I39" s="499" t="s">
        <v>246</v>
      </c>
      <c r="J39" s="500">
        <v>6.61</v>
      </c>
      <c r="K39" s="499">
        <f>+IFERROR(Tabla13[[#This Row],[Suma de  Consumo (L/mes)]]*Tabla13[[#This Row],[Precio '[USD/litro']]],"")</f>
        <v>13338.980000000001</v>
      </c>
      <c r="L39" s="500">
        <f>+IFERROR(Tabla13[[#This Row],[Precio '[USD/litro']]]*Tabla13[[#This Row],[Consumo optimizado lmes]],"")</f>
        <v>13338.980000000001</v>
      </c>
      <c r="M39" s="71">
        <f>IFERROR(Tabla13[[#This Row],[Costo total '[USD/mes']]]-Tabla13[[#This Row],[Costo optimizado '[USD/mes']]],"")</f>
        <v>0</v>
      </c>
      <c r="N39" s="71">
        <f>IFERROR(VLOOKUP(Tabla13[[#This Row],[Producto Químico, Denominación comercial]],'PUNTOS DE INYECCIÓN'!Q:S,3,0),"")</f>
        <v>5.0541526074536618</v>
      </c>
    </row>
    <row r="40" spans="1:14">
      <c r="A40" s="71" t="s">
        <v>1405</v>
      </c>
      <c r="B40" s="499" t="s">
        <v>247</v>
      </c>
      <c r="C40" s="501">
        <v>0.15</v>
      </c>
      <c r="D40" s="71">
        <v>7769</v>
      </c>
      <c r="E40" s="71">
        <f>+Tabla13[[#This Row],[Suma de  Consumo (L/mes)]]*(1-Tabla13[[#This Row],[Optimización]])</f>
        <v>6603.65</v>
      </c>
      <c r="F40" s="71">
        <f>+Tabla13[[#This Row],[Suma de  Consumo (L/mes)]]-Tabla13[[#This Row],[Consumo optimizado lmes]]</f>
        <v>1165.3500000000004</v>
      </c>
      <c r="G40" s="71">
        <v>2</v>
      </c>
      <c r="H40" s="500">
        <v>10</v>
      </c>
      <c r="I40" s="499" t="s">
        <v>170</v>
      </c>
      <c r="J40" s="500">
        <v>3.89</v>
      </c>
      <c r="K40" s="499">
        <f>+IFERROR(Tabla13[[#This Row],[Suma de  Consumo (L/mes)]]*Tabla13[[#This Row],[Precio '[USD/litro']]],"")</f>
        <v>30221.41</v>
      </c>
      <c r="L40" s="500">
        <f>+IFERROR(Tabla13[[#This Row],[Precio '[USD/litro']]]*Tabla13[[#This Row],[Consumo optimizado lmes]],"")</f>
        <v>25688.198499999999</v>
      </c>
      <c r="M40" s="71">
        <f>IFERROR(Tabla13[[#This Row],[Costo total '[USD/mes']]]-Tabla13[[#This Row],[Costo optimizado '[USD/mes']]],"")</f>
        <v>4533.2115000000013</v>
      </c>
      <c r="N40" s="71">
        <f>IFERROR(VLOOKUP(Tabla13[[#This Row],[Producto Químico, Denominación comercial]],'PUNTOS DE INYECCIÓN'!Q:S,3,0),"")</f>
        <v>3.1358174612778318</v>
      </c>
    </row>
    <row r="41" spans="1:14">
      <c r="A41" s="71" t="s">
        <v>1406</v>
      </c>
      <c r="B41" s="499" t="s">
        <v>200</v>
      </c>
      <c r="C41" s="501">
        <v>0.15</v>
      </c>
      <c r="D41" s="71">
        <v>2584</v>
      </c>
      <c r="E41" s="71">
        <f>+Tabla13[[#This Row],[Suma de  Consumo (L/mes)]]*(1-Tabla13[[#This Row],[Optimización]])</f>
        <v>2196.4</v>
      </c>
      <c r="F41" s="71">
        <f>+Tabla13[[#This Row],[Suma de  Consumo (L/mes)]]-Tabla13[[#This Row],[Consumo optimizado lmes]]</f>
        <v>387.59999999999991</v>
      </c>
      <c r="H41" s="500">
        <v>7</v>
      </c>
      <c r="I41" s="499" t="s">
        <v>208</v>
      </c>
      <c r="J41" s="500">
        <v>4.0199999999999996</v>
      </c>
      <c r="K41" s="499">
        <f>+IFERROR(Tabla13[[#This Row],[Suma de  Consumo (L/mes)]]*Tabla13[[#This Row],[Precio '[USD/litro']]],"")</f>
        <v>10387.679999999998</v>
      </c>
      <c r="L41" s="500">
        <f>+IFERROR(Tabla13[[#This Row],[Precio '[USD/litro']]]*Tabla13[[#This Row],[Consumo optimizado lmes]],"")</f>
        <v>8829.5280000000002</v>
      </c>
      <c r="M41" s="71">
        <f>IFERROR(Tabla13[[#This Row],[Costo total '[USD/mes']]]-Tabla13[[#This Row],[Costo optimizado '[USD/mes']]],"")</f>
        <v>1558.1519999999982</v>
      </c>
      <c r="N41" s="71">
        <f>IFERROR(VLOOKUP(Tabla13[[#This Row],[Producto Químico, Denominación comercial]],'PUNTOS DE INYECCIÓN'!Q:S,3,0),"")</f>
        <v>1.8969840434471943</v>
      </c>
    </row>
    <row r="42" spans="1:14">
      <c r="A42" s="71" t="s">
        <v>1407</v>
      </c>
      <c r="B42" s="499" t="s">
        <v>202</v>
      </c>
      <c r="C42" s="501">
        <v>0.1</v>
      </c>
      <c r="D42" s="71">
        <v>18208</v>
      </c>
      <c r="E42" s="71">
        <f>+Tabla13[[#This Row],[Suma de  Consumo (L/mes)]]*(1-Tabla13[[#This Row],[Optimización]])</f>
        <v>16387.2</v>
      </c>
      <c r="F42" s="71">
        <f>+Tabla13[[#This Row],[Suma de  Consumo (L/mes)]]-Tabla13[[#This Row],[Consumo optimizado lmes]]</f>
        <v>1820.7999999999993</v>
      </c>
      <c r="G42" s="71">
        <v>70</v>
      </c>
      <c r="H42" s="500">
        <v>35</v>
      </c>
      <c r="I42" s="499" t="s">
        <v>644</v>
      </c>
      <c r="J42" s="500">
        <v>3.7</v>
      </c>
      <c r="K42" s="499">
        <f>+IFERROR(Tabla13[[#This Row],[Suma de  Consumo (L/mes)]]*Tabla13[[#This Row],[Precio '[USD/litro']]],"")</f>
        <v>67369.600000000006</v>
      </c>
      <c r="L42" s="500">
        <f>+IFERROR(Tabla13[[#This Row],[Precio '[USD/litro']]]*Tabla13[[#This Row],[Consumo optimizado lmes]],"")</f>
        <v>60632.640000000007</v>
      </c>
      <c r="M42" s="71">
        <f>IFERROR(Tabla13[[#This Row],[Costo total '[USD/mes']]]-Tabla13[[#This Row],[Costo optimizado '[USD/mes']]],"")</f>
        <v>6736.9599999999991</v>
      </c>
      <c r="N42" s="71">
        <f>IFERROR(VLOOKUP(Tabla13[[#This Row],[Producto Químico, Denominación comercial]],'PUNTOS DE INYECCIÓN'!Q:S,3,0),"")</f>
        <v>2.42</v>
      </c>
    </row>
    <row r="43" spans="1:14">
      <c r="B43" s="499" t="s">
        <v>248</v>
      </c>
      <c r="C43" s="501"/>
      <c r="D43" s="71">
        <v>0</v>
      </c>
      <c r="E43" s="71">
        <f>+Tabla13[[#This Row],[Suma de  Consumo (L/mes)]]*(1-Tabla13[[#This Row],[Optimización]])</f>
        <v>0</v>
      </c>
      <c r="F43" s="71">
        <f>+Tabla13[[#This Row],[Suma de  Consumo (L/mes)]]-Tabla13[[#This Row],[Consumo optimizado lmes]]</f>
        <v>0</v>
      </c>
      <c r="H43" s="500">
        <v>4</v>
      </c>
      <c r="I43" s="499" t="s">
        <v>249</v>
      </c>
      <c r="J43" s="500">
        <v>1.41</v>
      </c>
      <c r="K43" s="499">
        <f>+IFERROR(Tabla13[[#This Row],[Suma de  Consumo (L/mes)]]*Tabla13[[#This Row],[Precio '[USD/litro']]],"")</f>
        <v>0</v>
      </c>
      <c r="L43" s="500">
        <f>+IFERROR(Tabla13[[#This Row],[Precio '[USD/litro']]]*Tabla13[[#This Row],[Consumo optimizado lmes]],"")</f>
        <v>0</v>
      </c>
      <c r="M43" s="71">
        <f>IFERROR(Tabla13[[#This Row],[Costo total '[USD/mes']]]-Tabla13[[#This Row],[Costo optimizado '[USD/mes']]],"")</f>
        <v>0</v>
      </c>
      <c r="N43" s="71">
        <f>IFERROR(VLOOKUP(Tabla13[[#This Row],[Producto Químico, Denominación comercial]],'PUNTOS DE INYECCIÓN'!Q:S,3,0),"")</f>
        <v>1.2206960051174867</v>
      </c>
    </row>
    <row r="44" spans="1:14">
      <c r="B44" s="499" t="s">
        <v>205</v>
      </c>
      <c r="C44" s="501"/>
      <c r="D44" s="71">
        <v>5350</v>
      </c>
      <c r="E44" s="71">
        <f>+Tabla13[[#This Row],[Suma de  Consumo (L/mes)]]*(1-Tabla13[[#This Row],[Optimización]])</f>
        <v>5350</v>
      </c>
      <c r="F44" s="71">
        <f>+Tabla13[[#This Row],[Suma de  Consumo (L/mes)]]-Tabla13[[#This Row],[Consumo optimizado lmes]]</f>
        <v>0</v>
      </c>
      <c r="G44" s="71">
        <v>3</v>
      </c>
      <c r="H44" s="500">
        <v>9</v>
      </c>
      <c r="I44" s="499" t="s">
        <v>208</v>
      </c>
      <c r="J44" s="500">
        <v>4.0199999999999996</v>
      </c>
      <c r="K44" s="499">
        <f>+IFERROR(Tabla13[[#This Row],[Suma de  Consumo (L/mes)]]*Tabla13[[#This Row],[Precio '[USD/litro']]],"")</f>
        <v>21506.999999999996</v>
      </c>
      <c r="L44" s="500">
        <f>+IFERROR(Tabla13[[#This Row],[Precio '[USD/litro']]]*Tabla13[[#This Row],[Consumo optimizado lmes]],"")</f>
        <v>21506.999999999996</v>
      </c>
      <c r="M44" s="71">
        <f>IFERROR(Tabla13[[#This Row],[Costo total '[USD/mes']]]-Tabla13[[#This Row],[Costo optimizado '[USD/mes']]],"")</f>
        <v>0</v>
      </c>
      <c r="N44" s="71">
        <f>IFERROR(VLOOKUP(Tabla13[[#This Row],[Producto Químico, Denominación comercial]],'PUNTOS DE INYECCIÓN'!Q:S,3,0),"")</f>
        <v>1.8969840434471943</v>
      </c>
    </row>
    <row r="45" spans="1:14">
      <c r="B45" s="499" t="s">
        <v>251</v>
      </c>
      <c r="C45" s="501"/>
      <c r="D45" s="71">
        <v>800</v>
      </c>
      <c r="E45" s="71">
        <f>+Tabla13[[#This Row],[Suma de  Consumo (L/mes)]]*(1-Tabla13[[#This Row],[Optimización]])</f>
        <v>800</v>
      </c>
      <c r="F45" s="71">
        <f>+Tabla13[[#This Row],[Suma de  Consumo (L/mes)]]-Tabla13[[#This Row],[Consumo optimizado lmes]]</f>
        <v>0</v>
      </c>
      <c r="H45" s="500">
        <v>1</v>
      </c>
      <c r="I45" s="499" t="s">
        <v>216</v>
      </c>
      <c r="J45" s="500">
        <v>3.77</v>
      </c>
      <c r="K45" s="499">
        <f>+IFERROR(Tabla13[[#This Row],[Suma de  Consumo (L/mes)]]*Tabla13[[#This Row],[Precio '[USD/litro']]],"")</f>
        <v>3016</v>
      </c>
      <c r="L45" s="500">
        <f>+IFERROR(Tabla13[[#This Row],[Precio '[USD/litro']]]*Tabla13[[#This Row],[Consumo optimizado lmes]],"")</f>
        <v>3016</v>
      </c>
      <c r="M45" s="71">
        <f>IFERROR(Tabla13[[#This Row],[Costo total '[USD/mes']]]-Tabla13[[#This Row],[Costo optimizado '[USD/mes']]],"")</f>
        <v>0</v>
      </c>
      <c r="N45" s="71">
        <f>IFERROR(VLOOKUP(Tabla13[[#This Row],[Producto Químico, Denominación comercial]],'PUNTOS DE INYECCIÓN'!Q:S,3,0),"")</f>
        <v>1.5604308196088428</v>
      </c>
    </row>
    <row r="46" spans="1:14">
      <c r="B46" s="499" t="s">
        <v>219</v>
      </c>
      <c r="C46" s="501"/>
      <c r="D46" s="71">
        <v>970</v>
      </c>
      <c r="E46" s="71">
        <f>+Tabla13[[#This Row],[Suma de  Consumo (L/mes)]]*(1-Tabla13[[#This Row],[Optimización]])</f>
        <v>970</v>
      </c>
      <c r="F46" s="71">
        <f>+Tabla13[[#This Row],[Suma de  Consumo (L/mes)]]-Tabla13[[#This Row],[Consumo optimizado lmes]]</f>
        <v>0</v>
      </c>
      <c r="G46" s="71">
        <v>1</v>
      </c>
      <c r="H46" s="500">
        <v>4</v>
      </c>
      <c r="I46" s="499"/>
      <c r="J46" s="500" t="s">
        <v>471</v>
      </c>
      <c r="K46" s="499" t="str">
        <f>+IFERROR(Tabla13[[#This Row],[Suma de  Consumo (L/mes)]]*Tabla13[[#This Row],[Precio '[USD/litro']]],"")</f>
        <v/>
      </c>
      <c r="L46" s="500" t="str">
        <f>+IFERROR(Tabla13[[#This Row],[Precio '[USD/litro']]]*Tabla13[[#This Row],[Consumo optimizado lmes]],"")</f>
        <v/>
      </c>
      <c r="M46" s="71" t="str">
        <f>IFERROR(Tabla13[[#This Row],[Costo total '[USD/mes']]]-Tabla13[[#This Row],[Costo optimizado '[USD/mes']]],"")</f>
        <v/>
      </c>
      <c r="N46" s="71" t="str">
        <f>IFERROR(VLOOKUP(Tabla13[[#This Row],[Producto Químico, Denominación comercial]],'PUNTOS DE INYECCIÓN'!Q:S,3,0),"")</f>
        <v/>
      </c>
    </row>
    <row r="47" spans="1:14">
      <c r="B47" s="499" t="s">
        <v>221</v>
      </c>
      <c r="C47" s="501"/>
      <c r="D47" s="71">
        <v>0</v>
      </c>
      <c r="E47" s="71">
        <f>+Tabla13[[#This Row],[Suma de  Consumo (L/mes)]]*(1-Tabla13[[#This Row],[Optimización]])</f>
        <v>0</v>
      </c>
      <c r="F47" s="71">
        <f>+Tabla13[[#This Row],[Suma de  Consumo (L/mes)]]-Tabla13[[#This Row],[Consumo optimizado lmes]]</f>
        <v>0</v>
      </c>
      <c r="H47" s="500">
        <v>4</v>
      </c>
      <c r="I47" s="499"/>
      <c r="J47" s="500" t="s">
        <v>471</v>
      </c>
      <c r="K47" s="499" t="str">
        <f>+IFERROR(Tabla13[[#This Row],[Suma de  Consumo (L/mes)]]*Tabla13[[#This Row],[Precio '[USD/litro']]],"")</f>
        <v/>
      </c>
      <c r="L47" s="500" t="str">
        <f>+IFERROR(Tabla13[[#This Row],[Precio '[USD/litro']]]*Tabla13[[#This Row],[Consumo optimizado lmes]],"")</f>
        <v/>
      </c>
      <c r="M47" s="71" t="str">
        <f>IFERROR(Tabla13[[#This Row],[Costo total '[USD/mes']]]-Tabla13[[#This Row],[Costo optimizado '[USD/mes']]],"")</f>
        <v/>
      </c>
      <c r="N47" s="71" t="str">
        <f>IFERROR(VLOOKUP(Tabla13[[#This Row],[Producto Químico, Denominación comercial]],'PUNTOS DE INYECCIÓN'!Q:S,3,0),"")</f>
        <v/>
      </c>
    </row>
    <row r="48" spans="1:14">
      <c r="B48" s="499" t="s">
        <v>224</v>
      </c>
      <c r="C48" s="501"/>
      <c r="D48" s="71">
        <v>4760</v>
      </c>
      <c r="E48" s="71">
        <f>+Tabla13[[#This Row],[Suma de  Consumo (L/mes)]]*(1-Tabla13[[#This Row],[Optimización]])</f>
        <v>4760</v>
      </c>
      <c r="F48" s="71">
        <f>+Tabla13[[#This Row],[Suma de  Consumo (L/mes)]]-Tabla13[[#This Row],[Consumo optimizado lmes]]</f>
        <v>0</v>
      </c>
      <c r="H48" s="500">
        <v>12</v>
      </c>
      <c r="I48" s="499" t="s">
        <v>226</v>
      </c>
      <c r="J48" s="500">
        <v>2.31</v>
      </c>
      <c r="K48" s="499">
        <f>+IFERROR(Tabla13[[#This Row],[Suma de  Consumo (L/mes)]]*Tabla13[[#This Row],[Precio '[USD/litro']]],"")</f>
        <v>10995.6</v>
      </c>
      <c r="L48" s="500">
        <f>+IFERROR(Tabla13[[#This Row],[Precio '[USD/litro']]]*Tabla13[[#This Row],[Consumo optimizado lmes]],"")</f>
        <v>10995.6</v>
      </c>
      <c r="M48" s="71">
        <f>IFERROR(Tabla13[[#This Row],[Costo total '[USD/mes']]]-Tabla13[[#This Row],[Costo optimizado '[USD/mes']]],"")</f>
        <v>0</v>
      </c>
      <c r="N48" s="71">
        <f>IFERROR(VLOOKUP(Tabla13[[#This Row],[Producto Químico, Denominación comercial]],'PUNTOS DE INYECCIÓN'!Q:S,3,0),"")</f>
        <v>1.8266571757018397</v>
      </c>
    </row>
    <row r="49" spans="1:14">
      <c r="B49" s="499" t="s">
        <v>227</v>
      </c>
      <c r="C49" s="501"/>
      <c r="D49" s="71">
        <v>680</v>
      </c>
      <c r="E49" s="71">
        <f>+Tabla13[[#This Row],[Suma de  Consumo (L/mes)]]*(1-Tabla13[[#This Row],[Optimización]])</f>
        <v>680</v>
      </c>
      <c r="F49" s="71">
        <f>+Tabla13[[#This Row],[Suma de  Consumo (L/mes)]]-Tabla13[[#This Row],[Consumo optimizado lmes]]</f>
        <v>0</v>
      </c>
      <c r="H49" s="500">
        <v>6</v>
      </c>
      <c r="I49" s="499" t="s">
        <v>230</v>
      </c>
      <c r="J49" s="500">
        <v>4.1100000000000003</v>
      </c>
      <c r="K49" s="499">
        <f>+IFERROR(Tabla13[[#This Row],[Suma de  Consumo (L/mes)]]*Tabla13[[#This Row],[Precio '[USD/litro']]],"")</f>
        <v>2794.8</v>
      </c>
      <c r="L49" s="500">
        <f>+IFERROR(Tabla13[[#This Row],[Precio '[USD/litro']]]*Tabla13[[#This Row],[Consumo optimizado lmes]],"")</f>
        <v>2794.8</v>
      </c>
      <c r="M49" s="71">
        <f>IFERROR(Tabla13[[#This Row],[Costo total '[USD/mes']]]-Tabla13[[#This Row],[Costo optimizado '[USD/mes']]],"")</f>
        <v>0</v>
      </c>
      <c r="N49" s="71">
        <f>IFERROR(VLOOKUP(Tabla13[[#This Row],[Producto Químico, Denominación comercial]],'PUNTOS DE INYECCIÓN'!Q:S,3,0),"")</f>
        <v>2.1833464266698939</v>
      </c>
    </row>
    <row r="50" spans="1:14">
      <c r="B50" s="502" t="s">
        <v>99</v>
      </c>
      <c r="C50" s="503"/>
      <c r="D50" s="71">
        <v>105269.83000000002</v>
      </c>
      <c r="E50" s="71">
        <f>+Tabla13[[#This Row],[Suma de  Consumo (L/mes)]]*(1-Tabla13[[#This Row],[Optimización]])</f>
        <v>105269.83000000002</v>
      </c>
      <c r="F50" s="71">
        <f>+Tabla13[[#This Row],[Suma de  Consumo (L/mes)]]-Tabla13[[#This Row],[Consumo optimizado lmes]]</f>
        <v>0</v>
      </c>
      <c r="G50" s="71">
        <v>195</v>
      </c>
      <c r="H50" s="500">
        <v>154</v>
      </c>
      <c r="I50" s="499"/>
      <c r="J50" s="500"/>
      <c r="K50" s="499">
        <f>+IFERROR(Tabla13[[#This Row],[Suma de  Consumo (L/mes)]]*Tabla13[[#This Row],[Precio '[USD/litro']]],"")</f>
        <v>0</v>
      </c>
      <c r="L50" s="500">
        <f>+IFERROR(Tabla13[[#This Row],[Precio '[USD/litro']]]*Tabla13[[#This Row],[Consumo optimizado lmes]],"")</f>
        <v>0</v>
      </c>
      <c r="M50" s="71">
        <f>IFERROR(Tabla13[[#This Row],[Costo total '[USD/mes']]]-Tabla13[[#This Row],[Costo optimizado '[USD/mes']]],"")</f>
        <v>0</v>
      </c>
      <c r="N50" s="71" t="str">
        <f>IFERROR(VLOOKUP(Tabla13[[#This Row],[Producto Químico, Denominación comercial]],'PUNTOS DE INYECCIÓN'!Q:S,3,0),"")</f>
        <v/>
      </c>
    </row>
    <row r="51" spans="1:14">
      <c r="B51" s="499" t="s">
        <v>231</v>
      </c>
      <c r="C51" s="501"/>
      <c r="D51" s="71">
        <v>3923.2599999999998</v>
      </c>
      <c r="E51" s="71">
        <f>+Tabla13[[#This Row],[Suma de  Consumo (L/mes)]]*(1-Tabla13[[#This Row],[Optimización]])</f>
        <v>3923.2599999999998</v>
      </c>
      <c r="F51" s="71">
        <f>+Tabla13[[#This Row],[Suma de  Consumo (L/mes)]]-Tabla13[[#This Row],[Consumo optimizado lmes]]</f>
        <v>0</v>
      </c>
      <c r="H51" s="500">
        <v>11</v>
      </c>
      <c r="I51" s="499" t="s">
        <v>233</v>
      </c>
      <c r="J51" s="500">
        <v>4.09</v>
      </c>
      <c r="K51" s="499">
        <f>+IFERROR(Tabla13[[#This Row],[Suma de  Consumo (L/mes)]]*Tabla13[[#This Row],[Precio '[USD/litro']]],"")</f>
        <v>16046.133399999999</v>
      </c>
      <c r="L51" s="500">
        <f>+IFERROR(Tabla13[[#This Row],[Precio '[USD/litro']]]*Tabla13[[#This Row],[Consumo optimizado lmes]],"")</f>
        <v>16046.133399999999</v>
      </c>
      <c r="M51" s="71">
        <f>IFERROR(Tabla13[[#This Row],[Costo total '[USD/mes']]]-Tabla13[[#This Row],[Costo optimizado '[USD/mes']]],"")</f>
        <v>0</v>
      </c>
      <c r="N51" s="71">
        <f>IFERROR(VLOOKUP(Tabla13[[#This Row],[Producto Químico, Denominación comercial]],'PUNTOS DE INYECCIÓN'!Q:S,3,0),"")</f>
        <v>2.7763208494675706</v>
      </c>
    </row>
    <row r="52" spans="1:14">
      <c r="A52" s="71" t="s">
        <v>1408</v>
      </c>
      <c r="B52" s="499" t="s">
        <v>256</v>
      </c>
      <c r="C52" s="501">
        <v>0.15</v>
      </c>
      <c r="D52" s="71">
        <v>15165.1</v>
      </c>
      <c r="E52" s="71">
        <f>+Tabla13[[#This Row],[Suma de  Consumo (L/mes)]]*(1-Tabla13[[#This Row],[Optimización]])</f>
        <v>12890.334999999999</v>
      </c>
      <c r="F52" s="71">
        <f>+Tabla13[[#This Row],[Suma de  Consumo (L/mes)]]-Tabla13[[#This Row],[Consumo optimizado lmes]]</f>
        <v>2274.7650000000012</v>
      </c>
      <c r="G52" s="71">
        <v>129</v>
      </c>
      <c r="H52" s="500">
        <v>4</v>
      </c>
      <c r="I52" s="499" t="s">
        <v>258</v>
      </c>
      <c r="J52" s="500">
        <v>6.08</v>
      </c>
      <c r="K52" s="499">
        <f>+IFERROR(Tabla13[[#This Row],[Suma de  Consumo (L/mes)]]*Tabla13[[#This Row],[Precio '[USD/litro']]],"")</f>
        <v>92203.808000000005</v>
      </c>
      <c r="L52" s="500">
        <f>+IFERROR(Tabla13[[#This Row],[Precio '[USD/litro']]]*Tabla13[[#This Row],[Consumo optimizado lmes]],"")</f>
        <v>78373.236799999999</v>
      </c>
      <c r="M52" s="71">
        <f>IFERROR(Tabla13[[#This Row],[Costo total '[USD/mes']]]-Tabla13[[#This Row],[Costo optimizado '[USD/mes']]],"")</f>
        <v>13830.571200000006</v>
      </c>
      <c r="N52" s="71">
        <f>IFERROR(VLOOKUP(Tabla13[[#This Row],[Producto Químico, Denominación comercial]],'PUNTOS DE INYECCIÓN'!Q:S,3,0),"")</f>
        <v>3.2100000000000004</v>
      </c>
    </row>
    <row r="53" spans="1:14">
      <c r="B53" s="499" t="s">
        <v>173</v>
      </c>
      <c r="C53" s="501"/>
      <c r="D53" s="71">
        <v>1845.5</v>
      </c>
      <c r="E53" s="71">
        <f>+Tabla13[[#This Row],[Suma de  Consumo (L/mes)]]*(1-Tabla13[[#This Row],[Optimización]])</f>
        <v>1845.5</v>
      </c>
      <c r="F53" s="71">
        <f>+Tabla13[[#This Row],[Suma de  Consumo (L/mes)]]-Tabla13[[#This Row],[Consumo optimizado lmes]]</f>
        <v>0</v>
      </c>
      <c r="H53" s="500">
        <v>3</v>
      </c>
      <c r="I53" s="499" t="s">
        <v>707</v>
      </c>
      <c r="J53" s="500">
        <v>9.73</v>
      </c>
      <c r="K53" s="499">
        <f>+IFERROR(Tabla13[[#This Row],[Suma de  Consumo (L/mes)]]*Tabla13[[#This Row],[Precio '[USD/litro']]],"")</f>
        <v>17956.715</v>
      </c>
      <c r="L53" s="500">
        <f>+IFERROR(Tabla13[[#This Row],[Precio '[USD/litro']]]*Tabla13[[#This Row],[Consumo optimizado lmes]],"")</f>
        <v>17956.715</v>
      </c>
      <c r="M53" s="71">
        <f>IFERROR(Tabla13[[#This Row],[Costo total '[USD/mes']]]-Tabla13[[#This Row],[Costo optimizado '[USD/mes']]],"")</f>
        <v>0</v>
      </c>
      <c r="N53" s="71">
        <f>IFERROR(VLOOKUP(Tabla13[[#This Row],[Producto Químico, Denominación comercial]],'PUNTOS DE INYECCIÓN'!Q:S,3,0),"")</f>
        <v>6.2371794871794872</v>
      </c>
    </row>
    <row r="54" spans="1:14">
      <c r="A54" s="71" t="s">
        <v>1409</v>
      </c>
      <c r="B54" s="499" t="s">
        <v>239</v>
      </c>
      <c r="C54" s="501">
        <v>0.2</v>
      </c>
      <c r="D54" s="71">
        <f>26778.01*0.413</f>
        <v>11059.31813</v>
      </c>
      <c r="E54" s="71">
        <f>+Tabla13[[#This Row],[Suma de  Consumo (L/mes)]]*(1-Tabla13[[#This Row],[Optimización]])</f>
        <v>8847.4545039999994</v>
      </c>
      <c r="F54" s="71">
        <f>+Tabla13[[#This Row],[Suma de  Consumo (L/mes)]]-Tabla13[[#This Row],[Consumo optimizado lmes]]</f>
        <v>2211.8636260000003</v>
      </c>
      <c r="G54" s="71">
        <v>2</v>
      </c>
      <c r="H54" s="500">
        <v>37</v>
      </c>
      <c r="I54" s="499" t="s">
        <v>260</v>
      </c>
      <c r="J54" s="500">
        <v>7.22</v>
      </c>
      <c r="K54" s="499">
        <f>+IFERROR(Tabla13[[#This Row],[Suma de  Consumo (L/mes)]]*Tabla13[[#This Row],[Precio '[USD/litro']]],"")</f>
        <v>79848.276898600001</v>
      </c>
      <c r="L54" s="500">
        <f>+IFERROR(Tabla13[[#This Row],[Precio '[USD/litro']]]*Tabla13[[#This Row],[Consumo optimizado lmes]],"")</f>
        <v>63878.621518879991</v>
      </c>
      <c r="M54" s="71">
        <f>IFERROR(Tabla13[[#This Row],[Costo total '[USD/mes']]]-Tabla13[[#This Row],[Costo optimizado '[USD/mes']]],"")</f>
        <v>15969.65537972001</v>
      </c>
      <c r="N54" s="71">
        <f>IFERROR(VLOOKUP(Tabla13[[#This Row],[Producto Químico, Denominación comercial]],'PUNTOS DE INYECCIÓN'!Q:S,3,0),"")</f>
        <v>4.55</v>
      </c>
    </row>
    <row r="55" spans="1:14">
      <c r="A55" s="71" t="s">
        <v>1409</v>
      </c>
      <c r="B55" s="499" t="s">
        <v>239</v>
      </c>
      <c r="C55" s="501">
        <v>0.2</v>
      </c>
      <c r="D55" s="71">
        <f>26778.01*0.104</f>
        <v>2784.9130399999999</v>
      </c>
      <c r="E55" s="71">
        <f>+Tabla13[[#This Row],[Suma de  Consumo (L/mes)]]*(1-Tabla13[[#This Row],[Optimización]])</f>
        <v>2227.9304320000001</v>
      </c>
      <c r="F55" s="71">
        <f>+Tabla13[[#This Row],[Suma de  Consumo (L/mes)]]-Tabla13[[#This Row],[Consumo optimizado lmes]]</f>
        <v>556.9826079999998</v>
      </c>
      <c r="H55" s="500"/>
      <c r="I55" s="499" t="s">
        <v>262</v>
      </c>
      <c r="J55" s="500">
        <v>5</v>
      </c>
      <c r="K55" s="499">
        <f>+IFERROR(Tabla13[[#This Row],[Suma de  Consumo (L/mes)]]*Tabla13[[#This Row],[Precio '[USD/litro']]],"")</f>
        <v>13924.565199999999</v>
      </c>
      <c r="L55" s="500">
        <f>+IFERROR(Tabla13[[#This Row],[Precio '[USD/litro']]]*Tabla13[[#This Row],[Consumo optimizado lmes]],"")</f>
        <v>11139.652160000001</v>
      </c>
      <c r="M55" s="71">
        <f>IFERROR(Tabla13[[#This Row],[Costo total '[USD/mes']]]-Tabla13[[#This Row],[Costo optimizado '[USD/mes']]],"")</f>
        <v>2784.9130399999976</v>
      </c>
      <c r="N55" s="71">
        <f>IFERROR(VLOOKUP(Tabla13[[#This Row],[Producto Químico, Denominación comercial]],'PUNTOS DE INYECCIÓN'!Q:S,3,0),"")</f>
        <v>4.55</v>
      </c>
    </row>
    <row r="56" spans="1:14">
      <c r="A56" s="71" t="s">
        <v>1409</v>
      </c>
      <c r="B56" s="499" t="s">
        <v>239</v>
      </c>
      <c r="C56" s="501">
        <v>0.2</v>
      </c>
      <c r="D56" s="71">
        <f>26778.01*0.482</f>
        <v>12907.000819999999</v>
      </c>
      <c r="E56" s="71">
        <f>+Tabla13[[#This Row],[Suma de  Consumo (L/mes)]]*(1-Tabla13[[#This Row],[Optimización]])</f>
        <v>10325.600656000001</v>
      </c>
      <c r="F56" s="71">
        <f>+Tabla13[[#This Row],[Suma de  Consumo (L/mes)]]-Tabla13[[#This Row],[Consumo optimizado lmes]]</f>
        <v>2581.4001639999988</v>
      </c>
      <c r="H56" s="500"/>
      <c r="I56" s="499" t="s">
        <v>177</v>
      </c>
      <c r="J56" s="500">
        <v>3.25</v>
      </c>
      <c r="K56" s="499">
        <f>+IFERROR(Tabla13[[#This Row],[Suma de  Consumo (L/mes)]]*Tabla13[[#This Row],[Precio '[USD/litro']]],"")</f>
        <v>41947.752665</v>
      </c>
      <c r="L56" s="500">
        <f>+IFERROR(Tabla13[[#This Row],[Precio '[USD/litro']]]*Tabla13[[#This Row],[Consumo optimizado lmes]],"")</f>
        <v>33558.202131999999</v>
      </c>
      <c r="M56" s="71">
        <f>IFERROR(Tabla13[[#This Row],[Costo total '[USD/mes']]]-Tabla13[[#This Row],[Costo optimizado '[USD/mes']]],"")</f>
        <v>8389.5505330000015</v>
      </c>
      <c r="N56" s="71">
        <f>IFERROR(VLOOKUP(Tabla13[[#This Row],[Producto Químico, Denominación comercial]],'PUNTOS DE INYECCIÓN'!Q:S,3,0),"")</f>
        <v>2.3434332647628273</v>
      </c>
    </row>
    <row r="57" spans="1:14">
      <c r="B57" s="499" t="s">
        <v>187</v>
      </c>
      <c r="C57" s="501"/>
      <c r="D57" s="71">
        <v>1200</v>
      </c>
      <c r="E57" s="71">
        <f>+Tabla13[[#This Row],[Suma de  Consumo (L/mes)]]*(1-Tabla13[[#This Row],[Optimización]])</f>
        <v>1200</v>
      </c>
      <c r="F57" s="71">
        <f>+Tabla13[[#This Row],[Suma de  Consumo (L/mes)]]-Tabla13[[#This Row],[Consumo optimizado lmes]]</f>
        <v>0</v>
      </c>
      <c r="G57" s="71">
        <v>5</v>
      </c>
      <c r="H57" s="500"/>
      <c r="I57" s="499" t="s">
        <v>263</v>
      </c>
      <c r="J57" s="500">
        <v>1.51</v>
      </c>
      <c r="K57" s="499">
        <f>+IFERROR(Tabla13[[#This Row],[Suma de  Consumo (L/mes)]]*Tabla13[[#This Row],[Precio '[USD/litro']]],"")</f>
        <v>1812</v>
      </c>
      <c r="L57" s="500">
        <f>+IFERROR(Tabla13[[#This Row],[Precio '[USD/litro']]]*Tabla13[[#This Row],[Consumo optimizado lmes]],"")</f>
        <v>1812</v>
      </c>
      <c r="M57" s="71">
        <f>IFERROR(Tabla13[[#This Row],[Costo total '[USD/mes']]]-Tabla13[[#This Row],[Costo optimizado '[USD/mes']]],"")</f>
        <v>0</v>
      </c>
      <c r="N57" s="71">
        <f>IFERROR(VLOOKUP(Tabla13[[#This Row],[Producto Químico, Denominación comercial]],'PUNTOS DE INYECCIÓN'!Q:S,3,0),"")</f>
        <v>0.97</v>
      </c>
    </row>
    <row r="58" spans="1:14">
      <c r="B58" s="499" t="s">
        <v>264</v>
      </c>
      <c r="C58" s="501"/>
      <c r="D58" s="71">
        <v>11768.080000000002</v>
      </c>
      <c r="E58" s="71">
        <f>+Tabla13[[#This Row],[Suma de  Consumo (L/mes)]]*(1-Tabla13[[#This Row],[Optimización]])</f>
        <v>11768.080000000002</v>
      </c>
      <c r="F58" s="71">
        <f>+Tabla13[[#This Row],[Suma de  Consumo (L/mes)]]-Tabla13[[#This Row],[Consumo optimizado lmes]]</f>
        <v>0</v>
      </c>
      <c r="G58" s="71">
        <v>19</v>
      </c>
      <c r="H58" s="500">
        <v>20</v>
      </c>
      <c r="I58" s="499" t="s">
        <v>265</v>
      </c>
      <c r="J58" s="500">
        <v>4.7</v>
      </c>
      <c r="K58" s="499">
        <f>+IFERROR(Tabla13[[#This Row],[Suma de  Consumo (L/mes)]]*Tabla13[[#This Row],[Precio '[USD/litro']]],"")</f>
        <v>55309.97600000001</v>
      </c>
      <c r="L58" s="500">
        <f>+IFERROR(Tabla13[[#This Row],[Precio '[USD/litro']]]*Tabla13[[#This Row],[Consumo optimizado lmes]],"")</f>
        <v>55309.97600000001</v>
      </c>
      <c r="M58" s="71">
        <f>IFERROR(Tabla13[[#This Row],[Costo total '[USD/mes']]]-Tabla13[[#This Row],[Costo optimizado '[USD/mes']]],"")</f>
        <v>0</v>
      </c>
      <c r="N58" s="71">
        <f>IFERROR(VLOOKUP(Tabla13[[#This Row],[Producto Químico, Denominación comercial]],'PUNTOS DE INYECCIÓN'!Q:S,3,0),"")</f>
        <v>2.5275605638915781</v>
      </c>
    </row>
    <row r="59" spans="1:14">
      <c r="B59" s="499" t="s">
        <v>267</v>
      </c>
      <c r="C59" s="501"/>
      <c r="D59" s="71">
        <v>647</v>
      </c>
      <c r="E59" s="71">
        <f>+Tabla13[[#This Row],[Suma de  Consumo (L/mes)]]*(1-Tabla13[[#This Row],[Optimización]])</f>
        <v>647</v>
      </c>
      <c r="F59" s="71">
        <f>+Tabla13[[#This Row],[Suma de  Consumo (L/mes)]]-Tabla13[[#This Row],[Consumo optimizado lmes]]</f>
        <v>0</v>
      </c>
      <c r="H59" s="500">
        <v>2</v>
      </c>
      <c r="I59" s="499" t="s">
        <v>265</v>
      </c>
      <c r="J59" s="500">
        <v>4.7</v>
      </c>
      <c r="K59" s="499">
        <f>+IFERROR(Tabla13[[#This Row],[Suma de  Consumo (L/mes)]]*Tabla13[[#This Row],[Precio '[USD/litro']]],"")</f>
        <v>3040.9</v>
      </c>
      <c r="L59" s="500">
        <f>+IFERROR(Tabla13[[#This Row],[Precio '[USD/litro']]]*Tabla13[[#This Row],[Consumo optimizado lmes]],"")</f>
        <v>3040.9</v>
      </c>
      <c r="M59" s="71">
        <f>IFERROR(Tabla13[[#This Row],[Costo total '[USD/mes']]]-Tabla13[[#This Row],[Costo optimizado '[USD/mes']]],"")</f>
        <v>0</v>
      </c>
      <c r="N59" s="71">
        <f>IFERROR(VLOOKUP(Tabla13[[#This Row],[Producto Químico, Denominación comercial]],'PUNTOS DE INYECCIÓN'!Q:S,3,0),"")</f>
        <v>2.5275605638915781</v>
      </c>
    </row>
    <row r="60" spans="1:14">
      <c r="A60" s="71" t="s">
        <v>1410</v>
      </c>
      <c r="B60" s="499" t="s">
        <v>268</v>
      </c>
      <c r="C60" s="501">
        <v>0.15</v>
      </c>
      <c r="D60" s="71">
        <v>0</v>
      </c>
      <c r="E60" s="71">
        <f>+Tabla13[[#This Row],[Suma de  Consumo (L/mes)]]*(1-Tabla13[[#This Row],[Optimización]])</f>
        <v>0</v>
      </c>
      <c r="F60" s="71">
        <f>+Tabla13[[#This Row],[Suma de  Consumo (L/mes)]]-Tabla13[[#This Row],[Consumo optimizado lmes]]</f>
        <v>0</v>
      </c>
      <c r="H60" s="500"/>
      <c r="I60" s="499" t="s">
        <v>265</v>
      </c>
      <c r="J60" s="500">
        <v>4.7</v>
      </c>
      <c r="K60" s="499">
        <f>+IFERROR(Tabla13[[#This Row],[Suma de  Consumo (L/mes)]]*Tabla13[[#This Row],[Precio '[USD/litro']]],"")</f>
        <v>0</v>
      </c>
      <c r="L60" s="500">
        <f>+IFERROR(Tabla13[[#This Row],[Precio '[USD/litro']]]*Tabla13[[#This Row],[Consumo optimizado lmes]],"")</f>
        <v>0</v>
      </c>
      <c r="M60" s="71">
        <f>IFERROR(Tabla13[[#This Row],[Costo total '[USD/mes']]]-Tabla13[[#This Row],[Costo optimizado '[USD/mes']]],"")</f>
        <v>0</v>
      </c>
      <c r="N60" s="71">
        <f>IFERROR(VLOOKUP(Tabla13[[#This Row],[Producto Químico, Denominación comercial]],'PUNTOS DE INYECCIÓN'!Q:S,3,0),"")</f>
        <v>2.5275605638915781</v>
      </c>
    </row>
    <row r="61" spans="1:14">
      <c r="B61" s="499" t="s">
        <v>270</v>
      </c>
      <c r="C61" s="501"/>
      <c r="D61" s="71">
        <v>15.159999999999997</v>
      </c>
      <c r="E61" s="71">
        <f>+Tabla13[[#This Row],[Suma de  Consumo (L/mes)]]*(1-Tabla13[[#This Row],[Optimización]])</f>
        <v>15.159999999999997</v>
      </c>
      <c r="F61" s="71">
        <f>+Tabla13[[#This Row],[Suma de  Consumo (L/mes)]]-Tabla13[[#This Row],[Consumo optimizado lmes]]</f>
        <v>0</v>
      </c>
      <c r="H61" s="500">
        <v>1</v>
      </c>
      <c r="I61" s="499" t="s">
        <v>265</v>
      </c>
      <c r="J61" s="500">
        <v>4.7</v>
      </c>
      <c r="K61" s="499">
        <f>+IFERROR(Tabla13[[#This Row],[Suma de  Consumo (L/mes)]]*Tabla13[[#This Row],[Precio '[USD/litro']]],"")</f>
        <v>71.251999999999981</v>
      </c>
      <c r="L61" s="500">
        <f>+IFERROR(Tabla13[[#This Row],[Precio '[USD/litro']]]*Tabla13[[#This Row],[Consumo optimizado lmes]],"")</f>
        <v>71.251999999999981</v>
      </c>
      <c r="M61" s="71">
        <f>IFERROR(Tabla13[[#This Row],[Costo total '[USD/mes']]]-Tabla13[[#This Row],[Costo optimizado '[USD/mes']]],"")</f>
        <v>0</v>
      </c>
      <c r="N61" s="71">
        <f>IFERROR(VLOOKUP(Tabla13[[#This Row],[Producto Químico, Denominación comercial]],'PUNTOS DE INYECCIÓN'!Q:S,3,0),"")</f>
        <v>2.5275605638915781</v>
      </c>
    </row>
    <row r="62" spans="1:14">
      <c r="B62" s="499" t="s">
        <v>272</v>
      </c>
      <c r="C62" s="501"/>
      <c r="D62" s="71">
        <v>0</v>
      </c>
      <c r="E62" s="71">
        <f>+Tabla13[[#This Row],[Suma de  Consumo (L/mes)]]*(1-Tabla13[[#This Row],[Optimización]])</f>
        <v>0</v>
      </c>
      <c r="F62" s="71">
        <f>+Tabla13[[#This Row],[Suma de  Consumo (L/mes)]]-Tabla13[[#This Row],[Consumo optimizado lmes]]</f>
        <v>0</v>
      </c>
      <c r="H62" s="500"/>
      <c r="I62" s="499"/>
      <c r="J62" s="500" t="s">
        <v>471</v>
      </c>
      <c r="K62" s="499" t="str">
        <f>+IFERROR(Tabla13[[#This Row],[Suma de  Consumo (L/mes)]]*Tabla13[[#This Row],[Precio '[USD/litro']]],"")</f>
        <v/>
      </c>
      <c r="L62" s="500" t="str">
        <f>+IFERROR(Tabla13[[#This Row],[Precio '[USD/litro']]]*Tabla13[[#This Row],[Consumo optimizado lmes]],"")</f>
        <v/>
      </c>
      <c r="M62" s="71" t="str">
        <f>IFERROR(Tabla13[[#This Row],[Costo total '[USD/mes']]]-Tabla13[[#This Row],[Costo optimizado '[USD/mes']]],"")</f>
        <v/>
      </c>
      <c r="N62" s="71" t="str">
        <f>IFERROR(VLOOKUP(Tabla13[[#This Row],[Producto Químico, Denominación comercial]],'PUNTOS DE INYECCIÓN'!Q:S,3,0),"")</f>
        <v/>
      </c>
    </row>
    <row r="63" spans="1:14">
      <c r="B63" s="499" t="s">
        <v>274</v>
      </c>
      <c r="C63" s="501"/>
      <c r="D63" s="71">
        <v>3533.7999999999997</v>
      </c>
      <c r="E63" s="71">
        <f>+Tabla13[[#This Row],[Suma de  Consumo (L/mes)]]*(1-Tabla13[[#This Row],[Optimización]])</f>
        <v>3533.7999999999997</v>
      </c>
      <c r="F63" s="71">
        <f>+Tabla13[[#This Row],[Suma de  Consumo (L/mes)]]-Tabla13[[#This Row],[Consumo optimizado lmes]]</f>
        <v>0</v>
      </c>
      <c r="H63" s="500">
        <v>4</v>
      </c>
      <c r="I63" s="499" t="s">
        <v>275</v>
      </c>
      <c r="J63" s="500">
        <v>8.15</v>
      </c>
      <c r="K63" s="499">
        <f>+IFERROR(Tabla13[[#This Row],[Suma de  Consumo (L/mes)]]*Tabla13[[#This Row],[Precio '[USD/litro']]],"")</f>
        <v>28800.469999999998</v>
      </c>
      <c r="L63" s="500">
        <f>+IFERROR(Tabla13[[#This Row],[Precio '[USD/litro']]]*Tabla13[[#This Row],[Consumo optimizado lmes]],"")</f>
        <v>28800.469999999998</v>
      </c>
      <c r="M63" s="71">
        <f>IFERROR(Tabla13[[#This Row],[Costo total '[USD/mes']]]-Tabla13[[#This Row],[Costo optimizado '[USD/mes']]],"")</f>
        <v>0</v>
      </c>
      <c r="N63" s="71">
        <f>IFERROR(VLOOKUP(Tabla13[[#This Row],[Producto Químico, Denominación comercial]],'PUNTOS DE INYECCIÓN'!Q:S,3,0),"")</f>
        <v>5.2799999999999994</v>
      </c>
    </row>
    <row r="64" spans="1:14">
      <c r="B64" s="499"/>
      <c r="C64" s="501"/>
      <c r="E64" s="71">
        <f>+Tabla13[[#This Row],[Suma de  Consumo (L/mes)]]*(1-Tabla13[[#This Row],[Optimización]])</f>
        <v>0</v>
      </c>
      <c r="F64" s="71">
        <f>+Tabla13[[#This Row],[Suma de  Consumo (L/mes)]]-Tabla13[[#This Row],[Consumo optimizado lmes]]</f>
        <v>0</v>
      </c>
      <c r="H64" s="500"/>
      <c r="I64" s="499" t="s">
        <v>179</v>
      </c>
      <c r="J64" s="500">
        <v>2.74</v>
      </c>
      <c r="K64" s="499">
        <f>+IFERROR(Tabla13[[#This Row],[Suma de  Consumo (L/mes)]]*Tabla13[[#This Row],[Precio '[USD/litro']]],"")</f>
        <v>0</v>
      </c>
      <c r="L64" s="500">
        <f>+IFERROR(Tabla13[[#This Row],[Precio '[USD/litro']]]*Tabla13[[#This Row],[Consumo optimizado lmes]],"")</f>
        <v>0</v>
      </c>
      <c r="M64" s="71">
        <f>IFERROR(Tabla13[[#This Row],[Costo total '[USD/mes']]]-Tabla13[[#This Row],[Costo optimizado '[USD/mes']]],"")</f>
        <v>0</v>
      </c>
      <c r="N64" s="71">
        <f>IFERROR(VLOOKUP(Tabla13[[#This Row],[Producto Químico, Denominación comercial]],'PUNTOS DE INYECCIÓN'!Q:S,3,0),"")</f>
        <v>1.504731491417457</v>
      </c>
    </row>
    <row r="65" spans="1:14">
      <c r="B65" s="499" t="s">
        <v>277</v>
      </c>
      <c r="C65" s="501"/>
      <c r="D65" s="71">
        <v>4082.5600000000004</v>
      </c>
      <c r="E65" s="71">
        <f>+Tabla13[[#This Row],[Suma de  Consumo (L/mes)]]*(1-Tabla13[[#This Row],[Optimización]])</f>
        <v>4082.5600000000004</v>
      </c>
      <c r="F65" s="71">
        <f>+Tabla13[[#This Row],[Suma de  Consumo (L/mes)]]-Tabla13[[#This Row],[Consumo optimizado lmes]]</f>
        <v>0</v>
      </c>
      <c r="H65" s="500">
        <v>8</v>
      </c>
      <c r="I65" s="499" t="s">
        <v>278</v>
      </c>
      <c r="J65" s="500">
        <v>3.89</v>
      </c>
      <c r="K65" s="499">
        <f>+IFERROR(Tabla13[[#This Row],[Suma de  Consumo (L/mes)]]*Tabla13[[#This Row],[Precio '[USD/litro']]],"")</f>
        <v>15881.158400000002</v>
      </c>
      <c r="L65" s="500">
        <f>+IFERROR(Tabla13[[#This Row],[Precio '[USD/litro']]]*Tabla13[[#This Row],[Consumo optimizado lmes]],"")</f>
        <v>15881.158400000002</v>
      </c>
      <c r="M65" s="71">
        <f>IFERROR(Tabla13[[#This Row],[Costo total '[USD/mes']]]-Tabla13[[#This Row],[Costo optimizado '[USD/mes']]],"")</f>
        <v>0</v>
      </c>
      <c r="N65" s="71">
        <f>IFERROR(VLOOKUP(Tabla13[[#This Row],[Producto Químico, Denominación comercial]],'PUNTOS DE INYECCIÓN'!Q:S,3,0),"")</f>
        <v>3.17</v>
      </c>
    </row>
    <row r="66" spans="1:14">
      <c r="B66" s="499" t="s">
        <v>280</v>
      </c>
      <c r="C66" s="501"/>
      <c r="D66" s="71">
        <v>1831</v>
      </c>
      <c r="E66" s="71">
        <f>+Tabla13[[#This Row],[Suma de  Consumo (L/mes)]]*(1-Tabla13[[#This Row],[Optimización]])</f>
        <v>1831</v>
      </c>
      <c r="F66" s="71">
        <f>+Tabla13[[#This Row],[Suma de  Consumo (L/mes)]]-Tabla13[[#This Row],[Consumo optimizado lmes]]</f>
        <v>0</v>
      </c>
      <c r="H66" s="500">
        <v>5</v>
      </c>
      <c r="I66" s="499" t="s">
        <v>282</v>
      </c>
      <c r="J66" s="500">
        <v>4.5999999999999996</v>
      </c>
      <c r="K66" s="499">
        <f>+IFERROR(Tabla13[[#This Row],[Suma de  Consumo (L/mes)]]*Tabla13[[#This Row],[Precio '[USD/litro']]],"")</f>
        <v>8422.5999999999985</v>
      </c>
      <c r="L66" s="500">
        <f>+IFERROR(Tabla13[[#This Row],[Precio '[USD/litro']]]*Tabla13[[#This Row],[Consumo optimizado lmes]],"")</f>
        <v>8422.5999999999985</v>
      </c>
      <c r="M66" s="71">
        <f>IFERROR(Tabla13[[#This Row],[Costo total '[USD/mes']]]-Tabla13[[#This Row],[Costo optimizado '[USD/mes']]],"")</f>
        <v>0</v>
      </c>
      <c r="N66" s="71">
        <f>IFERROR(VLOOKUP(Tabla13[[#This Row],[Producto Químico, Denominación comercial]],'PUNTOS DE INYECCIÓN'!Q:S,3,0),"")</f>
        <v>2.031723017523126</v>
      </c>
    </row>
    <row r="67" spans="1:14">
      <c r="A67" s="71" t="s">
        <v>1411</v>
      </c>
      <c r="B67" s="499" t="s">
        <v>202</v>
      </c>
      <c r="C67" s="501">
        <v>0.15</v>
      </c>
      <c r="D67" s="71">
        <v>8567.26</v>
      </c>
      <c r="E67" s="71">
        <f>+Tabla13[[#This Row],[Suma de  Consumo (L/mes)]]*(1-Tabla13[[#This Row],[Optimización]])</f>
        <v>7282.1710000000003</v>
      </c>
      <c r="F67" s="71">
        <f>+Tabla13[[#This Row],[Suma de  Consumo (L/mes)]]-Tabla13[[#This Row],[Consumo optimizado lmes]]</f>
        <v>1285.0889999999999</v>
      </c>
      <c r="G67" s="71">
        <v>37</v>
      </c>
      <c r="H67" s="500">
        <v>11</v>
      </c>
      <c r="I67" s="499" t="s">
        <v>648</v>
      </c>
      <c r="J67" s="500">
        <v>3.21</v>
      </c>
      <c r="K67" s="499">
        <f>+IFERROR(Tabla13[[#This Row],[Suma de  Consumo (L/mes)]]*Tabla13[[#This Row],[Precio '[USD/litro']]],"")</f>
        <v>27500.904600000002</v>
      </c>
      <c r="L67" s="500">
        <f>+IFERROR(Tabla13[[#This Row],[Precio '[USD/litro']]]*Tabla13[[#This Row],[Consumo optimizado lmes]],"")</f>
        <v>23375.768909999999</v>
      </c>
      <c r="M67" s="71">
        <f>IFERROR(Tabla13[[#This Row],[Costo total '[USD/mes']]]-Tabla13[[#This Row],[Costo optimizado '[USD/mes']]],"")</f>
        <v>4125.1356900000028</v>
      </c>
      <c r="N67" s="71">
        <f>IFERROR(VLOOKUP(Tabla13[[#This Row],[Producto Químico, Denominación comercial]],'PUNTOS DE INYECCIÓN'!Q:S,3,0),"")</f>
        <v>2.2799999999999998</v>
      </c>
    </row>
    <row r="68" spans="1:14">
      <c r="B68" s="499" t="s">
        <v>248</v>
      </c>
      <c r="C68" s="501"/>
      <c r="D68" s="71">
        <v>0</v>
      </c>
      <c r="E68" s="71">
        <f>+Tabla13[[#This Row],[Suma de  Consumo (L/mes)]]*(1-Tabla13[[#This Row],[Optimización]])</f>
        <v>0</v>
      </c>
      <c r="F68" s="71">
        <f>+Tabla13[[#This Row],[Suma de  Consumo (L/mes)]]-Tabla13[[#This Row],[Consumo optimizado lmes]]</f>
        <v>0</v>
      </c>
      <c r="H68" s="500"/>
      <c r="I68" s="499" t="s">
        <v>249</v>
      </c>
      <c r="J68" s="500">
        <v>1.41</v>
      </c>
      <c r="K68" s="499">
        <f>+IFERROR(Tabla13[[#This Row],[Suma de  Consumo (L/mes)]]*Tabla13[[#This Row],[Precio '[USD/litro']]],"")</f>
        <v>0</v>
      </c>
      <c r="L68" s="500">
        <f>+IFERROR(Tabla13[[#This Row],[Precio '[USD/litro']]]*Tabla13[[#This Row],[Consumo optimizado lmes]],"")</f>
        <v>0</v>
      </c>
      <c r="M68" s="71">
        <f>IFERROR(Tabla13[[#This Row],[Costo total '[USD/mes']]]-Tabla13[[#This Row],[Costo optimizado '[USD/mes']]],"")</f>
        <v>0</v>
      </c>
      <c r="N68" s="71">
        <f>IFERROR(VLOOKUP(Tabla13[[#This Row],[Producto Químico, Denominación comercial]],'PUNTOS DE INYECCIÓN'!Q:S,3,0),"")</f>
        <v>1.2206960051174867</v>
      </c>
    </row>
    <row r="69" spans="1:14">
      <c r="A69" s="71" t="s">
        <v>1412</v>
      </c>
      <c r="B69" s="499" t="s">
        <v>205</v>
      </c>
      <c r="C69" s="501">
        <v>0.15</v>
      </c>
      <c r="D69" s="71">
        <v>11284.460000000001</v>
      </c>
      <c r="E69" s="71">
        <f>+Tabla13[[#This Row],[Suma de  Consumo (L/mes)]]*(1-Tabla13[[#This Row],[Optimización]])</f>
        <v>9591.7910000000011</v>
      </c>
      <c r="F69" s="71">
        <f>+Tabla13[[#This Row],[Suma de  Consumo (L/mes)]]-Tabla13[[#This Row],[Consumo optimizado lmes]]</f>
        <v>1692.6689999999999</v>
      </c>
      <c r="H69" s="500">
        <v>23</v>
      </c>
      <c r="I69" s="499" t="s">
        <v>201</v>
      </c>
      <c r="J69" s="500">
        <v>3.48</v>
      </c>
      <c r="K69" s="499">
        <f>+IFERROR(Tabla13[[#This Row],[Suma de  Consumo (L/mes)]]*Tabla13[[#This Row],[Precio '[USD/litro']]],"")</f>
        <v>39269.9208</v>
      </c>
      <c r="L69" s="500">
        <f>+IFERROR(Tabla13[[#This Row],[Precio '[USD/litro']]]*Tabla13[[#This Row],[Consumo optimizado lmes]],"")</f>
        <v>33379.432680000005</v>
      </c>
      <c r="M69" s="71">
        <f>IFERROR(Tabla13[[#This Row],[Costo total '[USD/mes']]]-Tabla13[[#This Row],[Costo optimizado '[USD/mes']]],"")</f>
        <v>5890.4881199999945</v>
      </c>
      <c r="N69" s="71">
        <f>IFERROR(VLOOKUP(Tabla13[[#This Row],[Producto Químico, Denominación comercial]],'PUNTOS DE INYECCIÓN'!Q:S,3,0),"")</f>
        <v>1.7864625248587429</v>
      </c>
    </row>
    <row r="70" spans="1:14">
      <c r="B70" s="499" t="s">
        <v>285</v>
      </c>
      <c r="C70" s="501"/>
      <c r="D70" s="71">
        <v>0</v>
      </c>
      <c r="E70" s="71">
        <f>+Tabla13[[#This Row],[Suma de  Consumo (L/mes)]]*(1-Tabla13[[#This Row],[Optimización]])</f>
        <v>0</v>
      </c>
      <c r="F70" s="71">
        <f>+Tabla13[[#This Row],[Suma de  Consumo (L/mes)]]-Tabla13[[#This Row],[Consumo optimizado lmes]]</f>
        <v>0</v>
      </c>
      <c r="H70" s="500"/>
      <c r="I70" s="499" t="s">
        <v>287</v>
      </c>
      <c r="J70" s="500">
        <v>7.2</v>
      </c>
      <c r="K70" s="499">
        <f>+IFERROR(Tabla13[[#This Row],[Suma de  Consumo (L/mes)]]*Tabla13[[#This Row],[Precio '[USD/litro']]],"")</f>
        <v>0</v>
      </c>
      <c r="L70" s="500">
        <f>+IFERROR(Tabla13[[#This Row],[Precio '[USD/litro']]]*Tabla13[[#This Row],[Consumo optimizado lmes]],"")</f>
        <v>0</v>
      </c>
      <c r="M70" s="71">
        <f>IFERROR(Tabla13[[#This Row],[Costo total '[USD/mes']]]-Tabla13[[#This Row],[Costo optimizado '[USD/mes']]],"")</f>
        <v>0</v>
      </c>
      <c r="N70" s="71">
        <f>IFERROR(VLOOKUP(Tabla13[[#This Row],[Producto Químico, Denominación comercial]],'PUNTOS DE INYECCIÓN'!Q:S,3,0),"")</f>
        <v>4.4678609027105516</v>
      </c>
    </row>
    <row r="71" spans="1:14">
      <c r="B71" s="499" t="s">
        <v>286</v>
      </c>
      <c r="C71" s="501"/>
      <c r="D71" s="71">
        <v>1824.08</v>
      </c>
      <c r="E71" s="71">
        <f>+Tabla13[[#This Row],[Suma de  Consumo (L/mes)]]*(1-Tabla13[[#This Row],[Optimización]])</f>
        <v>1824.08</v>
      </c>
      <c r="F71" s="71">
        <f>+Tabla13[[#This Row],[Suma de  Consumo (L/mes)]]-Tabla13[[#This Row],[Consumo optimizado lmes]]</f>
        <v>0</v>
      </c>
      <c r="H71" s="500">
        <v>4</v>
      </c>
      <c r="I71" s="499" t="s">
        <v>287</v>
      </c>
      <c r="J71" s="500">
        <v>7.2</v>
      </c>
      <c r="K71" s="499">
        <f>+IFERROR(Tabla13[[#This Row],[Suma de  Consumo (L/mes)]]*Tabla13[[#This Row],[Precio '[USD/litro']]],"")</f>
        <v>13133.376</v>
      </c>
      <c r="L71" s="500">
        <f>+IFERROR(Tabla13[[#This Row],[Precio '[USD/litro']]]*Tabla13[[#This Row],[Consumo optimizado lmes]],"")</f>
        <v>13133.376</v>
      </c>
      <c r="M71" s="71">
        <f>IFERROR(Tabla13[[#This Row],[Costo total '[USD/mes']]]-Tabla13[[#This Row],[Costo optimizado '[USD/mes']]],"")</f>
        <v>0</v>
      </c>
      <c r="N71" s="71">
        <f>IFERROR(VLOOKUP(Tabla13[[#This Row],[Producto Químico, Denominación comercial]],'PUNTOS DE INYECCIÓN'!Q:S,3,0),"")</f>
        <v>4.4678609027105516</v>
      </c>
    </row>
    <row r="72" spans="1:14">
      <c r="B72" s="499" t="s">
        <v>288</v>
      </c>
      <c r="C72" s="501"/>
      <c r="D72" s="71">
        <v>0</v>
      </c>
      <c r="E72" s="71">
        <f>+Tabla13[[#This Row],[Suma de  Consumo (L/mes)]]*(1-Tabla13[[#This Row],[Optimización]])</f>
        <v>0</v>
      </c>
      <c r="F72" s="71">
        <f>+Tabla13[[#This Row],[Suma de  Consumo (L/mes)]]-Tabla13[[#This Row],[Consumo optimizado lmes]]</f>
        <v>0</v>
      </c>
      <c r="H72" s="500"/>
      <c r="I72" s="499"/>
      <c r="J72" s="500" t="s">
        <v>471</v>
      </c>
      <c r="K72" s="499" t="str">
        <f>+IFERROR(Tabla13[[#This Row],[Suma de  Consumo (L/mes)]]*Tabla13[[#This Row],[Precio '[USD/litro']]],"")</f>
        <v/>
      </c>
      <c r="L72" s="500" t="str">
        <f>+IFERROR(Tabla13[[#This Row],[Precio '[USD/litro']]]*Tabla13[[#This Row],[Consumo optimizado lmes]],"")</f>
        <v/>
      </c>
      <c r="M72" s="71" t="str">
        <f>IFERROR(Tabla13[[#This Row],[Costo total '[USD/mes']]]-Tabla13[[#This Row],[Costo optimizado '[USD/mes']]],"")</f>
        <v/>
      </c>
      <c r="N72" s="71" t="str">
        <f>IFERROR(VLOOKUP(Tabla13[[#This Row],[Producto Químico, Denominación comercial]],'PUNTOS DE INYECCIÓN'!Q:S,3,0),"")</f>
        <v/>
      </c>
    </row>
    <row r="73" spans="1:14">
      <c r="B73" s="499" t="s">
        <v>289</v>
      </c>
      <c r="C73" s="501"/>
      <c r="D73" s="71">
        <v>3379.06</v>
      </c>
      <c r="E73" s="71">
        <f>+Tabla13[[#This Row],[Suma de  Consumo (L/mes)]]*(1-Tabla13[[#This Row],[Optimización]])</f>
        <v>3379.06</v>
      </c>
      <c r="F73" s="71">
        <f>+Tabla13[[#This Row],[Suma de  Consumo (L/mes)]]-Tabla13[[#This Row],[Consumo optimizado lmes]]</f>
        <v>0</v>
      </c>
      <c r="H73" s="500">
        <v>10</v>
      </c>
      <c r="I73" s="499" t="s">
        <v>177</v>
      </c>
      <c r="J73" s="500">
        <v>3.25</v>
      </c>
      <c r="K73" s="499">
        <f>+IFERROR(Tabla13[[#This Row],[Suma de  Consumo (L/mes)]]*Tabla13[[#This Row],[Precio '[USD/litro']]],"")</f>
        <v>10981.945</v>
      </c>
      <c r="L73" s="500">
        <f>+IFERROR(Tabla13[[#This Row],[Precio '[USD/litro']]]*Tabla13[[#This Row],[Consumo optimizado lmes]],"")</f>
        <v>10981.945</v>
      </c>
      <c r="M73" s="71">
        <f>IFERROR(Tabla13[[#This Row],[Costo total '[USD/mes']]]-Tabla13[[#This Row],[Costo optimizado '[USD/mes']]],"")</f>
        <v>0</v>
      </c>
      <c r="N73" s="71">
        <f>IFERROR(VLOOKUP(Tabla13[[#This Row],[Producto Químico, Denominación comercial]],'PUNTOS DE INYECCIÓN'!Q:S,3,0),"")</f>
        <v>2.3434332647628273</v>
      </c>
    </row>
    <row r="74" spans="1:14">
      <c r="B74" s="499" t="s">
        <v>291</v>
      </c>
      <c r="C74" s="501"/>
      <c r="D74" s="71">
        <v>514</v>
      </c>
      <c r="E74" s="71">
        <f>+Tabla13[[#This Row],[Suma de  Consumo (L/mes)]]*(1-Tabla13[[#This Row],[Optimización]])</f>
        <v>514</v>
      </c>
      <c r="F74" s="71">
        <f>+Tabla13[[#This Row],[Suma de  Consumo (L/mes)]]-Tabla13[[#This Row],[Consumo optimizado lmes]]</f>
        <v>0</v>
      </c>
      <c r="H74" s="500">
        <v>1</v>
      </c>
      <c r="I74" s="499" t="s">
        <v>246</v>
      </c>
      <c r="J74" s="500">
        <v>6.61</v>
      </c>
      <c r="K74" s="499">
        <f>+IFERROR(Tabla13[[#This Row],[Suma de  Consumo (L/mes)]]*Tabla13[[#This Row],[Precio '[USD/litro']]],"")</f>
        <v>3397.54</v>
      </c>
      <c r="L74" s="500">
        <f>+IFERROR(Tabla13[[#This Row],[Precio '[USD/litro']]]*Tabla13[[#This Row],[Consumo optimizado lmes]],"")</f>
        <v>3397.54</v>
      </c>
      <c r="M74" s="71">
        <f>IFERROR(Tabla13[[#This Row],[Costo total '[USD/mes']]]-Tabla13[[#This Row],[Costo optimizado '[USD/mes']]],"")</f>
        <v>0</v>
      </c>
      <c r="N74" s="71">
        <f>IFERROR(VLOOKUP(Tabla13[[#This Row],[Producto Químico, Denominación comercial]],'PUNTOS DE INYECCIÓN'!Q:S,3,0),"")</f>
        <v>5.0541526074536618</v>
      </c>
    </row>
    <row r="75" spans="1:14">
      <c r="B75" s="499" t="s">
        <v>293</v>
      </c>
      <c r="C75" s="501"/>
      <c r="D75" s="71">
        <v>0</v>
      </c>
      <c r="E75" s="71">
        <f>+Tabla13[[#This Row],[Suma de  Consumo (L/mes)]]*(1-Tabla13[[#This Row],[Optimización]])</f>
        <v>0</v>
      </c>
      <c r="F75" s="71">
        <f>+Tabla13[[#This Row],[Suma de  Consumo (L/mes)]]-Tabla13[[#This Row],[Consumo optimizado lmes]]</f>
        <v>0</v>
      </c>
      <c r="H75" s="500"/>
      <c r="I75" s="499" t="s">
        <v>201</v>
      </c>
      <c r="J75" s="500">
        <v>3.48</v>
      </c>
      <c r="K75" s="499">
        <f>+IFERROR(Tabla13[[#This Row],[Suma de  Consumo (L/mes)]]*Tabla13[[#This Row],[Precio '[USD/litro']]],"")</f>
        <v>0</v>
      </c>
      <c r="L75" s="500">
        <f>+IFERROR(Tabla13[[#This Row],[Precio '[USD/litro']]]*Tabla13[[#This Row],[Consumo optimizado lmes]],"")</f>
        <v>0</v>
      </c>
      <c r="M75" s="71">
        <f>IFERROR(Tabla13[[#This Row],[Costo total '[USD/mes']]]-Tabla13[[#This Row],[Costo optimizado '[USD/mes']]],"")</f>
        <v>0</v>
      </c>
      <c r="N75" s="71">
        <f>IFERROR(VLOOKUP(Tabla13[[#This Row],[Producto Químico, Denominación comercial]],'PUNTOS DE INYECCIÓN'!Q:S,3,0),"")</f>
        <v>1.7864625248587429</v>
      </c>
    </row>
    <row r="76" spans="1:14">
      <c r="B76" s="499" t="s">
        <v>295</v>
      </c>
      <c r="C76" s="501"/>
      <c r="D76" s="71">
        <v>3030.7999999999997</v>
      </c>
      <c r="E76" s="71">
        <f>+Tabla13[[#This Row],[Suma de  Consumo (L/mes)]]*(1-Tabla13[[#This Row],[Optimización]])</f>
        <v>3030.7999999999997</v>
      </c>
      <c r="F76" s="71">
        <f>+Tabla13[[#This Row],[Suma de  Consumo (L/mes)]]-Tabla13[[#This Row],[Consumo optimizado lmes]]</f>
        <v>0</v>
      </c>
      <c r="G76" s="71">
        <v>1</v>
      </c>
      <c r="H76" s="500">
        <v>2</v>
      </c>
      <c r="I76" s="499" t="s">
        <v>296</v>
      </c>
      <c r="J76" s="500">
        <v>6.82</v>
      </c>
      <c r="K76" s="499">
        <f>+IFERROR(Tabla13[[#This Row],[Suma de  Consumo (L/mes)]]*Tabla13[[#This Row],[Precio '[USD/litro']]],"")</f>
        <v>20670.056</v>
      </c>
      <c r="L76" s="500">
        <f>+IFERROR(Tabla13[[#This Row],[Precio '[USD/litro']]]*Tabla13[[#This Row],[Consumo optimizado lmes]],"")</f>
        <v>20670.056</v>
      </c>
      <c r="M76" s="71">
        <f>IFERROR(Tabla13[[#This Row],[Costo total '[USD/mes']]]-Tabla13[[#This Row],[Costo optimizado '[USD/mes']]],"")</f>
        <v>0</v>
      </c>
      <c r="N76" s="71">
        <f>IFERROR(VLOOKUP(Tabla13[[#This Row],[Producto Químico, Denominación comercial]],'PUNTOS DE INYECCIÓN'!Q:S,3,0),"")</f>
        <v>4.05</v>
      </c>
    </row>
    <row r="77" spans="1:14">
      <c r="B77" s="499" t="s">
        <v>297</v>
      </c>
      <c r="C77" s="501"/>
      <c r="D77" s="71">
        <v>589</v>
      </c>
      <c r="E77" s="71">
        <f>+Tabla13[[#This Row],[Suma de  Consumo (L/mes)]]*(1-Tabla13[[#This Row],[Optimización]])</f>
        <v>589</v>
      </c>
      <c r="F77" s="71">
        <f>+Tabla13[[#This Row],[Suma de  Consumo (L/mes)]]-Tabla13[[#This Row],[Consumo optimizado lmes]]</f>
        <v>0</v>
      </c>
      <c r="H77" s="500">
        <v>3</v>
      </c>
      <c r="I77" s="499" t="s">
        <v>610</v>
      </c>
      <c r="J77" s="500">
        <v>2.4500000000000002</v>
      </c>
      <c r="K77" s="499">
        <f>+IFERROR(Tabla13[[#This Row],[Suma de  Consumo (L/mes)]]*Tabla13[[#This Row],[Precio '[USD/litro']]],"")</f>
        <v>1443.0500000000002</v>
      </c>
      <c r="L77" s="500">
        <f>+IFERROR(Tabla13[[#This Row],[Precio '[USD/litro']]]*Tabla13[[#This Row],[Consumo optimizado lmes]],"")</f>
        <v>1443.0500000000002</v>
      </c>
      <c r="M77" s="71">
        <f>IFERROR(Tabla13[[#This Row],[Costo total '[USD/mes']]]-Tabla13[[#This Row],[Costo optimizado '[USD/mes']]],"")</f>
        <v>0</v>
      </c>
      <c r="N77" s="71">
        <f>IFERROR(VLOOKUP(Tabla13[[#This Row],[Producto Químico, Denominación comercial]],'PUNTOS DE INYECCIÓN'!Q:S,3,0),"")</f>
        <v>2.4700000000000002</v>
      </c>
    </row>
    <row r="78" spans="1:14">
      <c r="B78" s="499" t="s">
        <v>299</v>
      </c>
      <c r="C78" s="501"/>
      <c r="D78" s="71">
        <v>89</v>
      </c>
      <c r="E78" s="71">
        <f>+Tabla13[[#This Row],[Suma de  Consumo (L/mes)]]*(1-Tabla13[[#This Row],[Optimización]])</f>
        <v>89</v>
      </c>
      <c r="F78" s="71">
        <f>+Tabla13[[#This Row],[Suma de  Consumo (L/mes)]]-Tabla13[[#This Row],[Consumo optimizado lmes]]</f>
        <v>0</v>
      </c>
      <c r="H78" s="500">
        <v>1</v>
      </c>
      <c r="I78" s="499" t="s">
        <v>226</v>
      </c>
      <c r="J78" s="500">
        <v>2.31</v>
      </c>
      <c r="K78" s="499">
        <f>+IFERROR(Tabla13[[#This Row],[Suma de  Consumo (L/mes)]]*Tabla13[[#This Row],[Precio '[USD/litro']]],"")</f>
        <v>205.59</v>
      </c>
      <c r="L78" s="500">
        <f>+IFERROR(Tabla13[[#This Row],[Precio '[USD/litro']]]*Tabla13[[#This Row],[Consumo optimizado lmes]],"")</f>
        <v>205.59</v>
      </c>
      <c r="M78" s="71">
        <f>IFERROR(Tabla13[[#This Row],[Costo total '[USD/mes']]]-Tabla13[[#This Row],[Costo optimizado '[USD/mes']]],"")</f>
        <v>0</v>
      </c>
      <c r="N78" s="71">
        <f>IFERROR(VLOOKUP(Tabla13[[#This Row],[Producto Químico, Denominación comercial]],'PUNTOS DE INYECCIÓN'!Q:S,3,0),"")</f>
        <v>1.8266571757018397</v>
      </c>
    </row>
    <row r="79" spans="1:14">
      <c r="B79" s="499" t="s">
        <v>300</v>
      </c>
      <c r="C79" s="501"/>
      <c r="D79" s="71">
        <v>169.1</v>
      </c>
      <c r="E79" s="71">
        <f>+Tabla13[[#This Row],[Suma de  Consumo (L/mes)]]*(1-Tabla13[[#This Row],[Optimización]])</f>
        <v>169.1</v>
      </c>
      <c r="F79" s="71">
        <f>+Tabla13[[#This Row],[Suma de  Consumo (L/mes)]]-Tabla13[[#This Row],[Consumo optimizado lmes]]</f>
        <v>0</v>
      </c>
      <c r="H79" s="500">
        <v>1</v>
      </c>
      <c r="I79" s="499" t="s">
        <v>226</v>
      </c>
      <c r="J79" s="500">
        <v>2.31</v>
      </c>
      <c r="K79" s="499">
        <f>+IFERROR(Tabla13[[#This Row],[Suma de  Consumo (L/mes)]]*Tabla13[[#This Row],[Precio '[USD/litro']]],"")</f>
        <v>390.62099999999998</v>
      </c>
      <c r="L79" s="500">
        <f>+IFERROR(Tabla13[[#This Row],[Precio '[USD/litro']]]*Tabla13[[#This Row],[Consumo optimizado lmes]],"")</f>
        <v>390.62099999999998</v>
      </c>
      <c r="M79" s="71">
        <f>IFERROR(Tabla13[[#This Row],[Costo total '[USD/mes']]]-Tabla13[[#This Row],[Costo optimizado '[USD/mes']]],"")</f>
        <v>0</v>
      </c>
      <c r="N79" s="71">
        <f>IFERROR(VLOOKUP(Tabla13[[#This Row],[Producto Químico, Denominación comercial]],'PUNTOS DE INYECCIÓN'!Q:S,3,0),"")</f>
        <v>1.8266571757018397</v>
      </c>
    </row>
    <row r="80" spans="1:14">
      <c r="B80" s="499" t="s">
        <v>227</v>
      </c>
      <c r="C80" s="501"/>
      <c r="D80" s="71">
        <v>5033.6000000000004</v>
      </c>
      <c r="E80" s="71">
        <f>+Tabla13[[#This Row],[Suma de  Consumo (L/mes)]]*(1-Tabla13[[#This Row],[Optimización]])</f>
        <v>5033.6000000000004</v>
      </c>
      <c r="F80" s="71">
        <f>+Tabla13[[#This Row],[Suma de  Consumo (L/mes)]]-Tabla13[[#This Row],[Consumo optimizado lmes]]</f>
        <v>0</v>
      </c>
      <c r="G80" s="71">
        <v>2</v>
      </c>
      <c r="H80" s="500">
        <v>3</v>
      </c>
      <c r="I80" s="499" t="s">
        <v>610</v>
      </c>
      <c r="J80" s="500">
        <v>2.4500000000000002</v>
      </c>
      <c r="K80" s="499">
        <f>+IFERROR(Tabla13[[#This Row],[Suma de  Consumo (L/mes)]]*Tabla13[[#This Row],[Precio '[USD/litro']]],"")</f>
        <v>12332.320000000002</v>
      </c>
      <c r="L80" s="500">
        <f>+IFERROR(Tabla13[[#This Row],[Precio '[USD/litro']]]*Tabla13[[#This Row],[Consumo optimizado lmes]],"")</f>
        <v>12332.320000000002</v>
      </c>
      <c r="M80" s="71">
        <f>IFERROR(Tabla13[[#This Row],[Costo total '[USD/mes']]]-Tabla13[[#This Row],[Costo optimizado '[USD/mes']]],"")</f>
        <v>0</v>
      </c>
      <c r="N80" s="71">
        <f>IFERROR(VLOOKUP(Tabla13[[#This Row],[Producto Químico, Denominación comercial]],'PUNTOS DE INYECCIÓN'!Q:S,3,0),"")</f>
        <v>2.4700000000000002</v>
      </c>
    </row>
    <row r="81" spans="1:14">
      <c r="B81" s="502" t="s">
        <v>100</v>
      </c>
      <c r="C81" s="503"/>
      <c r="D81" s="71">
        <v>10188</v>
      </c>
      <c r="E81" s="71">
        <f>+Tabla13[[#This Row],[Suma de  Consumo (L/mes)]]*(1-Tabla13[[#This Row],[Optimización]])</f>
        <v>10188</v>
      </c>
      <c r="F81" s="71">
        <f>+Tabla13[[#This Row],[Suma de  Consumo (L/mes)]]-Tabla13[[#This Row],[Consumo optimizado lmes]]</f>
        <v>0</v>
      </c>
      <c r="G81" s="71">
        <v>52</v>
      </c>
      <c r="H81" s="500">
        <v>41</v>
      </c>
      <c r="I81" s="499"/>
      <c r="J81" s="500"/>
      <c r="K81" s="499">
        <f>+IFERROR(Tabla13[[#This Row],[Suma de  Consumo (L/mes)]]*Tabla13[[#This Row],[Precio '[USD/litro']]],"")</f>
        <v>0</v>
      </c>
      <c r="L81" s="500">
        <f>+IFERROR(Tabla13[[#This Row],[Precio '[USD/litro']]]*Tabla13[[#This Row],[Consumo optimizado lmes]],"")</f>
        <v>0</v>
      </c>
      <c r="M81" s="71">
        <f>IFERROR(Tabla13[[#This Row],[Costo total '[USD/mes']]]-Tabla13[[#This Row],[Costo optimizado '[USD/mes']]],"")</f>
        <v>0</v>
      </c>
      <c r="N81" s="71" t="str">
        <f>IFERROR(VLOOKUP(Tabla13[[#This Row],[Producto Químico, Denominación comercial]],'PUNTOS DE INYECCIÓN'!Q:S,3,0),"")</f>
        <v/>
      </c>
    </row>
    <row r="82" spans="1:14">
      <c r="A82" s="71" t="s">
        <v>1413</v>
      </c>
      <c r="B82" s="499" t="s">
        <v>166</v>
      </c>
      <c r="C82" s="501">
        <v>0.1</v>
      </c>
      <c r="D82" s="71">
        <v>2185</v>
      </c>
      <c r="E82" s="71">
        <f>+Tabla13[[#This Row],[Suma de  Consumo (L/mes)]]*(1-Tabla13[[#This Row],[Optimización]])</f>
        <v>1966.5</v>
      </c>
      <c r="F82" s="71">
        <f>+Tabla13[[#This Row],[Suma de  Consumo (L/mes)]]-Tabla13[[#This Row],[Consumo optimizado lmes]]</f>
        <v>218.5</v>
      </c>
      <c r="G82" s="71">
        <v>21</v>
      </c>
      <c r="H82" s="500">
        <v>8</v>
      </c>
      <c r="I82" s="499" t="s">
        <v>301</v>
      </c>
      <c r="J82" s="500">
        <v>2.84</v>
      </c>
      <c r="K82" s="499">
        <f>+IFERROR(Tabla13[[#This Row],[Suma de  Consumo (L/mes)]]*Tabla13[[#This Row],[Precio '[USD/litro']]],"")</f>
        <v>6205.4</v>
      </c>
      <c r="L82" s="500">
        <f>+IFERROR(Tabla13[[#This Row],[Precio '[USD/litro']]]*Tabla13[[#This Row],[Consumo optimizado lmes]],"")</f>
        <v>5584.86</v>
      </c>
      <c r="M82" s="71">
        <f>IFERROR(Tabla13[[#This Row],[Costo total '[USD/mes']]]-Tabla13[[#This Row],[Costo optimizado '[USD/mes']]],"")</f>
        <v>620.54</v>
      </c>
      <c r="N82" s="71">
        <f>IFERROR(VLOOKUP(Tabla13[[#This Row],[Producto Químico, Denominación comercial]],'PUNTOS DE INYECCIÓN'!Q:S,3,0),"")</f>
        <v>1.8797532066795741</v>
      </c>
    </row>
    <row r="83" spans="1:14">
      <c r="B83" s="499" t="s">
        <v>173</v>
      </c>
      <c r="C83" s="501"/>
      <c r="D83" s="71">
        <v>0</v>
      </c>
      <c r="E83" s="71">
        <f>+Tabla13[[#This Row],[Suma de  Consumo (L/mes)]]*(1-Tabla13[[#This Row],[Optimización]])</f>
        <v>0</v>
      </c>
      <c r="F83" s="71">
        <f>+Tabla13[[#This Row],[Suma de  Consumo (L/mes)]]-Tabla13[[#This Row],[Consumo optimizado lmes]]</f>
        <v>0</v>
      </c>
      <c r="H83" s="500">
        <v>2</v>
      </c>
      <c r="I83" s="499"/>
      <c r="J83" s="500" t="s">
        <v>471</v>
      </c>
      <c r="K83" s="499" t="str">
        <f>+IFERROR(Tabla13[[#This Row],[Suma de  Consumo (L/mes)]]*Tabla13[[#This Row],[Precio '[USD/litro']]],"")</f>
        <v/>
      </c>
      <c r="L83" s="500" t="str">
        <f>+IFERROR(Tabla13[[#This Row],[Precio '[USD/litro']]]*Tabla13[[#This Row],[Consumo optimizado lmes]],"")</f>
        <v/>
      </c>
      <c r="M83" s="71" t="str">
        <f>IFERROR(Tabla13[[#This Row],[Costo total '[USD/mes']]]-Tabla13[[#This Row],[Costo optimizado '[USD/mes']]],"")</f>
        <v/>
      </c>
      <c r="N83" s="71" t="str">
        <f>IFERROR(VLOOKUP(Tabla13[[#This Row],[Producto Químico, Denominación comercial]],'PUNTOS DE INYECCIÓN'!Q:S,3,0),"")</f>
        <v/>
      </c>
    </row>
    <row r="84" spans="1:14">
      <c r="B84" s="499" t="s">
        <v>178</v>
      </c>
      <c r="C84" s="501"/>
      <c r="D84" s="71">
        <v>120</v>
      </c>
      <c r="E84" s="71">
        <f>+Tabla13[[#This Row],[Suma de  Consumo (L/mes)]]*(1-Tabla13[[#This Row],[Optimización]])</f>
        <v>120</v>
      </c>
      <c r="F84" s="71">
        <f>+Tabla13[[#This Row],[Suma de  Consumo (L/mes)]]-Tabla13[[#This Row],[Consumo optimizado lmes]]</f>
        <v>0</v>
      </c>
      <c r="H84" s="500">
        <v>4</v>
      </c>
      <c r="I84" s="499" t="s">
        <v>179</v>
      </c>
      <c r="J84" s="500">
        <v>2.74</v>
      </c>
      <c r="K84" s="499">
        <f>+IFERROR(Tabla13[[#This Row],[Suma de  Consumo (L/mes)]]*Tabla13[[#This Row],[Precio '[USD/litro']]],"")</f>
        <v>328.8</v>
      </c>
      <c r="L84" s="500">
        <f>+IFERROR(Tabla13[[#This Row],[Precio '[USD/litro']]]*Tabla13[[#This Row],[Consumo optimizado lmes]],"")</f>
        <v>328.8</v>
      </c>
      <c r="M84" s="71">
        <f>IFERROR(Tabla13[[#This Row],[Costo total '[USD/mes']]]-Tabla13[[#This Row],[Costo optimizado '[USD/mes']]],"")</f>
        <v>0</v>
      </c>
      <c r="N84" s="71">
        <f>IFERROR(VLOOKUP(Tabla13[[#This Row],[Producto Químico, Denominación comercial]],'PUNTOS DE INYECCIÓN'!Q:S,3,0),"")</f>
        <v>1.504731491417457</v>
      </c>
    </row>
    <row r="85" spans="1:14">
      <c r="A85" s="71" t="s">
        <v>1414</v>
      </c>
      <c r="B85" s="499" t="s">
        <v>180</v>
      </c>
      <c r="C85" s="501">
        <v>0.15</v>
      </c>
      <c r="D85" s="71">
        <v>4977</v>
      </c>
      <c r="E85" s="71">
        <f>+Tabla13[[#This Row],[Suma de  Consumo (L/mes)]]*(1-Tabla13[[#This Row],[Optimización]])</f>
        <v>4230.45</v>
      </c>
      <c r="F85" s="71">
        <f>+Tabla13[[#This Row],[Suma de  Consumo (L/mes)]]-Tabla13[[#This Row],[Consumo optimizado lmes]]</f>
        <v>746.55000000000018</v>
      </c>
      <c r="G85" s="71">
        <v>9</v>
      </c>
      <c r="H85" s="500">
        <v>8</v>
      </c>
      <c r="I85" s="499" t="s">
        <v>182</v>
      </c>
      <c r="J85" s="500">
        <v>6.82</v>
      </c>
      <c r="K85" s="499">
        <f>+IFERROR(Tabla13[[#This Row],[Suma de  Consumo (L/mes)]]*Tabla13[[#This Row],[Precio '[USD/litro']]],"")</f>
        <v>33943.14</v>
      </c>
      <c r="L85" s="500">
        <f>+IFERROR(Tabla13[[#This Row],[Precio '[USD/litro']]]*Tabla13[[#This Row],[Consumo optimizado lmes]],"")</f>
        <v>28851.669000000002</v>
      </c>
      <c r="M85" s="71">
        <f>IFERROR(Tabla13[[#This Row],[Costo total '[USD/mes']]]-Tabla13[[#This Row],[Costo optimizado '[USD/mes']]],"")</f>
        <v>5091.4709999999977</v>
      </c>
      <c r="N85" s="71">
        <f>IFERROR(VLOOKUP(Tabla13[[#This Row],[Producto Químico, Denominación comercial]],'PUNTOS DE INYECCIÓN'!Q:S,3,0),"")</f>
        <v>4.03</v>
      </c>
    </row>
    <row r="86" spans="1:14">
      <c r="A86" s="71" t="s">
        <v>1415</v>
      </c>
      <c r="B86" s="499" t="s">
        <v>195</v>
      </c>
      <c r="C86" s="501">
        <v>0.1</v>
      </c>
      <c r="D86" s="71">
        <v>1176</v>
      </c>
      <c r="E86" s="71">
        <f>+Tabla13[[#This Row],[Suma de  Consumo (L/mes)]]*(1-Tabla13[[#This Row],[Optimización]])</f>
        <v>1058.4000000000001</v>
      </c>
      <c r="F86" s="71">
        <f>+Tabla13[[#This Row],[Suma de  Consumo (L/mes)]]-Tabla13[[#This Row],[Consumo optimizado lmes]]</f>
        <v>117.59999999999991</v>
      </c>
      <c r="G86" s="71">
        <v>7</v>
      </c>
      <c r="H86" s="500">
        <v>4</v>
      </c>
      <c r="I86" s="499" t="s">
        <v>287</v>
      </c>
      <c r="J86" s="500">
        <v>7.2</v>
      </c>
      <c r="K86" s="499">
        <f>+IFERROR(Tabla13[[#This Row],[Suma de  Consumo (L/mes)]]*Tabla13[[#This Row],[Precio '[USD/litro']]],"")</f>
        <v>8467.2000000000007</v>
      </c>
      <c r="L86" s="500">
        <f>+IFERROR(Tabla13[[#This Row],[Precio '[USD/litro']]]*Tabla13[[#This Row],[Consumo optimizado lmes]],"")</f>
        <v>7620.4800000000005</v>
      </c>
      <c r="M86" s="71">
        <f>IFERROR(Tabla13[[#This Row],[Costo total '[USD/mes']]]-Tabla13[[#This Row],[Costo optimizado '[USD/mes']]],"")</f>
        <v>846.72000000000025</v>
      </c>
      <c r="N86" s="71">
        <f>IFERROR(VLOOKUP(Tabla13[[#This Row],[Producto Químico, Denominación comercial]],'PUNTOS DE INYECCIÓN'!Q:S,3,0),"")</f>
        <v>4.4678609027105516</v>
      </c>
    </row>
    <row r="87" spans="1:14">
      <c r="B87" s="499" t="s">
        <v>202</v>
      </c>
      <c r="C87" s="501"/>
      <c r="D87" s="71">
        <v>1197</v>
      </c>
      <c r="E87" s="71">
        <f>+Tabla13[[#This Row],[Suma de  Consumo (L/mes)]]*(1-Tabla13[[#This Row],[Optimización]])</f>
        <v>1197</v>
      </c>
      <c r="F87" s="71">
        <f>+Tabla13[[#This Row],[Suma de  Consumo (L/mes)]]-Tabla13[[#This Row],[Consumo optimizado lmes]]</f>
        <v>0</v>
      </c>
      <c r="G87" s="71">
        <v>13</v>
      </c>
      <c r="H87" s="500">
        <v>6</v>
      </c>
      <c r="I87" s="499" t="s">
        <v>648</v>
      </c>
      <c r="J87" s="500">
        <v>3.21</v>
      </c>
      <c r="K87" s="499">
        <f>+IFERROR(Tabla13[[#This Row],[Suma de  Consumo (L/mes)]]*Tabla13[[#This Row],[Precio '[USD/litro']]],"")</f>
        <v>3842.37</v>
      </c>
      <c r="L87" s="500">
        <f>+IFERROR(Tabla13[[#This Row],[Precio '[USD/litro']]]*Tabla13[[#This Row],[Consumo optimizado lmes]],"")</f>
        <v>3842.37</v>
      </c>
      <c r="M87" s="71">
        <f>IFERROR(Tabla13[[#This Row],[Costo total '[USD/mes']]]-Tabla13[[#This Row],[Costo optimizado '[USD/mes']]],"")</f>
        <v>0</v>
      </c>
      <c r="N87" s="71">
        <f>IFERROR(VLOOKUP(Tabla13[[#This Row],[Producto Químico, Denominación comercial]],'PUNTOS DE INYECCIÓN'!Q:S,3,0),"")</f>
        <v>2.2799999999999998</v>
      </c>
    </row>
    <row r="88" spans="1:14">
      <c r="B88" s="499" t="s">
        <v>205</v>
      </c>
      <c r="C88" s="501"/>
      <c r="D88" s="71">
        <v>533</v>
      </c>
      <c r="E88" s="71">
        <f>+Tabla13[[#This Row],[Suma de  Consumo (L/mes)]]*(1-Tabla13[[#This Row],[Optimización]])</f>
        <v>533</v>
      </c>
      <c r="F88" s="71">
        <f>+Tabla13[[#This Row],[Suma de  Consumo (L/mes)]]-Tabla13[[#This Row],[Consumo optimizado lmes]]</f>
        <v>0</v>
      </c>
      <c r="G88" s="71">
        <v>1</v>
      </c>
      <c r="H88" s="500">
        <v>7</v>
      </c>
      <c r="I88" s="499" t="s">
        <v>208</v>
      </c>
      <c r="J88" s="500">
        <v>4.0199999999999996</v>
      </c>
      <c r="K88" s="499">
        <f>+IFERROR(Tabla13[[#This Row],[Suma de  Consumo (L/mes)]]*Tabla13[[#This Row],[Precio '[USD/litro']]],"")</f>
        <v>2142.66</v>
      </c>
      <c r="L88" s="500">
        <f>+IFERROR(Tabla13[[#This Row],[Precio '[USD/litro']]]*Tabla13[[#This Row],[Consumo optimizado lmes]],"")</f>
        <v>2142.66</v>
      </c>
      <c r="M88" s="71">
        <f>IFERROR(Tabla13[[#This Row],[Costo total '[USD/mes']]]-Tabla13[[#This Row],[Costo optimizado '[USD/mes']]],"")</f>
        <v>0</v>
      </c>
      <c r="N88" s="71">
        <f>IFERROR(VLOOKUP(Tabla13[[#This Row],[Producto Químico, Denominación comercial]],'PUNTOS DE INYECCIÓN'!Q:S,3,0),"")</f>
        <v>1.8969840434471943</v>
      </c>
    </row>
    <row r="89" spans="1:14">
      <c r="B89" s="499" t="s">
        <v>289</v>
      </c>
      <c r="C89" s="501"/>
      <c r="D89" s="71">
        <v>0</v>
      </c>
      <c r="E89" s="71">
        <f>+Tabla13[[#This Row],[Suma de  Consumo (L/mes)]]*(1-Tabla13[[#This Row],[Optimización]])</f>
        <v>0</v>
      </c>
      <c r="F89" s="71">
        <f>+Tabla13[[#This Row],[Suma de  Consumo (L/mes)]]-Tabla13[[#This Row],[Consumo optimizado lmes]]</f>
        <v>0</v>
      </c>
      <c r="H89" s="500">
        <v>2</v>
      </c>
      <c r="I89" s="499"/>
      <c r="J89" s="500" t="s">
        <v>471</v>
      </c>
      <c r="K89" s="499" t="str">
        <f>+IFERROR(Tabla13[[#This Row],[Suma de  Consumo (L/mes)]]*Tabla13[[#This Row],[Precio '[USD/litro']]],"")</f>
        <v/>
      </c>
      <c r="L89" s="500" t="str">
        <f>+IFERROR(Tabla13[[#This Row],[Precio '[USD/litro']]]*Tabla13[[#This Row],[Consumo optimizado lmes]],"")</f>
        <v/>
      </c>
      <c r="M89" s="71" t="str">
        <f>IFERROR(Tabla13[[#This Row],[Costo total '[USD/mes']]]-Tabla13[[#This Row],[Costo optimizado '[USD/mes']]],"")</f>
        <v/>
      </c>
      <c r="N89" s="71" t="str">
        <f>IFERROR(VLOOKUP(Tabla13[[#This Row],[Producto Químico, Denominación comercial]],'PUNTOS DE INYECCIÓN'!Q:S,3,0),"")</f>
        <v/>
      </c>
    </row>
    <row r="90" spans="1:14">
      <c r="B90" s="499" t="s">
        <v>224</v>
      </c>
      <c r="C90" s="501"/>
      <c r="D90" s="71">
        <v>0</v>
      </c>
      <c r="E90" s="71">
        <f>+Tabla13[[#This Row],[Suma de  Consumo (L/mes)]]*(1-Tabla13[[#This Row],[Optimización]])</f>
        <v>0</v>
      </c>
      <c r="F90" s="71">
        <f>+Tabla13[[#This Row],[Suma de  Consumo (L/mes)]]-Tabla13[[#This Row],[Consumo optimizado lmes]]</f>
        <v>0</v>
      </c>
      <c r="G90" s="71">
        <v>1</v>
      </c>
      <c r="H90" s="500"/>
      <c r="I90" s="499" t="s">
        <v>226</v>
      </c>
      <c r="J90" s="500">
        <v>2.31</v>
      </c>
      <c r="K90" s="499">
        <f>+IFERROR(Tabla13[[#This Row],[Suma de  Consumo (L/mes)]]*Tabla13[[#This Row],[Precio '[USD/litro']]],"")</f>
        <v>0</v>
      </c>
      <c r="L90" s="500">
        <f>+IFERROR(Tabla13[[#This Row],[Precio '[USD/litro']]]*Tabla13[[#This Row],[Consumo optimizado lmes]],"")</f>
        <v>0</v>
      </c>
      <c r="M90" s="71">
        <f>IFERROR(Tabla13[[#This Row],[Costo total '[USD/mes']]]-Tabla13[[#This Row],[Costo optimizado '[USD/mes']]],"")</f>
        <v>0</v>
      </c>
      <c r="N90" s="71">
        <f>IFERROR(VLOOKUP(Tabla13[[#This Row],[Producto Químico, Denominación comercial]],'PUNTOS DE INYECCIÓN'!Q:S,3,0),"")</f>
        <v>1.8266571757018397</v>
      </c>
    </row>
    <row r="91" spans="1:14">
      <c r="B91" s="502" t="s">
        <v>101</v>
      </c>
      <c r="C91" s="503"/>
      <c r="D91" s="71">
        <v>78935</v>
      </c>
      <c r="E91" s="71">
        <f>+Tabla13[[#This Row],[Suma de  Consumo (L/mes)]]*(1-Tabla13[[#This Row],[Optimización]])</f>
        <v>78935</v>
      </c>
      <c r="F91" s="71">
        <f>+Tabla13[[#This Row],[Suma de  Consumo (L/mes)]]-Tabla13[[#This Row],[Consumo optimizado lmes]]</f>
        <v>0</v>
      </c>
      <c r="G91" s="71">
        <v>210</v>
      </c>
      <c r="H91" s="500">
        <v>165</v>
      </c>
      <c r="I91" s="499"/>
      <c r="J91" s="500"/>
      <c r="K91" s="499">
        <f>+IFERROR(Tabla13[[#This Row],[Suma de  Consumo (L/mes)]]*Tabla13[[#This Row],[Precio '[USD/litro']]],"")</f>
        <v>0</v>
      </c>
      <c r="L91" s="500">
        <f>+IFERROR(Tabla13[[#This Row],[Precio '[USD/litro']]]*Tabla13[[#This Row],[Consumo optimizado lmes]],"")</f>
        <v>0</v>
      </c>
      <c r="M91" s="71">
        <f>IFERROR(Tabla13[[#This Row],[Costo total '[USD/mes']]]-Tabla13[[#This Row],[Costo optimizado '[USD/mes']]],"")</f>
        <v>0</v>
      </c>
      <c r="N91" s="71" t="str">
        <f>IFERROR(VLOOKUP(Tabla13[[#This Row],[Producto Químico, Denominación comercial]],'PUNTOS DE INYECCIÓN'!Q:S,3,0),"")</f>
        <v/>
      </c>
    </row>
    <row r="92" spans="1:14">
      <c r="A92" s="71" t="s">
        <v>1416</v>
      </c>
      <c r="B92" s="499" t="s">
        <v>166</v>
      </c>
      <c r="C92" s="501">
        <v>0.15</v>
      </c>
      <c r="D92" s="71">
        <v>15187</v>
      </c>
      <c r="E92" s="71">
        <f>+Tabla13[[#This Row],[Suma de  Consumo (L/mes)]]*(1-Tabla13[[#This Row],[Optimización]])</f>
        <v>12908.949999999999</v>
      </c>
      <c r="F92" s="71">
        <f>+Tabla13[[#This Row],[Suma de  Consumo (L/mes)]]-Tabla13[[#This Row],[Consumo optimizado lmes]]</f>
        <v>2278.0500000000011</v>
      </c>
      <c r="G92" s="71">
        <v>10</v>
      </c>
      <c r="H92" s="500">
        <v>28</v>
      </c>
      <c r="I92" s="499" t="s">
        <v>301</v>
      </c>
      <c r="J92" s="500">
        <v>2.84</v>
      </c>
      <c r="K92" s="499">
        <f>+IFERROR(Tabla13[[#This Row],[Suma de  Consumo (L/mes)]]*Tabla13[[#This Row],[Precio '[USD/litro']]],"")</f>
        <v>43131.079999999994</v>
      </c>
      <c r="L92" s="500">
        <f>+IFERROR(Tabla13[[#This Row],[Precio '[USD/litro']]]*Tabla13[[#This Row],[Consumo optimizado lmes]],"")</f>
        <v>36661.417999999998</v>
      </c>
      <c r="M92" s="71">
        <f>IFERROR(Tabla13[[#This Row],[Costo total '[USD/mes']]]-Tabla13[[#This Row],[Costo optimizado '[USD/mes']]],"")</f>
        <v>6469.6619999999966</v>
      </c>
      <c r="N92" s="71">
        <f>IFERROR(VLOOKUP(Tabla13[[#This Row],[Producto Químico, Denominación comercial]],'PUNTOS DE INYECCIÓN'!Q:S,3,0),"")</f>
        <v>1.8797532066795741</v>
      </c>
    </row>
    <row r="93" spans="1:14">
      <c r="A93" s="71" t="s">
        <v>1417</v>
      </c>
      <c r="B93" s="499" t="s">
        <v>175</v>
      </c>
      <c r="C93" s="501">
        <v>0.15</v>
      </c>
      <c r="D93" s="71">
        <v>60</v>
      </c>
      <c r="E93" s="71">
        <f>+Tabla13[[#This Row],[Suma de  Consumo (L/mes)]]*(1-Tabla13[[#This Row],[Optimización]])</f>
        <v>51</v>
      </c>
      <c r="F93" s="71">
        <f>+Tabla13[[#This Row],[Suma de  Consumo (L/mes)]]-Tabla13[[#This Row],[Consumo optimizado lmes]]</f>
        <v>9</v>
      </c>
      <c r="H93" s="500">
        <v>2</v>
      </c>
      <c r="I93" s="499" t="s">
        <v>303</v>
      </c>
      <c r="J93" s="500">
        <v>6.62</v>
      </c>
      <c r="K93" s="499">
        <f>+IFERROR(Tabla13[[#This Row],[Suma de  Consumo (L/mes)]]*Tabla13[[#This Row],[Precio '[USD/litro']]],"")</f>
        <v>397.2</v>
      </c>
      <c r="L93" s="500">
        <f>+IFERROR(Tabla13[[#This Row],[Precio '[USD/litro']]]*Tabla13[[#This Row],[Consumo optimizado lmes]],"")</f>
        <v>337.62</v>
      </c>
      <c r="M93" s="71">
        <f>IFERROR(Tabla13[[#This Row],[Costo total '[USD/mes']]]-Tabla13[[#This Row],[Costo optimizado '[USD/mes']]],"")</f>
        <v>59.579999999999984</v>
      </c>
      <c r="N93" s="71">
        <f>IFERROR(VLOOKUP(Tabla13[[#This Row],[Producto Químico, Denominación comercial]],'PUNTOS DE INYECCIÓN'!Q:S,3,0),"")</f>
        <v>3.77</v>
      </c>
    </row>
    <row r="94" spans="1:14">
      <c r="B94" s="499" t="s">
        <v>178</v>
      </c>
      <c r="C94" s="501"/>
      <c r="D94" s="71">
        <v>1880</v>
      </c>
      <c r="E94" s="71">
        <f>+Tabla13[[#This Row],[Suma de  Consumo (L/mes)]]*(1-Tabla13[[#This Row],[Optimización]])</f>
        <v>1880</v>
      </c>
      <c r="F94" s="71">
        <f>+Tabla13[[#This Row],[Suma de  Consumo (L/mes)]]-Tabla13[[#This Row],[Consumo optimizado lmes]]</f>
        <v>0</v>
      </c>
      <c r="H94" s="500">
        <v>2</v>
      </c>
      <c r="I94" s="499" t="s">
        <v>179</v>
      </c>
      <c r="J94" s="500">
        <v>2.74</v>
      </c>
      <c r="K94" s="499">
        <f>+IFERROR(Tabla13[[#This Row],[Suma de  Consumo (L/mes)]]*Tabla13[[#This Row],[Precio '[USD/litro']]],"")</f>
        <v>5151.2000000000007</v>
      </c>
      <c r="L94" s="500">
        <f>+IFERROR(Tabla13[[#This Row],[Precio '[USD/litro']]]*Tabla13[[#This Row],[Consumo optimizado lmes]],"")</f>
        <v>5151.2000000000007</v>
      </c>
      <c r="M94" s="71">
        <f>IFERROR(Tabla13[[#This Row],[Costo total '[USD/mes']]]-Tabla13[[#This Row],[Costo optimizado '[USD/mes']]],"")</f>
        <v>0</v>
      </c>
      <c r="N94" s="71">
        <f>IFERROR(VLOOKUP(Tabla13[[#This Row],[Producto Químico, Denominación comercial]],'PUNTOS DE INYECCIÓN'!Q:S,3,0),"")</f>
        <v>1.504731491417457</v>
      </c>
    </row>
    <row r="95" spans="1:14">
      <c r="B95" s="499" t="s">
        <v>180</v>
      </c>
      <c r="C95" s="501"/>
      <c r="D95" s="71">
        <v>10472</v>
      </c>
      <c r="E95" s="71">
        <f>+Tabla13[[#This Row],[Suma de  Consumo (L/mes)]]*(1-Tabla13[[#This Row],[Optimización]])</f>
        <v>10472</v>
      </c>
      <c r="F95" s="71">
        <f>+Tabla13[[#This Row],[Suma de  Consumo (L/mes)]]-Tabla13[[#This Row],[Consumo optimizado lmes]]</f>
        <v>0</v>
      </c>
      <c r="G95" s="71">
        <v>5</v>
      </c>
      <c r="H95" s="500">
        <v>26</v>
      </c>
      <c r="I95" s="499" t="s">
        <v>303</v>
      </c>
      <c r="J95" s="500">
        <v>6.62</v>
      </c>
      <c r="K95" s="499">
        <f>+IFERROR(Tabla13[[#This Row],[Suma de  Consumo (L/mes)]]*Tabla13[[#This Row],[Precio '[USD/litro']]],"")</f>
        <v>69324.639999999999</v>
      </c>
      <c r="L95" s="500">
        <f>+IFERROR(Tabla13[[#This Row],[Precio '[USD/litro']]]*Tabla13[[#This Row],[Consumo optimizado lmes]],"")</f>
        <v>69324.639999999999</v>
      </c>
      <c r="M95" s="71">
        <f>IFERROR(Tabla13[[#This Row],[Costo total '[USD/mes']]]-Tabla13[[#This Row],[Costo optimizado '[USD/mes']]],"")</f>
        <v>0</v>
      </c>
      <c r="N95" s="71">
        <f>IFERROR(VLOOKUP(Tabla13[[#This Row],[Producto Químico, Denominación comercial]],'PUNTOS DE INYECCIÓN'!Q:S,3,0),"")</f>
        <v>3.77</v>
      </c>
    </row>
    <row r="96" spans="1:14">
      <c r="B96" s="499" t="s">
        <v>187</v>
      </c>
      <c r="C96" s="501"/>
      <c r="D96" s="71">
        <v>330</v>
      </c>
      <c r="E96" s="71">
        <f>+Tabla13[[#This Row],[Suma de  Consumo (L/mes)]]*(1-Tabla13[[#This Row],[Optimización]])</f>
        <v>330</v>
      </c>
      <c r="F96" s="71">
        <f>+Tabla13[[#This Row],[Suma de  Consumo (L/mes)]]-Tabla13[[#This Row],[Consumo optimizado lmes]]</f>
        <v>0</v>
      </c>
      <c r="H96" s="500">
        <v>2</v>
      </c>
      <c r="I96" s="499" t="s">
        <v>188</v>
      </c>
      <c r="J96" s="500">
        <v>1.51</v>
      </c>
      <c r="K96" s="499">
        <f>+IFERROR(Tabla13[[#This Row],[Suma de  Consumo (L/mes)]]*Tabla13[[#This Row],[Precio '[USD/litro']]],"")</f>
        <v>498.3</v>
      </c>
      <c r="L96" s="500">
        <f>+IFERROR(Tabla13[[#This Row],[Precio '[USD/litro']]]*Tabla13[[#This Row],[Consumo optimizado lmes]],"")</f>
        <v>498.3</v>
      </c>
      <c r="M96" s="71">
        <f>IFERROR(Tabla13[[#This Row],[Costo total '[USD/mes']]]-Tabla13[[#This Row],[Costo optimizado '[USD/mes']]],"")</f>
        <v>0</v>
      </c>
      <c r="N96" s="71">
        <f>IFERROR(VLOOKUP(Tabla13[[#This Row],[Producto Químico, Denominación comercial]],'PUNTOS DE INYECCIÓN'!Q:S,3,0),"")</f>
        <v>0.96794871794871795</v>
      </c>
    </row>
    <row r="97" spans="1:14">
      <c r="B97" s="499" t="s">
        <v>195</v>
      </c>
      <c r="C97" s="501"/>
      <c r="D97" s="71">
        <v>656</v>
      </c>
      <c r="E97" s="71">
        <f>+Tabla13[[#This Row],[Suma de  Consumo (L/mes)]]*(1-Tabla13[[#This Row],[Optimización]])</f>
        <v>656</v>
      </c>
      <c r="F97" s="71">
        <f>+Tabla13[[#This Row],[Suma de  Consumo (L/mes)]]-Tabla13[[#This Row],[Consumo optimizado lmes]]</f>
        <v>0</v>
      </c>
      <c r="G97" s="71">
        <v>3</v>
      </c>
      <c r="H97" s="500">
        <v>2</v>
      </c>
      <c r="I97" s="499" t="s">
        <v>246</v>
      </c>
      <c r="J97" s="500">
        <v>6.61</v>
      </c>
      <c r="K97" s="499">
        <f>+IFERROR(Tabla13[[#This Row],[Suma de  Consumo (L/mes)]]*Tabla13[[#This Row],[Precio '[USD/litro']]],"")</f>
        <v>4336.16</v>
      </c>
      <c r="L97" s="500">
        <f>+IFERROR(Tabla13[[#This Row],[Precio '[USD/litro']]]*Tabla13[[#This Row],[Consumo optimizado lmes]],"")</f>
        <v>4336.16</v>
      </c>
      <c r="M97" s="71">
        <f>IFERROR(Tabla13[[#This Row],[Costo total '[USD/mes']]]-Tabla13[[#This Row],[Costo optimizado '[USD/mes']]],"")</f>
        <v>0</v>
      </c>
      <c r="N97" s="71">
        <f>IFERROR(VLOOKUP(Tabla13[[#This Row],[Producto Químico, Denominación comercial]],'PUNTOS DE INYECCIÓN'!Q:S,3,0),"")</f>
        <v>5.0541526074536618</v>
      </c>
    </row>
    <row r="98" spans="1:14">
      <c r="A98" s="71" t="s">
        <v>1418</v>
      </c>
      <c r="B98" s="499" t="s">
        <v>200</v>
      </c>
      <c r="C98" s="501">
        <v>0.15</v>
      </c>
      <c r="D98" s="71">
        <v>1282</v>
      </c>
      <c r="E98" s="71">
        <f>+Tabla13[[#This Row],[Suma de  Consumo (L/mes)]]*(1-Tabla13[[#This Row],[Optimización]])</f>
        <v>1089.7</v>
      </c>
      <c r="F98" s="71">
        <f>+Tabla13[[#This Row],[Suma de  Consumo (L/mes)]]-Tabla13[[#This Row],[Consumo optimizado lmes]]</f>
        <v>192.29999999999995</v>
      </c>
      <c r="H98" s="500">
        <v>2</v>
      </c>
      <c r="I98" s="499" t="s">
        <v>282</v>
      </c>
      <c r="J98" s="500">
        <v>4.5999999999999996</v>
      </c>
      <c r="K98" s="499">
        <f>+IFERROR(Tabla13[[#This Row],[Suma de  Consumo (L/mes)]]*Tabla13[[#This Row],[Precio '[USD/litro']]],"")</f>
        <v>5897.2</v>
      </c>
      <c r="L98" s="500">
        <f>+IFERROR(Tabla13[[#This Row],[Precio '[USD/litro']]]*Tabla13[[#This Row],[Consumo optimizado lmes]],"")</f>
        <v>5012.62</v>
      </c>
      <c r="M98" s="71">
        <f>IFERROR(Tabla13[[#This Row],[Costo total '[USD/mes']]]-Tabla13[[#This Row],[Costo optimizado '[USD/mes']]],"")</f>
        <v>884.57999999999993</v>
      </c>
      <c r="N98" s="71">
        <f>IFERROR(VLOOKUP(Tabla13[[#This Row],[Producto Químico, Denominación comercial]],'PUNTOS DE INYECCIÓN'!Q:S,3,0),"")</f>
        <v>2.031723017523126</v>
      </c>
    </row>
    <row r="99" spans="1:14">
      <c r="A99" s="71" t="s">
        <v>1419</v>
      </c>
      <c r="B99" s="499" t="s">
        <v>202</v>
      </c>
      <c r="C99" s="501">
        <v>0.1</v>
      </c>
      <c r="D99" s="71">
        <v>33172</v>
      </c>
      <c r="E99" s="71">
        <f>+Tabla13[[#This Row],[Suma de  Consumo (L/mes)]]*(1-Tabla13[[#This Row],[Optimización]])</f>
        <v>29854.799999999999</v>
      </c>
      <c r="F99" s="71">
        <f>+Tabla13[[#This Row],[Suma de  Consumo (L/mes)]]-Tabla13[[#This Row],[Consumo optimizado lmes]]</f>
        <v>3317.2000000000007</v>
      </c>
      <c r="G99" s="71">
        <v>190</v>
      </c>
      <c r="H99" s="500">
        <v>43</v>
      </c>
      <c r="I99" s="499" t="s">
        <v>648</v>
      </c>
      <c r="J99" s="500">
        <v>3.21</v>
      </c>
      <c r="K99" s="499">
        <f>+IFERROR(Tabla13[[#This Row],[Suma de  Consumo (L/mes)]]*Tabla13[[#This Row],[Precio '[USD/litro']]],"")</f>
        <v>106482.12</v>
      </c>
      <c r="L99" s="500">
        <f>+IFERROR(Tabla13[[#This Row],[Precio '[USD/litro']]]*Tabla13[[#This Row],[Consumo optimizado lmes]],"")</f>
        <v>95833.907999999996</v>
      </c>
      <c r="M99" s="71">
        <f>IFERROR(Tabla13[[#This Row],[Costo total '[USD/mes']]]-Tabla13[[#This Row],[Costo optimizado '[USD/mes']]],"")</f>
        <v>10648.212</v>
      </c>
      <c r="N99" s="71">
        <f>IFERROR(VLOOKUP(Tabla13[[#This Row],[Producto Químico, Denominación comercial]],'PUNTOS DE INYECCIÓN'!Q:S,3,0),"")</f>
        <v>2.2799999999999998</v>
      </c>
    </row>
    <row r="100" spans="1:14">
      <c r="B100" s="499" t="s">
        <v>248</v>
      </c>
      <c r="C100" s="501"/>
      <c r="D100" s="71">
        <v>0</v>
      </c>
      <c r="E100" s="71">
        <f>+Tabla13[[#This Row],[Suma de  Consumo (L/mes)]]*(1-Tabla13[[#This Row],[Optimización]])</f>
        <v>0</v>
      </c>
      <c r="F100" s="71">
        <f>+Tabla13[[#This Row],[Suma de  Consumo (L/mes)]]-Tabla13[[#This Row],[Consumo optimizado lmes]]</f>
        <v>0</v>
      </c>
      <c r="H100" s="500">
        <v>6</v>
      </c>
      <c r="I100" s="499"/>
      <c r="J100" s="500" t="s">
        <v>471</v>
      </c>
      <c r="K100" s="499" t="str">
        <f>+IFERROR(Tabla13[[#This Row],[Suma de  Consumo (L/mes)]]*Tabla13[[#This Row],[Precio '[USD/litro']]],"")</f>
        <v/>
      </c>
      <c r="L100" s="500" t="str">
        <f>+IFERROR(Tabla13[[#This Row],[Precio '[USD/litro']]]*Tabla13[[#This Row],[Consumo optimizado lmes]],"")</f>
        <v/>
      </c>
      <c r="M100" s="71" t="str">
        <f>IFERROR(Tabla13[[#This Row],[Costo total '[USD/mes']]]-Tabla13[[#This Row],[Costo optimizado '[USD/mes']]],"")</f>
        <v/>
      </c>
      <c r="N100" s="71" t="str">
        <f>IFERROR(VLOOKUP(Tabla13[[#This Row],[Producto Químico, Denominación comercial]],'PUNTOS DE INYECCIÓN'!Q:S,3,0),"")</f>
        <v/>
      </c>
    </row>
    <row r="101" spans="1:14">
      <c r="A101" s="71" t="s">
        <v>1418</v>
      </c>
      <c r="B101" s="499" t="s">
        <v>205</v>
      </c>
      <c r="C101" s="501">
        <v>0.15</v>
      </c>
      <c r="D101" s="71">
        <v>11476</v>
      </c>
      <c r="E101" s="71">
        <f>+Tabla13[[#This Row],[Suma de  Consumo (L/mes)]]*(1-Tabla13[[#This Row],[Optimización]])</f>
        <v>9754.6</v>
      </c>
      <c r="F101" s="71">
        <f>+Tabla13[[#This Row],[Suma de  Consumo (L/mes)]]-Tabla13[[#This Row],[Consumo optimizado lmes]]</f>
        <v>1721.3999999999996</v>
      </c>
      <c r="G101" s="71">
        <v>2</v>
      </c>
      <c r="H101" s="500">
        <v>34</v>
      </c>
      <c r="I101" s="499" t="s">
        <v>208</v>
      </c>
      <c r="J101" s="500">
        <v>4.0199999999999996</v>
      </c>
      <c r="K101" s="499">
        <f>+IFERROR(Tabla13[[#This Row],[Suma de  Consumo (L/mes)]]*Tabla13[[#This Row],[Precio '[USD/litro']]],"")</f>
        <v>46133.52</v>
      </c>
      <c r="L101" s="500">
        <f>+IFERROR(Tabla13[[#This Row],[Precio '[USD/litro']]]*Tabla13[[#This Row],[Consumo optimizado lmes]],"")</f>
        <v>39213.491999999998</v>
      </c>
      <c r="M101" s="71">
        <f>IFERROR(Tabla13[[#This Row],[Costo total '[USD/mes']]]-Tabla13[[#This Row],[Costo optimizado '[USD/mes']]],"")</f>
        <v>6920.0279999999984</v>
      </c>
      <c r="N101" s="71">
        <f>IFERROR(VLOOKUP(Tabla13[[#This Row],[Producto Químico, Denominación comercial]],'PUNTOS DE INYECCIÓN'!Q:S,3,0),"")</f>
        <v>1.8969840434471943</v>
      </c>
    </row>
    <row r="102" spans="1:14">
      <c r="B102" s="499" t="s">
        <v>219</v>
      </c>
      <c r="C102" s="501"/>
      <c r="D102" s="71">
        <v>250</v>
      </c>
      <c r="E102" s="71">
        <f>+Tabla13[[#This Row],[Suma de  Consumo (L/mes)]]*(1-Tabla13[[#This Row],[Optimización]])</f>
        <v>250</v>
      </c>
      <c r="F102" s="71">
        <f>+Tabla13[[#This Row],[Suma de  Consumo (L/mes)]]-Tabla13[[#This Row],[Consumo optimizado lmes]]</f>
        <v>0</v>
      </c>
      <c r="H102" s="500">
        <v>2</v>
      </c>
      <c r="I102" s="499"/>
      <c r="J102" s="500" t="s">
        <v>471</v>
      </c>
      <c r="K102" s="499" t="str">
        <f>+IFERROR(Tabla13[[#This Row],[Suma de  Consumo (L/mes)]]*Tabla13[[#This Row],[Precio '[USD/litro']]],"")</f>
        <v/>
      </c>
      <c r="L102" s="500" t="str">
        <f>+IFERROR(Tabla13[[#This Row],[Precio '[USD/litro']]]*Tabla13[[#This Row],[Consumo optimizado lmes]],"")</f>
        <v/>
      </c>
      <c r="M102" s="71" t="str">
        <f>IFERROR(Tabla13[[#This Row],[Costo total '[USD/mes']]]-Tabla13[[#This Row],[Costo optimizado '[USD/mes']]],"")</f>
        <v/>
      </c>
      <c r="N102" s="71" t="str">
        <f>IFERROR(VLOOKUP(Tabla13[[#This Row],[Producto Químico, Denominación comercial]],'PUNTOS DE INYECCIÓN'!Q:S,3,0),"")</f>
        <v/>
      </c>
    </row>
    <row r="103" spans="1:14">
      <c r="B103" s="499" t="s">
        <v>221</v>
      </c>
      <c r="C103" s="501"/>
      <c r="D103" s="71">
        <v>0</v>
      </c>
      <c r="E103" s="71">
        <f>+Tabla13[[#This Row],[Suma de  Consumo (L/mes)]]*(1-Tabla13[[#This Row],[Optimización]])</f>
        <v>0</v>
      </c>
      <c r="F103" s="71">
        <f>+Tabla13[[#This Row],[Suma de  Consumo (L/mes)]]-Tabla13[[#This Row],[Consumo optimizado lmes]]</f>
        <v>0</v>
      </c>
      <c r="H103" s="500">
        <v>2</v>
      </c>
      <c r="I103" s="499"/>
      <c r="J103" s="500" t="s">
        <v>471</v>
      </c>
      <c r="K103" s="499" t="str">
        <f>+IFERROR(Tabla13[[#This Row],[Suma de  Consumo (L/mes)]]*Tabla13[[#This Row],[Precio '[USD/litro']]],"")</f>
        <v/>
      </c>
      <c r="L103" s="500" t="str">
        <f>+IFERROR(Tabla13[[#This Row],[Precio '[USD/litro']]]*Tabla13[[#This Row],[Consumo optimizado lmes]],"")</f>
        <v/>
      </c>
      <c r="M103" s="71" t="str">
        <f>IFERROR(Tabla13[[#This Row],[Costo total '[USD/mes']]]-Tabla13[[#This Row],[Costo optimizado '[USD/mes']]],"")</f>
        <v/>
      </c>
      <c r="N103" s="71" t="str">
        <f>IFERROR(VLOOKUP(Tabla13[[#This Row],[Producto Químico, Denominación comercial]],'PUNTOS DE INYECCIÓN'!Q:S,3,0),"")</f>
        <v/>
      </c>
    </row>
    <row r="104" spans="1:14">
      <c r="B104" s="499" t="s">
        <v>224</v>
      </c>
      <c r="C104" s="501"/>
      <c r="D104" s="71">
        <v>3670</v>
      </c>
      <c r="E104" s="71">
        <f>+Tabla13[[#This Row],[Suma de  Consumo (L/mes)]]*(1-Tabla13[[#This Row],[Optimización]])</f>
        <v>3670</v>
      </c>
      <c r="F104" s="71">
        <f>+Tabla13[[#This Row],[Suma de  Consumo (L/mes)]]-Tabla13[[#This Row],[Consumo optimizado lmes]]</f>
        <v>0</v>
      </c>
      <c r="H104" s="500">
        <v>12</v>
      </c>
      <c r="I104" s="499" t="s">
        <v>226</v>
      </c>
      <c r="J104" s="500">
        <v>2.31</v>
      </c>
      <c r="K104" s="499">
        <f>+IFERROR(Tabla13[[#This Row],[Suma de  Consumo (L/mes)]]*Tabla13[[#This Row],[Precio '[USD/litro']]],"")</f>
        <v>8477.7000000000007</v>
      </c>
      <c r="L104" s="500">
        <f>+IFERROR(Tabla13[[#This Row],[Precio '[USD/litro']]]*Tabla13[[#This Row],[Consumo optimizado lmes]],"")</f>
        <v>8477.7000000000007</v>
      </c>
      <c r="M104" s="71">
        <f>IFERROR(Tabla13[[#This Row],[Costo total '[USD/mes']]]-Tabla13[[#This Row],[Costo optimizado '[USD/mes']]],"")</f>
        <v>0</v>
      </c>
      <c r="N104" s="71">
        <f>IFERROR(VLOOKUP(Tabla13[[#This Row],[Producto Químico, Denominación comercial]],'PUNTOS DE INYECCIÓN'!Q:S,3,0),"")</f>
        <v>1.8266571757018397</v>
      </c>
    </row>
    <row r="105" spans="1:14">
      <c r="B105" s="499" t="s">
        <v>227</v>
      </c>
      <c r="C105" s="501"/>
      <c r="D105" s="71">
        <v>500</v>
      </c>
      <c r="E105" s="71">
        <f>+Tabla13[[#This Row],[Suma de  Consumo (L/mes)]]*(1-Tabla13[[#This Row],[Optimización]])</f>
        <v>500</v>
      </c>
      <c r="F105" s="71">
        <f>+Tabla13[[#This Row],[Suma de  Consumo (L/mes)]]-Tabla13[[#This Row],[Consumo optimizado lmes]]</f>
        <v>0</v>
      </c>
      <c r="H105" s="500">
        <v>2</v>
      </c>
      <c r="I105" s="499" t="s">
        <v>610</v>
      </c>
      <c r="J105" s="500">
        <v>2.4500000000000002</v>
      </c>
      <c r="K105" s="499">
        <f>+IFERROR(Tabla13[[#This Row],[Suma de  Consumo (L/mes)]]*Tabla13[[#This Row],[Precio '[USD/litro']]],"")</f>
        <v>1225</v>
      </c>
      <c r="L105" s="500">
        <f>+IFERROR(Tabla13[[#This Row],[Precio '[USD/litro']]]*Tabla13[[#This Row],[Consumo optimizado lmes]],"")</f>
        <v>1225</v>
      </c>
      <c r="M105" s="71">
        <f>IFERROR(Tabla13[[#This Row],[Costo total '[USD/mes']]]-Tabla13[[#This Row],[Costo optimizado '[USD/mes']]],"")</f>
        <v>0</v>
      </c>
      <c r="N105" s="71">
        <f>IFERROR(VLOOKUP(Tabla13[[#This Row],[Producto Químico, Denominación comercial]],'PUNTOS DE INYECCIÓN'!Q:S,3,0),"")</f>
        <v>2.4700000000000002</v>
      </c>
    </row>
    <row r="106" spans="1:14">
      <c r="B106" s="499" t="s">
        <v>305</v>
      </c>
      <c r="C106" s="501"/>
      <c r="D106" s="71">
        <v>366878.82999999996</v>
      </c>
      <c r="E106" s="71">
        <f>+Tabla13[[#This Row],[Suma de  Consumo (L/mes)]]*(1-Tabla13[[#This Row],[Optimización]])</f>
        <v>366878.82999999996</v>
      </c>
      <c r="F106" s="71">
        <f>+Tabla13[[#This Row],[Suma de  Consumo (L/mes)]]-Tabla13[[#This Row],[Consumo optimizado lmes]]</f>
        <v>0</v>
      </c>
      <c r="G106" s="71">
        <v>1145</v>
      </c>
      <c r="H106" s="500">
        <v>695</v>
      </c>
      <c r="I106" s="499"/>
      <c r="J106" s="500" t="s">
        <v>471</v>
      </c>
      <c r="K106" s="499" t="str">
        <f>+IFERROR(Tabla13[[#This Row],[Suma de  Consumo (L/mes)]]*Tabla13[[#This Row],[Precio '[USD/litro']]],"")</f>
        <v/>
      </c>
      <c r="L106" s="500" t="str">
        <f>+IFERROR(Tabla13[[#This Row],[Precio '[USD/litro']]]*Tabla13[[#This Row],[Consumo optimizado lmes]],"")</f>
        <v/>
      </c>
      <c r="M106" s="71" t="str">
        <f>IFERROR(Tabla13[[#This Row],[Costo total '[USD/mes']]]-Tabla13[[#This Row],[Costo optimizado '[USD/mes']]],"")</f>
        <v/>
      </c>
      <c r="N106" s="71" t="str">
        <f>IFERROR(VLOOKUP(Tabla13[[#This Row],[Producto Químico, Denominación comercial]],'PUNTOS DE INYECCIÓN'!Q:S,3,0),"")</f>
        <v/>
      </c>
    </row>
    <row r="107" spans="1:14">
      <c r="B107" s="499" t="s">
        <v>205</v>
      </c>
      <c r="C107" s="501"/>
      <c r="D107" s="71">
        <v>2</v>
      </c>
      <c r="E107" s="71">
        <f>+Tabla13[[#This Row],[Suma de  Consumo (L/mes)]]*(1-Tabla13[[#This Row],[Optimización]])</f>
        <v>2</v>
      </c>
      <c r="F107" s="71">
        <f>+Tabla13[[#This Row],[Suma de  Consumo (L/mes)]]-Tabla13[[#This Row],[Consumo optimizado lmes]]</f>
        <v>0</v>
      </c>
      <c r="G107" s="71">
        <v>34</v>
      </c>
      <c r="H107" s="500"/>
      <c r="I107" s="499"/>
      <c r="J107" s="500" t="s">
        <v>471</v>
      </c>
      <c r="K107" s="499" t="str">
        <f>+IFERROR(Tabla13[[#This Row],[Suma de  Consumo (L/mes)]]*Tabla13[[#This Row],[Precio '[USD/litro']]],"")</f>
        <v/>
      </c>
      <c r="L107" s="500" t="str">
        <f>+IFERROR(Tabla13[[#This Row],[Precio '[USD/litro']]]*Tabla13[[#This Row],[Consumo optimizado lmes]],"")</f>
        <v/>
      </c>
      <c r="M107" s="71" t="str">
        <f>IFERROR(Tabla13[[#This Row],[Costo total '[USD/mes']]]-Tabla13[[#This Row],[Costo optimizado '[USD/mes']]],"")</f>
        <v/>
      </c>
      <c r="N107" s="71" t="str">
        <f>IFERROR(VLOOKUP(Tabla13[[#This Row],[Producto Químico, Denominación comercial]],'PUNTOS DE INYECCIÓN'!Q:S,3,0),"")</f>
        <v/>
      </c>
    </row>
    <row r="108" spans="1:14">
      <c r="B108" s="499" t="s">
        <v>219</v>
      </c>
      <c r="C108" s="501"/>
      <c r="E108" s="71">
        <f>+Tabla13[[#This Row],[Suma de  Consumo (L/mes)]]*(1-Tabla13[[#This Row],[Optimización]])</f>
        <v>0</v>
      </c>
      <c r="F108" s="71">
        <f>+Tabla13[[#This Row],[Suma de  Consumo (L/mes)]]-Tabla13[[#This Row],[Consumo optimizado lmes]]</f>
        <v>0</v>
      </c>
      <c r="G108" s="71">
        <v>2</v>
      </c>
      <c r="H108" s="500"/>
      <c r="I108" s="499"/>
      <c r="J108" s="500" t="s">
        <v>471</v>
      </c>
      <c r="K108" s="499" t="str">
        <f>+IFERROR(Tabla13[[#This Row],[Suma de  Consumo (L/mes)]]*Tabla13[[#This Row],[Precio '[USD/litro']]],"")</f>
        <v/>
      </c>
      <c r="L108" s="500" t="str">
        <f>+IFERROR(Tabla13[[#This Row],[Precio '[USD/litro']]]*Tabla13[[#This Row],[Consumo optimizado lmes]],"")</f>
        <v/>
      </c>
      <c r="M108" s="71" t="str">
        <f>IFERROR(Tabla13[[#This Row],[Costo total '[USD/mes']]]-Tabla13[[#This Row],[Costo optimizado '[USD/mes']]],"")</f>
        <v/>
      </c>
      <c r="N108" s="71" t="str">
        <f>IFERROR(VLOOKUP(Tabla13[[#This Row],[Producto Químico, Denominación comercial]],'PUNTOS DE INYECCIÓN'!Q:S,3,0),"")</f>
        <v/>
      </c>
    </row>
    <row r="109" spans="1:14">
      <c r="B109" s="499" t="s">
        <v>221</v>
      </c>
      <c r="C109" s="501"/>
      <c r="E109" s="71">
        <f>+Tabla13[[#This Row],[Suma de  Consumo (L/mes)]]*(1-Tabla13[[#This Row],[Optimización]])</f>
        <v>0</v>
      </c>
      <c r="F109" s="71">
        <f>+Tabla13[[#This Row],[Suma de  Consumo (L/mes)]]-Tabla13[[#This Row],[Consumo optimizado lmes]]</f>
        <v>0</v>
      </c>
      <c r="G109" s="71">
        <v>2</v>
      </c>
      <c r="H109" s="500"/>
      <c r="I109" s="499"/>
      <c r="J109" s="500" t="s">
        <v>471</v>
      </c>
      <c r="K109" s="499" t="str">
        <f>+IFERROR(Tabla13[[#This Row],[Suma de  Consumo (L/mes)]]*Tabla13[[#This Row],[Precio '[USD/litro']]],"")</f>
        <v/>
      </c>
      <c r="L109" s="500" t="str">
        <f>+IFERROR(Tabla13[[#This Row],[Precio '[USD/litro']]]*Tabla13[[#This Row],[Consumo optimizado lmes]],"")</f>
        <v/>
      </c>
      <c r="M109" s="71" t="str">
        <f>IFERROR(Tabla13[[#This Row],[Costo total '[USD/mes']]]-Tabla13[[#This Row],[Costo optimizado '[USD/mes']]],"")</f>
        <v/>
      </c>
      <c r="N109" s="71" t="str">
        <f>IFERROR(VLOOKUP(Tabla13[[#This Row],[Producto Químico, Denominación comercial]],'PUNTOS DE INYECCIÓN'!Q:S,3,0),"")</f>
        <v/>
      </c>
    </row>
    <row r="110" spans="1:14">
      <c r="B110" s="499" t="s">
        <v>224</v>
      </c>
      <c r="C110" s="501"/>
      <c r="E110" s="71">
        <f>+Tabla13[[#This Row],[Suma de  Consumo (L/mes)]]*(1-Tabla13[[#This Row],[Optimización]])</f>
        <v>0</v>
      </c>
      <c r="F110" s="71">
        <f>+Tabla13[[#This Row],[Suma de  Consumo (L/mes)]]-Tabla13[[#This Row],[Consumo optimizado lmes]]</f>
        <v>0</v>
      </c>
      <c r="G110" s="71">
        <v>12</v>
      </c>
      <c r="H110" s="500"/>
      <c r="I110" s="499" t="s">
        <v>226</v>
      </c>
      <c r="J110" s="500">
        <v>2.31</v>
      </c>
      <c r="K110" s="499">
        <f>+IFERROR(Tabla13[[#This Row],[Suma de  Consumo (L/mes)]]*Tabla13[[#This Row],[Precio '[USD/litro']]],"")</f>
        <v>0</v>
      </c>
      <c r="L110" s="500">
        <f>+IFERROR(Tabla13[[#This Row],[Precio '[USD/litro']]]*Tabla13[[#This Row],[Consumo optimizado lmes]],"")</f>
        <v>0</v>
      </c>
      <c r="M110" s="71">
        <f>IFERROR(Tabla13[[#This Row],[Costo total '[USD/mes']]]-Tabla13[[#This Row],[Costo optimizado '[USD/mes']]],"")</f>
        <v>0</v>
      </c>
      <c r="N110" s="71">
        <f>IFERROR(VLOOKUP(Tabla13[[#This Row],[Producto Químico, Denominación comercial]],'PUNTOS DE INYECCIÓN'!Q:S,3,0),"")</f>
        <v>1.8266571757018397</v>
      </c>
    </row>
    <row r="111" spans="1:14">
      <c r="B111" s="499" t="s">
        <v>227</v>
      </c>
      <c r="C111" s="501"/>
      <c r="E111" s="71">
        <f>+Tabla13[[#This Row],[Suma de  Consumo (L/mes)]]*(1-Tabla13[[#This Row],[Optimización]])</f>
        <v>0</v>
      </c>
      <c r="F111" s="71">
        <f>+Tabla13[[#This Row],[Suma de  Consumo (L/mes)]]-Tabla13[[#This Row],[Consumo optimizado lmes]]</f>
        <v>0</v>
      </c>
      <c r="G111" s="71">
        <v>2</v>
      </c>
      <c r="H111" s="500"/>
      <c r="I111" s="499" t="s">
        <v>298</v>
      </c>
      <c r="J111" s="500">
        <v>4.1100000000000003</v>
      </c>
      <c r="K111" s="499">
        <f>+IFERROR(Tabla13[[#This Row],[Suma de  Consumo (L/mes)]]*Tabla13[[#This Row],[Precio '[USD/litro']]],"")</f>
        <v>0</v>
      </c>
      <c r="L111" s="500">
        <f>+IFERROR(Tabla13[[#This Row],[Precio '[USD/litro']]]*Tabla13[[#This Row],[Consumo optimizado lmes]],"")</f>
        <v>0</v>
      </c>
      <c r="M111" s="71">
        <f>IFERROR(Tabla13[[#This Row],[Costo total '[USD/mes']]]-Tabla13[[#This Row],[Costo optimizado '[USD/mes']]],"")</f>
        <v>0</v>
      </c>
      <c r="N111" s="71">
        <f>IFERROR(VLOOKUP(Tabla13[[#This Row],[Producto Químico, Denominación comercial]],'PUNTOS DE INYECCIÓN'!Q:S,3,0),"")</f>
        <v>2.1833464266698939</v>
      </c>
    </row>
    <row r="112" spans="1:14" ht="13.5" thickBot="1">
      <c r="B112" s="504" t="s">
        <v>305</v>
      </c>
      <c r="C112" s="505"/>
      <c r="D112" s="506">
        <v>1344</v>
      </c>
      <c r="E112" s="506">
        <f>+Tabla13[[#This Row],[Suma de  Consumo (L/mes)]]*(1-Tabla13[[#This Row],[Optimización]])</f>
        <v>1344</v>
      </c>
      <c r="F112" s="506">
        <f>+Tabla13[[#This Row],[Suma de  Consumo (L/mes)]]-Tabla13[[#This Row],[Consumo optimizado lmes]]</f>
        <v>0</v>
      </c>
      <c r="G112" s="506">
        <v>878</v>
      </c>
      <c r="H112" s="507"/>
      <c r="I112" s="504"/>
      <c r="J112" s="507"/>
      <c r="K112" s="504">
        <f>+IFERROR(Tabla13[[#This Row],[Suma de  Consumo (L/mes)]]*Tabla13[[#This Row],[Precio '[USD/litro']]],"")</f>
        <v>0</v>
      </c>
      <c r="L112" s="507">
        <f>+IFERROR(Tabla13[[#This Row],[Precio '[USD/litro']]]*Tabla13[[#This Row],[Consumo optimizado lmes]],"")</f>
        <v>0</v>
      </c>
      <c r="M112" s="71">
        <f>IFERROR(Tabla13[[#This Row],[Costo total '[USD/mes']]]-Tabla13[[#This Row],[Costo optimizado '[USD/mes']]],"")</f>
        <v>0</v>
      </c>
      <c r="N112" s="71" t="str">
        <f>IFERROR(VLOOKUP(Tabla13[[#This Row],[Producto Químico, Denominación comercial]],'PUNTOS DE INYECCIÓN'!Q:S,3,0),"")</f>
        <v/>
      </c>
    </row>
    <row r="114" spans="4:18">
      <c r="D114" s="508">
        <f>+SUM(D5:D27,D29:D49,D51:D80,D82:D105)</f>
        <v>445787.05198999995</v>
      </c>
      <c r="E114" s="508">
        <f>+SUM(E5:E27,E29:E49,E51:E80,E82:E105)</f>
        <v>413532.33259199996</v>
      </c>
      <c r="F114" s="508"/>
      <c r="G114" s="509"/>
      <c r="H114" s="509"/>
      <c r="I114" s="509"/>
      <c r="J114" s="509"/>
      <c r="K114" s="508">
        <f>+SUM(Tabla13[Costo total '[USD/mes']])</f>
        <v>1498255.3009635999</v>
      </c>
      <c r="L114" s="508">
        <f>+SUM(Tabla13[Costo optimizado '[USD/mes']])</f>
        <v>1357745.9075008801</v>
      </c>
    </row>
    <row r="115" spans="4:18">
      <c r="D115" s="510"/>
      <c r="F115" s="510"/>
    </row>
    <row r="116" spans="4:18">
      <c r="E116" s="510">
        <f>+D114-E114</f>
        <v>32254.719397999987</v>
      </c>
      <c r="F116" s="511"/>
      <c r="L116" s="510">
        <f>+K114-L114</f>
        <v>140509.39346271986</v>
      </c>
    </row>
    <row r="117" spans="4:18">
      <c r="E117" s="511">
        <f>+E114/D114-1</f>
        <v>-7.2354545189265651E-2</v>
      </c>
      <c r="L117" s="511">
        <f>+L114/K114-1</f>
        <v>-9.3782009896678842E-2</v>
      </c>
    </row>
    <row r="119" spans="4:18">
      <c r="N119" s="4" t="s">
        <v>1420</v>
      </c>
      <c r="O119" s="368">
        <f>+SUMPRODUCT(Tabla13[Consumo optimizado lmes],Tabla13[CR])</f>
        <v>851394.20705187845</v>
      </c>
      <c r="P119" s="368"/>
      <c r="Q119" s="368"/>
      <c r="R119" s="368"/>
    </row>
    <row r="120" spans="4:18">
      <c r="N120" s="4" t="s">
        <v>75</v>
      </c>
      <c r="O120" s="368">
        <v>1498255.3009635999</v>
      </c>
      <c r="P120" s="368">
        <v>1498255.3009635999</v>
      </c>
      <c r="Q120" s="368">
        <v>1330590.9893508623</v>
      </c>
      <c r="R120" s="368">
        <v>1330590.9893508623</v>
      </c>
    </row>
    <row r="121" spans="4:18">
      <c r="N121" s="4" t="s">
        <v>1339</v>
      </c>
      <c r="O121" s="368">
        <f>+O120-$O$119-5.5%*O120</f>
        <v>564457.05235872348</v>
      </c>
      <c r="P121" s="368">
        <f t="shared" ref="P121:R121" si="0">+P120-$O$119-5.5%*P120</f>
        <v>564457.05235872348</v>
      </c>
      <c r="Q121" s="368">
        <f t="shared" si="0"/>
        <v>406014.27788468648</v>
      </c>
      <c r="R121" s="368">
        <f t="shared" si="0"/>
        <v>406014.27788468648</v>
      </c>
    </row>
    <row r="122" spans="4:18">
      <c r="N122" s="4" t="s">
        <v>1339</v>
      </c>
      <c r="O122" s="214">
        <f>+O121/O120</f>
        <v>0.37674290355968976</v>
      </c>
      <c r="P122" s="214">
        <f t="shared" ref="P122:R122" si="1">+P121/P120</f>
        <v>0.37674290355968976</v>
      </c>
      <c r="Q122" s="214">
        <f t="shared" si="1"/>
        <v>0.30513830405747994</v>
      </c>
      <c r="R122" s="214">
        <f t="shared" si="1"/>
        <v>0.30513830405747994</v>
      </c>
    </row>
  </sheetData>
  <hyperlinks>
    <hyperlink ref="B1" location="Indice!A1" display="Indice" xr:uid="{500D7F3D-5C9D-4B43-8CF3-0FE891E0AF3E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3873E-3974-4BC7-928A-6A6A7AA5DF8B}">
  <dimension ref="B3:G15"/>
  <sheetViews>
    <sheetView showGridLines="0" topLeftCell="A7" workbookViewId="0">
      <selection activeCell="G10" sqref="G10"/>
    </sheetView>
  </sheetViews>
  <sheetFormatPr baseColWidth="10" defaultRowHeight="15"/>
  <sheetData>
    <row r="3" spans="2:7">
      <c r="B3" s="4" t="str">
        <f>+'PUNTOS DE INYECCIÓN (2)'!N119</f>
        <v>Costo PQ</v>
      </c>
      <c r="C3" s="368">
        <f>+'PUNTOS DE INYECCIÓN (2)'!O119</f>
        <v>851394.20705187845</v>
      </c>
      <c r="D3" s="368"/>
      <c r="E3" s="368"/>
      <c r="F3" s="368"/>
      <c r="G3" s="2"/>
    </row>
    <row r="4" spans="2:7">
      <c r="B4" s="4" t="str">
        <f>+'PUNTOS DE INYECCIÓN (2)'!N120</f>
        <v>Venta</v>
      </c>
      <c r="C4" s="368">
        <f>+'PUNTOS DE INYECCIÓN (2)'!O120</f>
        <v>1498255.3009635999</v>
      </c>
      <c r="D4" s="368">
        <f>+'PUNTOS DE INYECCIÓN (2)'!P120</f>
        <v>1498255.3009635999</v>
      </c>
      <c r="E4" s="368">
        <f>+'PUNTOS DE INYECCIÓN (2)'!Q120</f>
        <v>1330590.9893508623</v>
      </c>
      <c r="F4" s="518">
        <f>+'PUNTOS DE INYECCIÓN (2)'!R120</f>
        <v>1330590.9893508623</v>
      </c>
      <c r="G4" s="515">
        <f>+F4</f>
        <v>1330590.9893508623</v>
      </c>
    </row>
    <row r="5" spans="2:7">
      <c r="B5" s="4" t="str">
        <f>+'PUNTOS DE INYECCIÓN (2)'!N121</f>
        <v>CP</v>
      </c>
      <c r="C5" s="368">
        <f>+'PUNTOS DE INYECCIÓN (2)'!O121</f>
        <v>564457.05235872348</v>
      </c>
      <c r="D5" s="368">
        <f>+'PUNTOS DE INYECCIÓN (2)'!P121</f>
        <v>564457.05235872348</v>
      </c>
      <c r="E5" s="368">
        <f>+'PUNTOS DE INYECCIÓN (2)'!Q121</f>
        <v>406014.27788468648</v>
      </c>
      <c r="F5" s="518">
        <f>+'PUNTOS DE INYECCIÓN (2)'!R121</f>
        <v>406014.27788468648</v>
      </c>
      <c r="G5" s="515">
        <f>+F5</f>
        <v>406014.27788468648</v>
      </c>
    </row>
    <row r="6" spans="2:7">
      <c r="B6" s="4" t="str">
        <f>+'PUNTOS DE INYECCIÓN (2)'!N122</f>
        <v>CP</v>
      </c>
      <c r="C6" s="512">
        <f>+'PUNTOS DE INYECCIÓN (2)'!O122</f>
        <v>0.37674290355968976</v>
      </c>
      <c r="D6" s="512">
        <f>+'PUNTOS DE INYECCIÓN (2)'!P122</f>
        <v>0.37674290355968976</v>
      </c>
      <c r="E6" s="512">
        <f>+'PUNTOS DE INYECCIÓN (2)'!Q122</f>
        <v>0.30513830405747994</v>
      </c>
      <c r="F6" s="519">
        <f>+'PUNTOS DE INYECCIÓN (2)'!R122</f>
        <v>0.30513830405747994</v>
      </c>
      <c r="G6" s="517">
        <f>+F6</f>
        <v>0.30513830405747994</v>
      </c>
    </row>
    <row r="7" spans="2:7">
      <c r="F7" s="520"/>
    </row>
    <row r="8" spans="2:7">
      <c r="B8" s="2" t="s">
        <v>1421</v>
      </c>
      <c r="C8" s="515">
        <v>187000</v>
      </c>
      <c r="D8" s="515">
        <f>+C8</f>
        <v>187000</v>
      </c>
      <c r="E8" s="515">
        <f t="shared" ref="E8:F8" si="0">+D8</f>
        <v>187000</v>
      </c>
      <c r="F8" s="521">
        <f t="shared" si="0"/>
        <v>187000</v>
      </c>
      <c r="G8" s="515">
        <f>+F8</f>
        <v>187000</v>
      </c>
    </row>
    <row r="9" spans="2:7">
      <c r="B9" s="2" t="s">
        <v>1422</v>
      </c>
      <c r="C9" s="516">
        <v>178172.29191826435</v>
      </c>
      <c r="D9" s="516">
        <v>169725.16865053811</v>
      </c>
      <c r="E9" s="516">
        <v>169725.16865053811</v>
      </c>
      <c r="F9" s="522">
        <v>169725.16865053811</v>
      </c>
      <c r="G9" s="516">
        <v>158693.03268825315</v>
      </c>
    </row>
    <row r="10" spans="2:7">
      <c r="G10" s="113">
        <f>+G9/F9-1</f>
        <v>-6.4999999999999836E-2</v>
      </c>
    </row>
    <row r="12" spans="2:7">
      <c r="G12" s="514">
        <f>+G4+G9</f>
        <v>1489284.0220391154</v>
      </c>
    </row>
    <row r="13" spans="2:7">
      <c r="G13" s="514">
        <f>+C3+G8</f>
        <v>1038394.2070518784</v>
      </c>
    </row>
    <row r="14" spans="2:7">
      <c r="G14">
        <f>+G12-G13-5.5%*G12</f>
        <v>368979.19377508562</v>
      </c>
    </row>
    <row r="15" spans="2:7">
      <c r="G15" s="113">
        <f>+G14/G12</f>
        <v>0.24775609508647137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5B63-5AE7-41CE-BA4F-6324E34445AB}">
  <dimension ref="B1:W39"/>
  <sheetViews>
    <sheetView showGridLines="0" zoomScale="85" zoomScaleNormal="85" workbookViewId="0">
      <pane xSplit="3" ySplit="1" topLeftCell="J2" activePane="bottomRight" state="frozen"/>
      <selection pane="topRight" activeCell="D1" sqref="D1"/>
      <selection pane="bottomLeft" activeCell="A2" sqref="A2"/>
      <selection pane="bottomRight" activeCell="U7" sqref="U7"/>
    </sheetView>
  </sheetViews>
  <sheetFormatPr baseColWidth="10" defaultColWidth="11.42578125" defaultRowHeight="18"/>
  <cols>
    <col min="1" max="1" width="1.42578125" style="150" customWidth="1"/>
    <col min="2" max="2" width="13.42578125" style="150" customWidth="1"/>
    <col min="3" max="3" width="23.5703125" style="150" customWidth="1"/>
    <col min="4" max="4" width="2.42578125" style="150" customWidth="1"/>
    <col min="5" max="5" width="20" style="150" customWidth="1"/>
    <col min="6" max="6" width="29.85546875" style="150" customWidth="1"/>
    <col min="7" max="7" width="13.7109375" style="150" customWidth="1"/>
    <col min="8" max="8" width="18" style="150" customWidth="1"/>
    <col min="9" max="16" width="13.7109375" style="150" customWidth="1"/>
    <col min="17" max="17" width="16.7109375" style="150" customWidth="1"/>
    <col min="18" max="19" width="13.7109375" style="150" customWidth="1"/>
    <col min="20" max="20" width="14.7109375" style="150" customWidth="1"/>
    <col min="21" max="21" width="13.7109375" style="150" customWidth="1"/>
    <col min="22" max="16384" width="11.42578125" style="150"/>
  </cols>
  <sheetData>
    <row r="1" spans="2:23" ht="8.25" customHeight="1"/>
    <row r="2" spans="2:23">
      <c r="B2" s="149" t="s">
        <v>61</v>
      </c>
      <c r="C2" s="149">
        <f>+Hoja1!D1</f>
        <v>861.5</v>
      </c>
      <c r="E2" s="220" t="s">
        <v>62</v>
      </c>
    </row>
    <row r="3" spans="2:23" ht="11.25" customHeight="1"/>
    <row r="4" spans="2:23">
      <c r="B4" s="423" t="s">
        <v>63</v>
      </c>
      <c r="C4" s="423" t="s">
        <v>64</v>
      </c>
      <c r="D4" s="221"/>
      <c r="E4" s="422" t="s">
        <v>65</v>
      </c>
      <c r="F4" s="419"/>
      <c r="H4" s="419" t="s">
        <v>66</v>
      </c>
      <c r="I4" s="419"/>
      <c r="K4" s="419" t="s">
        <v>67</v>
      </c>
      <c r="L4" s="419"/>
      <c r="N4" s="419" t="s">
        <v>68</v>
      </c>
      <c r="O4" s="419"/>
      <c r="Q4" s="419" t="s">
        <v>69</v>
      </c>
      <c r="R4" s="419"/>
      <c r="T4" s="419" t="s">
        <v>70</v>
      </c>
      <c r="U4" s="419"/>
    </row>
    <row r="5" spans="2:23">
      <c r="B5" s="423"/>
      <c r="C5" s="423"/>
      <c r="D5" s="221"/>
      <c r="E5" s="167" t="s">
        <v>71</v>
      </c>
      <c r="F5" s="168" t="s">
        <v>72</v>
      </c>
      <c r="H5" s="169" t="s">
        <v>71</v>
      </c>
      <c r="I5" s="169" t="s">
        <v>72</v>
      </c>
      <c r="K5" s="169" t="s">
        <v>71</v>
      </c>
      <c r="L5" s="169" t="s">
        <v>72</v>
      </c>
      <c r="N5" s="169" t="s">
        <v>71</v>
      </c>
      <c r="O5" s="169" t="s">
        <v>72</v>
      </c>
      <c r="Q5" s="169" t="s">
        <v>71</v>
      </c>
      <c r="R5" s="169" t="s">
        <v>72</v>
      </c>
      <c r="T5" s="169" t="s">
        <v>71</v>
      </c>
      <c r="U5" s="169" t="s">
        <v>72</v>
      </c>
    </row>
    <row r="6" spans="2:23">
      <c r="B6" s="420" t="s">
        <v>73</v>
      </c>
      <c r="C6" s="166" t="s">
        <v>74</v>
      </c>
      <c r="E6" s="229">
        <f>+SUMPRODUCT('PUNTOS DE INYECCIÓN'!D60:D90,'PUNTOS DE INYECCIÓN'!S60:S90)</f>
        <v>317319.38308766583</v>
      </c>
      <c r="F6" s="149"/>
      <c r="H6" s="231">
        <f>+SUMPRODUCT('PUNTOS DE INYECCIÓN'!D33:D54,'PUNTOS DE INYECCIÓN'!S33:S54)</f>
        <v>140481.15562759904</v>
      </c>
      <c r="I6" s="231"/>
      <c r="K6" s="231">
        <f>+SUMPRODUCT('PUNTOS DE INYECCIÓN'!D106:D120,'PUNTOS DE INYECCIÓN'!S106:S120)</f>
        <v>163865.88882329175</v>
      </c>
      <c r="L6" s="231"/>
      <c r="N6" s="231">
        <f>+SUMPRODUCT('PUNTOS DE INYECCIÓN'!D5:D28,'PUNTOS DE INYECCIÓN'!S5:S28)</f>
        <v>233615.02877035033</v>
      </c>
      <c r="O6" s="231"/>
      <c r="Q6" s="231">
        <f>+SUMPRODUCT('PUNTOS DE INYECCIÓN'!D94:D102,'PUNTOS DE INYECCIÓN'!S94:S102)</f>
        <v>33389.365452309932</v>
      </c>
      <c r="R6" s="231"/>
      <c r="T6" s="231">
        <f>E6+H6+K6+N6+Q6</f>
        <v>888670.82176121685</v>
      </c>
      <c r="U6" s="231"/>
    </row>
    <row r="7" spans="2:23">
      <c r="B7" s="421"/>
      <c r="C7" s="152" t="s">
        <v>75</v>
      </c>
      <c r="E7" s="230">
        <f>+SUMPRODUCT('PUNTOS DE INYECCIÓN'!D60:D90,'PUNTOS DE INYECCIÓN'!R60:R90)*(1-E25)</f>
        <v>504734.89420000004</v>
      </c>
      <c r="F7" s="171">
        <f>+SUMPRODUCT('PUNTOS DE INYECCIÓN'!E60:E90,'PUNTOS DE INYECCIÓN'!N60:N90)</f>
        <v>595139.47560000001</v>
      </c>
      <c r="H7" s="230">
        <f>'PUNTOS DE INYECCIÓN'!T55*(1-E25)</f>
        <v>220737.74</v>
      </c>
      <c r="I7" s="171">
        <f>'PUNTOS DE INYECCIÓN'!O55</f>
        <v>305704.64</v>
      </c>
      <c r="K7" s="230">
        <f>'PUNTOS DE INYECCIÓN'!T121*(1-E25)</f>
        <v>262654.12</v>
      </c>
      <c r="L7" s="171">
        <f>'PUNTOS DE INYECCIÓN'!O121</f>
        <v>380090.56000000006</v>
      </c>
      <c r="N7" s="230">
        <f>'PUNTOS DE INYECCIÓN'!T30*(1-E25)</f>
        <v>376009.88</v>
      </c>
      <c r="O7" s="171">
        <f>'PUNTOS DE INYECCIÓN'!O30</f>
        <v>439521.07</v>
      </c>
      <c r="Q7" s="230">
        <f>'PUNTOS DE INYECCIÓN'!T103*(1-E25)</f>
        <v>54929.569999999992</v>
      </c>
      <c r="R7" s="171">
        <f>'PUNTOS DE INYECCIÓN'!O103</f>
        <v>61923.140000000007</v>
      </c>
      <c r="T7" s="230">
        <f>E7+H7+K7+N7+Q7</f>
        <v>1419066.2042</v>
      </c>
      <c r="U7" s="171">
        <f>R7+O7+L7+I7+F7</f>
        <v>1782378.8856000002</v>
      </c>
      <c r="W7" s="150">
        <v>200000</v>
      </c>
    </row>
    <row r="8" spans="2:23">
      <c r="B8" s="421"/>
      <c r="C8" s="151" t="s">
        <v>76</v>
      </c>
      <c r="E8" s="161">
        <f>+E7/E6</f>
        <v>1.5906210622518351</v>
      </c>
      <c r="F8" s="172">
        <f>+E7/F7-1</f>
        <v>-0.15190486450064</v>
      </c>
      <c r="H8" s="161">
        <f>+H7/H6</f>
        <v>1.5712978656379566</v>
      </c>
      <c r="I8" s="172">
        <f>+H7/I7-1</f>
        <v>-0.27793788147932597</v>
      </c>
      <c r="K8" s="161">
        <f>+K7/K6</f>
        <v>1.6028602528939908</v>
      </c>
      <c r="L8" s="172">
        <f>+K7/L7-1</f>
        <v>-0.3089696308164035</v>
      </c>
      <c r="N8" s="161">
        <f>+N7/N6</f>
        <v>1.6095277858584498</v>
      </c>
      <c r="O8" s="172">
        <f>+N7/O7-1</f>
        <v>-0.14450089958144674</v>
      </c>
      <c r="Q8" s="161">
        <f>+Q7/Q6</f>
        <v>1.6451217103378606</v>
      </c>
      <c r="R8" s="172">
        <f>+Q7/R7-1</f>
        <v>-0.11293952470756508</v>
      </c>
      <c r="T8" s="161">
        <f>+T7/T6</f>
        <v>1.5968412256268483</v>
      </c>
      <c r="U8" s="383">
        <f>+T7/U7-1</f>
        <v>-0.20383583105434877</v>
      </c>
    </row>
    <row r="9" spans="2:23">
      <c r="B9" s="421"/>
      <c r="C9" s="151" t="s">
        <v>77</v>
      </c>
      <c r="E9" s="160">
        <f>+E7-E6-5.75%*E7</f>
        <v>158393.25469583421</v>
      </c>
      <c r="F9" s="153"/>
      <c r="H9" s="160">
        <f>+H7-H6-5.75%*H7</f>
        <v>67564.164322400946</v>
      </c>
      <c r="I9" s="153"/>
      <c r="K9" s="160">
        <f>+K7-K6-5.75%*K7</f>
        <v>83685.619276708239</v>
      </c>
      <c r="L9" s="153"/>
      <c r="N9" s="160">
        <f>+N7-N6-5.75%*N7</f>
        <v>120774.28312964967</v>
      </c>
      <c r="O9" s="153"/>
      <c r="Q9" s="160">
        <f>+Q7-Q6-5.75%*Q7</f>
        <v>18381.754272690061</v>
      </c>
      <c r="R9" s="153"/>
      <c r="T9" s="160">
        <f>+T7-T6-5.75%*T7</f>
        <v>448799.07569728314</v>
      </c>
      <c r="U9" s="153"/>
    </row>
    <row r="10" spans="2:23">
      <c r="B10" s="421"/>
      <c r="C10" s="163" t="s">
        <v>78</v>
      </c>
      <c r="D10" s="222"/>
      <c r="E10" s="165">
        <f>+E9/E7</f>
        <v>0.31381475011131538</v>
      </c>
      <c r="F10" s="153"/>
      <c r="H10" s="165">
        <f>+H9/H7</f>
        <v>0.30608342878929967</v>
      </c>
      <c r="I10" s="153"/>
      <c r="K10" s="165">
        <f>+K9/K7</f>
        <v>0.31861529252504489</v>
      </c>
      <c r="L10" s="153"/>
      <c r="N10" s="165">
        <f>+N9/N7</f>
        <v>0.3211997597766571</v>
      </c>
      <c r="O10" s="153"/>
      <c r="Q10" s="165">
        <f>+Q9/Q7</f>
        <v>0.33464223864650794</v>
      </c>
      <c r="R10" s="153"/>
      <c r="T10" s="165">
        <f>+T9/T7</f>
        <v>0.31626366294185271</v>
      </c>
      <c r="U10" s="153"/>
    </row>
    <row r="11" spans="2:23">
      <c r="B11" s="156"/>
      <c r="E11" s="157"/>
      <c r="F11" s="154"/>
      <c r="H11" s="157"/>
      <c r="I11" s="154"/>
      <c r="K11" s="157"/>
      <c r="L11" s="154"/>
      <c r="N11" s="157"/>
      <c r="O11" s="154"/>
      <c r="Q11" s="157"/>
      <c r="R11" s="154"/>
      <c r="T11" s="157"/>
      <c r="U11" s="154"/>
    </row>
    <row r="12" spans="2:23">
      <c r="B12" s="424" t="s">
        <v>79</v>
      </c>
      <c r="C12" s="149" t="s">
        <v>80</v>
      </c>
      <c r="E12" s="158">
        <f>+Scio!C40</f>
        <v>69973.333333333343</v>
      </c>
      <c r="H12" s="158">
        <f>Scio!C49/2</f>
        <v>47430</v>
      </c>
      <c r="K12" s="158">
        <f>Scio!C49/2</f>
        <v>47430</v>
      </c>
      <c r="N12" s="158">
        <f>+Scio!F58</f>
        <v>80631</v>
      </c>
      <c r="Q12" s="158">
        <f>+Scio!G58</f>
        <v>14229</v>
      </c>
      <c r="R12" s="332"/>
      <c r="T12" s="158">
        <f>(E12+H12+K12+N12+Q12)*0+168000</f>
        <v>168000</v>
      </c>
    </row>
    <row r="13" spans="2:23">
      <c r="B13" s="424"/>
      <c r="C13" s="225" t="s">
        <v>75</v>
      </c>
      <c r="E13" s="158">
        <f>+Scio!M5/C2*(1-E26)</f>
        <v>74787.37682025641</v>
      </c>
      <c r="H13" s="158">
        <f>+Scio!M4/C2*(1-E26)</f>
        <v>71120.478360436915</v>
      </c>
      <c r="K13" s="158">
        <f>Scio!M7/$C$2*(1-$E$26)</f>
        <v>70560.189839952698</v>
      </c>
      <c r="N13" s="158">
        <f>Scio!M3/$C$2*(1-$E$26)</f>
        <v>96780.06182884748</v>
      </c>
      <c r="Q13" s="158">
        <f>Scio!M6/$C$2*(1-$E$26)</f>
        <v>22795.319479324011</v>
      </c>
      <c r="T13" s="399">
        <f>(E13+H13+K13+N13+Q13)*0+178000</f>
        <v>178000</v>
      </c>
      <c r="U13" s="158">
        <v>458451.5145330326</v>
      </c>
    </row>
    <row r="14" spans="2:23">
      <c r="B14" s="424"/>
      <c r="C14" s="149" t="s">
        <v>81</v>
      </c>
      <c r="E14" s="155">
        <f>+E13/E19</f>
        <v>0.12905004787579996</v>
      </c>
      <c r="H14" s="155">
        <f>+H13/H19</f>
        <v>0.24368160252593973</v>
      </c>
      <c r="K14" s="155">
        <f>+K13/K19</f>
        <v>0.21175618140122407</v>
      </c>
      <c r="N14" s="155">
        <f>+N13/N19</f>
        <v>0.20469991695356832</v>
      </c>
      <c r="Q14" s="155">
        <f>+Q13/Q19</f>
        <v>0.29328210862735177</v>
      </c>
      <c r="T14" s="155">
        <f>+T13/T19</f>
        <v>0.12247732441522513</v>
      </c>
      <c r="U14" s="382">
        <f>+T13/U13-1</f>
        <v>-0.61173647734307002</v>
      </c>
    </row>
    <row r="15" spans="2:23">
      <c r="B15" s="424"/>
      <c r="C15" s="149" t="s">
        <v>77</v>
      </c>
      <c r="D15" s="223"/>
      <c r="E15" s="158">
        <f>+E13-E12-5.75%*E13</f>
        <v>513.76931975832304</v>
      </c>
      <c r="H15" s="158">
        <f>+H13-H12-5.75%*H13</f>
        <v>19601.050854711793</v>
      </c>
      <c r="K15" s="158">
        <f>+K13-K12-5.75%*K13</f>
        <v>19072.978924155417</v>
      </c>
      <c r="N15" s="158">
        <f>+N13-N12-5.75%*N13</f>
        <v>10584.20827368875</v>
      </c>
      <c r="Q15" s="158">
        <f>+Q13-Q12-5.75%*Q13</f>
        <v>7255.5886092628807</v>
      </c>
      <c r="T15" s="158">
        <f>+T13-T12-5.75%*T13</f>
        <v>-235</v>
      </c>
    </row>
    <row r="16" spans="2:23">
      <c r="B16" s="424"/>
      <c r="C16" s="163" t="s">
        <v>78</v>
      </c>
      <c r="D16" s="224"/>
      <c r="E16" s="165">
        <f>E15/E13</f>
        <v>6.8697331234536217E-3</v>
      </c>
      <c r="H16" s="165">
        <f>H15/H13</f>
        <v>0.27560347324119683</v>
      </c>
      <c r="K16" s="165">
        <f>K15/K13</f>
        <v>0.2703079309652861</v>
      </c>
      <c r="N16" s="165">
        <f>N15/N13</f>
        <v>0.10936352047807731</v>
      </c>
      <c r="Q16" s="165">
        <f>Q15/Q13</f>
        <v>0.31829291165863682</v>
      </c>
      <c r="T16" s="165">
        <f>T15/T13</f>
        <v>-1.3202247191011235E-3</v>
      </c>
    </row>
    <row r="17" spans="2:20">
      <c r="E17" s="159"/>
      <c r="H17" s="159"/>
      <c r="K17" s="159"/>
      <c r="N17" s="159"/>
      <c r="Q17" s="159"/>
      <c r="T17" s="159"/>
    </row>
    <row r="18" spans="2:20">
      <c r="B18" s="429" t="s">
        <v>82</v>
      </c>
      <c r="C18" s="151" t="s">
        <v>74</v>
      </c>
      <c r="D18" s="223"/>
      <c r="E18" s="158">
        <f>+E12+E6</f>
        <v>387292.71642099915</v>
      </c>
      <c r="H18" s="158">
        <f>+H12+H6</f>
        <v>187911.15562759904</v>
      </c>
      <c r="K18" s="158">
        <f>+K12+K6</f>
        <v>211295.88882329175</v>
      </c>
      <c r="N18" s="158">
        <f>+N12+N6</f>
        <v>314246.02877035033</v>
      </c>
      <c r="Q18" s="158">
        <f>+Q12+Q6</f>
        <v>47618.365452309932</v>
      </c>
      <c r="T18" s="158">
        <f>(T12+T6)*0.91</f>
        <v>961570.44780270744</v>
      </c>
    </row>
    <row r="19" spans="2:20">
      <c r="B19" s="430"/>
      <c r="C19" s="151" t="s">
        <v>75</v>
      </c>
      <c r="D19" s="223"/>
      <c r="E19" s="158">
        <f>+E13+E7</f>
        <v>579522.27102025645</v>
      </c>
      <c r="H19" s="158">
        <f>+H13+H7</f>
        <v>291858.21836043691</v>
      </c>
      <c r="K19" s="158">
        <f>+K13+K7</f>
        <v>333214.30983995268</v>
      </c>
      <c r="N19" s="158">
        <f>+N13+N7</f>
        <v>472789.94182884751</v>
      </c>
      <c r="Q19" s="158">
        <f>+Q13+Q7</f>
        <v>77724.889479324003</v>
      </c>
      <c r="T19" s="399">
        <f>(T13+T7)*0.91</f>
        <v>1453330.2458220001</v>
      </c>
    </row>
    <row r="20" spans="2:20">
      <c r="B20" s="430"/>
      <c r="C20" s="151" t="s">
        <v>77</v>
      </c>
      <c r="D20" s="223"/>
      <c r="E20" s="158">
        <f>+E19-E18-5.75%*E19</f>
        <v>158907.02401559256</v>
      </c>
      <c r="H20" s="158">
        <f>+H19-H18-5.75%*H19</f>
        <v>87165.215177112739</v>
      </c>
      <c r="K20" s="158">
        <f>+K19-K18-5.75%*K19</f>
        <v>102758.59820086365</v>
      </c>
      <c r="N20" s="158">
        <f>+N19-N18-5.75%*N19</f>
        <v>131358.49140333844</v>
      </c>
      <c r="Q20" s="158">
        <f>+Q19-Q18-5.75%*Q19</f>
        <v>25637.34288195294</v>
      </c>
      <c r="T20" s="158">
        <f>+T19-T18-5.75%*T19</f>
        <v>408193.30888452765</v>
      </c>
    </row>
    <row r="21" spans="2:20">
      <c r="B21" s="431"/>
      <c r="C21" s="162" t="s">
        <v>78</v>
      </c>
      <c r="D21" s="224"/>
      <c r="E21" s="164">
        <f>+E20/E19</f>
        <v>0.2742034809737936</v>
      </c>
      <c r="H21" s="164">
        <f>+H20/H19</f>
        <v>0.29865602437641858</v>
      </c>
      <c r="K21" s="164">
        <f>+K20/K19</f>
        <v>0.3083859101075821</v>
      </c>
      <c r="N21" s="164">
        <f>+N20/N19</f>
        <v>0.27783689918448162</v>
      </c>
      <c r="Q21" s="164">
        <f>+Q20/Q19</f>
        <v>0.32984727355286703</v>
      </c>
      <c r="T21" s="164">
        <f>+T20/T19</f>
        <v>0.28086755233918254</v>
      </c>
    </row>
    <row r="22" spans="2:20">
      <c r="B22" s="156"/>
      <c r="C22" s="386"/>
      <c r="D22" s="386"/>
      <c r="E22" s="387"/>
      <c r="H22" s="387"/>
      <c r="K22" s="387"/>
      <c r="N22" s="387"/>
      <c r="Q22" s="387"/>
      <c r="T22" s="387"/>
    </row>
    <row r="23" spans="2:20">
      <c r="B23" s="428" t="s">
        <v>1348</v>
      </c>
      <c r="C23" s="428"/>
      <c r="D23" s="428"/>
      <c r="E23" s="388" t="s">
        <v>1351</v>
      </c>
      <c r="F23" s="388" t="s">
        <v>1335</v>
      </c>
      <c r="G23" s="388">
        <v>1</v>
      </c>
      <c r="H23" s="388">
        <v>2</v>
      </c>
      <c r="I23" s="388">
        <v>3</v>
      </c>
    </row>
    <row r="24" spans="2:20">
      <c r="B24" s="428" t="s">
        <v>83</v>
      </c>
      <c r="C24" s="428"/>
      <c r="D24" s="388"/>
      <c r="E24" s="389">
        <v>0</v>
      </c>
      <c r="F24" s="389">
        <v>0</v>
      </c>
      <c r="G24" s="389">
        <v>0</v>
      </c>
      <c r="H24" s="389">
        <v>0</v>
      </c>
      <c r="I24" s="389">
        <v>0</v>
      </c>
      <c r="K24" s="232"/>
      <c r="N24" s="232"/>
      <c r="Q24" s="232"/>
      <c r="T24" s="232"/>
    </row>
    <row r="25" spans="2:20">
      <c r="B25" s="425" t="s">
        <v>1344</v>
      </c>
      <c r="C25" s="426"/>
      <c r="D25" s="427"/>
      <c r="E25" s="389">
        <v>0</v>
      </c>
      <c r="F25" s="389">
        <v>0</v>
      </c>
      <c r="G25" s="389">
        <v>0</v>
      </c>
      <c r="H25" s="389">
        <v>0.05</v>
      </c>
      <c r="I25" s="389">
        <v>0</v>
      </c>
      <c r="J25" s="384"/>
      <c r="K25" s="384"/>
      <c r="N25" s="232"/>
      <c r="Q25" s="232"/>
      <c r="T25" s="232"/>
    </row>
    <row r="26" spans="2:20">
      <c r="B26" s="428" t="s">
        <v>84</v>
      </c>
      <c r="C26" s="428"/>
      <c r="D26" s="388"/>
      <c r="E26" s="389">
        <v>0</v>
      </c>
      <c r="F26" s="389">
        <v>0</v>
      </c>
      <c r="G26" s="389">
        <v>0</v>
      </c>
      <c r="H26" s="389">
        <v>0</v>
      </c>
      <c r="I26" s="389">
        <v>0.1</v>
      </c>
      <c r="J26" s="384"/>
      <c r="K26" s="384"/>
    </row>
    <row r="27" spans="2:20">
      <c r="B27" s="428" t="s">
        <v>1343</v>
      </c>
      <c r="C27" s="428"/>
      <c r="D27" s="388"/>
      <c r="E27" s="389" t="s">
        <v>1359</v>
      </c>
      <c r="F27" s="389" t="s">
        <v>1350</v>
      </c>
      <c r="G27" s="389" t="s">
        <v>1342</v>
      </c>
      <c r="H27" s="389" t="s">
        <v>1342</v>
      </c>
      <c r="I27" s="389" t="s">
        <v>1342</v>
      </c>
      <c r="J27" s="384"/>
      <c r="K27" s="384"/>
    </row>
    <row r="28" spans="2:20">
      <c r="H28" s="384"/>
      <c r="I28" s="384"/>
      <c r="J28" s="384"/>
      <c r="K28" s="384"/>
    </row>
    <row r="29" spans="2:20">
      <c r="G29" s="385">
        <f>+T6</f>
        <v>888670.82176121685</v>
      </c>
      <c r="H29" s="385">
        <f>+T7</f>
        <v>1419066.2042</v>
      </c>
      <c r="I29" s="154">
        <f>+U7</f>
        <v>1782378.8856000002</v>
      </c>
      <c r="J29" s="157">
        <f>+(H29-G29-5.75%*H29)/H29</f>
        <v>0.31626366294185271</v>
      </c>
      <c r="K29" s="157">
        <f>+H29/I29-1</f>
        <v>-0.20383583105434877</v>
      </c>
      <c r="L29" s="332">
        <f>+T12</f>
        <v>168000</v>
      </c>
      <c r="M29" s="332">
        <f>+T13</f>
        <v>178000</v>
      </c>
      <c r="N29" s="157">
        <f>+(M29-L29-5.75%*M29)/M29</f>
        <v>-1.3202247191011235E-3</v>
      </c>
      <c r="P29" s="332">
        <f>+G29+L29</f>
        <v>1056670.821761217</v>
      </c>
      <c r="Q29" s="332">
        <f>+H29+M29</f>
        <v>1597066.2042</v>
      </c>
      <c r="R29" s="150">
        <f>+Q29-P29-5.75%*Q29</f>
        <v>448564.07569728303</v>
      </c>
      <c r="S29" s="157">
        <f>+(Q29-P29-5.75%*Q29)/Q29</f>
        <v>0.28086755233918248</v>
      </c>
    </row>
    <row r="31" spans="2:20">
      <c r="E31" s="413" t="s">
        <v>1348</v>
      </c>
      <c r="F31" s="413" t="s">
        <v>1334</v>
      </c>
      <c r="G31" s="415" t="s">
        <v>0</v>
      </c>
      <c r="H31" s="416"/>
      <c r="I31" s="416"/>
      <c r="J31" s="416"/>
      <c r="K31" s="417"/>
      <c r="L31" s="418" t="s">
        <v>1346</v>
      </c>
      <c r="M31" s="418"/>
      <c r="N31" s="418"/>
      <c r="O31" s="418"/>
      <c r="P31" s="418" t="s">
        <v>82</v>
      </c>
      <c r="Q31" s="418"/>
      <c r="R31" s="418"/>
      <c r="S31" s="418"/>
      <c r="T31" s="418"/>
    </row>
    <row r="32" spans="2:20" ht="54">
      <c r="E32" s="414"/>
      <c r="F32" s="414"/>
      <c r="G32" s="392" t="s">
        <v>74</v>
      </c>
      <c r="H32" s="392" t="s">
        <v>75</v>
      </c>
      <c r="I32" s="392" t="s">
        <v>1345</v>
      </c>
      <c r="J32" s="392" t="s">
        <v>1339</v>
      </c>
      <c r="K32" s="392" t="s">
        <v>1340</v>
      </c>
      <c r="L32" s="392" t="s">
        <v>74</v>
      </c>
      <c r="M32" s="392" t="s">
        <v>75</v>
      </c>
      <c r="N32" s="392" t="s">
        <v>1339</v>
      </c>
      <c r="O32" s="392" t="s">
        <v>1341</v>
      </c>
      <c r="P32" s="392" t="s">
        <v>74</v>
      </c>
      <c r="Q32" s="392" t="s">
        <v>75</v>
      </c>
      <c r="R32" s="392" t="s">
        <v>77</v>
      </c>
      <c r="S32" s="392" t="s">
        <v>1349</v>
      </c>
      <c r="T32" s="392" t="s">
        <v>1347</v>
      </c>
    </row>
    <row r="33" spans="5:20" s="156" customFormat="1" ht="42.75" customHeight="1">
      <c r="E33" s="401">
        <v>0</v>
      </c>
      <c r="F33" s="401" t="s">
        <v>1335</v>
      </c>
      <c r="G33" s="393">
        <v>888670.82176121685</v>
      </c>
      <c r="H33" s="393">
        <v>1419066.2042</v>
      </c>
      <c r="I33" s="153">
        <v>1782378.8856000002</v>
      </c>
      <c r="J33" s="155">
        <v>0.31626366294185271</v>
      </c>
      <c r="K33" s="155">
        <v>-0.20383583105434877</v>
      </c>
      <c r="L33" s="158">
        <v>259693.33333333334</v>
      </c>
      <c r="M33" s="158">
        <v>341191.99974340165</v>
      </c>
      <c r="N33" s="155">
        <v>0.18136452927196581</v>
      </c>
      <c r="O33" s="155">
        <f>+M33/$M$33-1</f>
        <v>0</v>
      </c>
      <c r="P33" s="158">
        <v>1148364.1550945502</v>
      </c>
      <c r="Q33" s="158">
        <v>1760258.2039434016</v>
      </c>
      <c r="R33" s="149">
        <v>510679.20212210575</v>
      </c>
      <c r="S33" s="155">
        <v>0.29011607557235725</v>
      </c>
      <c r="T33" s="155">
        <f>+Q33/$Q$33-1</f>
        <v>0</v>
      </c>
    </row>
    <row r="34" spans="5:20" s="156" customFormat="1" ht="42.75" customHeight="1">
      <c r="E34" s="390">
        <v>1</v>
      </c>
      <c r="F34" s="390" t="s">
        <v>1336</v>
      </c>
      <c r="G34" s="394">
        <v>888670.82176121685</v>
      </c>
      <c r="H34" s="394">
        <v>1419066.2042</v>
      </c>
      <c r="I34" s="395">
        <v>1782378.8856000002</v>
      </c>
      <c r="J34" s="396">
        <v>0.31626366294185271</v>
      </c>
      <c r="K34" s="396">
        <v>-0.20383583105434877</v>
      </c>
      <c r="L34" s="397">
        <v>259693.33333333334</v>
      </c>
      <c r="M34" s="397">
        <v>311607.7825971758</v>
      </c>
      <c r="N34" s="396">
        <v>0.1091019020165287</v>
      </c>
      <c r="O34" s="396">
        <f t="shared" ref="O34:O36" si="0">+M34/$M$33-1</f>
        <v>-8.670841393841322E-2</v>
      </c>
      <c r="P34" s="397">
        <v>1148364.1550945502</v>
      </c>
      <c r="Q34" s="397">
        <v>1730673.9867971758</v>
      </c>
      <c r="R34" s="398">
        <v>482796.07746178797</v>
      </c>
      <c r="S34" s="396">
        <v>0.27896419611371248</v>
      </c>
      <c r="T34" s="396">
        <f t="shared" ref="T34:T36" si="1">+Q34/$Q$33-1</f>
        <v>-1.6806748623554246E-2</v>
      </c>
    </row>
    <row r="35" spans="5:20" s="156" customFormat="1" ht="42.75" customHeight="1">
      <c r="E35" s="401">
        <v>2</v>
      </c>
      <c r="F35" s="401" t="s">
        <v>1338</v>
      </c>
      <c r="G35" s="393">
        <v>888670.82176121685</v>
      </c>
      <c r="H35" s="393">
        <v>1348112.89399</v>
      </c>
      <c r="I35" s="153">
        <v>1782378.8856000002</v>
      </c>
      <c r="J35" s="155">
        <v>0.28330385572826605</v>
      </c>
      <c r="K35" s="155">
        <v>-0.24364403950163138</v>
      </c>
      <c r="L35" s="158">
        <v>259693.33333333334</v>
      </c>
      <c r="M35" s="158">
        <v>311607.7825971758</v>
      </c>
      <c r="N35" s="155">
        <v>0.1091019020165287</v>
      </c>
      <c r="O35" s="155">
        <f t="shared" si="0"/>
        <v>-8.670841393841322E-2</v>
      </c>
      <c r="P35" s="158">
        <v>1148364.1550945502</v>
      </c>
      <c r="Q35" s="158">
        <v>1659720.6765871758</v>
      </c>
      <c r="R35" s="149">
        <v>415922.58258886298</v>
      </c>
      <c r="S35" s="155">
        <v>0.25059794003657876</v>
      </c>
      <c r="T35" s="155">
        <f t="shared" si="1"/>
        <v>-5.7115215899007032E-2</v>
      </c>
    </row>
    <row r="36" spans="5:20" s="156" customFormat="1" ht="42.75" customHeight="1">
      <c r="E36" s="390">
        <v>3</v>
      </c>
      <c r="F36" s="390" t="s">
        <v>1337</v>
      </c>
      <c r="G36" s="394">
        <v>888670.82176121685</v>
      </c>
      <c r="H36" s="394">
        <v>1419066.2042</v>
      </c>
      <c r="I36" s="395">
        <v>1782378.8856000002</v>
      </c>
      <c r="J36" s="396">
        <v>0.31626366294185271</v>
      </c>
      <c r="K36" s="396">
        <v>-0.20383583105434877</v>
      </c>
      <c r="L36" s="397">
        <v>259693.33333333334</v>
      </c>
      <c r="M36" s="397">
        <v>280447.00433745823</v>
      </c>
      <c r="N36" s="396">
        <v>1.6502113351698582E-2</v>
      </c>
      <c r="O36" s="396">
        <f t="shared" si="0"/>
        <v>-0.17803757254457186</v>
      </c>
      <c r="P36" s="397">
        <v>1148364.1550945502</v>
      </c>
      <c r="Q36" s="397">
        <v>1699513.2085374582</v>
      </c>
      <c r="R36" s="398">
        <v>453427.04395200417</v>
      </c>
      <c r="S36" s="396">
        <v>0.26679818766587149</v>
      </c>
      <c r="T36" s="396">
        <f t="shared" si="1"/>
        <v>-3.4509139210293083E-2</v>
      </c>
    </row>
    <row r="39" spans="5:20">
      <c r="E39" s="220" t="s">
        <v>1353</v>
      </c>
    </row>
  </sheetData>
  <mergeCells count="21">
    <mergeCell ref="B12:B16"/>
    <mergeCell ref="B25:D25"/>
    <mergeCell ref="B27:C27"/>
    <mergeCell ref="B23:D23"/>
    <mergeCell ref="B24:C24"/>
    <mergeCell ref="B26:C26"/>
    <mergeCell ref="B18:B21"/>
    <mergeCell ref="Q4:R4"/>
    <mergeCell ref="T4:U4"/>
    <mergeCell ref="H4:I4"/>
    <mergeCell ref="B6:B10"/>
    <mergeCell ref="K4:L4"/>
    <mergeCell ref="N4:O4"/>
    <mergeCell ref="E4:F4"/>
    <mergeCell ref="C4:C5"/>
    <mergeCell ref="B4:B5"/>
    <mergeCell ref="E31:E32"/>
    <mergeCell ref="F31:F32"/>
    <mergeCell ref="G31:K31"/>
    <mergeCell ref="L31:O31"/>
    <mergeCell ref="P31:T3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ódulo2.Macro3">
                <anchor moveWithCells="1" sizeWithCells="1">
                  <from>
                    <xdr:col>9</xdr:col>
                    <xdr:colOff>152400</xdr:colOff>
                    <xdr:row>22</xdr:row>
                    <xdr:rowOff>38100</xdr:rowOff>
                  </from>
                  <to>
                    <xdr:col>12</xdr:col>
                    <xdr:colOff>438150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7C3D7-9CF4-4637-8685-AFCBCB89F552}">
  <dimension ref="C1:N38"/>
  <sheetViews>
    <sheetView showGridLines="0" zoomScaleNormal="100" workbookViewId="0">
      <selection activeCell="O8" sqref="O8"/>
    </sheetView>
  </sheetViews>
  <sheetFormatPr baseColWidth="10" defaultRowHeight="15"/>
  <cols>
    <col min="3" max="3" width="18.7109375" customWidth="1"/>
    <col min="4" max="8" width="17.140625" customWidth="1"/>
    <col min="9" max="9" width="0" hidden="1" customWidth="1"/>
  </cols>
  <sheetData>
    <row r="1" spans="3:12">
      <c r="C1" t="s">
        <v>61</v>
      </c>
      <c r="D1">
        <v>861.5</v>
      </c>
      <c r="E1" s="406">
        <v>45387</v>
      </c>
    </row>
    <row r="3" spans="3:12">
      <c r="C3" s="10"/>
      <c r="D3" s="10" t="s">
        <v>97</v>
      </c>
      <c r="E3" s="10" t="s">
        <v>98</v>
      </c>
      <c r="F3" s="10" t="s">
        <v>252</v>
      </c>
      <c r="G3" s="10" t="s">
        <v>100</v>
      </c>
      <c r="H3" s="10" t="s">
        <v>101</v>
      </c>
      <c r="I3" s="10" t="s">
        <v>82</v>
      </c>
    </row>
    <row r="4" spans="3:12" ht="15" customHeight="1">
      <c r="C4" s="10" t="s">
        <v>1355</v>
      </c>
      <c r="D4" s="404">
        <f>+Scio!K3/D1/1000</f>
        <v>54.466934215442258</v>
      </c>
      <c r="E4" s="404">
        <f>+Scio!K4/D1/1000</f>
        <v>14.92797456275084</v>
      </c>
      <c r="F4" s="404">
        <f>+Scio!K5/D1/1000</f>
        <v>19.668615133354145</v>
      </c>
      <c r="G4" s="404">
        <f>+Scio!K6/D1/1000</f>
        <v>5.2449640355611065</v>
      </c>
      <c r="H4" s="404">
        <f>+Scio!K7/D1/1000</f>
        <v>21.181585528227544</v>
      </c>
      <c r="I4" s="403">
        <f>+H4+G4+F4+E4+D4</f>
        <v>115.49007347533589</v>
      </c>
      <c r="K4" s="404">
        <f>+H4+G4+F4+E4+D4</f>
        <v>115.49007347533589</v>
      </c>
    </row>
    <row r="5" spans="3:12" ht="15" customHeight="1">
      <c r="C5" s="10" t="s">
        <v>1356</v>
      </c>
      <c r="D5" s="404">
        <f>+Scio!L3/D1/1000</f>
        <v>42.313127613405229</v>
      </c>
      <c r="E5" s="404">
        <f>+Scio!L4/D1/1000</f>
        <v>56.192503797686072</v>
      </c>
      <c r="F5" s="404">
        <f>+Scio!L5/D1/1000</f>
        <v>55.118761686902268</v>
      </c>
      <c r="G5" s="404">
        <f>+Scio!L6/D1/1000</f>
        <v>17.550355443762903</v>
      </c>
      <c r="H5" s="404">
        <f>+Scio!L7/D1/1000</f>
        <v>49.378604311725148</v>
      </c>
      <c r="I5" s="403">
        <f>+H5+G5+F5+E5+D5</f>
        <v>220.55335285348161</v>
      </c>
      <c r="K5" s="404">
        <f>+H5+G5+F5+E5+D5</f>
        <v>220.55335285348161</v>
      </c>
      <c r="L5" s="407">
        <f>+K5+K4</f>
        <v>336.04342632881753</v>
      </c>
    </row>
    <row r="6" spans="3:12" ht="15" customHeight="1">
      <c r="C6" s="10"/>
      <c r="D6" s="404"/>
      <c r="E6" s="404"/>
      <c r="F6" s="404"/>
      <c r="G6" s="404"/>
      <c r="H6" s="404"/>
      <c r="I6" s="403">
        <f t="shared" ref="I6" si="0">+H6</f>
        <v>0</v>
      </c>
      <c r="K6" s="404"/>
      <c r="L6" s="113">
        <f>+L5/(L5+K10)</f>
        <v>0.19146577540433588</v>
      </c>
    </row>
    <row r="7" spans="3:12" ht="15" customHeight="1">
      <c r="C7" s="10"/>
      <c r="D7" s="403"/>
      <c r="E7" s="403"/>
      <c r="F7" s="403"/>
      <c r="G7" s="403"/>
      <c r="H7" s="403"/>
      <c r="I7" s="403"/>
      <c r="K7" s="404"/>
    </row>
    <row r="8" spans="3:12" ht="15" customHeight="1">
      <c r="C8" s="10"/>
      <c r="D8" s="403"/>
      <c r="E8" s="403"/>
      <c r="F8" s="403"/>
      <c r="G8" s="403"/>
      <c r="H8" s="403"/>
      <c r="I8" s="403"/>
      <c r="K8" s="404"/>
    </row>
    <row r="9" spans="3:12" ht="15" customHeight="1">
      <c r="C9" s="10"/>
      <c r="D9" s="403"/>
      <c r="E9" s="403"/>
      <c r="F9" s="403"/>
      <c r="G9" s="403"/>
      <c r="H9" s="403"/>
      <c r="I9" s="403"/>
      <c r="K9" s="404"/>
    </row>
    <row r="10" spans="3:12" ht="15" customHeight="1">
      <c r="C10" s="10" t="s">
        <v>1357</v>
      </c>
      <c r="D10" s="404">
        <f>+'PUNTOS DE INYECCIÓN'!T30/1000</f>
        <v>376.00988000000001</v>
      </c>
      <c r="E10" s="404">
        <f>+'PUNTOS DE INYECCIÓN'!T55/1000</f>
        <v>220.73774</v>
      </c>
      <c r="F10" s="404">
        <f>+'PUNTOS DE INYECCIÓN'!T91/1000</f>
        <v>504.73489420000004</v>
      </c>
      <c r="G10" s="404">
        <f>+'PUNTOS DE INYECCIÓN'!T103/1000</f>
        <v>54.929569999999991</v>
      </c>
      <c r="H10" s="404">
        <f>+'PUNTOS DE INYECCIÓN'!T121/1000</f>
        <v>262.65411999999998</v>
      </c>
      <c r="I10" s="404">
        <f>+H10+G10+F10+E10+D10</f>
        <v>1419.0662042000001</v>
      </c>
      <c r="K10" s="404">
        <f>+H10+G10+F10+E10+D10</f>
        <v>1419.0662042000001</v>
      </c>
    </row>
    <row r="17" spans="3:14">
      <c r="N17">
        <v>390294</v>
      </c>
    </row>
    <row r="31" spans="3:14">
      <c r="C31" s="2"/>
      <c r="D31" s="2"/>
      <c r="E31" s="2" t="s">
        <v>1335</v>
      </c>
      <c r="F31" s="432" t="s">
        <v>1360</v>
      </c>
      <c r="G31" s="433"/>
      <c r="H31" s="434"/>
    </row>
    <row r="32" spans="3:14">
      <c r="C32" s="2" t="s">
        <v>1358</v>
      </c>
      <c r="D32" s="408">
        <f>+L5*1000</f>
        <v>336043.42632881756</v>
      </c>
      <c r="E32" s="408">
        <v>336043.42632881756</v>
      </c>
      <c r="F32" s="408">
        <v>306905.63381741574</v>
      </c>
      <c r="G32" s="408">
        <f>+E32-F32</f>
        <v>29137.792511401814</v>
      </c>
      <c r="H32" s="409">
        <f>+F32/E32-1</f>
        <v>-8.6708413938413331E-2</v>
      </c>
    </row>
    <row r="33" spans="3:8">
      <c r="C33" s="2" t="s">
        <v>73</v>
      </c>
      <c r="D33" s="408">
        <f>+(D10+E10+F10+G10+H10)*1000</f>
        <v>1419066.2041999998</v>
      </c>
      <c r="E33" s="408">
        <v>1419066.2041999998</v>
      </c>
      <c r="F33" s="408">
        <v>1419066.2041999998</v>
      </c>
      <c r="G33" s="2"/>
      <c r="H33" s="2"/>
    </row>
    <row r="35" spans="3:8">
      <c r="D35" t="s">
        <v>1362</v>
      </c>
      <c r="E35" t="s">
        <v>1358</v>
      </c>
    </row>
    <row r="36" spans="3:8">
      <c r="C36" t="s">
        <v>1361</v>
      </c>
      <c r="D36" s="405">
        <f>+D33</f>
        <v>1419066.2041999998</v>
      </c>
      <c r="E36" s="405">
        <f>+E32</f>
        <v>336043.42632881756</v>
      </c>
    </row>
    <row r="37" spans="3:8">
      <c r="C37" t="s">
        <v>1363</v>
      </c>
      <c r="D37" s="405">
        <f>+D36</f>
        <v>1419066.2041999998</v>
      </c>
      <c r="E37" s="405">
        <f>+F32</f>
        <v>306905.63381741574</v>
      </c>
    </row>
    <row r="38" spans="3:8">
      <c r="C38" t="s">
        <v>1337</v>
      </c>
      <c r="E38" s="405">
        <f>+E37</f>
        <v>306905.63381741574</v>
      </c>
    </row>
  </sheetData>
  <mergeCells count="1">
    <mergeCell ref="F31:H3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6B789-92EA-4209-AD5C-6FF94820AF18}">
  <dimension ref="B1:O74"/>
  <sheetViews>
    <sheetView showGridLines="0" topLeftCell="B2" workbookViewId="0">
      <selection activeCell="H3" sqref="H3:I7"/>
    </sheetView>
  </sheetViews>
  <sheetFormatPr baseColWidth="10" defaultColWidth="11.42578125" defaultRowHeight="15"/>
  <cols>
    <col min="1" max="1" width="3.5703125" style="7" customWidth="1"/>
    <col min="2" max="2" width="34.140625" style="7" customWidth="1"/>
    <col min="3" max="3" width="18.7109375" style="7" customWidth="1"/>
    <col min="4" max="4" width="17" style="7" customWidth="1"/>
    <col min="5" max="5" width="14.28515625" style="7" customWidth="1"/>
    <col min="6" max="6" width="13.28515625" style="7" customWidth="1"/>
    <col min="7" max="7" width="12.28515625" style="7" customWidth="1"/>
    <col min="8" max="8" width="20" style="7" customWidth="1"/>
    <col min="9" max="10" width="13" style="7" customWidth="1"/>
    <col min="11" max="12" width="19.5703125" style="7" customWidth="1"/>
    <col min="13" max="13" width="17.28515625" style="7" customWidth="1"/>
    <col min="14" max="16384" width="11.42578125" style="7"/>
  </cols>
  <sheetData>
    <row r="1" spans="2:15">
      <c r="B1" s="147" t="s">
        <v>85</v>
      </c>
    </row>
    <row r="2" spans="2:15" s="17" customFormat="1" ht="42" customHeight="1">
      <c r="B2" s="18" t="s">
        <v>86</v>
      </c>
      <c r="C2" s="18" t="s">
        <v>87</v>
      </c>
      <c r="D2" s="18" t="s">
        <v>88</v>
      </c>
      <c r="E2" s="18" t="s">
        <v>89</v>
      </c>
      <c r="F2" s="18" t="s">
        <v>90</v>
      </c>
      <c r="G2" s="18" t="s">
        <v>91</v>
      </c>
      <c r="H2" s="18" t="s">
        <v>92</v>
      </c>
      <c r="I2" s="19" t="s">
        <v>93</v>
      </c>
      <c r="J2" s="18" t="s">
        <v>889</v>
      </c>
      <c r="K2" s="18" t="s">
        <v>94</v>
      </c>
      <c r="L2" s="19" t="s">
        <v>95</v>
      </c>
      <c r="M2" s="18" t="s">
        <v>96</v>
      </c>
    </row>
    <row r="3" spans="2:15">
      <c r="B3" s="3" t="s">
        <v>97</v>
      </c>
      <c r="C3" s="368">
        <v>111305</v>
      </c>
      <c r="D3" s="22">
        <f>+C3/SUM($C$3:$C$7)</f>
        <v>0.30338354491590586</v>
      </c>
      <c r="E3" s="4">
        <v>178</v>
      </c>
      <c r="F3" s="4">
        <v>540</v>
      </c>
      <c r="G3" s="4">
        <f>+F3*1</f>
        <v>540</v>
      </c>
      <c r="H3" s="400">
        <f>+K18</f>
        <v>204790.78336487984</v>
      </c>
      <c r="I3" s="8">
        <f>+K19</f>
        <v>86894.933012228707</v>
      </c>
      <c r="J3" s="371">
        <f>IF(EERR!$E$27="SI",Scio!N3,0)</f>
        <v>0</v>
      </c>
      <c r="K3" s="9">
        <f>+I3*G3*(1-J3)</f>
        <v>46923263.826603502</v>
      </c>
      <c r="L3" s="8">
        <f>+H3*E3</f>
        <v>36452759.438948609</v>
      </c>
      <c r="M3" s="9">
        <f>+L3+K3</f>
        <v>83376023.265552104</v>
      </c>
      <c r="N3" s="371">
        <v>0.31</v>
      </c>
    </row>
    <row r="4" spans="2:15">
      <c r="B4" s="3" t="s">
        <v>98</v>
      </c>
      <c r="C4" s="368">
        <v>61181</v>
      </c>
      <c r="D4" s="22">
        <f t="shared" ref="D4:D7" si="0">+C4/SUM($C$3:$C$7)</f>
        <v>0.1667607803917168</v>
      </c>
      <c r="E4" s="4">
        <v>157</v>
      </c>
      <c r="F4" s="4">
        <v>148</v>
      </c>
      <c r="G4" s="4">
        <f t="shared" ref="G4:G7" si="1">+F4*1</f>
        <v>148</v>
      </c>
      <c r="H4" s="5">
        <f>+K14</f>
        <v>308342.94281341753</v>
      </c>
      <c r="I4" s="8">
        <f>+I3</f>
        <v>86894.933012228707</v>
      </c>
      <c r="J4" s="371">
        <f>IF(EERR!$E$27="SI",Scio!N4,0)</f>
        <v>0</v>
      </c>
      <c r="K4" s="9">
        <f t="shared" ref="K4:K7" si="2">+I4*G4*(1-J4)</f>
        <v>12860450.085809849</v>
      </c>
      <c r="L4" s="8">
        <f>+H4*E4</f>
        <v>48409842.021706551</v>
      </c>
      <c r="M4" s="9">
        <f>+L4+K4</f>
        <v>61270292.107516401</v>
      </c>
      <c r="N4" s="371">
        <v>0.12</v>
      </c>
    </row>
    <row r="5" spans="2:15">
      <c r="B5" s="3" t="s">
        <v>99</v>
      </c>
      <c r="C5" s="368">
        <v>105269.83000000002</v>
      </c>
      <c r="D5" s="22">
        <f t="shared" si="0"/>
        <v>0.28693350880997959</v>
      </c>
      <c r="E5" s="4">
        <v>154</v>
      </c>
      <c r="F5" s="4">
        <v>195</v>
      </c>
      <c r="G5" s="4">
        <f t="shared" si="1"/>
        <v>195</v>
      </c>
      <c r="H5" s="5">
        <f>+K14</f>
        <v>308342.94281341753</v>
      </c>
      <c r="I5" s="8">
        <f t="shared" ref="I5:I7" si="3">+I4</f>
        <v>86894.933012228707</v>
      </c>
      <c r="J5" s="371">
        <f>IF(EERR!$E$27="SI",Scio!N5,0)</f>
        <v>0</v>
      </c>
      <c r="K5" s="9">
        <f t="shared" si="2"/>
        <v>16944511.937384598</v>
      </c>
      <c r="L5" s="8">
        <f>+H5*E5</f>
        <v>47484813.193266302</v>
      </c>
      <c r="M5" s="9">
        <f>+L5+K5</f>
        <v>64429325.1306509</v>
      </c>
      <c r="N5" s="371">
        <v>0.32</v>
      </c>
      <c r="O5" s="7">
        <f>+M5/846</f>
        <v>76157.594717081447</v>
      </c>
    </row>
    <row r="6" spans="2:15">
      <c r="B6" s="3" t="s">
        <v>100</v>
      </c>
      <c r="C6" s="368">
        <v>10188</v>
      </c>
      <c r="D6" s="22">
        <f t="shared" si="0"/>
        <v>2.7769386421124378E-2</v>
      </c>
      <c r="E6" s="4">
        <v>41</v>
      </c>
      <c r="F6" s="4">
        <v>52</v>
      </c>
      <c r="G6" s="4">
        <f t="shared" si="1"/>
        <v>52</v>
      </c>
      <c r="H6" s="5">
        <f>+K13</f>
        <v>368771.49304394494</v>
      </c>
      <c r="I6" s="8">
        <f t="shared" si="3"/>
        <v>86894.933012228707</v>
      </c>
      <c r="J6" s="371">
        <f>IF(EERR!$E$27="SI",Scio!N6,0)</f>
        <v>0</v>
      </c>
      <c r="K6" s="9">
        <f t="shared" si="2"/>
        <v>4518536.5166358929</v>
      </c>
      <c r="L6" s="8">
        <f>+H6*E6</f>
        <v>15119631.214801742</v>
      </c>
      <c r="M6" s="9">
        <f>+L6+K6</f>
        <v>19638167.731437635</v>
      </c>
      <c r="N6" s="371">
        <v>0.31</v>
      </c>
    </row>
    <row r="7" spans="2:15">
      <c r="B7" s="3" t="s">
        <v>101</v>
      </c>
      <c r="C7" s="368">
        <v>78935</v>
      </c>
      <c r="D7" s="22">
        <f t="shared" si="0"/>
        <v>0.21515277946127334</v>
      </c>
      <c r="E7" s="4">
        <v>165</v>
      </c>
      <c r="F7" s="4">
        <v>210</v>
      </c>
      <c r="G7" s="4">
        <f t="shared" si="1"/>
        <v>210</v>
      </c>
      <c r="H7" s="5">
        <f>+K15</f>
        <v>257816.16736091647</v>
      </c>
      <c r="I7" s="8">
        <f t="shared" si="3"/>
        <v>86894.933012228707</v>
      </c>
      <c r="J7" s="371">
        <f>IF(EERR!$E$27="SI",Scio!N7,0)</f>
        <v>0</v>
      </c>
      <c r="K7" s="9">
        <f t="shared" si="2"/>
        <v>18247935.932568029</v>
      </c>
      <c r="L7" s="8">
        <f>+H7*E7</f>
        <v>42539667.614551216</v>
      </c>
      <c r="M7" s="9">
        <f>+L7+K7</f>
        <v>60787603.547119245</v>
      </c>
      <c r="N7" s="371">
        <v>0.12</v>
      </c>
    </row>
    <row r="8" spans="2:15">
      <c r="E8" s="7">
        <f>+E3+E6</f>
        <v>219</v>
      </c>
      <c r="F8" s="7">
        <f>+F3+F6</f>
        <v>592</v>
      </c>
      <c r="I8" s="20" t="s">
        <v>102</v>
      </c>
      <c r="J8" s="21"/>
      <c r="K8" s="21">
        <f>+SUM(K3:K7)</f>
        <v>99494698.299001873</v>
      </c>
      <c r="L8" s="133">
        <f>+SUM(L3:L7)</f>
        <v>190006713.4832744</v>
      </c>
      <c r="M8" s="21">
        <f>+SUM(M3:M7)</f>
        <v>289501411.78227627</v>
      </c>
    </row>
    <row r="9" spans="2:15">
      <c r="E9" s="7">
        <f>+E4+E7</f>
        <v>322</v>
      </c>
      <c r="F9" s="7">
        <f>+F4+F7</f>
        <v>358</v>
      </c>
      <c r="I9" s="134" t="s">
        <v>103</v>
      </c>
      <c r="J9" s="6"/>
      <c r="K9" s="6">
        <f>+K8/O9</f>
        <v>117606.02635815824</v>
      </c>
      <c r="L9" s="6">
        <f>+L8/O9</f>
        <v>224594.22397550166</v>
      </c>
      <c r="M9" s="6">
        <f>+M8/O9</f>
        <v>342200.25033365987</v>
      </c>
      <c r="N9" s="132" t="s">
        <v>61</v>
      </c>
      <c r="O9" s="10">
        <v>846</v>
      </c>
    </row>
    <row r="10" spans="2:15">
      <c r="E10" s="71"/>
      <c r="F10" s="71"/>
      <c r="G10" s="71"/>
    </row>
    <row r="11" spans="2:15" ht="51">
      <c r="B11" s="15" t="s">
        <v>104</v>
      </c>
      <c r="C11" s="16" t="s">
        <v>104</v>
      </c>
      <c r="D11" s="16"/>
      <c r="E11" s="16" t="s">
        <v>105</v>
      </c>
      <c r="F11" s="16"/>
      <c r="G11" s="16" t="s">
        <v>106</v>
      </c>
      <c r="H11" s="16" t="s">
        <v>107</v>
      </c>
      <c r="I11" s="16" t="s">
        <v>108</v>
      </c>
      <c r="J11" s="16" t="s">
        <v>109</v>
      </c>
      <c r="K11" s="16" t="s">
        <v>110</v>
      </c>
      <c r="L11" s="131"/>
      <c r="M11" s="369">
        <f>+M9-F74</f>
        <v>262426.91700032656</v>
      </c>
      <c r="N11" s="370">
        <f>+M11/M9-1</f>
        <v>-0.23311886316725627</v>
      </c>
    </row>
    <row r="12" spans="2:15">
      <c r="B12" s="11" t="s">
        <v>111</v>
      </c>
      <c r="C12" s="12" t="s">
        <v>112</v>
      </c>
      <c r="D12" s="12"/>
      <c r="E12" s="12" t="s">
        <v>113</v>
      </c>
      <c r="F12" s="12"/>
      <c r="G12" s="12" t="s">
        <v>114</v>
      </c>
      <c r="H12" s="12">
        <v>90024.45</v>
      </c>
      <c r="I12" s="12">
        <v>225061.125</v>
      </c>
      <c r="J12" s="12">
        <v>266247.31087500002</v>
      </c>
      <c r="K12" s="12">
        <f>+J12*(1+FA!$B$30)</f>
        <v>368771.49304394494</v>
      </c>
      <c r="L12" s="12"/>
    </row>
    <row r="13" spans="2:15">
      <c r="B13" s="11" t="s">
        <v>111</v>
      </c>
      <c r="C13" s="12" t="s">
        <v>115</v>
      </c>
      <c r="D13" s="12"/>
      <c r="E13" s="12" t="s">
        <v>113</v>
      </c>
      <c r="F13" s="12"/>
      <c r="G13" s="12" t="s">
        <v>116</v>
      </c>
      <c r="H13" s="12">
        <v>90024.45</v>
      </c>
      <c r="I13" s="12">
        <v>225061.125</v>
      </c>
      <c r="J13" s="12">
        <v>266247.31087500002</v>
      </c>
      <c r="K13" s="12">
        <f>+J13*(1+FA!$B$30)</f>
        <v>368771.49304394494</v>
      </c>
      <c r="L13" s="12"/>
    </row>
    <row r="14" spans="2:15">
      <c r="B14" s="11" t="s">
        <v>111</v>
      </c>
      <c r="C14" s="12" t="s">
        <v>117</v>
      </c>
      <c r="D14" s="12"/>
      <c r="E14" s="12" t="s">
        <v>113</v>
      </c>
      <c r="F14" s="12"/>
      <c r="G14" s="12" t="s">
        <v>118</v>
      </c>
      <c r="H14" s="12">
        <v>75272.639999999999</v>
      </c>
      <c r="I14" s="12">
        <v>188181.6</v>
      </c>
      <c r="J14" s="12">
        <v>222618.8328</v>
      </c>
      <c r="K14" s="12">
        <f>+J14*(1+FA!$B$30)</f>
        <v>308342.94281341753</v>
      </c>
      <c r="L14" s="12"/>
    </row>
    <row r="15" spans="2:15">
      <c r="B15" s="11" t="s">
        <v>111</v>
      </c>
      <c r="C15" s="12" t="s">
        <v>119</v>
      </c>
      <c r="D15" s="12"/>
      <c r="E15" s="12" t="s">
        <v>113</v>
      </c>
      <c r="F15" s="12"/>
      <c r="G15" s="12" t="s">
        <v>120</v>
      </c>
      <c r="H15" s="12">
        <v>62938.05</v>
      </c>
      <c r="I15" s="12">
        <v>157345.125</v>
      </c>
      <c r="J15" s="12">
        <v>186139.282875</v>
      </c>
      <c r="K15" s="12">
        <f>+J15*(1+FA!$B$30)</f>
        <v>257816.16736091647</v>
      </c>
      <c r="L15" s="12"/>
    </row>
    <row r="16" spans="2:15">
      <c r="B16" s="11" t="s">
        <v>111</v>
      </c>
      <c r="C16" s="12" t="s">
        <v>121</v>
      </c>
      <c r="D16" s="12"/>
      <c r="E16" s="12" t="s">
        <v>113</v>
      </c>
      <c r="F16" s="12"/>
      <c r="G16" s="12" t="s">
        <v>122</v>
      </c>
      <c r="H16" s="12">
        <v>75170.98</v>
      </c>
      <c r="I16" s="12">
        <v>150341.96</v>
      </c>
      <c r="J16" s="12">
        <v>177854.53868</v>
      </c>
      <c r="K16" s="12">
        <f>+J16*(1+FA!$B$30)</f>
        <v>246341.2064449293</v>
      </c>
      <c r="L16" s="12"/>
    </row>
    <row r="17" spans="2:12">
      <c r="B17" s="11" t="s">
        <v>111</v>
      </c>
      <c r="C17" s="12" t="s">
        <v>123</v>
      </c>
      <c r="D17" s="12"/>
      <c r="E17" s="12" t="s">
        <v>113</v>
      </c>
      <c r="F17" s="12"/>
      <c r="G17" s="12" t="s">
        <v>124</v>
      </c>
      <c r="H17" s="12">
        <v>52625.34</v>
      </c>
      <c r="I17" s="12">
        <v>131563.34999999998</v>
      </c>
      <c r="J17" s="12">
        <v>155639.44304999997</v>
      </c>
      <c r="K17" s="12">
        <f>+J17*(1+FA!$B$30)</f>
        <v>215571.71639199386</v>
      </c>
      <c r="L17" s="12"/>
    </row>
    <row r="18" spans="2:12">
      <c r="B18" s="11" t="s">
        <v>111</v>
      </c>
      <c r="C18" s="12" t="s">
        <v>125</v>
      </c>
      <c r="D18" s="12"/>
      <c r="E18" s="12" t="s">
        <v>113</v>
      </c>
      <c r="F18" s="12"/>
      <c r="G18" s="12" t="s">
        <v>126</v>
      </c>
      <c r="H18" s="12">
        <v>49993.5</v>
      </c>
      <c r="I18" s="12">
        <v>124983.74999999999</v>
      </c>
      <c r="J18" s="12">
        <v>147855.77625</v>
      </c>
      <c r="K18" s="12">
        <f>+J18*(1+FA!$B$30)</f>
        <v>204790.78336487984</v>
      </c>
      <c r="L18" s="12"/>
    </row>
    <row r="19" spans="2:12">
      <c r="B19" s="11" t="s">
        <v>111</v>
      </c>
      <c r="C19" s="12" t="s">
        <v>127</v>
      </c>
      <c r="D19" s="12"/>
      <c r="E19" s="12" t="s">
        <v>113</v>
      </c>
      <c r="F19" s="12"/>
      <c r="G19" s="12" t="s">
        <v>128</v>
      </c>
      <c r="H19" s="12">
        <v>10606.39</v>
      </c>
      <c r="I19" s="12">
        <v>53031.95</v>
      </c>
      <c r="J19" s="12">
        <v>62736.796849999999</v>
      </c>
      <c r="K19" s="12">
        <f>+J19*(1+FA!$B$30)</f>
        <v>86894.933012228707</v>
      </c>
      <c r="L19" s="12"/>
    </row>
    <row r="20" spans="2:12">
      <c r="B20" s="11" t="s">
        <v>111</v>
      </c>
      <c r="C20" s="12" t="s">
        <v>129</v>
      </c>
      <c r="D20" s="12"/>
      <c r="E20" s="12" t="s">
        <v>113</v>
      </c>
      <c r="F20" s="12"/>
      <c r="G20" s="12" t="s">
        <v>130</v>
      </c>
      <c r="H20" s="12">
        <v>75351.710000000006</v>
      </c>
      <c r="I20" s="12">
        <v>188379.27500000002</v>
      </c>
      <c r="J20" s="12">
        <v>222852.68232500003</v>
      </c>
      <c r="K20" s="12">
        <f>+J20*(1+FA!$B$30)</f>
        <v>308666.84106500354</v>
      </c>
      <c r="L20" s="12"/>
    </row>
    <row r="21" spans="2:12">
      <c r="B21" s="13" t="s">
        <v>111</v>
      </c>
      <c r="C21" s="14" t="s">
        <v>131</v>
      </c>
      <c r="D21" s="14"/>
      <c r="E21" s="14" t="s">
        <v>113</v>
      </c>
      <c r="F21" s="14"/>
      <c r="G21" s="14" t="s">
        <v>132</v>
      </c>
      <c r="H21" s="14">
        <v>207474.17</v>
      </c>
      <c r="I21" s="14">
        <v>311211.255</v>
      </c>
      <c r="J21" s="14">
        <v>368162.91466500005</v>
      </c>
      <c r="K21" s="14">
        <f>+J21*(1+FA!$B$30)</f>
        <v>509931.86476975918</v>
      </c>
      <c r="L21" s="12"/>
    </row>
    <row r="23" spans="2:12">
      <c r="B23" s="147" t="s">
        <v>133</v>
      </c>
    </row>
    <row r="25" spans="2:12" hidden="1"/>
    <row r="26" spans="2:12" hidden="1"/>
    <row r="27" spans="2:12" hidden="1"/>
    <row r="28" spans="2:12" hidden="1"/>
    <row r="29" spans="2:12" hidden="1"/>
    <row r="30" spans="2:12" hidden="1"/>
    <row r="31" spans="2:12" hidden="1"/>
    <row r="33" spans="2:5">
      <c r="B33" s="435" t="s">
        <v>134</v>
      </c>
      <c r="C33" s="436"/>
      <c r="D33" s="436"/>
      <c r="E33" s="437"/>
    </row>
    <row r="34" spans="2:5">
      <c r="B34" s="10" t="s">
        <v>135</v>
      </c>
      <c r="C34" s="10" t="s">
        <v>136</v>
      </c>
      <c r="D34" s="10" t="s">
        <v>137</v>
      </c>
      <c r="E34" s="10" t="s">
        <v>138</v>
      </c>
    </row>
    <row r="35" spans="2:5">
      <c r="B35" s="10" t="s">
        <v>139</v>
      </c>
      <c r="C35" s="337">
        <v>2</v>
      </c>
      <c r="D35" s="337">
        <v>4</v>
      </c>
      <c r="E35" s="337">
        <v>11</v>
      </c>
    </row>
    <row r="36" spans="2:5">
      <c r="B36" s="10" t="s">
        <v>140</v>
      </c>
      <c r="C36" s="6">
        <f>(190000+70000+3000)*1.4/60+3000/4</f>
        <v>6886.666666666667</v>
      </c>
      <c r="D36" s="6">
        <f>1500*1.4+3000*1/10</f>
        <v>2400</v>
      </c>
      <c r="E36" s="6">
        <f>+E45</f>
        <v>3600</v>
      </c>
    </row>
    <row r="37" spans="2:5">
      <c r="B37" s="10" t="s">
        <v>141</v>
      </c>
      <c r="C37" s="438">
        <f>+C36*C35+D36*D35+E36*E35</f>
        <v>62973.333333333336</v>
      </c>
      <c r="D37" s="439"/>
      <c r="E37" s="440"/>
    </row>
    <row r="38" spans="2:5">
      <c r="B38" s="148" t="s">
        <v>142</v>
      </c>
      <c r="C38" s="438">
        <f>10000/2</f>
        <v>5000</v>
      </c>
      <c r="D38" s="439"/>
      <c r="E38" s="440"/>
    </row>
    <row r="39" spans="2:5">
      <c r="B39" s="148" t="s">
        <v>143</v>
      </c>
      <c r="C39" s="438">
        <f>(4000*3/2)/3</f>
        <v>2000</v>
      </c>
      <c r="D39" s="439"/>
      <c r="E39" s="440"/>
    </row>
    <row r="40" spans="2:5">
      <c r="B40" s="72" t="s">
        <v>96</v>
      </c>
      <c r="C40" s="441">
        <f>+C39+C38+C37</f>
        <v>69973.333333333343</v>
      </c>
      <c r="D40" s="442"/>
      <c r="E40" s="443"/>
    </row>
    <row r="42" spans="2:5">
      <c r="B42" s="435" t="s">
        <v>144</v>
      </c>
      <c r="C42" s="436"/>
      <c r="D42" s="436"/>
      <c r="E42" s="437"/>
    </row>
    <row r="43" spans="2:5">
      <c r="B43" s="10" t="s">
        <v>135</v>
      </c>
      <c r="C43" s="10" t="s">
        <v>136</v>
      </c>
      <c r="D43" s="10" t="s">
        <v>137</v>
      </c>
      <c r="E43" s="10" t="s">
        <v>138</v>
      </c>
    </row>
    <row r="44" spans="2:5">
      <c r="B44" s="10" t="s">
        <v>139</v>
      </c>
      <c r="C44" s="337">
        <v>3</v>
      </c>
      <c r="D44" s="337">
        <v>7</v>
      </c>
      <c r="E44" s="337">
        <v>14</v>
      </c>
    </row>
    <row r="45" spans="2:5">
      <c r="B45" s="10" t="s">
        <v>140</v>
      </c>
      <c r="C45" s="6">
        <f>(190000+70000+3000)*1.4/60+3000/4</f>
        <v>6886.666666666667</v>
      </c>
      <c r="D45" s="6">
        <f>1500*1.4+3000*1/10</f>
        <v>2400</v>
      </c>
      <c r="E45" s="6">
        <v>3600</v>
      </c>
    </row>
    <row r="46" spans="2:5">
      <c r="B46" s="10" t="s">
        <v>141</v>
      </c>
      <c r="C46" s="438">
        <f>+C45*C44+D45*D44+E45*E44</f>
        <v>87860</v>
      </c>
      <c r="D46" s="439"/>
      <c r="E46" s="440"/>
    </row>
    <row r="47" spans="2:5">
      <c r="B47" s="148" t="s">
        <v>142</v>
      </c>
      <c r="C47" s="438">
        <f>10000/2</f>
        <v>5000</v>
      </c>
      <c r="D47" s="439"/>
      <c r="E47" s="440"/>
    </row>
    <row r="48" spans="2:5">
      <c r="B48" s="148" t="s">
        <v>143</v>
      </c>
      <c r="C48" s="438">
        <f>+C39</f>
        <v>2000</v>
      </c>
      <c r="D48" s="439"/>
      <c r="E48" s="440"/>
    </row>
    <row r="49" spans="2:7">
      <c r="B49" s="72" t="s">
        <v>96</v>
      </c>
      <c r="C49" s="441">
        <f>+C48+C47+C46</f>
        <v>94860</v>
      </c>
      <c r="D49" s="442"/>
      <c r="E49" s="443"/>
    </row>
    <row r="51" spans="2:7">
      <c r="B51" s="435" t="s">
        <v>145</v>
      </c>
      <c r="C51" s="436"/>
      <c r="D51" s="436"/>
      <c r="E51" s="437"/>
    </row>
    <row r="52" spans="2:7">
      <c r="B52" s="10" t="s">
        <v>135</v>
      </c>
      <c r="C52" s="10" t="s">
        <v>136</v>
      </c>
      <c r="D52" s="10" t="s">
        <v>137</v>
      </c>
      <c r="E52" s="10" t="s">
        <v>138</v>
      </c>
    </row>
    <row r="53" spans="2:7">
      <c r="B53" s="10" t="s">
        <v>139</v>
      </c>
      <c r="C53" s="337">
        <v>3</v>
      </c>
      <c r="D53" s="337">
        <v>7</v>
      </c>
      <c r="E53" s="337">
        <v>14</v>
      </c>
    </row>
    <row r="54" spans="2:7">
      <c r="B54" s="10" t="s">
        <v>140</v>
      </c>
      <c r="C54" s="6">
        <f>(190000+70000+3000)*1.4/60+3000/4</f>
        <v>6886.666666666667</v>
      </c>
      <c r="D54" s="6">
        <f>1500*1.4+3000*1/10</f>
        <v>2400</v>
      </c>
      <c r="E54" s="6">
        <f>+E45</f>
        <v>3600</v>
      </c>
    </row>
    <row r="55" spans="2:7">
      <c r="B55" s="10" t="s">
        <v>141</v>
      </c>
      <c r="C55" s="438">
        <f>+C54*C53+D54*D53+E54*E53</f>
        <v>87860</v>
      </c>
      <c r="D55" s="439"/>
      <c r="E55" s="440"/>
    </row>
    <row r="56" spans="2:7">
      <c r="B56" s="148" t="s">
        <v>142</v>
      </c>
      <c r="C56" s="438">
        <f>10000/2</f>
        <v>5000</v>
      </c>
      <c r="D56" s="439"/>
      <c r="E56" s="440"/>
    </row>
    <row r="57" spans="2:7">
      <c r="B57" s="148" t="s">
        <v>143</v>
      </c>
      <c r="C57" s="438">
        <f>+C48</f>
        <v>2000</v>
      </c>
      <c r="D57" s="439"/>
      <c r="E57" s="440"/>
      <c r="F57" s="10" t="s">
        <v>68</v>
      </c>
      <c r="G57" s="10" t="s">
        <v>69</v>
      </c>
    </row>
    <row r="58" spans="2:7">
      <c r="B58" s="72" t="s">
        <v>96</v>
      </c>
      <c r="C58" s="441">
        <f>+C57+C56+C55</f>
        <v>94860</v>
      </c>
      <c r="D58" s="442"/>
      <c r="E58" s="443"/>
      <c r="F58" s="10">
        <f>+C58*85%</f>
        <v>80631</v>
      </c>
      <c r="G58" s="10">
        <f>+C58*15%</f>
        <v>14229</v>
      </c>
    </row>
    <row r="61" spans="2:7">
      <c r="C61" s="10" t="s">
        <v>146</v>
      </c>
      <c r="D61" s="10" t="s">
        <v>147</v>
      </c>
      <c r="E61" s="10" t="s">
        <v>148</v>
      </c>
    </row>
    <row r="62" spans="2:7">
      <c r="C62" s="10">
        <f>+C53+C44+C35</f>
        <v>8</v>
      </c>
      <c r="D62" s="10">
        <f t="shared" ref="D62" si="4">+D53+D44+D35</f>
        <v>18</v>
      </c>
      <c r="E62" s="10">
        <f>+E53+E44+E35</f>
        <v>39</v>
      </c>
    </row>
    <row r="63" spans="2:7">
      <c r="E63" s="7" t="s">
        <v>1333</v>
      </c>
    </row>
    <row r="65" spans="2:6">
      <c r="C65" s="10" t="s">
        <v>887</v>
      </c>
      <c r="D65" s="6">
        <f>+C56+C47+C38</f>
        <v>15000</v>
      </c>
    </row>
    <row r="66" spans="2:6">
      <c r="C66" s="10" t="s">
        <v>888</v>
      </c>
      <c r="D66" s="6">
        <f>+C57+C48+C39</f>
        <v>6000</v>
      </c>
    </row>
    <row r="67" spans="2:6">
      <c r="D67" s="369">
        <f>+D66+D65</f>
        <v>21000</v>
      </c>
    </row>
    <row r="68" spans="2:6">
      <c r="D68" s="370">
        <f>+D67/(C58+C49+C40)</f>
        <v>8.0864609539456789E-2</v>
      </c>
    </row>
    <row r="70" spans="2:6">
      <c r="B70" s="10"/>
      <c r="C70" s="10" t="s">
        <v>146</v>
      </c>
      <c r="D70" s="10" t="s">
        <v>147</v>
      </c>
      <c r="E70" s="10" t="s">
        <v>148</v>
      </c>
    </row>
    <row r="71" spans="2:6">
      <c r="B71" s="10" t="s">
        <v>1369</v>
      </c>
      <c r="C71" s="10">
        <v>8</v>
      </c>
      <c r="D71" s="10">
        <v>18</v>
      </c>
      <c r="E71" s="10">
        <v>39</v>
      </c>
    </row>
    <row r="72" spans="2:6">
      <c r="B72" s="10" t="s">
        <v>1370</v>
      </c>
      <c r="C72" s="10">
        <v>6</v>
      </c>
      <c r="D72" s="10">
        <v>16</v>
      </c>
      <c r="E72" s="10">
        <v>22</v>
      </c>
    </row>
    <row r="73" spans="2:6">
      <c r="B73" s="148" t="s">
        <v>141</v>
      </c>
      <c r="C73" s="412">
        <f>+C36</f>
        <v>6886.666666666667</v>
      </c>
      <c r="D73" s="412">
        <f t="shared" ref="D73" si="5">+D36</f>
        <v>2400</v>
      </c>
      <c r="E73" s="412">
        <f>+E36</f>
        <v>3600</v>
      </c>
      <c r="F73" s="369"/>
    </row>
    <row r="74" spans="2:6">
      <c r="B74" s="10" t="s">
        <v>1371</v>
      </c>
      <c r="C74" s="6">
        <f>+(C71-C72)*C73</f>
        <v>13773.333333333334</v>
      </c>
      <c r="D74" s="6">
        <f t="shared" ref="D74:E74" si="6">+(D71-D72)*D73</f>
        <v>4800</v>
      </c>
      <c r="E74" s="6">
        <f t="shared" si="6"/>
        <v>61200</v>
      </c>
      <c r="F74" s="6">
        <f>+SUM(C74:E74)</f>
        <v>79773.333333333343</v>
      </c>
    </row>
  </sheetData>
  <mergeCells count="15">
    <mergeCell ref="C39:E39"/>
    <mergeCell ref="C40:E40"/>
    <mergeCell ref="B33:E33"/>
    <mergeCell ref="C37:E37"/>
    <mergeCell ref="C38:E38"/>
    <mergeCell ref="B42:E42"/>
    <mergeCell ref="C46:E46"/>
    <mergeCell ref="C47:E47"/>
    <mergeCell ref="C48:E48"/>
    <mergeCell ref="C49:E49"/>
    <mergeCell ref="B51:E51"/>
    <mergeCell ref="C55:E55"/>
    <mergeCell ref="C56:E56"/>
    <mergeCell ref="C57:E57"/>
    <mergeCell ref="C58:E58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Z130"/>
  <sheetViews>
    <sheetView showGridLines="0" zoomScaleNormal="100" workbookViewId="0">
      <pane xSplit="3" ySplit="3" topLeftCell="K66" activePane="bottomRight" state="frozen"/>
      <selection pane="topRight" activeCell="C1" sqref="C1"/>
      <selection pane="bottomLeft" activeCell="A4" sqref="A4"/>
      <selection pane="bottomRight" activeCell="M82" sqref="M82:M83"/>
    </sheetView>
  </sheetViews>
  <sheetFormatPr baseColWidth="10" defaultColWidth="11.42578125" defaultRowHeight="12.75"/>
  <cols>
    <col min="1" max="1" width="2.42578125" style="345" customWidth="1"/>
    <col min="2" max="2" width="11.7109375" style="1" customWidth="1"/>
    <col min="3" max="3" width="34.85546875" style="1" customWidth="1"/>
    <col min="4" max="4" width="15.5703125" style="1" customWidth="1"/>
    <col min="5" max="5" width="12.140625" style="1" customWidth="1"/>
    <col min="6" max="6" width="10.28515625" style="1" customWidth="1"/>
    <col min="7" max="7" width="10.85546875" style="1" customWidth="1"/>
    <col min="8" max="8" width="12.5703125" style="1" customWidth="1"/>
    <col min="9" max="9" width="1.5703125" style="1" customWidth="1"/>
    <col min="10" max="10" width="16.28515625" style="1" customWidth="1"/>
    <col min="11" max="11" width="35.42578125" style="1" customWidth="1"/>
    <col min="12" max="12" width="13.28515625" style="1" customWidth="1"/>
    <col min="13" max="13" width="8.28515625" style="1" customWidth="1"/>
    <col min="14" max="15" width="11.42578125" style="1" customWidth="1"/>
    <col min="16" max="16" width="1.5703125" style="1" customWidth="1"/>
    <col min="17" max="16384" width="11.42578125" style="1"/>
  </cols>
  <sheetData>
    <row r="2" spans="1:26" ht="12.75" customHeight="1">
      <c r="J2" s="446" t="s">
        <v>149</v>
      </c>
      <c r="K2" s="447"/>
      <c r="L2" s="447"/>
      <c r="M2" s="447"/>
      <c r="N2" s="447"/>
      <c r="O2" s="448"/>
      <c r="P2" s="181"/>
      <c r="Q2" s="449" t="s">
        <v>71</v>
      </c>
      <c r="R2" s="450"/>
      <c r="S2" s="450"/>
      <c r="T2" s="450"/>
      <c r="U2" s="450"/>
    </row>
    <row r="3" spans="1:26" ht="38.25">
      <c r="C3" s="98" t="s">
        <v>150</v>
      </c>
      <c r="D3" s="98" t="s">
        <v>151</v>
      </c>
      <c r="E3" s="98" t="s">
        <v>152</v>
      </c>
      <c r="F3" s="98" t="s">
        <v>153</v>
      </c>
      <c r="G3" s="98" t="s">
        <v>154</v>
      </c>
      <c r="H3" s="99" t="s">
        <v>155</v>
      </c>
      <c r="I3" s="179"/>
      <c r="J3" s="89" t="s">
        <v>156</v>
      </c>
      <c r="K3" s="89" t="s">
        <v>1</v>
      </c>
      <c r="L3" s="90" t="s">
        <v>157</v>
      </c>
      <c r="M3" s="90" t="s">
        <v>158</v>
      </c>
      <c r="N3" s="90" t="s">
        <v>159</v>
      </c>
      <c r="O3" s="227" t="s">
        <v>160</v>
      </c>
      <c r="P3" s="182"/>
      <c r="Q3" s="91" t="s">
        <v>161</v>
      </c>
      <c r="R3" s="204" t="s">
        <v>162</v>
      </c>
      <c r="S3" s="91" t="s">
        <v>163</v>
      </c>
      <c r="T3" s="226" t="s">
        <v>160</v>
      </c>
      <c r="U3" s="205" t="s">
        <v>164</v>
      </c>
      <c r="X3" s="1" t="s">
        <v>165</v>
      </c>
    </row>
    <row r="4" spans="1:26" ht="15" customHeight="1">
      <c r="C4" s="96" t="s">
        <v>97</v>
      </c>
      <c r="D4" s="96">
        <f>+Tabla1[[#This Row],[Consumo presentado '[L/mes']]]*(1-EERR!$E$24)</f>
        <v>111305</v>
      </c>
      <c r="E4" s="97">
        <v>111305</v>
      </c>
      <c r="F4" s="97">
        <v>540</v>
      </c>
      <c r="G4" s="97">
        <v>178</v>
      </c>
      <c r="H4" s="97"/>
      <c r="I4" s="180"/>
      <c r="J4" s="444" t="s">
        <v>97</v>
      </c>
      <c r="K4" s="445"/>
      <c r="L4" s="445"/>
      <c r="M4" s="445"/>
      <c r="N4" s="445"/>
      <c r="O4" s="445"/>
      <c r="P4" s="445"/>
      <c r="Q4" s="445"/>
      <c r="R4" s="445"/>
      <c r="S4" s="445"/>
      <c r="T4" s="445"/>
      <c r="U4" s="445"/>
    </row>
    <row r="5" spans="1:26">
      <c r="A5" s="345" t="s">
        <v>68</v>
      </c>
      <c r="C5" s="4" t="s">
        <v>166</v>
      </c>
      <c r="D5" s="4">
        <f>+Tabla1[[#This Row],[Consumo presentado '[L/mes']]]*(1-EERR!$E$24)</f>
        <v>11000</v>
      </c>
      <c r="E5" s="4">
        <v>11000</v>
      </c>
      <c r="F5" s="4">
        <v>98</v>
      </c>
      <c r="G5" s="4">
        <v>54</v>
      </c>
      <c r="H5" s="4"/>
      <c r="I5" s="180"/>
      <c r="J5" s="4" t="s">
        <v>167</v>
      </c>
      <c r="K5" s="4" t="str">
        <f>IFERROR(VLOOKUP(J5,'Lista PQ Comp'!D:E,2,0),"")</f>
        <v>Biocida</v>
      </c>
      <c r="L5" s="4" t="s">
        <v>168</v>
      </c>
      <c r="M5" s="4"/>
      <c r="N5" s="4">
        <f>IFERROR(VLOOKUP(J5,'Lista PQ Comp'!D:F,3,0),"")</f>
        <v>8.08</v>
      </c>
      <c r="O5" s="197">
        <f>N5*Tabla1[[#This Row],[Consumo presentado '[L/mes']]]</f>
        <v>88880</v>
      </c>
      <c r="P5" s="180"/>
      <c r="Q5" s="173" t="s">
        <v>169</v>
      </c>
      <c r="R5" s="174">
        <f>IFERROR(VLOOKUP(Q5,'Lista PQ PECOM'!$I:$P,8,0),"")</f>
        <v>4.72</v>
      </c>
      <c r="S5" s="236">
        <f>IFERROR(VLOOKUP(Q5,CR!D:F,3,0),"")</f>
        <v>3.5365995976854712</v>
      </c>
      <c r="T5" s="239">
        <f>R5*Tabla1[[#This Row],[Consumo optimizado '[l/mes']]]</f>
        <v>51920</v>
      </c>
      <c r="U5" s="214">
        <f t="shared" ref="U5:U29" si="0">(T5-O5)/O5</f>
        <v>-0.41584158415841582</v>
      </c>
      <c r="W5" s="1" t="s">
        <v>170</v>
      </c>
      <c r="Y5" s="1" t="s">
        <v>165</v>
      </c>
      <c r="Z5" s="1" t="s">
        <v>165</v>
      </c>
    </row>
    <row r="6" spans="1:26">
      <c r="A6" s="345" t="s">
        <v>68</v>
      </c>
      <c r="C6" s="4" t="s">
        <v>166</v>
      </c>
      <c r="D6" s="4">
        <f>+Tabla1[[#This Row],[Consumo presentado '[L/mes']]]*(1-EERR!$E$24)</f>
        <v>6000</v>
      </c>
      <c r="E6" s="4">
        <v>6000</v>
      </c>
      <c r="F6" s="4"/>
      <c r="G6" s="4"/>
      <c r="H6" s="4"/>
      <c r="I6" s="180"/>
      <c r="J6" s="95" t="s">
        <v>171</v>
      </c>
      <c r="K6" s="95"/>
      <c r="L6" s="95" t="s">
        <v>172</v>
      </c>
      <c r="M6" s="95"/>
      <c r="N6" s="95">
        <v>9.4700000000000006</v>
      </c>
      <c r="O6" s="196">
        <f>N6*Tabla1[[#This Row],[Consumo presentado '[L/mes']]]</f>
        <v>56820.000000000007</v>
      </c>
      <c r="P6" s="180"/>
      <c r="Q6" s="95"/>
      <c r="R6" s="95"/>
      <c r="S6" s="333"/>
      <c r="T6" s="196">
        <f>R6*Tabla1[[#This Row],[Consumo optimizado '[l/mes']]]</f>
        <v>0</v>
      </c>
      <c r="U6" s="214">
        <f t="shared" si="0"/>
        <v>-1</v>
      </c>
    </row>
    <row r="7" spans="1:26">
      <c r="A7" s="345" t="s">
        <v>68</v>
      </c>
      <c r="C7" s="4" t="s">
        <v>173</v>
      </c>
      <c r="D7" s="4">
        <f>+Tabla1[[#This Row],[Consumo presentado '[L/mes']]]*(1-EERR!$E$24)</f>
        <v>1540</v>
      </c>
      <c r="E7" s="4">
        <v>1540</v>
      </c>
      <c r="F7" s="4"/>
      <c r="G7" s="4">
        <v>6</v>
      </c>
      <c r="H7" s="4"/>
      <c r="I7" s="180"/>
      <c r="J7" s="235" t="s">
        <v>44</v>
      </c>
      <c r="K7" s="235" t="str">
        <f>IFERROR(VLOOKUP(J7,'Lista PQ Comp'!D:E,2,0),"")</f>
        <v>Floculante</v>
      </c>
      <c r="L7" s="235" t="s">
        <v>168</v>
      </c>
      <c r="M7" s="235"/>
      <c r="N7" s="235">
        <f>IFERROR(VLOOKUP(J7,'Lista PQ Comp'!D:F,3,0),"")</f>
        <v>10.11</v>
      </c>
      <c r="O7" s="240">
        <f>N7*Tabla1[[#This Row],[Consumo presentado '[L/mes']]]</f>
        <v>15569.4</v>
      </c>
      <c r="P7" s="180"/>
      <c r="Q7" s="235" t="s">
        <v>174</v>
      </c>
      <c r="R7" s="237">
        <f>IFERROR(VLOOKUP(Q7,'Lista PQ PECOM'!$I:$P,8,0),"")</f>
        <v>4.57</v>
      </c>
      <c r="S7" s="238">
        <f>IFERROR(VLOOKUP(Q7,CR!D:F,3,0),"")</f>
        <v>2.9792596308615686</v>
      </c>
      <c r="T7" s="239">
        <f>R7*Tabla1[[#This Row],[Consumo optimizado '[l/mes']]]</f>
        <v>7037.8</v>
      </c>
      <c r="U7" s="214">
        <f t="shared" si="0"/>
        <v>-0.54797230464886248</v>
      </c>
    </row>
    <row r="8" spans="1:26">
      <c r="A8" s="345" t="s">
        <v>68</v>
      </c>
      <c r="C8" s="4" t="s">
        <v>175</v>
      </c>
      <c r="D8" s="4">
        <f>+Tabla1[[#This Row],[Consumo presentado '[L/mes']]]*(1-EERR!$E$24)</f>
        <v>110</v>
      </c>
      <c r="E8" s="4">
        <v>110</v>
      </c>
      <c r="F8" s="4"/>
      <c r="G8" s="4">
        <v>2</v>
      </c>
      <c r="H8" s="4"/>
      <c r="I8" s="180"/>
      <c r="J8" s="95" t="s">
        <v>176</v>
      </c>
      <c r="K8" s="95" t="str">
        <f>IFERROR(VLOOKUP(J8,'Lista PQ Comp'!D:E,2,0),"")</f>
        <v>Ruptor</v>
      </c>
      <c r="L8" s="95" t="s">
        <v>172</v>
      </c>
      <c r="M8" s="95"/>
      <c r="N8" s="95">
        <f>IFERROR(VLOOKUP(J8,'Lista PQ Comp'!D:F,3,0),"")</f>
        <v>4.5</v>
      </c>
      <c r="O8" s="196">
        <f>N8*Tabla1[[#This Row],[Consumo presentado '[L/mes']]]</f>
        <v>495</v>
      </c>
      <c r="P8" s="180"/>
      <c r="Q8" s="95" t="s">
        <v>177</v>
      </c>
      <c r="R8" s="95">
        <f>IFERROR(VLOOKUP(Q8,'Lista PQ PECOM'!$I:$P,8,0),"")</f>
        <v>3.25</v>
      </c>
      <c r="S8" s="333">
        <f>IFERROR(VLOOKUP(Q8,CR!D:F,3,0),"")</f>
        <v>2.3434332647628273</v>
      </c>
      <c r="T8" s="196">
        <f>R8*Tabla1[[#This Row],[Consumo optimizado '[l/mes']]]</f>
        <v>357.5</v>
      </c>
      <c r="U8" s="214">
        <f t="shared" si="0"/>
        <v>-0.27777777777777779</v>
      </c>
    </row>
    <row r="9" spans="1:26">
      <c r="A9" s="345" t="s">
        <v>68</v>
      </c>
      <c r="C9" s="4" t="s">
        <v>178</v>
      </c>
      <c r="D9" s="4">
        <f>+Tabla1[[#This Row],[Consumo presentado '[L/mes']]]*(1-EERR!$E$24)</f>
        <v>3080</v>
      </c>
      <c r="E9" s="4">
        <v>3080</v>
      </c>
      <c r="F9" s="4"/>
      <c r="G9" s="4">
        <v>4</v>
      </c>
      <c r="H9" s="4"/>
      <c r="I9" s="180"/>
      <c r="J9" s="235" t="s">
        <v>52</v>
      </c>
      <c r="K9" s="235" t="str">
        <f>IFERROR(VLOOKUP(J9,'Lista PQ Comp'!D:E,2,0),"")</f>
        <v>Clarificante</v>
      </c>
      <c r="L9" s="235" t="s">
        <v>168</v>
      </c>
      <c r="M9" s="235"/>
      <c r="N9" s="235">
        <f>IFERROR(VLOOKUP(J9,'Lista PQ Comp'!D:F,3,0),"")</f>
        <v>5.12</v>
      </c>
      <c r="O9" s="240">
        <f>N9*Tabla1[[#This Row],[Consumo presentado '[L/mes']]]</f>
        <v>15769.6</v>
      </c>
      <c r="P9" s="180"/>
      <c r="Q9" s="235" t="s">
        <v>179</v>
      </c>
      <c r="R9" s="237">
        <f>IFERROR(VLOOKUP(Q9,'Lista PQ PECOM'!$I:$P,8,0),"")</f>
        <v>2.74</v>
      </c>
      <c r="S9" s="238">
        <f>IFERROR(VLOOKUP(Q9,CR!D:F,3,0),"")</f>
        <v>1.504731491417457</v>
      </c>
      <c r="T9" s="239">
        <f>R9*Tabla1[[#This Row],[Consumo optimizado '[l/mes']]]</f>
        <v>8439.2000000000007</v>
      </c>
      <c r="U9" s="214">
        <f t="shared" si="0"/>
        <v>-0.46484374999999994</v>
      </c>
    </row>
    <row r="10" spans="1:26">
      <c r="A10" s="345" t="s">
        <v>68</v>
      </c>
      <c r="C10" s="4" t="s">
        <v>180</v>
      </c>
      <c r="D10" s="4">
        <f>+Tabla1[[#This Row],[Consumo presentado '[L/mes']]]*(1-EERR!$E$24)</f>
        <v>17046</v>
      </c>
      <c r="E10" s="4">
        <v>17046</v>
      </c>
      <c r="F10" s="4">
        <v>59</v>
      </c>
      <c r="G10" s="4">
        <v>22</v>
      </c>
      <c r="H10" s="4"/>
      <c r="I10" s="180"/>
      <c r="J10" s="95" t="s">
        <v>181</v>
      </c>
      <c r="K10" s="95" t="str">
        <f>IFERROR(VLOOKUP(J10,'Lista PQ Comp'!D:E,2,0),"")</f>
        <v>Desmulsionante</v>
      </c>
      <c r="L10" s="95" t="s">
        <v>172</v>
      </c>
      <c r="M10" s="95"/>
      <c r="N10" s="95">
        <f>IFERROR(VLOOKUP(J10,'Lista PQ Comp'!D:F,3,0),"")</f>
        <v>5.5</v>
      </c>
      <c r="O10" s="196">
        <f>N10*Tabla1[[#This Row],[Consumo presentado '[L/mes']]]</f>
        <v>93753</v>
      </c>
      <c r="P10" s="180"/>
      <c r="Q10" s="95" t="s">
        <v>182</v>
      </c>
      <c r="R10" s="95">
        <f>IFERROR(VLOOKUP(Q10,'Lista PQ PECOM'!$I:$P,8,0),"")</f>
        <v>6.82</v>
      </c>
      <c r="S10" s="333">
        <v>4.03</v>
      </c>
      <c r="T10" s="196">
        <f>R10*Tabla1[[#This Row],[Consumo optimizado '[l/mes']]]</f>
        <v>116253.72</v>
      </c>
      <c r="U10" s="214">
        <f t="shared" si="0"/>
        <v>0.24000000000000002</v>
      </c>
      <c r="W10" s="1" t="s">
        <v>183</v>
      </c>
      <c r="Y10" s="1" t="s">
        <v>184</v>
      </c>
    </row>
    <row r="11" spans="1:26">
      <c r="A11" s="345" t="s">
        <v>68</v>
      </c>
      <c r="C11" s="4" t="s">
        <v>185</v>
      </c>
      <c r="D11" s="4">
        <f>+Tabla1[[#This Row],[Consumo presentado '[L/mes']]]*(1-EERR!$E$24)</f>
        <v>0</v>
      </c>
      <c r="E11" s="4">
        <v>0</v>
      </c>
      <c r="F11" s="4"/>
      <c r="G11" s="4"/>
      <c r="H11" s="4"/>
      <c r="I11" s="180"/>
      <c r="J11" s="235" t="s">
        <v>186</v>
      </c>
      <c r="K11" s="235" t="str">
        <f>IFERROR(VLOOKUP(J11,'Lista PQ Comp'!D:E,2,0),"")</f>
        <v>Desmulsionante</v>
      </c>
      <c r="L11" s="235" t="s">
        <v>168</v>
      </c>
      <c r="M11" s="235"/>
      <c r="N11" s="235">
        <f>IFERROR(VLOOKUP(J11,'Lista PQ Comp'!D:F,3,0),"")</f>
        <v>4.71</v>
      </c>
      <c r="O11" s="240">
        <f>N11*Tabla1[[#This Row],[Consumo presentado '[L/mes']]]</f>
        <v>0</v>
      </c>
      <c r="P11" s="180"/>
      <c r="Q11" s="235"/>
      <c r="R11" s="237" t="str">
        <f>IFERROR(VLOOKUP(Q11,'Lista PQ PECOM'!$I:$P,8,0),"")</f>
        <v/>
      </c>
      <c r="S11" s="238" t="str">
        <f>IFERROR(VLOOKUP(Q11,CR!D:F,3,0),"")</f>
        <v/>
      </c>
      <c r="T11" s="239"/>
      <c r="U11" s="214" t="e">
        <f t="shared" si="0"/>
        <v>#DIV/0!</v>
      </c>
    </row>
    <row r="12" spans="1:26">
      <c r="A12" s="345" t="s">
        <v>68</v>
      </c>
      <c r="C12" s="4" t="s">
        <v>187</v>
      </c>
      <c r="D12" s="4">
        <f>+Tabla1[[#This Row],[Consumo presentado '[L/mes']]]*(1-EERR!$E$24)</f>
        <v>0</v>
      </c>
      <c r="E12" s="4">
        <v>0</v>
      </c>
      <c r="F12" s="4"/>
      <c r="G12" s="4">
        <v>2</v>
      </c>
      <c r="H12" s="4"/>
      <c r="I12" s="180"/>
      <c r="J12" s="95"/>
      <c r="K12" s="95" t="str">
        <f>IFERROR(VLOOKUP(J12,'Lista PQ Comp'!D:E,2,0),"")</f>
        <v/>
      </c>
      <c r="L12" s="95"/>
      <c r="M12" s="95"/>
      <c r="N12" s="95" t="str">
        <f>IFERROR(VLOOKUP(J12,'Lista PQ Comp'!D:F,3,0),"")</f>
        <v/>
      </c>
      <c r="O12" s="196"/>
      <c r="P12" s="180"/>
      <c r="Q12" s="95" t="s">
        <v>188</v>
      </c>
      <c r="R12" s="95">
        <f>IFERROR(VLOOKUP(Q12,'Lista PQ PECOM'!$I:$P,8,0),"")</f>
        <v>1.51</v>
      </c>
      <c r="S12" s="333">
        <f>+R12/1.56</f>
        <v>0.96794871794871795</v>
      </c>
      <c r="T12" s="196">
        <f>R12*Tabla1[[#This Row],[Consumo optimizado '[l/mes']]]</f>
        <v>0</v>
      </c>
      <c r="U12" s="214" t="e">
        <f t="shared" si="0"/>
        <v>#DIV/0!</v>
      </c>
      <c r="W12" s="1" t="s">
        <v>189</v>
      </c>
    </row>
    <row r="13" spans="1:26">
      <c r="A13" s="345" t="s">
        <v>68</v>
      </c>
      <c r="C13" s="4" t="s">
        <v>190</v>
      </c>
      <c r="D13" s="4">
        <f>+Tabla1[[#This Row],[Consumo presentado '[L/mes']]]*(1-EERR!$E$24)</f>
        <v>710</v>
      </c>
      <c r="E13" s="4">
        <v>710</v>
      </c>
      <c r="F13" s="4">
        <v>1</v>
      </c>
      <c r="G13" s="4">
        <v>2</v>
      </c>
      <c r="H13" s="4" t="s">
        <v>191</v>
      </c>
      <c r="I13" s="180"/>
      <c r="J13" s="235" t="s">
        <v>192</v>
      </c>
      <c r="K13" s="235">
        <f>IFERROR(VLOOKUP(J13,'Lista PQ Comp'!D:E,2,0),"")</f>
        <v>0</v>
      </c>
      <c r="L13" s="235" t="s">
        <v>168</v>
      </c>
      <c r="M13" s="235"/>
      <c r="N13" s="235">
        <f>IFERROR(VLOOKUP(J13,'Lista PQ Comp'!D:F,3,0),"")</f>
        <v>4.5</v>
      </c>
      <c r="O13" s="240">
        <f>N13*Tabla1[[#This Row],[Consumo presentado '[L/mes']]]</f>
        <v>3195</v>
      </c>
      <c r="P13" s="180"/>
      <c r="Q13" s="235" t="s">
        <v>191</v>
      </c>
      <c r="R13" s="237">
        <f>IFERROR(VLOOKUP(Q13,'Lista PQ PECOM'!$I:$P,8,0),"")</f>
        <v>4.3899999999999997</v>
      </c>
      <c r="S13" s="238">
        <f>IFERROR(VLOOKUP(Q13,CR!D:F,3,0),"")</f>
        <v>3.7827244302954339</v>
      </c>
      <c r="T13" s="239">
        <f>R13*Tabla1[[#This Row],[Consumo optimizado '[l/mes']]]</f>
        <v>3116.8999999999996</v>
      </c>
      <c r="U13" s="214">
        <f t="shared" si="0"/>
        <v>-2.4444444444444557E-2</v>
      </c>
    </row>
    <row r="14" spans="1:26">
      <c r="A14" s="345" t="s">
        <v>68</v>
      </c>
      <c r="C14" s="4" t="s">
        <v>193</v>
      </c>
      <c r="D14" s="4">
        <f>+Tabla1[[#This Row],[Consumo presentado '[L/mes']]]*(1-EERR!$E$24)</f>
        <v>450</v>
      </c>
      <c r="E14" s="4">
        <v>450</v>
      </c>
      <c r="F14" s="4"/>
      <c r="G14" s="4">
        <v>4</v>
      </c>
      <c r="H14" s="4"/>
      <c r="I14" s="180"/>
      <c r="J14" s="95" t="s">
        <v>192</v>
      </c>
      <c r="K14" s="95">
        <f>IFERROR(VLOOKUP(J14,'Lista PQ Comp'!D:E,2,0),"")</f>
        <v>0</v>
      </c>
      <c r="L14" s="95" t="s">
        <v>168</v>
      </c>
      <c r="M14" s="95"/>
      <c r="N14" s="95">
        <f>IFERROR(VLOOKUP(J14,'Lista PQ Comp'!D:F,3,0),"")</f>
        <v>4.5</v>
      </c>
      <c r="O14" s="196">
        <f>N14*Tabla1[[#This Row],[Consumo presentado '[L/mes']]]</f>
        <v>2025</v>
      </c>
      <c r="P14" s="180"/>
      <c r="Q14" s="95" t="s">
        <v>194</v>
      </c>
      <c r="R14" s="95">
        <f>IFERROR(VLOOKUP(Q14,'Lista PQ PECOM'!$I:$P,8,0),"")</f>
        <v>5.07</v>
      </c>
      <c r="S14" s="333">
        <f>IFERROR(VLOOKUP(Q14,CR!D:F,3,0),"")</f>
        <v>2.6700881534365926</v>
      </c>
      <c r="T14" s="196">
        <f>R14*Tabla1[[#This Row],[Consumo optimizado '[l/mes']]]</f>
        <v>2281.5</v>
      </c>
      <c r="U14" s="214">
        <f t="shared" si="0"/>
        <v>0.12666666666666668</v>
      </c>
    </row>
    <row r="15" spans="1:26">
      <c r="A15" s="345" t="s">
        <v>68</v>
      </c>
      <c r="C15" s="4" t="s">
        <v>195</v>
      </c>
      <c r="D15" s="4">
        <f>+Tabla1[[#This Row],[Consumo presentado '[L/mes']]]*(1-EERR!$E$24)</f>
        <v>4462</v>
      </c>
      <c r="E15" s="4">
        <v>4462</v>
      </c>
      <c r="F15" s="4">
        <v>40</v>
      </c>
      <c r="G15" s="4">
        <v>14</v>
      </c>
      <c r="H15" s="4"/>
      <c r="I15" s="180"/>
      <c r="J15" s="235" t="s">
        <v>196</v>
      </c>
      <c r="K15" s="235">
        <f>IFERROR(VLOOKUP(J15,'Lista PQ Comp'!D:E,2,0),"")</f>
        <v>0</v>
      </c>
      <c r="L15" s="235" t="s">
        <v>172</v>
      </c>
      <c r="M15" s="235"/>
      <c r="N15" s="235">
        <f>IFERROR(VLOOKUP(J15,'Lista PQ Comp'!D:F,3,0),"")</f>
        <v>4.5</v>
      </c>
      <c r="O15" s="240">
        <f>N15*Tabla1[[#This Row],[Consumo presentado '[L/mes']]]</f>
        <v>20079</v>
      </c>
      <c r="P15" s="180"/>
      <c r="Q15" s="235" t="s">
        <v>197</v>
      </c>
      <c r="R15" s="237">
        <f>IFERROR(VLOOKUP(Q15,'Lista PQ PECOM'!$I:$P,8,0),"")</f>
        <v>7.32</v>
      </c>
      <c r="S15" s="333">
        <f>IFERROR(VLOOKUP(Q15,CR!D:F,3,0),"")</f>
        <v>4.47</v>
      </c>
      <c r="T15" s="239">
        <f>R15*Tabla1[[#This Row],[Consumo optimizado '[l/mes']]]</f>
        <v>32661.84</v>
      </c>
      <c r="U15" s="214">
        <f t="shared" si="0"/>
        <v>0.62666666666666671</v>
      </c>
    </row>
    <row r="16" spans="1:26">
      <c r="A16" s="345" t="s">
        <v>68</v>
      </c>
      <c r="C16" s="4" t="s">
        <v>198</v>
      </c>
      <c r="D16" s="4">
        <f>+Tabla1[[#This Row],[Consumo presentado '[L/mes']]]*(1-EERR!$E$24)</f>
        <v>0</v>
      </c>
      <c r="E16" s="4">
        <v>0</v>
      </c>
      <c r="F16" s="4"/>
      <c r="G16" s="4"/>
      <c r="H16" s="4"/>
      <c r="I16" s="180"/>
      <c r="J16" s="95"/>
      <c r="K16" s="95" t="str">
        <f>IFERROR(VLOOKUP(J16,'Lista PQ Comp'!D:E,2,0),"")</f>
        <v/>
      </c>
      <c r="L16" s="95"/>
      <c r="M16" s="95"/>
      <c r="N16" s="95" t="str">
        <f>IFERROR(VLOOKUP(J16,'Lista PQ Comp'!D:F,3,0),"")</f>
        <v/>
      </c>
      <c r="O16" s="196"/>
      <c r="P16" s="180"/>
      <c r="Q16" s="95" t="s">
        <v>170</v>
      </c>
      <c r="R16" s="95">
        <f>IFERROR(VLOOKUP(Q16,'Lista PQ PECOM'!$I:$P,8,0),"")</f>
        <v>3.89</v>
      </c>
      <c r="S16" s="333">
        <f>IFERROR(VLOOKUP(Q16,CR!D:F,3,0),"")</f>
        <v>3.1358174612778318</v>
      </c>
      <c r="T16" s="196">
        <f>R16*Tabla1[[#This Row],[Consumo optimizado '[l/mes']]]</f>
        <v>0</v>
      </c>
      <c r="U16" s="214" t="e">
        <f t="shared" si="0"/>
        <v>#DIV/0!</v>
      </c>
      <c r="W16" s="1" t="s">
        <v>199</v>
      </c>
    </row>
    <row r="17" spans="1:23">
      <c r="A17" s="345" t="s">
        <v>68</v>
      </c>
      <c r="C17" s="4" t="s">
        <v>200</v>
      </c>
      <c r="D17" s="4">
        <f>+Tabla1[[#This Row],[Consumo presentado '[L/mes']]]*(1-EERR!$E$24)</f>
        <v>139</v>
      </c>
      <c r="E17" s="4">
        <v>139</v>
      </c>
      <c r="F17" s="4"/>
      <c r="G17" s="4">
        <v>1</v>
      </c>
      <c r="H17" s="4"/>
      <c r="I17" s="180"/>
      <c r="J17" s="235" t="s">
        <v>32</v>
      </c>
      <c r="K17" s="235" t="str">
        <f>IFERROR(VLOOKUP(J17,'Lista PQ Comp'!D:E,2,0),"")</f>
        <v>INHIBIDOR DE INCRUSTACIONES</v>
      </c>
      <c r="L17" s="235" t="s">
        <v>168</v>
      </c>
      <c r="M17" s="235"/>
      <c r="N17" s="235">
        <f>IFERROR(VLOOKUP(J17,'Lista PQ Comp'!D:F,3,0),"")</f>
        <v>7.84</v>
      </c>
      <c r="O17" s="240">
        <f>N17*Tabla1[[#This Row],[Consumo presentado '[L/mes']]]</f>
        <v>1089.76</v>
      </c>
      <c r="P17" s="180"/>
      <c r="Q17" s="235" t="s">
        <v>201</v>
      </c>
      <c r="R17" s="237">
        <f>IFERROR(VLOOKUP(Q17,'Lista PQ PECOM'!$I:$P,8,0),"")</f>
        <v>3.48</v>
      </c>
      <c r="S17" s="238">
        <f>IFERROR(VLOOKUP(Q17,CR!D:F,3,0),"")</f>
        <v>1.7864625248587429</v>
      </c>
      <c r="T17" s="239">
        <f>R17*Tabla1[[#This Row],[Consumo optimizado '[l/mes']]]</f>
        <v>483.71999999999997</v>
      </c>
      <c r="U17" s="214">
        <f t="shared" si="0"/>
        <v>-0.55612244897959184</v>
      </c>
    </row>
    <row r="18" spans="1:23">
      <c r="A18" s="345" t="s">
        <v>68</v>
      </c>
      <c r="C18" s="4" t="s">
        <v>202</v>
      </c>
      <c r="D18" s="4">
        <f>+Tabla1[[#This Row],[Consumo presentado '[L/mes']]]*(1-EERR!$E$24)</f>
        <v>15147</v>
      </c>
      <c r="E18" s="4">
        <v>15147</v>
      </c>
      <c r="F18" s="4">
        <v>130</v>
      </c>
      <c r="G18" s="4">
        <v>20</v>
      </c>
      <c r="H18" s="4"/>
      <c r="I18" s="180"/>
      <c r="J18" s="95" t="s">
        <v>203</v>
      </c>
      <c r="K18" s="95" t="str">
        <f>IFERROR(VLOOKUP(J18,'Lista PQ Comp'!D:E,2,0),"")</f>
        <v>Inhibidor de corrosión</v>
      </c>
      <c r="L18" s="95" t="s">
        <v>172</v>
      </c>
      <c r="M18" s="95"/>
      <c r="N18" s="95">
        <f>IFERROR(VLOOKUP(J18,'Lista PQ Comp'!D:F,3,0),"")</f>
        <v>2.97</v>
      </c>
      <c r="O18" s="196">
        <f>N18*Tabla1[[#This Row],[Consumo presentado '[L/mes']]]</f>
        <v>44986.590000000004</v>
      </c>
      <c r="P18" s="180"/>
      <c r="Q18" s="367" t="s">
        <v>644</v>
      </c>
      <c r="R18" s="95">
        <f>IFERROR(VLOOKUP(Q18,'Lista PQ PECOM'!$I:$P,8,0),"")</f>
        <v>3.7</v>
      </c>
      <c r="S18" s="333">
        <f>+S47</f>
        <v>2.42</v>
      </c>
      <c r="T18" s="196">
        <f>R18*Tabla1[[#This Row],[Consumo optimizado '[l/mes']]]</f>
        <v>56043.9</v>
      </c>
      <c r="U18" s="214">
        <f t="shared" si="0"/>
        <v>0.24579124579124573</v>
      </c>
    </row>
    <row r="19" spans="1:23">
      <c r="A19" s="345" t="s">
        <v>68</v>
      </c>
      <c r="C19" s="4" t="s">
        <v>205</v>
      </c>
      <c r="D19" s="4">
        <f>+Tabla1[[#This Row],[Consumo presentado '[L/mes']]]*(1-EERR!$E$24)</f>
        <v>6662</v>
      </c>
      <c r="E19" s="4">
        <v>6662</v>
      </c>
      <c r="F19" s="4">
        <v>9</v>
      </c>
      <c r="G19" s="4">
        <v>14</v>
      </c>
      <c r="H19" s="4" t="s">
        <v>206</v>
      </c>
      <c r="I19" s="180"/>
      <c r="J19" s="235" t="s">
        <v>207</v>
      </c>
      <c r="K19" s="235" t="str">
        <f>IFERROR(VLOOKUP(J19,'Lista PQ Comp'!D:E,2,0),"")</f>
        <v>INHIBIDOR DE INCRUSTACIONES</v>
      </c>
      <c r="L19" s="235" t="s">
        <v>172</v>
      </c>
      <c r="M19" s="235"/>
      <c r="N19" s="235">
        <f>IFERROR(VLOOKUP(J19,'Lista PQ Comp'!D:F,3,0),"")</f>
        <v>5.31</v>
      </c>
      <c r="O19" s="240">
        <f>N19*Tabla1[[#This Row],[Consumo presentado '[L/mes']]]</f>
        <v>35375.219999999994</v>
      </c>
      <c r="P19" s="180"/>
      <c r="Q19" s="235" t="s">
        <v>208</v>
      </c>
      <c r="R19" s="237">
        <f>IFERROR(VLOOKUP(Q19,'Lista PQ PECOM'!$I:$P,8,0),"")</f>
        <v>4.0199999999999996</v>
      </c>
      <c r="S19" s="238">
        <f>IFERROR(VLOOKUP(Q19,CR!D:F,3,0),"")</f>
        <v>1.8969840434471943</v>
      </c>
      <c r="T19" s="239">
        <f>R19*Tabla1[[#This Row],[Consumo optimizado '[l/mes']]]</f>
        <v>26781.239999999998</v>
      </c>
      <c r="U19" s="214">
        <f t="shared" si="0"/>
        <v>-0.24293785310734456</v>
      </c>
    </row>
    <row r="20" spans="1:23">
      <c r="A20" s="345" t="s">
        <v>68</v>
      </c>
      <c r="C20" s="4" t="s">
        <v>209</v>
      </c>
      <c r="D20" s="4">
        <f>+Tabla1[[#This Row],[Consumo presentado '[L/mes']]]*(1-EERR!$E$24)</f>
        <v>0</v>
      </c>
      <c r="E20" s="4">
        <v>0</v>
      </c>
      <c r="F20" s="4"/>
      <c r="G20" s="4"/>
      <c r="H20" s="4"/>
      <c r="I20" s="180"/>
      <c r="J20" s="95"/>
      <c r="K20" s="95" t="str">
        <f>IFERROR(VLOOKUP(J20,'Lista PQ Comp'!D:E,2,0),"")</f>
        <v/>
      </c>
      <c r="L20" s="95"/>
      <c r="M20" s="95"/>
      <c r="N20" s="95" t="str">
        <f>IFERROR(VLOOKUP(J20,'Lista PQ Comp'!D:F,3,0),"")</f>
        <v/>
      </c>
      <c r="O20" s="196"/>
      <c r="P20" s="180"/>
      <c r="Q20" s="95"/>
      <c r="R20" s="95" t="str">
        <f>IFERROR(VLOOKUP(Q20,'Lista PQ PECOM'!$I:$P,8,0),"")</f>
        <v/>
      </c>
      <c r="S20" s="333" t="str">
        <f>IFERROR(VLOOKUP(Q20,CR!D:F,3,0),"")</f>
        <v/>
      </c>
      <c r="T20" s="196"/>
      <c r="U20" s="214" t="e">
        <f t="shared" si="0"/>
        <v>#DIV/0!</v>
      </c>
    </row>
    <row r="21" spans="1:23">
      <c r="A21" s="345" t="s">
        <v>68</v>
      </c>
      <c r="C21" s="4" t="s">
        <v>210</v>
      </c>
      <c r="D21" s="4">
        <f>+Tabla1[[#This Row],[Consumo presentado '[L/mes']]]*(1-EERR!$E$24)</f>
        <v>539</v>
      </c>
      <c r="E21" s="4">
        <v>539</v>
      </c>
      <c r="F21" s="4"/>
      <c r="G21" s="4">
        <v>3</v>
      </c>
      <c r="H21" s="4"/>
      <c r="I21" s="180"/>
      <c r="J21" s="235" t="s">
        <v>211</v>
      </c>
      <c r="K21" s="235" t="str">
        <f>IFERROR(VLOOKUP(J21,'Lista PQ Comp'!D:E,2,0),"")</f>
        <v>Mejorador de flujo</v>
      </c>
      <c r="L21" s="235" t="s">
        <v>172</v>
      </c>
      <c r="M21" s="235"/>
      <c r="N21" s="235">
        <f>IFERROR(VLOOKUP(J21,'Lista PQ Comp'!D:F,3,0),"")</f>
        <v>4.5</v>
      </c>
      <c r="O21" s="240">
        <f>N21*Tabla1[[#This Row],[Consumo presentado '[L/mes']]]</f>
        <v>2425.5</v>
      </c>
      <c r="P21" s="180"/>
      <c r="Q21" s="235" t="s">
        <v>212</v>
      </c>
      <c r="R21" s="235">
        <f>IFERROR(VLOOKUP(Q21,'Lista PQ PECOM'!$I:$P,8,0),"")</f>
        <v>3.45</v>
      </c>
      <c r="S21" s="238">
        <f>+R21/1.56</f>
        <v>2.2115384615384617</v>
      </c>
      <c r="T21" s="239">
        <f>R21*Tabla1[[#This Row],[Consumo optimizado '[l/mes']]]</f>
        <v>1859.5500000000002</v>
      </c>
      <c r="U21" s="214">
        <f t="shared" si="0"/>
        <v>-0.23333333333333325</v>
      </c>
      <c r="W21" s="1" t="s">
        <v>189</v>
      </c>
    </row>
    <row r="22" spans="1:23">
      <c r="A22" s="345" t="s">
        <v>68</v>
      </c>
      <c r="C22" s="4" t="s">
        <v>213</v>
      </c>
      <c r="D22" s="4">
        <f>+Tabla1[[#This Row],[Consumo presentado '[L/mes']]]*(1-EERR!$E$24)</f>
        <v>7025</v>
      </c>
      <c r="E22" s="4">
        <v>7025</v>
      </c>
      <c r="F22" s="4">
        <v>156</v>
      </c>
      <c r="G22" s="4">
        <v>1</v>
      </c>
      <c r="H22" s="4" t="s">
        <v>214</v>
      </c>
      <c r="I22" s="180"/>
      <c r="J22" s="95" t="s">
        <v>196</v>
      </c>
      <c r="K22" s="95">
        <f>IFERROR(VLOOKUP(J22,'Lista PQ Comp'!D:E,2,0),"")</f>
        <v>0</v>
      </c>
      <c r="L22" s="95" t="s">
        <v>172</v>
      </c>
      <c r="M22" s="95"/>
      <c r="N22" s="95">
        <f>IFERROR(VLOOKUP(J22,'Lista PQ Comp'!D:F,3,0),"")</f>
        <v>4.5</v>
      </c>
      <c r="O22" s="196">
        <f>N22*Tabla1[[#This Row],[Consumo presentado '[L/mes']]]</f>
        <v>31612.5</v>
      </c>
      <c r="P22" s="180"/>
      <c r="Q22" s="95" t="s">
        <v>177</v>
      </c>
      <c r="R22" s="95">
        <f>IFERROR(VLOOKUP(Q22,'Lista PQ PECOM'!$I:$P,8,0),"")</f>
        <v>3.25</v>
      </c>
      <c r="S22" s="333">
        <f>IFERROR(VLOOKUP(Q22,CR!D:F,3,0),"")</f>
        <v>2.3434332647628273</v>
      </c>
      <c r="T22" s="196">
        <f>R22*Tabla1[[#This Row],[Consumo optimizado '[l/mes']]]</f>
        <v>22831.25</v>
      </c>
      <c r="U22" s="214">
        <f t="shared" si="0"/>
        <v>-0.27777777777777779</v>
      </c>
    </row>
    <row r="23" spans="1:23">
      <c r="A23" s="345" t="s">
        <v>68</v>
      </c>
      <c r="C23" s="4" t="s">
        <v>215</v>
      </c>
      <c r="D23" s="4">
        <f>+Tabla1[[#This Row],[Consumo presentado '[L/mes']]]*(1-EERR!$E$24)</f>
        <v>0</v>
      </c>
      <c r="E23" s="4">
        <v>0</v>
      </c>
      <c r="F23" s="4">
        <v>2</v>
      </c>
      <c r="G23" s="4"/>
      <c r="H23" s="4" t="s">
        <v>216</v>
      </c>
      <c r="I23" s="180"/>
      <c r="J23" s="235"/>
      <c r="K23" s="235" t="str">
        <f>IFERROR(VLOOKUP(J23,'Lista PQ Comp'!D:E,2,0),"")</f>
        <v/>
      </c>
      <c r="L23" s="235"/>
      <c r="M23" s="235"/>
      <c r="N23" s="235" t="str">
        <f>IFERROR(VLOOKUP(J23,'Lista PQ Comp'!D:F,3,0),"")</f>
        <v/>
      </c>
      <c r="O23" s="240"/>
      <c r="P23" s="180"/>
      <c r="Q23" s="235" t="s">
        <v>216</v>
      </c>
      <c r="R23" s="235">
        <f>IFERROR(VLOOKUP(Q23,'Lista PQ PECOM'!$I:$P,8,0),"")</f>
        <v>3.77</v>
      </c>
      <c r="S23" s="238">
        <f>IFERROR(VLOOKUP(Q23,CR!D:F,3,0),"")</f>
        <v>1.5604308196088428</v>
      </c>
      <c r="T23" s="239">
        <f>R23*Tabla1[[#This Row],[Consumo optimizado '[l/mes']]]</f>
        <v>0</v>
      </c>
      <c r="U23" s="214" t="e">
        <f t="shared" si="0"/>
        <v>#DIV/0!</v>
      </c>
    </row>
    <row r="24" spans="1:23">
      <c r="A24" s="345" t="s">
        <v>68</v>
      </c>
      <c r="C24" s="4" t="s">
        <v>217</v>
      </c>
      <c r="D24" s="4">
        <f>+Tabla1[[#This Row],[Consumo presentado '[L/mes']]]*(1-EERR!$E$24)</f>
        <v>4782</v>
      </c>
      <c r="E24" s="4">
        <v>4782</v>
      </c>
      <c r="F24" s="4">
        <v>44</v>
      </c>
      <c r="G24" s="4">
        <v>7</v>
      </c>
      <c r="H24" s="4"/>
      <c r="I24" s="180"/>
      <c r="J24" s="95" t="s">
        <v>211</v>
      </c>
      <c r="K24" s="95" t="str">
        <f>IFERROR(VLOOKUP(J24,'Lista PQ Comp'!D:E,2,0),"")</f>
        <v>Mejorador de flujo</v>
      </c>
      <c r="L24" s="95" t="s">
        <v>172</v>
      </c>
      <c r="M24" s="95"/>
      <c r="N24" s="95">
        <f>IFERROR(VLOOKUP(J24,'Lista PQ Comp'!D:F,3,0),"")</f>
        <v>4.5</v>
      </c>
      <c r="O24" s="196">
        <f>N24*Tabla1[[#This Row],[Consumo presentado '[L/mes']]]</f>
        <v>21519</v>
      </c>
      <c r="P24" s="180"/>
      <c r="Q24" s="95" t="s">
        <v>218</v>
      </c>
      <c r="R24" s="95">
        <f>IFERROR(VLOOKUP(Q24,'Lista PQ PECOM'!$I:$P,8,0),"")</f>
        <v>7.88</v>
      </c>
      <c r="S24" s="333">
        <f>IFERROR(VLOOKUP(Q24,CR!D:F,3,0),"")</f>
        <v>4.144528449302924</v>
      </c>
      <c r="T24" s="196">
        <f>R24*Tabla1[[#This Row],[Consumo optimizado '[l/mes']]]</f>
        <v>37682.159999999996</v>
      </c>
      <c r="U24" s="214">
        <f t="shared" si="0"/>
        <v>0.75111111111111095</v>
      </c>
    </row>
    <row r="25" spans="1:23">
      <c r="A25" s="345" t="s">
        <v>68</v>
      </c>
      <c r="C25" s="4" t="s">
        <v>219</v>
      </c>
      <c r="D25" s="4">
        <f>+Tabla1[[#This Row],[Consumo presentado '[L/mes']]]*(1-EERR!$E$24)</f>
        <v>1130</v>
      </c>
      <c r="E25" s="4">
        <v>1130</v>
      </c>
      <c r="F25" s="4"/>
      <c r="G25" s="4">
        <v>4</v>
      </c>
      <c r="H25" s="4" t="s">
        <v>220</v>
      </c>
      <c r="I25" s="180"/>
      <c r="J25" s="235"/>
      <c r="K25" s="235" t="str">
        <f>IFERROR(VLOOKUP(J25,'Lista PQ Comp'!D:E,2,0),"")</f>
        <v/>
      </c>
      <c r="L25" s="235"/>
      <c r="M25" s="235"/>
      <c r="N25" s="235" t="str">
        <f>IFERROR(VLOOKUP(J25,'Lista PQ Comp'!D:F,3,0),"")</f>
        <v/>
      </c>
      <c r="O25" s="240"/>
      <c r="P25" s="180"/>
      <c r="Q25" s="235"/>
      <c r="R25" s="235" t="str">
        <f>IFERROR(VLOOKUP(Q25,'Lista PQ PECOM'!$I:$P,8,0),"")</f>
        <v/>
      </c>
      <c r="S25" s="238" t="str">
        <f>IFERROR(VLOOKUP(Q25,CR!D:F,3,0),"")</f>
        <v/>
      </c>
      <c r="T25" s="239"/>
      <c r="U25" s="214" t="e">
        <f t="shared" si="0"/>
        <v>#DIV/0!</v>
      </c>
      <c r="W25" s="1" t="s">
        <v>220</v>
      </c>
    </row>
    <row r="26" spans="1:23">
      <c r="A26" s="345" t="s">
        <v>68</v>
      </c>
      <c r="C26" s="4" t="s">
        <v>221</v>
      </c>
      <c r="D26" s="4">
        <f>+Tabla1[[#This Row],[Consumo presentado '[L/mes']]]*(1-EERR!$E$24)</f>
        <v>28500</v>
      </c>
      <c r="E26" s="4">
        <v>28500</v>
      </c>
      <c r="F26" s="4"/>
      <c r="G26" s="4">
        <v>2</v>
      </c>
      <c r="H26" s="4" t="s">
        <v>222</v>
      </c>
      <c r="I26" s="180"/>
      <c r="J26" s="95"/>
      <c r="K26" s="95" t="str">
        <f>IFERROR(VLOOKUP(J26,'Lista PQ Comp'!D:E,2,0),"")</f>
        <v/>
      </c>
      <c r="L26" s="95"/>
      <c r="M26" s="95"/>
      <c r="N26" s="95" t="str">
        <f>IFERROR(VLOOKUP(J26,'Lista PQ Comp'!D:F,3,0),"")</f>
        <v/>
      </c>
      <c r="O26" s="196"/>
      <c r="P26" s="180"/>
      <c r="Q26" s="95"/>
      <c r="R26" s="95" t="str">
        <f>IFERROR(VLOOKUP(Q26,'Lista PQ PECOM'!$I:$P,8,0),"")</f>
        <v/>
      </c>
      <c r="S26" s="333" t="str">
        <f>IFERROR(VLOOKUP(Q26,CR!D:F,3,0),"")</f>
        <v/>
      </c>
      <c r="T26" s="196"/>
      <c r="U26" s="214" t="e">
        <f t="shared" si="0"/>
        <v>#DIV/0!</v>
      </c>
      <c r="W26" s="1" t="s">
        <v>223</v>
      </c>
    </row>
    <row r="27" spans="1:23">
      <c r="A27" s="345" t="s">
        <v>68</v>
      </c>
      <c r="C27" s="4" t="s">
        <v>224</v>
      </c>
      <c r="D27" s="4">
        <f>+Tabla1[[#This Row],[Consumo presentado '[L/mes']]]*(1-EERR!$E$24)</f>
        <v>2170</v>
      </c>
      <c r="E27" s="4">
        <v>2170</v>
      </c>
      <c r="F27" s="4">
        <v>1</v>
      </c>
      <c r="G27" s="4">
        <v>8</v>
      </c>
      <c r="H27" s="4" t="s">
        <v>225</v>
      </c>
      <c r="I27" s="180"/>
      <c r="J27" s="235" t="s">
        <v>51</v>
      </c>
      <c r="K27" s="235" t="str">
        <f>IFERROR(VLOOKUP(J27,'Lista PQ Comp'!D:E,2,0),"")</f>
        <v>Inhibidor de corrosión</v>
      </c>
      <c r="L27" s="235" t="s">
        <v>168</v>
      </c>
      <c r="M27" s="235"/>
      <c r="N27" s="235">
        <f>IFERROR(VLOOKUP(J27,'Lista PQ Comp'!D:F,3,0),"")</f>
        <v>1.77</v>
      </c>
      <c r="O27" s="240">
        <f>N27*Tabla1[[#This Row],[Consumo presentado '[L/mes']]]</f>
        <v>3840.9</v>
      </c>
      <c r="P27" s="180"/>
      <c r="Q27" s="235" t="s">
        <v>226</v>
      </c>
      <c r="R27" s="235">
        <f>IFERROR(VLOOKUP(Q27,'Lista PQ PECOM'!$I:$P,8,0),"")</f>
        <v>2.31</v>
      </c>
      <c r="S27" s="238">
        <f>IFERROR(VLOOKUP(Q27,CR!D:F,3,0),"")</f>
        <v>1.8266571757018397</v>
      </c>
      <c r="T27" s="239">
        <f>R27*Tabla1[[#This Row],[Consumo optimizado '[l/mes']]]</f>
        <v>5012.7</v>
      </c>
      <c r="U27" s="214">
        <f t="shared" si="0"/>
        <v>0.30508474576271177</v>
      </c>
    </row>
    <row r="28" spans="1:23">
      <c r="A28" s="345" t="s">
        <v>68</v>
      </c>
      <c r="C28" s="4" t="s">
        <v>227</v>
      </c>
      <c r="D28" s="4">
        <f>+Tabla1[[#This Row],[Consumo presentado '[L/mes']]]*(1-EERR!$E$24)</f>
        <v>790</v>
      </c>
      <c r="E28" s="4">
        <v>790</v>
      </c>
      <c r="F28" s="4"/>
      <c r="G28" s="4">
        <v>8</v>
      </c>
      <c r="H28" s="4" t="s">
        <v>228</v>
      </c>
      <c r="I28" s="180"/>
      <c r="J28" s="95" t="s">
        <v>229</v>
      </c>
      <c r="K28" s="95" t="str">
        <f>IFERROR(VLOOKUP(J28,'Lista PQ Comp'!D:E,2,0),"")</f>
        <v>Sec de H2S</v>
      </c>
      <c r="L28" s="95" t="s">
        <v>168</v>
      </c>
      <c r="M28" s="95"/>
      <c r="N28" s="95">
        <f>IFERROR(VLOOKUP(J28,'Lista PQ Comp'!D:F,3,0),"")</f>
        <v>2.64</v>
      </c>
      <c r="O28" s="196">
        <f>N28*Tabla1[[#This Row],[Consumo presentado '[L/mes']]]</f>
        <v>2085.6</v>
      </c>
      <c r="P28" s="180"/>
      <c r="Q28" s="95" t="s">
        <v>230</v>
      </c>
      <c r="R28" s="95">
        <f>IFERROR(VLOOKUP(Q28,'Lista PQ PECOM'!$I:$P,8,0),"")</f>
        <v>4.1100000000000003</v>
      </c>
      <c r="S28" s="333">
        <f>IFERROR(VLOOKUP(Q28,CR!D:F,3,0),"")</f>
        <v>2.1833464266698939</v>
      </c>
      <c r="T28" s="196">
        <f>R28*Tabla1[[#This Row],[Consumo optimizado '[l/mes']]]</f>
        <v>3246.9</v>
      </c>
      <c r="U28" s="214">
        <f t="shared" si="0"/>
        <v>0.55681818181818188</v>
      </c>
    </row>
    <row r="29" spans="1:23">
      <c r="A29" s="345" t="s">
        <v>68</v>
      </c>
      <c r="C29" s="186" t="s">
        <v>231</v>
      </c>
      <c r="D29" s="186">
        <f>+Tabla1[[#This Row],[Consumo presentado '[L/mes']]]*(1-EERR!$E$24)</f>
        <v>0</v>
      </c>
      <c r="E29" s="186"/>
      <c r="F29" s="186"/>
      <c r="G29" s="186"/>
      <c r="H29" s="186"/>
      <c r="I29" s="180"/>
      <c r="J29" s="235" t="s">
        <v>232</v>
      </c>
      <c r="K29" s="235" t="str">
        <f>IFERROR(VLOOKUP(J29,'Lista PQ Comp'!D:E,2,0),"")</f>
        <v>Antiespumante</v>
      </c>
      <c r="L29" s="235" t="s">
        <v>172</v>
      </c>
      <c r="M29" s="235"/>
      <c r="N29" s="235">
        <f>IFERROR(VLOOKUP(J29,'Lista PQ Comp'!D:F,3,0),"")</f>
        <v>4.5</v>
      </c>
      <c r="O29" s="240">
        <f>N29*Tabla1[[#This Row],[Consumo presentado '[L/mes']]]</f>
        <v>0</v>
      </c>
      <c r="P29" s="180"/>
      <c r="Q29" s="235" t="s">
        <v>233</v>
      </c>
      <c r="R29" s="235">
        <f>IFERROR(VLOOKUP(Q29,'Lista PQ PECOM'!$I:$P,8,0),"")</f>
        <v>4.09</v>
      </c>
      <c r="S29" s="238">
        <f>IFERROR(VLOOKUP(Q29,CR!D:F,3,0),"")</f>
        <v>2.7763208494675706</v>
      </c>
      <c r="T29" s="239">
        <f>R29*Tabla1[[#This Row],[Consumo optimizado '[l/mes']]]</f>
        <v>0</v>
      </c>
      <c r="U29" s="214" t="e">
        <f t="shared" si="0"/>
        <v>#DIV/0!</v>
      </c>
    </row>
    <row r="30" spans="1:23">
      <c r="A30" s="345" t="s">
        <v>68</v>
      </c>
      <c r="C30" s="189"/>
      <c r="D30" s="189"/>
      <c r="E30" s="189"/>
      <c r="F30" s="189"/>
      <c r="G30" s="189"/>
      <c r="H30" s="189"/>
      <c r="I30" s="71"/>
      <c r="J30" s="71"/>
      <c r="K30" s="71"/>
      <c r="L30" s="71"/>
      <c r="M30" s="71"/>
      <c r="N30" s="241" t="s">
        <v>234</v>
      </c>
      <c r="O30" s="242">
        <f>SUM(O5:O29)</f>
        <v>439521.07</v>
      </c>
      <c r="P30" s="71"/>
      <c r="Q30" s="71"/>
      <c r="R30" s="71"/>
      <c r="S30" s="228" t="s">
        <v>234</v>
      </c>
      <c r="T30" s="201">
        <f>SUM(T5:T29)</f>
        <v>376009.88</v>
      </c>
    </row>
    <row r="31" spans="1:23">
      <c r="A31" s="345" t="s">
        <v>68</v>
      </c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190"/>
      <c r="T31" s="190"/>
    </row>
    <row r="32" spans="1:23" ht="15" customHeight="1">
      <c r="A32" s="345" t="s">
        <v>68</v>
      </c>
      <c r="C32" s="187" t="s">
        <v>98</v>
      </c>
      <c r="D32" s="187">
        <f>+Tabla1[[#This Row],[Consumo presentado '[L/mes']]]*(1-EERR!$E$24)</f>
        <v>61181</v>
      </c>
      <c r="E32" s="188">
        <v>61181</v>
      </c>
      <c r="F32" s="188">
        <v>148</v>
      </c>
      <c r="G32" s="188">
        <v>157</v>
      </c>
      <c r="H32" s="188"/>
      <c r="I32" s="180"/>
      <c r="J32" s="444" t="s">
        <v>98</v>
      </c>
      <c r="K32" s="445"/>
      <c r="L32" s="445"/>
      <c r="M32" s="445"/>
      <c r="N32" s="445"/>
      <c r="O32" s="445"/>
      <c r="P32" s="445"/>
      <c r="Q32" s="445"/>
      <c r="R32" s="445"/>
      <c r="S32" s="445"/>
      <c r="T32" s="445"/>
      <c r="U32" s="445"/>
    </row>
    <row r="33" spans="1:23" s="176" customFormat="1">
      <c r="A33" s="345" t="s">
        <v>235</v>
      </c>
      <c r="C33" s="117" t="s">
        <v>166</v>
      </c>
      <c r="D33" s="117">
        <f>+Tabla1[[#This Row],[Consumo presentado '[L/mes']]]*(1-EERR!$E$24)</f>
        <v>5000</v>
      </c>
      <c r="E33" s="173">
        <v>5000</v>
      </c>
      <c r="F33" s="173"/>
      <c r="G33" s="173"/>
      <c r="H33" s="173"/>
      <c r="I33" s="180"/>
      <c r="J33" s="173" t="s">
        <v>167</v>
      </c>
      <c r="K33" s="116" t="str">
        <f>IFERROR(VLOOKUP(J33,'Lista PQ Comp'!D:E,2,0),"")</f>
        <v>Biocida</v>
      </c>
      <c r="L33" s="173" t="s">
        <v>168</v>
      </c>
      <c r="M33" s="173"/>
      <c r="N33" s="4">
        <f>IFERROR(VLOOKUP(J33,'Lista PQ Comp'!D:F,3,0),"")</f>
        <v>8.08</v>
      </c>
      <c r="O33" s="197">
        <f>N33*Tabla1[[#This Row],[Consumo presentado '[L/mes']]]</f>
        <v>40400</v>
      </c>
      <c r="P33" s="183"/>
      <c r="Q33" s="173"/>
      <c r="R33" s="173"/>
      <c r="S33" s="175"/>
      <c r="T33" s="196">
        <f>R33*Tabla1[[#This Row],[Consumo optimizado '[l/mes']]]</f>
        <v>0</v>
      </c>
      <c r="U33" s="213"/>
    </row>
    <row r="34" spans="1:23">
      <c r="A34" s="345" t="s">
        <v>235</v>
      </c>
      <c r="C34" s="4" t="s">
        <v>166</v>
      </c>
      <c r="D34" s="4">
        <f>+Tabla1[[#This Row],[Consumo presentado '[L/mes']]]*(1-EERR!$E$24)</f>
        <v>3000</v>
      </c>
      <c r="E34" s="4">
        <v>3000</v>
      </c>
      <c r="F34" s="4">
        <v>53</v>
      </c>
      <c r="G34" s="4">
        <v>12</v>
      </c>
      <c r="H34" s="4"/>
      <c r="I34" s="180"/>
      <c r="J34" s="95" t="s">
        <v>236</v>
      </c>
      <c r="K34" s="95" t="str">
        <f>IFERROR(VLOOKUP(J34,'Lista PQ Comp'!D:E,2,0),"")</f>
        <v>Biocida</v>
      </c>
      <c r="L34" s="95" t="s">
        <v>172</v>
      </c>
      <c r="M34" s="95"/>
      <c r="N34" s="95">
        <f>IFERROR(VLOOKUP(J34,'Lista PQ Comp'!D:F,3,0),"")</f>
        <v>9.4700000000000006</v>
      </c>
      <c r="O34" s="196">
        <f>N34*Tabla1[[#This Row],[Consumo presentado '[L/mes']]]</f>
        <v>28410.000000000004</v>
      </c>
      <c r="P34" s="180"/>
      <c r="Q34" s="95" t="s">
        <v>237</v>
      </c>
      <c r="R34" s="95">
        <f>IFERROR(VLOOKUP(Q34,'Lista PQ PECOM'!$I:$P,8,0),"")</f>
        <v>4.5</v>
      </c>
      <c r="S34" s="206">
        <f>IFERROR(VLOOKUP(Q34,CR!D:F,3,0),"")</f>
        <v>2.305250610594519</v>
      </c>
      <c r="T34" s="196">
        <f>R34*Tabla1[[#This Row],[Consumo optimizado '[l/mes']]]</f>
        <v>13500</v>
      </c>
      <c r="U34" s="214">
        <f t="shared" ref="U34:U54" si="1">(T34-O34)/O34</f>
        <v>-0.5248152059134108</v>
      </c>
    </row>
    <row r="35" spans="1:23">
      <c r="A35" s="345" t="s">
        <v>235</v>
      </c>
      <c r="C35" s="4" t="s">
        <v>173</v>
      </c>
      <c r="D35" s="4">
        <f>+Tabla1[[#This Row],[Consumo presentado '[L/mes']]]*(1-EERR!$E$24)</f>
        <v>1310</v>
      </c>
      <c r="E35" s="4">
        <v>1310</v>
      </c>
      <c r="F35" s="4"/>
      <c r="G35" s="4">
        <v>2</v>
      </c>
      <c r="H35" s="4"/>
      <c r="I35" s="180"/>
      <c r="J35" s="4" t="s">
        <v>44</v>
      </c>
      <c r="K35" s="4" t="str">
        <f>IFERROR(VLOOKUP(J35,'Lista PQ Comp'!D:E,2,0),"")</f>
        <v>Floculante</v>
      </c>
      <c r="L35" s="4" t="s">
        <v>168</v>
      </c>
      <c r="M35" s="4"/>
      <c r="N35" s="4">
        <f>IFERROR(VLOOKUP(J35,'Lista PQ Comp'!D:F,3,0),"")</f>
        <v>10.11</v>
      </c>
      <c r="O35" s="197">
        <f>N35*Tabla1[[#This Row],[Consumo presentado '[L/mes']]]</f>
        <v>13244.099999999999</v>
      </c>
      <c r="P35" s="180"/>
      <c r="Q35" s="4" t="s">
        <v>238</v>
      </c>
      <c r="R35" s="4">
        <f>IFERROR(VLOOKUP(Q35,'Lista PQ PECOM'!$I:$P,8,0),"")</f>
        <v>9.25</v>
      </c>
      <c r="S35" s="206">
        <f>IFERROR(VLOOKUP(Q35,CR!D:F,3,0),"")</f>
        <v>5.0747919288480157</v>
      </c>
      <c r="T35" s="197">
        <f>R35*Tabla1[[#This Row],[Consumo optimizado '[l/mes']]]</f>
        <v>12117.5</v>
      </c>
      <c r="U35" s="214">
        <f t="shared" si="1"/>
        <v>-8.5064292779426204E-2</v>
      </c>
    </row>
    <row r="36" spans="1:23">
      <c r="A36" s="345" t="s">
        <v>235</v>
      </c>
      <c r="C36" s="4" t="s">
        <v>239</v>
      </c>
      <c r="D36" s="4">
        <f>+Tabla1[[#This Row],[Consumo presentado '[L/mes']]]*(1-EERR!$E$24)</f>
        <v>1226</v>
      </c>
      <c r="E36" s="4">
        <v>1226</v>
      </c>
      <c r="F36" s="4"/>
      <c r="G36" s="4">
        <v>2</v>
      </c>
      <c r="H36" s="4"/>
      <c r="I36" s="180"/>
      <c r="J36" s="95" t="s">
        <v>240</v>
      </c>
      <c r="K36" s="95" t="str">
        <f>IFERROR(VLOOKUP(J36,'Lista PQ Comp'!D:E,2,0),"")</f>
        <v>Desmulsionante</v>
      </c>
      <c r="L36" s="95" t="s">
        <v>172</v>
      </c>
      <c r="M36" s="95"/>
      <c r="N36" s="95">
        <f>IFERROR(VLOOKUP(J36,'Lista PQ Comp'!D:F,3,0),"")</f>
        <v>6.46</v>
      </c>
      <c r="O36" s="196">
        <f>N36*Tabla1[[#This Row],[Consumo presentado '[L/mes']]]</f>
        <v>7919.96</v>
      </c>
      <c r="P36" s="180"/>
      <c r="Q36" s="95" t="s">
        <v>177</v>
      </c>
      <c r="R36" s="95">
        <f>IFERROR(VLOOKUP(Q36,'Lista PQ PECOM'!$I:$P,8,0),"")</f>
        <v>3.25</v>
      </c>
      <c r="S36" s="206">
        <f>IFERROR(VLOOKUP(Q36,CR!D:F,3,0),"")</f>
        <v>2.3434332647628273</v>
      </c>
      <c r="T36" s="197">
        <f>R36*Tabla1[[#This Row],[Consumo optimizado '[l/mes']]]</f>
        <v>3984.5</v>
      </c>
      <c r="U36" s="214">
        <f t="shared" si="1"/>
        <v>-0.49690402476780188</v>
      </c>
    </row>
    <row r="37" spans="1:23">
      <c r="A37" s="345" t="s">
        <v>235</v>
      </c>
      <c r="C37" s="4" t="s">
        <v>175</v>
      </c>
      <c r="D37" s="4">
        <f>+Tabla1[[#This Row],[Consumo presentado '[L/mes']]]*(1-EERR!$E$24)</f>
        <v>80</v>
      </c>
      <c r="E37" s="4">
        <v>80</v>
      </c>
      <c r="F37" s="4"/>
      <c r="G37" s="4">
        <v>2</v>
      </c>
      <c r="H37" s="4"/>
      <c r="I37" s="180"/>
      <c r="J37" s="4" t="s">
        <v>176</v>
      </c>
      <c r="K37" s="4" t="str">
        <f>IFERROR(VLOOKUP(J37,'Lista PQ Comp'!D:E,2,0),"")</f>
        <v>Ruptor</v>
      </c>
      <c r="L37" s="4" t="s">
        <v>172</v>
      </c>
      <c r="M37" s="4"/>
      <c r="N37" s="4">
        <f>IFERROR(VLOOKUP(J37,'Lista PQ Comp'!D:F,3,0),"")</f>
        <v>4.5</v>
      </c>
      <c r="O37" s="197">
        <f>N37*Tabla1[[#This Row],[Consumo presentado '[L/mes']]]</f>
        <v>360</v>
      </c>
      <c r="P37" s="180"/>
      <c r="Q37" s="115" t="s">
        <v>241</v>
      </c>
      <c r="R37" s="4">
        <f>IFERROR(VLOOKUP(Q37,'Lista PQ PECOM'!$I:$P,8,0),"")</f>
        <v>6.61</v>
      </c>
      <c r="S37" s="208">
        <f>3.88+0.25</f>
        <v>4.13</v>
      </c>
      <c r="T37" s="197">
        <f>R37*Tabla1[[#This Row],[Consumo optimizado '[l/mes']]]</f>
        <v>528.80000000000007</v>
      </c>
      <c r="U37" s="214"/>
      <c r="W37" s="1" t="s">
        <v>242</v>
      </c>
    </row>
    <row r="38" spans="1:23">
      <c r="A38" s="345" t="s">
        <v>235</v>
      </c>
      <c r="C38" s="4" t="s">
        <v>178</v>
      </c>
      <c r="D38" s="4">
        <f>+Tabla1[[#This Row],[Consumo presentado '[L/mes']]]*(1-EERR!$E$24)</f>
        <v>3080</v>
      </c>
      <c r="E38" s="4">
        <v>3080</v>
      </c>
      <c r="F38" s="4"/>
      <c r="G38" s="4">
        <v>4</v>
      </c>
      <c r="H38" s="4"/>
      <c r="I38" s="180"/>
      <c r="J38" s="95" t="s">
        <v>52</v>
      </c>
      <c r="K38" s="95" t="str">
        <f>IFERROR(VLOOKUP(J38,'Lista PQ Comp'!D:E,2,0),"")</f>
        <v>Clarificante</v>
      </c>
      <c r="L38" s="95" t="s">
        <v>168</v>
      </c>
      <c r="M38" s="95"/>
      <c r="N38" s="95">
        <f>IFERROR(VLOOKUP(J38,'Lista PQ Comp'!D:F,3,0),"")</f>
        <v>5.12</v>
      </c>
      <c r="O38" s="196">
        <f>N38*Tabla1[[#This Row],[Consumo presentado '[L/mes']]]</f>
        <v>15769.6</v>
      </c>
      <c r="P38" s="180"/>
      <c r="Q38" s="95" t="s">
        <v>179</v>
      </c>
      <c r="R38" s="95">
        <f>IFERROR(VLOOKUP(Q38,'Lista PQ PECOM'!$I:$P,8,0),"")</f>
        <v>2.74</v>
      </c>
      <c r="S38" s="206">
        <f>IFERROR(VLOOKUP(Q38,CR!D:F,3,0),"")</f>
        <v>1.504731491417457</v>
      </c>
      <c r="T38" s="197">
        <f>R38*Tabla1[[#This Row],[Consumo optimizado '[l/mes']]]</f>
        <v>8439.2000000000007</v>
      </c>
      <c r="U38" s="214">
        <f t="shared" si="1"/>
        <v>-0.46484374999999994</v>
      </c>
    </row>
    <row r="39" spans="1:23">
      <c r="A39" s="345" t="s">
        <v>235</v>
      </c>
      <c r="C39" s="4" t="s">
        <v>180</v>
      </c>
      <c r="D39" s="4">
        <f>+Tabla1[[#This Row],[Consumo presentado '[L/mes']]]*(1-EERR!$E$24)</f>
        <v>2318</v>
      </c>
      <c r="E39" s="4">
        <v>2318</v>
      </c>
      <c r="F39" s="4">
        <v>7</v>
      </c>
      <c r="G39" s="4">
        <v>15</v>
      </c>
      <c r="H39" s="4"/>
      <c r="I39" s="180"/>
      <c r="J39" s="4" t="s">
        <v>240</v>
      </c>
      <c r="K39" s="4" t="str">
        <f>IFERROR(VLOOKUP(J39,'Lista PQ Comp'!D:E,2,0),"")</f>
        <v>Desmulsionante</v>
      </c>
      <c r="L39" s="4" t="s">
        <v>172</v>
      </c>
      <c r="M39" s="4"/>
      <c r="N39" s="4">
        <f>IFERROR(VLOOKUP(J39,'Lista PQ Comp'!D:F,3,0),"")</f>
        <v>6.46</v>
      </c>
      <c r="O39" s="197">
        <f>N39*Tabla1[[#This Row],[Consumo presentado '[L/mes']]]</f>
        <v>14974.28</v>
      </c>
      <c r="P39" s="180"/>
      <c r="Q39" s="115" t="s">
        <v>241</v>
      </c>
      <c r="R39" s="4">
        <f>IFERROR(VLOOKUP(Q39,'Lista PQ PECOM'!$I:$P,8,0),"")</f>
        <v>6.61</v>
      </c>
      <c r="S39" s="208">
        <f>+S37</f>
        <v>4.13</v>
      </c>
      <c r="T39" s="197">
        <f>R39*Tabla1[[#This Row],[Consumo optimizado '[l/mes']]]</f>
        <v>15321.980000000001</v>
      </c>
      <c r="U39" s="214">
        <f t="shared" si="1"/>
        <v>2.3219814241486114E-2</v>
      </c>
      <c r="W39" s="1" t="s">
        <v>242</v>
      </c>
    </row>
    <row r="40" spans="1:23">
      <c r="A40" s="345" t="s">
        <v>235</v>
      </c>
      <c r="C40" s="4" t="s">
        <v>187</v>
      </c>
      <c r="D40" s="4">
        <f>+Tabla1[[#This Row],[Consumo presentado '[L/mes']]]*(1-EERR!$E$24)</f>
        <v>800</v>
      </c>
      <c r="E40" s="4">
        <v>800</v>
      </c>
      <c r="F40" s="4">
        <v>1</v>
      </c>
      <c r="G40" s="4">
        <v>2</v>
      </c>
      <c r="H40" s="4"/>
      <c r="I40" s="180"/>
      <c r="J40" s="95"/>
      <c r="K40" s="95" t="str">
        <f>IFERROR(VLOOKUP(J40,'Lista PQ Comp'!D:E,2,0),"")</f>
        <v/>
      </c>
      <c r="L40" s="95"/>
      <c r="M40" s="95"/>
      <c r="N40" s="95" t="str">
        <f>IFERROR(VLOOKUP(J40,'Lista PQ Comp'!D:F,3,0),"")</f>
        <v/>
      </c>
      <c r="O40" s="196"/>
      <c r="P40" s="180"/>
      <c r="Q40" s="95" t="s">
        <v>188</v>
      </c>
      <c r="R40" s="95">
        <f>IFERROR(VLOOKUP(Q40,'Lista PQ PECOM'!$I:$P,8,0),"")</f>
        <v>1.51</v>
      </c>
      <c r="S40" s="206">
        <f>IFERROR(VLOOKUP(Q40,CR!D:F,3,0),"")</f>
        <v>0.97</v>
      </c>
      <c r="T40" s="197">
        <f>R40*Tabla1[[#This Row],[Consumo optimizado '[l/mes']]]</f>
        <v>1208</v>
      </c>
      <c r="U40" s="214"/>
      <c r="W40" s="1" t="s">
        <v>189</v>
      </c>
    </row>
    <row r="41" spans="1:23">
      <c r="A41" s="345" t="s">
        <v>235</v>
      </c>
      <c r="C41" s="4" t="s">
        <v>190</v>
      </c>
      <c r="D41" s="4">
        <f>+Tabla1[[#This Row],[Consumo presentado '[L/mes']]]*(1-EERR!$E$24)</f>
        <v>0</v>
      </c>
      <c r="E41" s="4">
        <v>0</v>
      </c>
      <c r="F41" s="4"/>
      <c r="G41" s="4">
        <v>4</v>
      </c>
      <c r="H41" s="4"/>
      <c r="I41" s="180"/>
      <c r="J41" s="4"/>
      <c r="K41" s="4" t="str">
        <f>IFERROR(VLOOKUP(J41,'Lista PQ Comp'!D:E,2,0),"")</f>
        <v/>
      </c>
      <c r="L41" s="4"/>
      <c r="M41" s="4"/>
      <c r="N41" s="4" t="str">
        <f>IFERROR(VLOOKUP(J41,'Lista PQ Comp'!D:F,3,0),"")</f>
        <v/>
      </c>
      <c r="O41" s="197"/>
      <c r="P41" s="180"/>
      <c r="Q41" s="4"/>
      <c r="R41" s="4" t="str">
        <f>IFERROR(VLOOKUP(Q41,'Lista PQ PECOM'!$I:$P,8,0),"")</f>
        <v/>
      </c>
      <c r="S41" s="206" t="str">
        <f>IFERROR(VLOOKUP(Q41,CR!D:F,3,0),"")</f>
        <v/>
      </c>
      <c r="T41" s="197"/>
      <c r="U41" s="214"/>
    </row>
    <row r="42" spans="1:23">
      <c r="A42" s="345" t="s">
        <v>235</v>
      </c>
      <c r="C42" s="4" t="s">
        <v>193</v>
      </c>
      <c r="D42" s="4">
        <f>+Tabla1[[#This Row],[Consumo presentado '[L/mes']]]*(1-EERR!$E$24)</f>
        <v>315</v>
      </c>
      <c r="E42" s="4">
        <v>315</v>
      </c>
      <c r="F42" s="4">
        <v>1</v>
      </c>
      <c r="G42" s="4">
        <v>4</v>
      </c>
      <c r="H42" s="4" t="s">
        <v>191</v>
      </c>
      <c r="I42" s="180"/>
      <c r="J42" s="95" t="s">
        <v>192</v>
      </c>
      <c r="K42" s="95">
        <f>IFERROR(VLOOKUP(J42,'Lista PQ Comp'!D:E,2,0),"")</f>
        <v>0</v>
      </c>
      <c r="L42" s="95" t="s">
        <v>168</v>
      </c>
      <c r="M42" s="95"/>
      <c r="N42" s="95">
        <f>IFERROR(VLOOKUP(J42,'Lista PQ Comp'!D:F,3,0),"")</f>
        <v>4.5</v>
      </c>
      <c r="O42" s="196">
        <f>N42*Tabla1[[#This Row],[Consumo presentado '[L/mes']]]</f>
        <v>1417.5</v>
      </c>
      <c r="P42" s="180"/>
      <c r="Q42" s="95" t="s">
        <v>191</v>
      </c>
      <c r="R42" s="95">
        <f>IFERROR(VLOOKUP(Q42,'Lista PQ PECOM'!$I:$P,8,0),"")</f>
        <v>4.3899999999999997</v>
      </c>
      <c r="S42" s="206">
        <f>IFERROR(VLOOKUP(Q42,CR!D:F,3,0),"")</f>
        <v>3.7827244302954339</v>
      </c>
      <c r="T42" s="197">
        <f>R42*Tabla1[[#This Row],[Consumo optimizado '[l/mes']]]</f>
        <v>1382.85</v>
      </c>
      <c r="U42" s="214"/>
    </row>
    <row r="43" spans="1:23">
      <c r="A43" s="345" t="s">
        <v>235</v>
      </c>
      <c r="C43" s="4" t="s">
        <v>195</v>
      </c>
      <c r="D43" s="4">
        <f>+Tabla1[[#This Row],[Consumo presentado '[L/mes']]]*(1-EERR!$E$24)</f>
        <v>912</v>
      </c>
      <c r="E43" s="4">
        <v>912</v>
      </c>
      <c r="F43" s="4">
        <v>8</v>
      </c>
      <c r="G43" s="4">
        <v>15</v>
      </c>
      <c r="H43" s="4"/>
      <c r="I43" s="180"/>
      <c r="J43" s="4" t="s">
        <v>196</v>
      </c>
      <c r="K43" s="4">
        <f>IFERROR(VLOOKUP(J43,'Lista PQ Comp'!D:E,2,0),"")</f>
        <v>0</v>
      </c>
      <c r="L43" s="4" t="s">
        <v>172</v>
      </c>
      <c r="M43" s="4"/>
      <c r="N43" s="4">
        <f>IFERROR(VLOOKUP(J43,'Lista PQ Comp'!D:F,3,0),"")</f>
        <v>4.5</v>
      </c>
      <c r="O43" s="197">
        <f>N43*Tabla1[[#This Row],[Consumo presentado '[L/mes']]]</f>
        <v>4104</v>
      </c>
      <c r="P43" s="180"/>
      <c r="Q43" s="4" t="s">
        <v>243</v>
      </c>
      <c r="R43" s="4">
        <f>IFERROR(VLOOKUP(Q43,'Lista PQ PECOM'!$I:$P,8,0),"")</f>
        <v>5.07</v>
      </c>
      <c r="S43" s="206">
        <f>IFERROR(VLOOKUP(Q43,CR!D:F,3,0),"")</f>
        <v>2.6700881534365926</v>
      </c>
      <c r="T43" s="197">
        <f>R43*Tabla1[[#This Row],[Consumo optimizado '[l/mes']]]</f>
        <v>4623.84</v>
      </c>
      <c r="U43" s="214"/>
    </row>
    <row r="44" spans="1:23">
      <c r="A44" s="345" t="s">
        <v>235</v>
      </c>
      <c r="C44" s="4" t="s">
        <v>244</v>
      </c>
      <c r="D44" s="4">
        <f>+Tabla1[[#This Row],[Consumo presentado '[L/mes']]]*(1-EERR!$E$24)</f>
        <v>2018</v>
      </c>
      <c r="E44" s="4">
        <v>2018</v>
      </c>
      <c r="F44" s="4">
        <v>2</v>
      </c>
      <c r="G44" s="4">
        <v>3</v>
      </c>
      <c r="H44" s="4" t="s">
        <v>245</v>
      </c>
      <c r="I44" s="180"/>
      <c r="J44" s="95" t="s">
        <v>196</v>
      </c>
      <c r="K44" s="95">
        <f>IFERROR(VLOOKUP(J44,'Lista PQ Comp'!D:E,2,0),"")</f>
        <v>0</v>
      </c>
      <c r="L44" s="95" t="s">
        <v>172</v>
      </c>
      <c r="M44" s="95"/>
      <c r="N44" s="95">
        <f>IFERROR(VLOOKUP(J44,'Lista PQ Comp'!D:F,3,0),"")</f>
        <v>4.5</v>
      </c>
      <c r="O44" s="196">
        <f>N44*Tabla1[[#This Row],[Consumo presentado '[L/mes']]]</f>
        <v>9081</v>
      </c>
      <c r="P44" s="180"/>
      <c r="Q44" s="95" t="s">
        <v>246</v>
      </c>
      <c r="R44" s="95">
        <f>IFERROR(VLOOKUP(Q44,'Lista PQ PECOM'!$I:$P,8,0),"")</f>
        <v>6.61</v>
      </c>
      <c r="S44" s="206">
        <f>IFERROR(VLOOKUP(Q44,CR!D:F,3,0),"")</f>
        <v>5.0541526074536618</v>
      </c>
      <c r="T44" s="197">
        <f>R44*Tabla1[[#This Row],[Consumo optimizado '[l/mes']]]</f>
        <v>13338.980000000001</v>
      </c>
      <c r="U44" s="214"/>
    </row>
    <row r="45" spans="1:23">
      <c r="A45" s="345" t="s">
        <v>235</v>
      </c>
      <c r="C45" s="4" t="s">
        <v>247</v>
      </c>
      <c r="D45" s="4">
        <f>+Tabla1[[#This Row],[Consumo presentado '[L/mes']]]*(1-EERR!$E$24)</f>
        <v>7769</v>
      </c>
      <c r="E45" s="4">
        <v>7769</v>
      </c>
      <c r="F45" s="4">
        <v>2</v>
      </c>
      <c r="G45" s="4">
        <v>10</v>
      </c>
      <c r="H45" s="4"/>
      <c r="I45" s="180"/>
      <c r="J45" s="4" t="s">
        <v>171</v>
      </c>
      <c r="K45" s="4" t="str">
        <f>IFERROR(VLOOKUP(J45,'Lista PQ Comp'!D:E,2,0),"")</f>
        <v>Biocida</v>
      </c>
      <c r="L45" s="4" t="s">
        <v>172</v>
      </c>
      <c r="M45" s="4"/>
      <c r="N45" s="4">
        <f>IFERROR(VLOOKUP(J45,'Lista PQ Comp'!D:F,3,0),"")</f>
        <v>8</v>
      </c>
      <c r="O45" s="197">
        <f>N45*Tabla1[[#This Row],[Consumo presentado '[L/mes']]]</f>
        <v>62152</v>
      </c>
      <c r="P45" s="180"/>
      <c r="Q45" s="4" t="s">
        <v>170</v>
      </c>
      <c r="R45" s="4">
        <f>IFERROR(VLOOKUP(Q45,'Lista PQ PECOM'!$I:$P,8,0),"")</f>
        <v>3.89</v>
      </c>
      <c r="S45" s="206">
        <f>IFERROR(VLOOKUP(Q45,CR!D:F,3,0),"")</f>
        <v>3.1358174612778318</v>
      </c>
      <c r="T45" s="197">
        <f>R45*Tabla1[[#This Row],[Consumo optimizado '[l/mes']]]</f>
        <v>30221.41</v>
      </c>
      <c r="U45" s="214"/>
      <c r="W45" s="1" t="s">
        <v>199</v>
      </c>
    </row>
    <row r="46" spans="1:23">
      <c r="A46" s="345" t="s">
        <v>235</v>
      </c>
      <c r="C46" s="4" t="s">
        <v>200</v>
      </c>
      <c r="D46" s="4">
        <f>+Tabla1[[#This Row],[Consumo presentado '[L/mes']]]*(1-EERR!$E$24)</f>
        <v>2584</v>
      </c>
      <c r="E46" s="4">
        <v>2584</v>
      </c>
      <c r="F46" s="4"/>
      <c r="G46" s="4">
        <v>7</v>
      </c>
      <c r="H46" s="4"/>
      <c r="I46" s="180"/>
      <c r="J46" s="95" t="s">
        <v>207</v>
      </c>
      <c r="K46" s="95" t="str">
        <f>IFERROR(VLOOKUP(J46,'Lista PQ Comp'!D:E,2,0),"")</f>
        <v>INHIBIDOR DE INCRUSTACIONES</v>
      </c>
      <c r="L46" s="95" t="s">
        <v>172</v>
      </c>
      <c r="M46" s="95"/>
      <c r="N46" s="95">
        <f>IFERROR(VLOOKUP(J46,'Lista PQ Comp'!D:F,3,0),"")</f>
        <v>5.31</v>
      </c>
      <c r="O46" s="196">
        <f>N46*Tabla1[[#This Row],[Consumo presentado '[L/mes']]]</f>
        <v>13721.039999999999</v>
      </c>
      <c r="P46" s="180"/>
      <c r="Q46" s="95" t="s">
        <v>208</v>
      </c>
      <c r="R46" s="95">
        <f>IFERROR(VLOOKUP(Q46,'Lista PQ PECOM'!$I:$P,8,0),"")</f>
        <v>4.0199999999999996</v>
      </c>
      <c r="S46" s="206">
        <f>IFERROR(VLOOKUP(Q46,CR!D:F,3,0),"")</f>
        <v>1.8969840434471943</v>
      </c>
      <c r="T46" s="197">
        <f>R46*Tabla1[[#This Row],[Consumo optimizado '[l/mes']]]</f>
        <v>10387.679999999998</v>
      </c>
      <c r="U46" s="214">
        <f t="shared" si="1"/>
        <v>-0.2429378531073447</v>
      </c>
    </row>
    <row r="47" spans="1:23">
      <c r="A47" s="345" t="s">
        <v>235</v>
      </c>
      <c r="C47" s="4" t="s">
        <v>202</v>
      </c>
      <c r="D47" s="4">
        <f>+Tabla1[[#This Row],[Consumo presentado '[L/mes']]]*(1-EERR!$E$24)</f>
        <v>18208</v>
      </c>
      <c r="E47" s="4">
        <v>18208</v>
      </c>
      <c r="F47" s="4">
        <v>70</v>
      </c>
      <c r="G47" s="4">
        <v>35</v>
      </c>
      <c r="H47" s="4" t="s">
        <v>204</v>
      </c>
      <c r="I47" s="180"/>
      <c r="J47" s="4" t="s">
        <v>203</v>
      </c>
      <c r="K47" s="4" t="str">
        <f>IFERROR(VLOOKUP(J47,'Lista PQ Comp'!D:E,2,0),"")</f>
        <v>Inhibidor de corrosión</v>
      </c>
      <c r="L47" s="4"/>
      <c r="M47" s="4"/>
      <c r="N47" s="4">
        <f>IFERROR(VLOOKUP(J47,'Lista PQ Comp'!D:F,3,0),"")</f>
        <v>2.97</v>
      </c>
      <c r="O47" s="197">
        <f>N47*Tabla1[[#This Row],[Consumo presentado '[L/mes']]]</f>
        <v>54077.760000000002</v>
      </c>
      <c r="P47" s="180"/>
      <c r="Q47" s="115" t="s">
        <v>644</v>
      </c>
      <c r="R47" s="4">
        <f>IFERROR(VLOOKUP(Q47,'Lista PQ PECOM'!$I:$P,8,0),"")</f>
        <v>3.7</v>
      </c>
      <c r="S47" s="206">
        <f>2.17+0.25</f>
        <v>2.42</v>
      </c>
      <c r="T47" s="197">
        <f>R47*Tabla1[[#This Row],[Consumo optimizado '[l/mes']]]</f>
        <v>67369.600000000006</v>
      </c>
      <c r="U47" s="214">
        <f t="shared" si="1"/>
        <v>0.24579124579124584</v>
      </c>
    </row>
    <row r="48" spans="1:23">
      <c r="A48" s="345" t="s">
        <v>235</v>
      </c>
      <c r="C48" s="4" t="s">
        <v>248</v>
      </c>
      <c r="D48" s="4">
        <f>+Tabla1[[#This Row],[Consumo presentado '[L/mes']]]*(1-EERR!$E$24)</f>
        <v>0</v>
      </c>
      <c r="E48" s="4">
        <v>0</v>
      </c>
      <c r="F48" s="4"/>
      <c r="G48" s="4">
        <v>4</v>
      </c>
      <c r="H48" s="4"/>
      <c r="I48" s="180"/>
      <c r="J48" s="95"/>
      <c r="K48" s="95" t="str">
        <f>IFERROR(VLOOKUP(J48,'Lista PQ Comp'!D:E,2,0),"")</f>
        <v/>
      </c>
      <c r="L48" s="95"/>
      <c r="M48" s="95"/>
      <c r="N48" s="95" t="str">
        <f>IFERROR(VLOOKUP(J48,'Lista PQ Comp'!D:F,3,0),"")</f>
        <v/>
      </c>
      <c r="O48" s="196"/>
      <c r="P48" s="180"/>
      <c r="Q48" s="95" t="s">
        <v>249</v>
      </c>
      <c r="R48" s="95">
        <f>IFERROR(VLOOKUP(Q48,'Lista PQ PECOM'!$I:$P,8,0),"")</f>
        <v>1.41</v>
      </c>
      <c r="S48" s="206">
        <f>IFERROR(VLOOKUP(Q48,CR!D:F,3,0),"")</f>
        <v>1.2206960051174867</v>
      </c>
      <c r="T48" s="197">
        <f>R48*Tabla1[[#This Row],[Consumo optimizado '[l/mes']]]</f>
        <v>0</v>
      </c>
      <c r="U48" s="214"/>
    </row>
    <row r="49" spans="1:24">
      <c r="A49" s="345" t="s">
        <v>235</v>
      </c>
      <c r="C49" s="4" t="s">
        <v>205</v>
      </c>
      <c r="D49" s="4">
        <f>+Tabla1[[#This Row],[Consumo presentado '[L/mes']]]*(1-EERR!$E$24)</f>
        <v>5350</v>
      </c>
      <c r="E49" s="4">
        <v>5350</v>
      </c>
      <c r="F49" s="4">
        <v>3</v>
      </c>
      <c r="G49" s="4">
        <v>9</v>
      </c>
      <c r="H49" s="4"/>
      <c r="I49" s="180"/>
      <c r="J49" s="4" t="s">
        <v>250</v>
      </c>
      <c r="K49" s="4" t="str">
        <f>IFERROR(VLOOKUP(J49,'Lista PQ Comp'!D:E,2,0),"")</f>
        <v>INHIBIDOR DE INCRUSTACIONES</v>
      </c>
      <c r="L49" s="4" t="s">
        <v>172</v>
      </c>
      <c r="M49" s="4"/>
      <c r="N49" s="4">
        <f>IFERROR(VLOOKUP(J49,'Lista PQ Comp'!D:F,3,0),"")</f>
        <v>5.58</v>
      </c>
      <c r="O49" s="197">
        <f>N49*Tabla1[[#This Row],[Consumo presentado '[L/mes']]]</f>
        <v>29853</v>
      </c>
      <c r="P49" s="180"/>
      <c r="Q49" s="4" t="s">
        <v>208</v>
      </c>
      <c r="R49" s="4">
        <f>IFERROR(VLOOKUP(Q49,'Lista PQ PECOM'!$I:$P,8,0),"")</f>
        <v>4.0199999999999996</v>
      </c>
      <c r="S49" s="206">
        <f>IFERROR(VLOOKUP(Q49,CR!D:F,3,0),"")</f>
        <v>1.8969840434471943</v>
      </c>
      <c r="T49" s="197">
        <f>R49*Tabla1[[#This Row],[Consumo optimizado '[l/mes']]]</f>
        <v>21506.999999999996</v>
      </c>
      <c r="U49" s="214">
        <f t="shared" si="1"/>
        <v>-0.27956989247311842</v>
      </c>
    </row>
    <row r="50" spans="1:24">
      <c r="A50" s="345" t="s">
        <v>235</v>
      </c>
      <c r="C50" s="4" t="s">
        <v>251</v>
      </c>
      <c r="D50" s="4">
        <f>+Tabla1[[#This Row],[Consumo presentado '[L/mes']]]*(1-EERR!$E$24)</f>
        <v>800</v>
      </c>
      <c r="E50" s="4">
        <v>800</v>
      </c>
      <c r="F50" s="4"/>
      <c r="G50" s="4">
        <v>1</v>
      </c>
      <c r="H50" s="4" t="s">
        <v>216</v>
      </c>
      <c r="I50" s="180"/>
      <c r="J50" s="95"/>
      <c r="K50" s="95" t="str">
        <f>IFERROR(VLOOKUP(J50,'Lista PQ Comp'!D:E,2,0),"")</f>
        <v/>
      </c>
      <c r="L50" s="95"/>
      <c r="M50" s="95"/>
      <c r="N50" s="95" t="str">
        <f>IFERROR(VLOOKUP(J50,'Lista PQ Comp'!D:F,3,0),"")</f>
        <v/>
      </c>
      <c r="O50" s="196"/>
      <c r="P50" s="180"/>
      <c r="Q50" s="95" t="s">
        <v>216</v>
      </c>
      <c r="R50" s="95">
        <f>IFERROR(VLOOKUP(Q50,'Lista PQ PECOM'!$I:$P,8,0),"")</f>
        <v>3.77</v>
      </c>
      <c r="S50" s="206">
        <f>IFERROR(VLOOKUP(Q50,CR!D:F,3,0),"")</f>
        <v>1.5604308196088428</v>
      </c>
      <c r="T50" s="197">
        <f>R50*Tabla1[[#This Row],[Consumo optimizado '[l/mes']]]</f>
        <v>3016</v>
      </c>
      <c r="U50" s="214"/>
    </row>
    <row r="51" spans="1:24">
      <c r="A51" s="345" t="s">
        <v>235</v>
      </c>
      <c r="C51" s="4" t="s">
        <v>219</v>
      </c>
      <c r="D51" s="4">
        <f>+Tabla1[[#This Row],[Consumo presentado '[L/mes']]]*(1-EERR!$E$24)</f>
        <v>970</v>
      </c>
      <c r="E51" s="4">
        <v>970</v>
      </c>
      <c r="F51" s="4">
        <v>1</v>
      </c>
      <c r="G51" s="4">
        <v>4</v>
      </c>
      <c r="H51" s="4" t="s">
        <v>220</v>
      </c>
      <c r="I51" s="180"/>
      <c r="J51" s="4"/>
      <c r="K51" s="4" t="str">
        <f>IFERROR(VLOOKUP(J51,'Lista PQ Comp'!D:E,2,0),"")</f>
        <v/>
      </c>
      <c r="L51" s="4"/>
      <c r="M51" s="4"/>
      <c r="N51" s="4" t="str">
        <f>IFERROR(VLOOKUP(J51,'Lista PQ Comp'!D:F,3,0),"")</f>
        <v/>
      </c>
      <c r="O51" s="197"/>
      <c r="P51" s="180"/>
      <c r="Q51" s="4"/>
      <c r="R51" s="4" t="str">
        <f>IFERROR(VLOOKUP(Q51,'Lista PQ PECOM'!$I:$P,8,0),"")</f>
        <v/>
      </c>
      <c r="S51" s="4" t="str">
        <f>IFERROR(VLOOKUP(Q51,CR!D:F,3,0),"")</f>
        <v/>
      </c>
      <c r="T51" s="197"/>
      <c r="U51" s="214"/>
      <c r="W51" s="1" t="s">
        <v>220</v>
      </c>
    </row>
    <row r="52" spans="1:24">
      <c r="A52" s="345" t="s">
        <v>235</v>
      </c>
      <c r="C52" s="4" t="s">
        <v>221</v>
      </c>
      <c r="D52" s="4">
        <f>+Tabla1[[#This Row],[Consumo presentado '[L/mes']]]*(1-EERR!$E$24)</f>
        <v>0</v>
      </c>
      <c r="E52" s="4">
        <v>0</v>
      </c>
      <c r="F52" s="4"/>
      <c r="G52" s="4">
        <v>4</v>
      </c>
      <c r="H52" s="4"/>
      <c r="I52" s="180"/>
      <c r="J52" s="95"/>
      <c r="K52" s="95" t="str">
        <f>IFERROR(VLOOKUP(J52,'Lista PQ Comp'!D:E,2,0),"")</f>
        <v/>
      </c>
      <c r="L52" s="95"/>
      <c r="M52" s="95"/>
      <c r="N52" s="95" t="str">
        <f>IFERROR(VLOOKUP(J52,'Lista PQ Comp'!D:F,3,0),"")</f>
        <v/>
      </c>
      <c r="O52" s="196"/>
      <c r="P52" s="180"/>
      <c r="Q52" s="95"/>
      <c r="R52" s="95" t="str">
        <f>IFERROR(VLOOKUP(Q52,'Lista PQ PECOM'!$I:$P,8,0),"")</f>
        <v/>
      </c>
      <c r="S52" s="117" t="str">
        <f>IFERROR(VLOOKUP(Q52,CR!D:F,3,0),"")</f>
        <v/>
      </c>
      <c r="T52" s="197"/>
      <c r="U52" s="214"/>
      <c r="W52" s="1" t="s">
        <v>223</v>
      </c>
    </row>
    <row r="53" spans="1:24">
      <c r="A53" s="345" t="s">
        <v>235</v>
      </c>
      <c r="C53" s="4" t="s">
        <v>224</v>
      </c>
      <c r="D53" s="4">
        <f>+Tabla1[[#This Row],[Consumo presentado '[L/mes']]]*(1-EERR!$E$24)</f>
        <v>4760</v>
      </c>
      <c r="E53" s="4">
        <v>4760</v>
      </c>
      <c r="F53" s="4"/>
      <c r="G53" s="4">
        <v>12</v>
      </c>
      <c r="H53" s="4" t="s">
        <v>225</v>
      </c>
      <c r="I53" s="180"/>
      <c r="J53" s="116" t="s">
        <v>51</v>
      </c>
      <c r="K53" s="4" t="str">
        <f>IFERROR(VLOOKUP(J53,'Lista PQ Comp'!D:E,2,0),"")</f>
        <v>Inhibidor de corrosión</v>
      </c>
      <c r="L53" s="4" t="s">
        <v>168</v>
      </c>
      <c r="M53" s="4"/>
      <c r="N53" s="4">
        <f>IFERROR(VLOOKUP(J53,'Lista PQ Comp'!D:F,3,0),"")</f>
        <v>1.77</v>
      </c>
      <c r="O53" s="197">
        <f>N53*Tabla1[[#This Row],[Consumo presentado '[L/mes']]]</f>
        <v>8425.2000000000007</v>
      </c>
      <c r="P53" s="180"/>
      <c r="Q53" s="4" t="s">
        <v>226</v>
      </c>
      <c r="R53" s="4">
        <f>IFERROR(VLOOKUP(Q53,'Lista PQ PECOM'!$I:$P,8,0),"")</f>
        <v>2.31</v>
      </c>
      <c r="S53" s="206">
        <f>IFERROR(VLOOKUP(Q53,CR!D:F,3,0),"")</f>
        <v>1.8266571757018397</v>
      </c>
      <c r="T53" s="197">
        <f>R53*Tabla1[[#This Row],[Consumo optimizado '[l/mes']]]</f>
        <v>10995.6</v>
      </c>
      <c r="U53" s="214">
        <f t="shared" si="1"/>
        <v>0.30508474576271177</v>
      </c>
    </row>
    <row r="54" spans="1:24">
      <c r="A54" s="345" t="s">
        <v>235</v>
      </c>
      <c r="C54" s="186" t="s">
        <v>227</v>
      </c>
      <c r="D54" s="186">
        <f>+Tabla1[[#This Row],[Consumo presentado '[L/mes']]]*(1-EERR!$E$24)</f>
        <v>680</v>
      </c>
      <c r="E54" s="186">
        <v>680</v>
      </c>
      <c r="F54" s="186"/>
      <c r="G54" s="186">
        <v>6</v>
      </c>
      <c r="H54" s="186" t="s">
        <v>228</v>
      </c>
      <c r="I54" s="180"/>
      <c r="J54" s="117" t="s">
        <v>229</v>
      </c>
      <c r="K54" s="95" t="str">
        <f>IFERROR(VLOOKUP(J54,'Lista PQ Comp'!D:E,2,0),"")</f>
        <v>Sec de H2S</v>
      </c>
      <c r="L54" s="95" t="s">
        <v>168</v>
      </c>
      <c r="M54" s="95"/>
      <c r="N54" s="95">
        <f>IFERROR(VLOOKUP(J54,'Lista PQ Comp'!D:F,3,0),"")</f>
        <v>2.64</v>
      </c>
      <c r="O54" s="196">
        <f>N54*Tabla1[[#This Row],[Consumo presentado '[L/mes']]]</f>
        <v>1795.2</v>
      </c>
      <c r="P54" s="180"/>
      <c r="Q54" s="95" t="s">
        <v>230</v>
      </c>
      <c r="R54" s="95">
        <f>IFERROR(VLOOKUP(Q54,'Lista PQ PECOM'!$I:$P,8,0),"")</f>
        <v>4.1100000000000003</v>
      </c>
      <c r="S54" s="206">
        <f>IFERROR(VLOOKUP(Q54,CR!D:F,3,0),"")</f>
        <v>2.1833464266698939</v>
      </c>
      <c r="T54" s="197">
        <f>R54*Tabla1[[#This Row],[Consumo optimizado '[l/mes']]]</f>
        <v>2794.8</v>
      </c>
      <c r="U54" s="214">
        <f t="shared" si="1"/>
        <v>0.55681818181818188</v>
      </c>
    </row>
    <row r="55" spans="1:24">
      <c r="C55" s="4"/>
      <c r="D55" s="4">
        <f>+Tabla1[[#This Row],[Consumo presentado '[L/mes']]]*(1-EERR!$E$24)</f>
        <v>0</v>
      </c>
      <c r="E55" s="4"/>
      <c r="F55" s="4"/>
      <c r="G55" s="4"/>
      <c r="H55" s="4"/>
      <c r="I55" s="71"/>
      <c r="J55" s="190"/>
      <c r="K55" s="195"/>
      <c r="L55" s="195"/>
      <c r="M55" s="195"/>
      <c r="N55" s="241" t="s">
        <v>234</v>
      </c>
      <c r="O55" s="242">
        <f>SUM(O33:O54)</f>
        <v>305704.64</v>
      </c>
      <c r="P55" s="71"/>
      <c r="Q55" s="195"/>
      <c r="R55" s="195"/>
      <c r="S55" s="228" t="s">
        <v>234</v>
      </c>
      <c r="T55" s="201">
        <f>SUM(T33:T54)</f>
        <v>220737.74</v>
      </c>
    </row>
    <row r="56" spans="1:24">
      <c r="C56" s="186"/>
      <c r="D56" s="186">
        <f>+Tabla1[[#This Row],[Consumo presentado '[L/mes']]]*(1-EERR!$E$24)</f>
        <v>0</v>
      </c>
      <c r="E56" s="186"/>
      <c r="F56" s="186"/>
      <c r="G56" s="186"/>
      <c r="H56" s="186"/>
      <c r="I56" s="71"/>
      <c r="J56" s="193"/>
      <c r="K56" s="194"/>
      <c r="L56" s="194"/>
      <c r="M56" s="194"/>
      <c r="N56" s="195"/>
      <c r="O56" s="195"/>
      <c r="P56" s="71"/>
      <c r="Q56" s="194"/>
      <c r="R56" s="194"/>
      <c r="S56" s="193"/>
      <c r="T56" s="190"/>
    </row>
    <row r="57" spans="1:24">
      <c r="C57" s="71"/>
      <c r="D57" s="71"/>
      <c r="E57" s="71"/>
      <c r="F57" s="71"/>
      <c r="G57" s="71"/>
      <c r="H57" s="71"/>
      <c r="I57" s="71"/>
      <c r="J57" s="190"/>
      <c r="K57" s="195"/>
      <c r="L57" s="195"/>
      <c r="M57" s="195"/>
      <c r="N57" s="195"/>
      <c r="O57" s="195"/>
      <c r="P57" s="71"/>
      <c r="Q57" s="195"/>
      <c r="R57" s="195"/>
      <c r="S57" s="190"/>
      <c r="T57" s="190"/>
    </row>
    <row r="58" spans="1:24">
      <c r="C58" s="189"/>
      <c r="D58" s="189"/>
      <c r="E58" s="189"/>
      <c r="F58" s="189"/>
      <c r="G58" s="189"/>
      <c r="H58" s="189"/>
      <c r="I58" s="71"/>
      <c r="J58" s="190"/>
      <c r="K58" s="71"/>
      <c r="L58" s="71"/>
      <c r="M58" s="71"/>
      <c r="N58" s="71"/>
      <c r="O58" s="71"/>
      <c r="P58" s="71"/>
      <c r="Q58" s="71"/>
      <c r="R58" s="71"/>
      <c r="S58" s="190"/>
      <c r="T58" s="190"/>
    </row>
    <row r="59" spans="1:24" ht="15" customHeight="1">
      <c r="C59" s="187" t="s">
        <v>99</v>
      </c>
      <c r="D59" s="187">
        <f>+Tabla1[[#This Row],[Consumo presentado '[L/mes']]]*(1-EERR!$E$24)</f>
        <v>105269.83000000002</v>
      </c>
      <c r="E59" s="188">
        <v>105269.83000000002</v>
      </c>
      <c r="F59" s="188">
        <v>195</v>
      </c>
      <c r="G59" s="188">
        <v>154</v>
      </c>
      <c r="H59" s="188"/>
      <c r="I59" s="180"/>
      <c r="J59" s="451" t="s">
        <v>252</v>
      </c>
      <c r="K59" s="452"/>
      <c r="L59" s="452"/>
      <c r="M59" s="452"/>
      <c r="N59" s="452"/>
      <c r="O59" s="452"/>
      <c r="P59" s="452"/>
      <c r="Q59" s="452"/>
      <c r="R59" s="452"/>
      <c r="S59" s="452"/>
      <c r="T59" s="452"/>
      <c r="U59" s="452"/>
    </row>
    <row r="60" spans="1:24">
      <c r="A60" s="345" t="s">
        <v>253</v>
      </c>
      <c r="C60" s="4" t="s">
        <v>231</v>
      </c>
      <c r="D60" s="4">
        <f>+Tabla1[[#This Row],[Consumo presentado '[L/mes']]]*(1-EERR!$E$24)</f>
        <v>3923.2599999999998</v>
      </c>
      <c r="E60" s="4">
        <v>3923.2599999999998</v>
      </c>
      <c r="F60" s="4"/>
      <c r="G60" s="4">
        <v>11</v>
      </c>
      <c r="H60" s="4" t="s">
        <v>254</v>
      </c>
      <c r="I60" s="180"/>
      <c r="J60" s="95" t="s">
        <v>255</v>
      </c>
      <c r="K60" s="95" t="str">
        <f>IFERROR(VLOOKUP(J60,'Lista PQ Comp'!D:E,2,0),"")</f>
        <v>antiespumante</v>
      </c>
      <c r="L60" s="116" t="s">
        <v>168</v>
      </c>
      <c r="M60" s="95">
        <v>1000277510</v>
      </c>
      <c r="N60" s="95">
        <f>IFERROR(VLOOKUP(J60,'Lista PQ Comp'!D:F,3,0),"")</f>
        <v>4.37</v>
      </c>
      <c r="O60" s="196">
        <f>N60*Tabla1[[#This Row],[Consumo presentado '[L/mes']]]</f>
        <v>17144.646199999999</v>
      </c>
      <c r="P60" s="180"/>
      <c r="Q60" s="95" t="s">
        <v>233</v>
      </c>
      <c r="R60" s="144">
        <f>IFERROR(VLOOKUP(Q60,'Lista PQ PECOM'!$I:$P,8,0),"")</f>
        <v>4.09</v>
      </c>
      <c r="S60" s="206">
        <f>IFERROR(VLOOKUP(Q60,CR!D:F,3,0),"")</f>
        <v>2.7763208494675706</v>
      </c>
      <c r="T60" s="196">
        <f>R60*Tabla1[[#This Row],[Consumo optimizado '[l/mes']]]</f>
        <v>16046.133399999999</v>
      </c>
      <c r="U60" s="213">
        <f>(T60-O60)/O60</f>
        <v>-6.4073226544622455E-2</v>
      </c>
    </row>
    <row r="61" spans="1:24">
      <c r="A61" s="345" t="s">
        <v>253</v>
      </c>
      <c r="C61" s="4" t="s">
        <v>256</v>
      </c>
      <c r="D61" s="4">
        <f>+Tabla1[[#This Row],[Consumo presentado '[L/mes']]]*(1-EERR!$E$24)</f>
        <v>15165.1</v>
      </c>
      <c r="E61" s="4">
        <v>15165.1</v>
      </c>
      <c r="F61" s="4">
        <v>129</v>
      </c>
      <c r="G61" s="4">
        <v>4</v>
      </c>
      <c r="H61" s="4"/>
      <c r="I61" s="180"/>
      <c r="J61" s="4" t="s">
        <v>257</v>
      </c>
      <c r="K61" s="4" t="str">
        <f>IFERROR(VLOOKUP(J61,'Lista PQ Comp'!D:E,2,0),"")</f>
        <v>Bactericida</v>
      </c>
      <c r="L61" s="4" t="s">
        <v>168</v>
      </c>
      <c r="M61" s="4">
        <v>1000568098</v>
      </c>
      <c r="N61" s="137">
        <f>IFERROR(VLOOKUP(J61,'Lista PQ Comp'!D:F,3,0),"")</f>
        <v>8.7899999999999991</v>
      </c>
      <c r="O61" s="197">
        <f>N61*Tabla1[[#This Row],[Consumo presentado '[L/mes']]]</f>
        <v>133301.22899999999</v>
      </c>
      <c r="P61" s="184"/>
      <c r="Q61" s="115" t="s">
        <v>258</v>
      </c>
      <c r="R61" s="143">
        <f>IFERROR(VLOOKUP(Q61,'Lista PQ PECOM'!$I:$P,8,0),"")</f>
        <v>6.08</v>
      </c>
      <c r="S61" s="207">
        <f>IFERROR(VLOOKUP(Q61,CR!D:F,3,0),"")</f>
        <v>3.2100000000000004</v>
      </c>
      <c r="T61" s="197">
        <f>R61*Tabla1[[#This Row],[Consumo optimizado '[l/mes']]]</f>
        <v>92203.808000000005</v>
      </c>
      <c r="U61" s="214">
        <f t="shared" ref="U61:U90" si="2">(T61-O61)/O61</f>
        <v>-0.30830489192263927</v>
      </c>
    </row>
    <row r="62" spans="1:24">
      <c r="A62" s="345" t="s">
        <v>253</v>
      </c>
      <c r="C62" s="4"/>
      <c r="D62" s="4">
        <f>+Tabla1[[#This Row],[Consumo presentado '[L/mes']]]*(1-EERR!$E$24)</f>
        <v>0</v>
      </c>
      <c r="E62" s="4"/>
      <c r="F62" s="4"/>
      <c r="G62" s="4"/>
      <c r="H62" s="4"/>
      <c r="I62" s="180"/>
      <c r="J62" s="95"/>
      <c r="K62" s="95" t="str">
        <f>IFERROR(VLOOKUP(J62,'Lista PQ Comp'!D:E,2,0),"")</f>
        <v/>
      </c>
      <c r="L62" s="116"/>
      <c r="M62" s="95"/>
      <c r="N62" s="95" t="str">
        <f>IFERROR(VLOOKUP(J62,'Lista PQ Comp'!D:F,3,0),"")</f>
        <v/>
      </c>
      <c r="O62" s="196"/>
      <c r="P62" s="180"/>
      <c r="Q62" s="95"/>
      <c r="R62" s="144" t="str">
        <f>IFERROR(VLOOKUP(Q62,'Lista PQ PECOM'!$I:$P,8,0),"")</f>
        <v/>
      </c>
      <c r="S62" s="206" t="str">
        <f>IFERROR(VLOOKUP(Q62,CR!D:F,3,0),"")</f>
        <v/>
      </c>
      <c r="T62" s="196"/>
      <c r="U62" s="213"/>
    </row>
    <row r="63" spans="1:24">
      <c r="A63" s="345" t="s">
        <v>253</v>
      </c>
      <c r="C63" s="4" t="s">
        <v>173</v>
      </c>
      <c r="D63" s="4">
        <f>+Tabla1[[#This Row],[Consumo presentado '[L/mes']]]*(1-EERR!$E$24)</f>
        <v>1845.5</v>
      </c>
      <c r="E63" s="4">
        <v>1845.5</v>
      </c>
      <c r="F63" s="4"/>
      <c r="G63" s="4">
        <v>3</v>
      </c>
      <c r="H63" s="4"/>
      <c r="I63" s="180"/>
      <c r="J63" s="4" t="s">
        <v>44</v>
      </c>
      <c r="K63" s="4" t="str">
        <f>IFERROR(VLOOKUP(J63,'Lista PQ Comp'!D:E,2,0),"")</f>
        <v>Floculante</v>
      </c>
      <c r="L63" s="4" t="s">
        <v>168</v>
      </c>
      <c r="M63" s="4"/>
      <c r="N63" s="137">
        <f>IFERROR(VLOOKUP(J63,'Lista PQ Comp'!D:F,3,0),"")</f>
        <v>10.11</v>
      </c>
      <c r="O63" s="197">
        <f>N63*Tabla1[[#This Row],[Consumo presentado '[L/mes']]]</f>
        <v>18658.004999999997</v>
      </c>
      <c r="P63" s="185"/>
      <c r="Q63" s="115" t="s">
        <v>707</v>
      </c>
      <c r="R63" s="143">
        <f>IFERROR(VLOOKUP(Q63,'Lista PQ PECOM'!$I:$P,8,0),"")</f>
        <v>9.73</v>
      </c>
      <c r="S63" s="207">
        <f>+R63/1.56</f>
        <v>6.2371794871794872</v>
      </c>
      <c r="T63" s="197">
        <f>R63*Tabla1[[#This Row],[Consumo optimizado '[l/mes']]]</f>
        <v>17956.715</v>
      </c>
      <c r="U63" s="214">
        <f t="shared" si="2"/>
        <v>-3.7586547972304506E-2</v>
      </c>
    </row>
    <row r="64" spans="1:24">
      <c r="A64" s="345" t="s">
        <v>253</v>
      </c>
      <c r="B64" s="402">
        <v>0.41343251421595556</v>
      </c>
      <c r="C64" s="4" t="s">
        <v>239</v>
      </c>
      <c r="D64" s="334">
        <f>$E$64*(1-EERR!$E$24)*B64</f>
        <v>11070.9</v>
      </c>
      <c r="E64" s="4">
        <v>26778.01</v>
      </c>
      <c r="F64" s="4">
        <v>2</v>
      </c>
      <c r="G64" s="4">
        <v>37</v>
      </c>
      <c r="H64" s="4"/>
      <c r="I64" s="180"/>
      <c r="J64" s="95" t="s">
        <v>259</v>
      </c>
      <c r="K64" s="95">
        <f>IFERROR(VLOOKUP(J64,'Lista PQ Comp'!D:E,2,0),"")</f>
        <v>0</v>
      </c>
      <c r="L64" s="4" t="s">
        <v>168</v>
      </c>
      <c r="M64" s="95"/>
      <c r="N64" s="95">
        <f>IFERROR(VLOOKUP(J64,'Lista PQ Comp'!D:F,3,0),"")</f>
        <v>5.44</v>
      </c>
      <c r="O64" s="196">
        <f>N64*Tabla1[[#This Row],[Consumo presentado '[L/mes']]]</f>
        <v>145672.3744</v>
      </c>
      <c r="P64" s="180"/>
      <c r="Q64" s="367" t="s">
        <v>260</v>
      </c>
      <c r="R64" s="144">
        <v>7.22</v>
      </c>
      <c r="S64" s="207">
        <f>4.3+0.25</f>
        <v>4.55</v>
      </c>
      <c r="T64" s="196">
        <f>R64*Tabla1[[#This Row],[Consumo optimizado '[l/mes']]]</f>
        <v>79931.898000000001</v>
      </c>
      <c r="U64" s="217">
        <f>(T64+T65+T66-O64)/O64</f>
        <v>-6.7327909223672142E-2</v>
      </c>
      <c r="V64" s="1">
        <f>+(R64*Tabla1[[#This Row],[Consumo optimizado '[l/mes']]]+R65*D65+R66*D66)/SUM(D64:D66)</f>
        <v>5.0738593349008276</v>
      </c>
      <c r="W64" s="1" t="s">
        <v>261</v>
      </c>
      <c r="X64" s="1" t="s">
        <v>189</v>
      </c>
    </row>
    <row r="65" spans="1:23">
      <c r="A65" s="345" t="s">
        <v>253</v>
      </c>
      <c r="B65" s="402">
        <v>0.10427884671041651</v>
      </c>
      <c r="C65" s="4"/>
      <c r="D65" s="334">
        <f>$E$64*(1-EERR!$E$24)*B65</f>
        <v>2792.38</v>
      </c>
      <c r="E65" s="4"/>
      <c r="F65" s="4"/>
      <c r="G65" s="4"/>
      <c r="H65" s="4"/>
      <c r="I65" s="180"/>
      <c r="J65" s="95"/>
      <c r="K65" s="95"/>
      <c r="L65" s="4"/>
      <c r="M65" s="95"/>
      <c r="N65" s="95"/>
      <c r="O65" s="196"/>
      <c r="P65" s="180"/>
      <c r="Q65" s="367" t="s">
        <v>262</v>
      </c>
      <c r="R65" s="144">
        <v>5</v>
      </c>
      <c r="S65" s="207">
        <f>+S64</f>
        <v>4.55</v>
      </c>
      <c r="T65" s="196">
        <f>R65*Tabla1[[#This Row],[Consumo optimizado '[l/mes']]]</f>
        <v>13961.900000000001</v>
      </c>
      <c r="U65" s="217"/>
    </row>
    <row r="66" spans="1:23">
      <c r="A66" s="345" t="s">
        <v>253</v>
      </c>
      <c r="B66" s="402">
        <v>0.48226436542521273</v>
      </c>
      <c r="C66" s="4"/>
      <c r="D66" s="334">
        <f>$E$64*(1-EERR!$E$24)*B66</f>
        <v>12914.08</v>
      </c>
      <c r="E66" s="4"/>
      <c r="F66" s="4"/>
      <c r="G66" s="4"/>
      <c r="H66" s="4"/>
      <c r="I66" s="180"/>
      <c r="J66" s="95"/>
      <c r="K66" s="95"/>
      <c r="L66" s="4"/>
      <c r="M66" s="95"/>
      <c r="N66" s="95"/>
      <c r="O66" s="196"/>
      <c r="P66" s="180"/>
      <c r="Q66" s="367" t="s">
        <v>177</v>
      </c>
      <c r="R66" s="144">
        <v>3.25</v>
      </c>
      <c r="S66" s="207">
        <f>IFERROR(VLOOKUP(Q66,CR!D:F,3,0),"")</f>
        <v>2.3434332647628273</v>
      </c>
      <c r="T66" s="196">
        <f>R66*Tabla1[[#This Row],[Consumo optimizado '[l/mes']]]</f>
        <v>41970.76</v>
      </c>
      <c r="U66" s="217"/>
    </row>
    <row r="67" spans="1:23">
      <c r="A67" s="345" t="s">
        <v>253</v>
      </c>
      <c r="C67" s="4" t="s">
        <v>187</v>
      </c>
      <c r="D67" s="4">
        <f>+Tabla1[[#This Row],[Consumo presentado '[L/mes']]]*(1-EERR!$E$24)</f>
        <v>1200</v>
      </c>
      <c r="E67" s="4">
        <v>1200</v>
      </c>
      <c r="F67" s="4">
        <v>5</v>
      </c>
      <c r="G67" s="4"/>
      <c r="H67" s="4"/>
      <c r="I67" s="180"/>
      <c r="J67" s="4"/>
      <c r="K67" s="4" t="str">
        <f>IFERROR(VLOOKUP(J67,'Lista PQ Comp'!D:E,2,0),"")</f>
        <v/>
      </c>
      <c r="L67" s="4"/>
      <c r="M67" s="4"/>
      <c r="N67" s="118" t="str">
        <f>IFERROR(VLOOKUP(J67,'Lista PQ Comp'!D:F,3,0),"")</f>
        <v/>
      </c>
      <c r="O67" s="198"/>
      <c r="P67" s="185"/>
      <c r="Q67" s="4" t="s">
        <v>263</v>
      </c>
      <c r="R67" s="143">
        <f>IFERROR(VLOOKUP(Q67,'Lista PQ PECOM'!$I:$P,8,0),"")</f>
        <v>1.51</v>
      </c>
      <c r="S67" s="207">
        <f>IFERROR(VLOOKUP(Q67,CR!D:F,3,0),"")</f>
        <v>0.97</v>
      </c>
      <c r="T67" s="198">
        <f>R67*Tabla1[[#This Row],[Consumo optimizado '[l/mes']]]</f>
        <v>1812</v>
      </c>
      <c r="U67" s="215"/>
    </row>
    <row r="68" spans="1:23">
      <c r="A68" s="345" t="s">
        <v>253</v>
      </c>
      <c r="C68" s="4" t="s">
        <v>264</v>
      </c>
      <c r="D68" s="4">
        <f>+Tabla1[[#This Row],[Consumo presentado '[L/mes']]]*(1-EERR!$E$24)</f>
        <v>11768.080000000002</v>
      </c>
      <c r="E68" s="4">
        <v>11768.080000000002</v>
      </c>
      <c r="F68" s="4">
        <v>19</v>
      </c>
      <c r="G68" s="4">
        <v>20</v>
      </c>
      <c r="H68" s="4"/>
      <c r="I68" s="180"/>
      <c r="J68" s="95" t="s">
        <v>13</v>
      </c>
      <c r="K68" s="95" t="str">
        <f>IFERROR(VLOOKUP(J68,'Lista PQ Comp'!D:E,2,0),"")</f>
        <v>DISOLVENTE DE PARAFINAS Y ASFALTENOS</v>
      </c>
      <c r="L68" s="4" t="s">
        <v>168</v>
      </c>
      <c r="M68" s="95">
        <v>1000568151</v>
      </c>
      <c r="N68" s="95">
        <f>IFERROR(VLOOKUP(J68,'Lista PQ Comp'!D:F,3,0),"")</f>
        <v>6.08</v>
      </c>
      <c r="O68" s="196">
        <f>N68*Tabla1[[#This Row],[Consumo presentado '[L/mes']]]</f>
        <v>71549.926400000011</v>
      </c>
      <c r="P68" s="180"/>
      <c r="Q68" s="95" t="s">
        <v>265</v>
      </c>
      <c r="R68" s="144">
        <f>IFERROR(VLOOKUP(Q68,'Lista PQ PECOM'!$I:$P,8,0),"")</f>
        <v>4.7</v>
      </c>
      <c r="S68" s="206">
        <f>IFERROR(VLOOKUP(Q68,CR!D:F,3,0),"")</f>
        <v>2.5275605638915781</v>
      </c>
      <c r="T68" s="196">
        <f>R68*Tabla1[[#This Row],[Consumo optimizado '[l/mes']]]</f>
        <v>55309.97600000001</v>
      </c>
      <c r="U68" s="213">
        <f t="shared" si="2"/>
        <v>-0.2269736842105263</v>
      </c>
      <c r="W68" s="1" t="s">
        <v>266</v>
      </c>
    </row>
    <row r="69" spans="1:23">
      <c r="A69" s="345" t="s">
        <v>253</v>
      </c>
      <c r="C69" s="4" t="s">
        <v>267</v>
      </c>
      <c r="D69" s="4">
        <f>+Tabla1[[#This Row],[Consumo presentado '[L/mes']]]*(1-EERR!$E$24)</f>
        <v>647</v>
      </c>
      <c r="E69" s="4">
        <v>647</v>
      </c>
      <c r="F69" s="4"/>
      <c r="G69" s="4">
        <v>2</v>
      </c>
      <c r="H69" s="4"/>
      <c r="I69" s="180"/>
      <c r="J69" s="4" t="s">
        <v>19</v>
      </c>
      <c r="K69" s="4" t="str">
        <f>IFERROR(VLOOKUP(J69,'Lista PQ Comp'!D:E,2,0),"")</f>
        <v>Inhibidor de Parafinas y Asffaltenos</v>
      </c>
      <c r="L69" s="4"/>
      <c r="M69" s="4"/>
      <c r="N69" s="137">
        <f>IFERROR(VLOOKUP(J69,'Lista PQ Comp'!D:F,3,0),"")</f>
        <v>6.67</v>
      </c>
      <c r="O69" s="197">
        <f>N69*Tabla1[[#This Row],[Consumo presentado '[L/mes']]]</f>
        <v>4315.49</v>
      </c>
      <c r="P69" s="185"/>
      <c r="Q69" s="116" t="s">
        <v>265</v>
      </c>
      <c r="R69" s="143">
        <f>IFERROR(VLOOKUP(Q69,'Lista PQ PECOM'!$I:$P,8,0),"")</f>
        <v>4.7</v>
      </c>
      <c r="S69" s="207">
        <f>IFERROR(VLOOKUP(Q69,CR!D:F,3,0),"")</f>
        <v>2.5275605638915781</v>
      </c>
      <c r="T69" s="197">
        <f>R69*Tabla1[[#This Row],[Consumo optimizado '[l/mes']]]</f>
        <v>3040.9</v>
      </c>
      <c r="U69" s="214">
        <f t="shared" si="2"/>
        <v>-0.29535232383808091</v>
      </c>
      <c r="W69" s="1" t="s">
        <v>266</v>
      </c>
    </row>
    <row r="70" spans="1:23">
      <c r="A70" s="345" t="s">
        <v>253</v>
      </c>
      <c r="C70" s="4" t="s">
        <v>268</v>
      </c>
      <c r="D70" s="4">
        <f>+Tabla1[[#This Row],[Consumo presentado '[L/mes']]]*(1-EERR!$E$24)</f>
        <v>0</v>
      </c>
      <c r="E70" s="4">
        <v>0</v>
      </c>
      <c r="F70" s="4"/>
      <c r="G70" s="4"/>
      <c r="H70" s="4"/>
      <c r="I70" s="180"/>
      <c r="J70" s="95" t="s">
        <v>19</v>
      </c>
      <c r="K70" s="95" t="str">
        <f>IFERROR(VLOOKUP(J70,'Lista PQ Comp'!D:E,2,0),"")</f>
        <v>Inhibidor de Parafinas y Asffaltenos</v>
      </c>
      <c r="L70" s="117"/>
      <c r="M70" s="95"/>
      <c r="N70" s="95">
        <f>IFERROR(VLOOKUP(J70,'Lista PQ Comp'!D:F,3,0),"")</f>
        <v>6.67</v>
      </c>
      <c r="O70" s="196">
        <f>N70*Tabla1[[#This Row],[Consumo presentado '[L/mes']]]</f>
        <v>0</v>
      </c>
      <c r="P70" s="180"/>
      <c r="Q70" s="95" t="s">
        <v>265</v>
      </c>
      <c r="R70" s="144">
        <f>IFERROR(VLOOKUP(Q70,'Lista PQ PECOM'!$I:$P,8,0),"")</f>
        <v>4.7</v>
      </c>
      <c r="S70" s="206">
        <f>IFERROR(VLOOKUP(Q70,CR!D:F,3,0),"")</f>
        <v>2.5275605638915781</v>
      </c>
      <c r="T70" s="196">
        <f>R70*Tabla1[[#This Row],[Consumo optimizado '[l/mes']]]</f>
        <v>0</v>
      </c>
      <c r="U70" s="213"/>
      <c r="W70" s="1" t="s">
        <v>269</v>
      </c>
    </row>
    <row r="71" spans="1:23">
      <c r="A71" s="345" t="s">
        <v>253</v>
      </c>
      <c r="C71" s="4" t="s">
        <v>270</v>
      </c>
      <c r="D71" s="4">
        <f>+Tabla1[[#This Row],[Consumo presentado '[L/mes']]]*(1-EERR!$E$24)</f>
        <v>15.159999999999997</v>
      </c>
      <c r="E71" s="4">
        <v>15.159999999999997</v>
      </c>
      <c r="F71" s="4"/>
      <c r="G71" s="4">
        <v>1</v>
      </c>
      <c r="H71" s="4"/>
      <c r="I71" s="180"/>
      <c r="J71" s="4" t="s">
        <v>13</v>
      </c>
      <c r="K71" s="4" t="str">
        <f>IFERROR(VLOOKUP(J71,'Lista PQ Comp'!D:E,2,0),"")</f>
        <v>DISOLVENTE DE PARAFINAS Y ASFALTENOS</v>
      </c>
      <c r="L71" s="4"/>
      <c r="M71" s="4"/>
      <c r="N71" s="137">
        <f>IFERROR(VLOOKUP(J71,'Lista PQ Comp'!D:F,3,0),"")</f>
        <v>6.08</v>
      </c>
      <c r="O71" s="197">
        <f>N71*Tabla1[[#This Row],[Consumo presentado '[L/mes']]]</f>
        <v>92.172799999999981</v>
      </c>
      <c r="P71" s="185"/>
      <c r="Q71" s="116" t="s">
        <v>265</v>
      </c>
      <c r="R71" s="143">
        <f>IFERROR(VLOOKUP(Q71,'Lista PQ PECOM'!$I:$P,8,0),"")</f>
        <v>4.7</v>
      </c>
      <c r="S71" s="207">
        <f>IFERROR(VLOOKUP(Q71,CR!D:F,3,0),"")</f>
        <v>2.5275605638915781</v>
      </c>
      <c r="T71" s="197">
        <f>R71*Tabla1[[#This Row],[Consumo optimizado '[l/mes']]]</f>
        <v>71.251999999999981</v>
      </c>
      <c r="U71" s="214">
        <f t="shared" si="2"/>
        <v>-0.22697368421052636</v>
      </c>
      <c r="W71" s="1" t="s">
        <v>271</v>
      </c>
    </row>
    <row r="72" spans="1:23">
      <c r="A72" s="345" t="s">
        <v>253</v>
      </c>
      <c r="C72" s="4" t="s">
        <v>272</v>
      </c>
      <c r="D72" s="4">
        <f>+Tabla1[[#This Row],[Consumo presentado '[L/mes']]]*(1-EERR!$E$24)</f>
        <v>0</v>
      </c>
      <c r="E72" s="4">
        <v>0</v>
      </c>
      <c r="F72" s="4"/>
      <c r="G72" s="4"/>
      <c r="H72" s="4"/>
      <c r="I72" s="180"/>
      <c r="J72" s="95" t="s">
        <v>273</v>
      </c>
      <c r="K72" s="95">
        <f>IFERROR(VLOOKUP(J72,'Lista PQ Comp'!D:E,2,0),"")</f>
        <v>0</v>
      </c>
      <c r="L72" s="4" t="s">
        <v>168</v>
      </c>
      <c r="M72" s="95">
        <v>1000568109</v>
      </c>
      <c r="N72" s="95">
        <f>IFERROR(VLOOKUP(J72,'Lista PQ Comp'!D:F,3,0),"")</f>
        <v>9.15</v>
      </c>
      <c r="O72" s="196">
        <f>N72*Tabla1[[#This Row],[Consumo presentado '[L/mes']]]</f>
        <v>0</v>
      </c>
      <c r="P72" s="180"/>
      <c r="Q72" s="95"/>
      <c r="R72" s="144" t="str">
        <f>IFERROR(VLOOKUP(Q72,'Lista PQ PECOM'!$I:$P,8,0),"")</f>
        <v/>
      </c>
      <c r="S72" s="206" t="str">
        <f>IFERROR(VLOOKUP(Q72,CR!D:F,3,0),"")</f>
        <v/>
      </c>
      <c r="T72" s="196"/>
      <c r="U72" s="213"/>
    </row>
    <row r="73" spans="1:23">
      <c r="A73" s="345" t="s">
        <v>253</v>
      </c>
      <c r="C73" s="4" t="s">
        <v>274</v>
      </c>
      <c r="D73" s="4">
        <f>+Tabla1[[#This Row],[Consumo presentado '[L/mes']]]*(1-EERR!$E$24)</f>
        <v>3533.7999999999997</v>
      </c>
      <c r="E73" s="4">
        <v>3533.7999999999997</v>
      </c>
      <c r="F73" s="4"/>
      <c r="G73" s="4">
        <v>4</v>
      </c>
      <c r="H73" s="4"/>
      <c r="I73" s="180"/>
      <c r="J73" s="4" t="s">
        <v>44</v>
      </c>
      <c r="K73" s="4" t="str">
        <f>IFERROR(VLOOKUP(J73,'Lista PQ Comp'!D:E,2,0),"")</f>
        <v>Floculante</v>
      </c>
      <c r="L73" s="4" t="s">
        <v>168</v>
      </c>
      <c r="M73" s="4"/>
      <c r="N73" s="137">
        <f>IFERROR(VLOOKUP(J73,'Lista PQ Comp'!D:F,3,0),"")</f>
        <v>10.11</v>
      </c>
      <c r="O73" s="197">
        <f>N73*Tabla1[[#This Row],[Consumo presentado '[L/mes']]]</f>
        <v>35726.717999999993</v>
      </c>
      <c r="P73" s="185"/>
      <c r="Q73" s="4" t="s">
        <v>275</v>
      </c>
      <c r="R73" s="143">
        <f>IFERROR(VLOOKUP(Q73,'Lista PQ PECOM'!$I:$P,8,0),"")</f>
        <v>8.15</v>
      </c>
      <c r="S73" s="207">
        <f>IFERROR(VLOOKUP(Q73,CR!D:F,3,0),"")</f>
        <v>5.2799999999999994</v>
      </c>
      <c r="T73" s="197">
        <f>R73*Tabla1[[#This Row],[Consumo optimizado '[l/mes']]]</f>
        <v>28800.469999999998</v>
      </c>
      <c r="U73" s="214">
        <f t="shared" si="2"/>
        <v>-0.19386745796241336</v>
      </c>
      <c r="W73" s="1" t="s">
        <v>189</v>
      </c>
    </row>
    <row r="74" spans="1:23">
      <c r="A74" s="345" t="s">
        <v>253</v>
      </c>
      <c r="C74" s="4" t="s">
        <v>173</v>
      </c>
      <c r="D74" s="4">
        <f>+Tabla1[[#This Row],[Consumo presentado '[L/mes']]]*(1-EERR!$E$24)</f>
        <v>0</v>
      </c>
      <c r="E74" s="4"/>
      <c r="F74" s="4"/>
      <c r="G74" s="4"/>
      <c r="H74" s="4"/>
      <c r="I74" s="180"/>
      <c r="J74" s="95" t="s">
        <v>276</v>
      </c>
      <c r="K74" s="95">
        <f>IFERROR(VLOOKUP(J74,'Lista PQ Comp'!D:E,2,0),"")</f>
        <v>0</v>
      </c>
      <c r="L74" s="4" t="s">
        <v>168</v>
      </c>
      <c r="M74" s="95"/>
      <c r="N74" s="95">
        <f>IFERROR(VLOOKUP(J74,'Lista PQ Comp'!D:F,3,0),"")</f>
        <v>4.13</v>
      </c>
      <c r="O74" s="196">
        <f>N74*Tabla1[[#This Row],[Consumo presentado '[L/mes']]]</f>
        <v>0</v>
      </c>
      <c r="P74" s="180"/>
      <c r="Q74" s="95" t="s">
        <v>179</v>
      </c>
      <c r="R74" s="144">
        <f>IFERROR(VLOOKUP(Q74,'Lista PQ PECOM'!$I:$P,8,0),"")</f>
        <v>2.74</v>
      </c>
      <c r="S74" s="206">
        <f>IFERROR(VLOOKUP(Q74,CR!D:F,3,0),"")</f>
        <v>1.504731491417457</v>
      </c>
      <c r="T74" s="196">
        <f>R74*Tabla1[[#This Row],[Consumo optimizado '[l/mes']]]</f>
        <v>0</v>
      </c>
      <c r="U74" s="213"/>
    </row>
    <row r="75" spans="1:23">
      <c r="A75" s="345" t="s">
        <v>253</v>
      </c>
      <c r="C75" s="4" t="s">
        <v>277</v>
      </c>
      <c r="D75" s="4">
        <f>+Tabla1[[#This Row],[Consumo presentado '[L/mes']]]*(1-EERR!$E$24)</f>
        <v>4082.5600000000004</v>
      </c>
      <c r="E75" s="4">
        <v>4082.5600000000004</v>
      </c>
      <c r="F75" s="4"/>
      <c r="G75" s="4">
        <v>8</v>
      </c>
      <c r="H75" s="4"/>
      <c r="I75" s="180"/>
      <c r="J75" s="4" t="s">
        <v>43</v>
      </c>
      <c r="K75" s="4" t="str">
        <f>IFERROR(VLOOKUP(J75,'Lista PQ Comp'!D:E,2,0),"")</f>
        <v>Ruptor</v>
      </c>
      <c r="L75" s="4" t="s">
        <v>168</v>
      </c>
      <c r="M75" s="4">
        <v>1000283292</v>
      </c>
      <c r="N75" s="137">
        <f>IFERROR(VLOOKUP(J75,'Lista PQ Comp'!D:F,3,0),"")</f>
        <v>6.19</v>
      </c>
      <c r="O75" s="197">
        <f>N75*Tabla1[[#This Row],[Consumo presentado '[L/mes']]]</f>
        <v>25271.046400000003</v>
      </c>
      <c r="P75" s="185"/>
      <c r="Q75" s="115" t="s">
        <v>278</v>
      </c>
      <c r="R75" s="346">
        <f>IFERROR(VLOOKUP(Q75,'Lista PQ PECOM'!$I:$P,8,0),"")</f>
        <v>3.89</v>
      </c>
      <c r="S75" s="207">
        <f>2.92+0.25</f>
        <v>3.17</v>
      </c>
      <c r="T75" s="197">
        <f>R75*Tabla1[[#This Row],[Consumo optimizado '[l/mes']]]</f>
        <v>15881.158400000002</v>
      </c>
      <c r="U75" s="214">
        <f t="shared" si="2"/>
        <v>-0.37156704361873988</v>
      </c>
      <c r="W75" s="1" t="s">
        <v>279</v>
      </c>
    </row>
    <row r="76" spans="1:23">
      <c r="A76" s="345" t="s">
        <v>253</v>
      </c>
      <c r="C76" s="4" t="s">
        <v>280</v>
      </c>
      <c r="D76" s="4">
        <f>+Tabla1[[#This Row],[Consumo presentado '[L/mes']]]*(1-EERR!$E$24)</f>
        <v>1831</v>
      </c>
      <c r="E76" s="4">
        <v>1831</v>
      </c>
      <c r="F76" s="4"/>
      <c r="G76" s="4">
        <v>5</v>
      </c>
      <c r="H76" s="4"/>
      <c r="I76" s="180"/>
      <c r="J76" s="95" t="s">
        <v>281</v>
      </c>
      <c r="K76" s="95">
        <f>IFERROR(VLOOKUP(J76,'Lista PQ Comp'!D:E,2,0),"")</f>
        <v>0</v>
      </c>
      <c r="L76" s="4" t="s">
        <v>168</v>
      </c>
      <c r="M76" s="95">
        <v>1000577491</v>
      </c>
      <c r="N76" s="95">
        <f>IFERROR(VLOOKUP(J76,'Lista PQ Comp'!D:F,3,0),"")</f>
        <v>5.13</v>
      </c>
      <c r="O76" s="196">
        <f>N76*Tabla1[[#This Row],[Consumo presentado '[L/mes']]]</f>
        <v>9393.0300000000007</v>
      </c>
      <c r="P76" s="180"/>
      <c r="Q76" s="95" t="s">
        <v>282</v>
      </c>
      <c r="R76" s="144">
        <f>IFERROR(VLOOKUP(Q76,'Lista PQ PECOM'!$I:$P,8,0),"")</f>
        <v>4.5999999999999996</v>
      </c>
      <c r="S76" s="206">
        <f>IFERROR(VLOOKUP(Q76,CR!D:F,3,0),"")</f>
        <v>2.031723017523126</v>
      </c>
      <c r="T76" s="196">
        <f>R76*Tabla1[[#This Row],[Consumo optimizado '[l/mes']]]</f>
        <v>8422.5999999999985</v>
      </c>
      <c r="U76" s="213">
        <f t="shared" si="2"/>
        <v>-0.10331384015594564</v>
      </c>
    </row>
    <row r="77" spans="1:23">
      <c r="A77" s="345" t="s">
        <v>253</v>
      </c>
      <c r="C77" s="4" t="s">
        <v>202</v>
      </c>
      <c r="D77" s="4">
        <f>+Tabla1[[#This Row],[Consumo presentado '[L/mes']]]*(1-EERR!$E$24)</f>
        <v>8567.26</v>
      </c>
      <c r="E77" s="4">
        <v>8567.26</v>
      </c>
      <c r="F77" s="4">
        <v>37</v>
      </c>
      <c r="G77" s="4">
        <v>11</v>
      </c>
      <c r="H77" s="4"/>
      <c r="I77" s="180"/>
      <c r="J77" s="4" t="s">
        <v>28</v>
      </c>
      <c r="K77" s="4" t="str">
        <f>IFERROR(VLOOKUP(J77,'Lista PQ Comp'!D:E,2,0),"")</f>
        <v>Inhibidor de corrosión</v>
      </c>
      <c r="L77" s="4" t="s">
        <v>168</v>
      </c>
      <c r="M77" s="4">
        <v>1000276464</v>
      </c>
      <c r="N77" s="137">
        <f>IFERROR(VLOOKUP(J77,'Lista PQ Comp'!D:F,3,0),"")</f>
        <v>2.93</v>
      </c>
      <c r="O77" s="197">
        <f>N77*Tabla1[[#This Row],[Consumo presentado '[L/mes']]]</f>
        <v>25102.071800000002</v>
      </c>
      <c r="P77" s="185"/>
      <c r="Q77" s="115" t="s">
        <v>648</v>
      </c>
      <c r="R77" s="143">
        <f>IFERROR(VLOOKUP(Q77,'Lista PQ PECOM'!$I:$P,8,0),"")</f>
        <v>3.21</v>
      </c>
      <c r="S77" s="207">
        <f>2.03+0.25</f>
        <v>2.2799999999999998</v>
      </c>
      <c r="T77" s="197">
        <f>R77*Tabla1[[#This Row],[Consumo optimizado '[l/mes']]]</f>
        <v>27500.904600000002</v>
      </c>
      <c r="U77" s="218">
        <f t="shared" si="2"/>
        <v>9.556313993174062E-2</v>
      </c>
    </row>
    <row r="78" spans="1:23">
      <c r="A78" s="345" t="s">
        <v>253</v>
      </c>
      <c r="C78" s="4" t="s">
        <v>248</v>
      </c>
      <c r="D78" s="4">
        <f>+Tabla1[[#This Row],[Consumo presentado '[L/mes']]]*(1-EERR!$E$24)</f>
        <v>0</v>
      </c>
      <c r="E78" s="4">
        <v>0</v>
      </c>
      <c r="F78" s="4"/>
      <c r="G78" s="4"/>
      <c r="H78" s="4"/>
      <c r="I78" s="180"/>
      <c r="J78" s="116"/>
      <c r="K78" s="116" t="str">
        <f>IFERROR(VLOOKUP(J78,'Lista PQ Comp'!D:E,2,0),"")</f>
        <v/>
      </c>
      <c r="L78" s="4"/>
      <c r="M78" s="116"/>
      <c r="N78" s="116" t="str">
        <f>IFERROR(VLOOKUP(J78,'Lista PQ Comp'!D:F,3,0),"")</f>
        <v/>
      </c>
      <c r="O78" s="199"/>
      <c r="P78" s="183"/>
      <c r="Q78" s="116" t="s">
        <v>249</v>
      </c>
      <c r="R78" s="145">
        <f>IFERROR(VLOOKUP(Q78,'Lista PQ PECOM'!$I:$P,8,0),"")</f>
        <v>1.41</v>
      </c>
      <c r="S78" s="206">
        <f>IFERROR(VLOOKUP(Q78,CR!D:F,3,0),"")</f>
        <v>1.2206960051174867</v>
      </c>
      <c r="T78" s="199">
        <f>R78*Tabla1[[#This Row],[Consumo optimizado '[l/mes']]]</f>
        <v>0</v>
      </c>
      <c r="U78" s="216"/>
    </row>
    <row r="79" spans="1:23">
      <c r="A79" s="345" t="s">
        <v>253</v>
      </c>
      <c r="C79" s="4" t="s">
        <v>205</v>
      </c>
      <c r="D79" s="4">
        <f>+Tabla1[[#This Row],[Consumo presentado '[L/mes']]]*(1-EERR!$E$24)</f>
        <v>11284.460000000001</v>
      </c>
      <c r="E79" s="4">
        <v>11284.460000000001</v>
      </c>
      <c r="F79" s="4"/>
      <c r="G79" s="4">
        <v>23</v>
      </c>
      <c r="H79" s="4"/>
      <c r="I79" s="180"/>
      <c r="J79" s="117" t="s">
        <v>284</v>
      </c>
      <c r="K79" s="117" t="str">
        <f>IFERROR(VLOOKUP(J79,'Lista PQ Comp'!D:E,2,0),"")</f>
        <v>INHIBIDOR DE INCRUSTACIONES</v>
      </c>
      <c r="L79" s="4" t="s">
        <v>168</v>
      </c>
      <c r="M79" s="117">
        <v>1000577491</v>
      </c>
      <c r="N79" s="137">
        <f>IFERROR(VLOOKUP(J79,'Lista PQ Comp'!D:F,3,0),"")</f>
        <v>3.13</v>
      </c>
      <c r="O79" s="197">
        <f>N79*Tabla1[[#This Row],[Consumo presentado '[L/mes']]]</f>
        <v>35320.359799999998</v>
      </c>
      <c r="P79" s="185"/>
      <c r="Q79" s="117" t="s">
        <v>201</v>
      </c>
      <c r="R79" s="146">
        <f>IFERROR(VLOOKUP(Q79,'Lista PQ PECOM'!$I:$P,8,0),"")</f>
        <v>3.48</v>
      </c>
      <c r="S79" s="206">
        <f>IFERROR(VLOOKUP(Q79,CR!D:F,3,0),"")</f>
        <v>1.7864625248587429</v>
      </c>
      <c r="T79" s="197">
        <f>R79*Tabla1[[#This Row],[Consumo optimizado '[l/mes']]]</f>
        <v>39269.9208</v>
      </c>
      <c r="U79" s="214">
        <f t="shared" si="2"/>
        <v>0.11182108626198088</v>
      </c>
    </row>
    <row r="80" spans="1:23">
      <c r="A80" s="345" t="s">
        <v>253</v>
      </c>
      <c r="C80" s="4" t="s">
        <v>285</v>
      </c>
      <c r="D80" s="4">
        <f>+Tabla1[[#This Row],[Consumo presentado '[L/mes']]]*(1-EERR!$E$24)</f>
        <v>0</v>
      </c>
      <c r="E80" s="4">
        <v>0</v>
      </c>
      <c r="F80" s="4"/>
      <c r="G80" s="4"/>
      <c r="H80" s="4"/>
      <c r="I80" s="180"/>
      <c r="J80" s="116" t="s">
        <v>19</v>
      </c>
      <c r="K80" s="116" t="str">
        <f>IFERROR(VLOOKUP(J80,'Lista PQ Comp'!D:E,2,0),"")</f>
        <v>Inhibidor de Parafinas y Asffaltenos</v>
      </c>
      <c r="L80" s="4"/>
      <c r="M80" s="116"/>
      <c r="N80" s="116">
        <f>IFERROR(VLOOKUP(J80,'Lista PQ Comp'!D:F,3,0),"")</f>
        <v>6.67</v>
      </c>
      <c r="O80" s="199">
        <f>N80*Tabla1[[#This Row],[Consumo presentado '[L/mes']]]</f>
        <v>0</v>
      </c>
      <c r="P80" s="183"/>
      <c r="Q80" s="116" t="str">
        <f>+Q81</f>
        <v>IPB658</v>
      </c>
      <c r="R80" s="145">
        <f>IFERROR(VLOOKUP(Q80,'Lista PQ PECOM'!$I:$P,8,0),"")</f>
        <v>7.2</v>
      </c>
      <c r="S80" s="206">
        <f>IFERROR(VLOOKUP(Q80,CR!D:F,3,0),"")</f>
        <v>4.4678609027105516</v>
      </c>
      <c r="T80" s="199"/>
      <c r="U80" s="216"/>
    </row>
    <row r="81" spans="1:23">
      <c r="A81" s="345" t="s">
        <v>253</v>
      </c>
      <c r="C81" s="4" t="s">
        <v>286</v>
      </c>
      <c r="D81" s="4">
        <f>+Tabla1[[#This Row],[Consumo presentado '[L/mes']]]*(1-EERR!$E$24)</f>
        <v>1824.08</v>
      </c>
      <c r="E81" s="4">
        <v>1824.08</v>
      </c>
      <c r="F81" s="4"/>
      <c r="G81" s="4">
        <v>4</v>
      </c>
      <c r="H81" s="4"/>
      <c r="I81" s="180"/>
      <c r="J81" s="117" t="s">
        <v>32</v>
      </c>
      <c r="K81" s="117" t="str">
        <f>IFERROR(VLOOKUP(J81,'Lista PQ Comp'!D:E,2,0),"")</f>
        <v>INHIBIDOR DE INCRUSTACIONES</v>
      </c>
      <c r="L81" s="4" t="s">
        <v>168</v>
      </c>
      <c r="M81" s="117"/>
      <c r="N81" s="137">
        <f>IFERROR(VLOOKUP(J81,'Lista PQ Comp'!D:F,3,0),"")</f>
        <v>7.84</v>
      </c>
      <c r="O81" s="197">
        <f>N81*Tabla1[[#This Row],[Consumo presentado '[L/mes']]]</f>
        <v>14300.787199999999</v>
      </c>
      <c r="P81" s="185"/>
      <c r="Q81" s="117" t="s">
        <v>287</v>
      </c>
      <c r="R81" s="146">
        <f>IFERROR(VLOOKUP(Q81,'Lista PQ PECOM'!$I:$P,8,0),"")</f>
        <v>7.2</v>
      </c>
      <c r="S81" s="206">
        <f>IFERROR(VLOOKUP(Q81,CR!D:F,3,0),"")</f>
        <v>4.4678609027105516</v>
      </c>
      <c r="T81" s="197">
        <f>R81*Tabla1[[#This Row],[Consumo optimizado '[l/mes']]]</f>
        <v>13133.376</v>
      </c>
      <c r="U81" s="214">
        <f t="shared" si="2"/>
        <v>-8.16326530612244E-2</v>
      </c>
    </row>
    <row r="82" spans="1:23">
      <c r="A82" s="345" t="s">
        <v>253</v>
      </c>
      <c r="C82" s="4" t="s">
        <v>288</v>
      </c>
      <c r="D82" s="4">
        <f>+Tabla1[[#This Row],[Consumo presentado '[L/mes']]]*(1-EERR!$E$24)</f>
        <v>0</v>
      </c>
      <c r="E82" s="4">
        <v>0</v>
      </c>
      <c r="F82" s="4"/>
      <c r="G82" s="4"/>
      <c r="H82" s="4"/>
      <c r="I82" s="180"/>
      <c r="J82" s="116"/>
      <c r="K82" s="116" t="str">
        <f>IFERROR(VLOOKUP(J82,'Lista PQ Comp'!D:E,2,0),"")</f>
        <v/>
      </c>
      <c r="L82" s="4"/>
      <c r="M82" s="116"/>
      <c r="N82" s="116" t="str">
        <f>IFERROR(VLOOKUP(J82,'Lista PQ Comp'!D:F,3,0),"")</f>
        <v/>
      </c>
      <c r="O82" s="199"/>
      <c r="P82" s="183"/>
      <c r="Q82" s="116"/>
      <c r="R82" s="145" t="str">
        <f>IFERROR(VLOOKUP(Q82,'Lista PQ PECOM'!$I:$P,8,0),"")</f>
        <v/>
      </c>
      <c r="S82" s="206" t="str">
        <f>IFERROR(VLOOKUP(Q82,CR!D:F,3,0),"")</f>
        <v/>
      </c>
      <c r="T82" s="199"/>
      <c r="U82" s="216"/>
    </row>
    <row r="83" spans="1:23">
      <c r="A83" s="345" t="s">
        <v>253</v>
      </c>
      <c r="C83" s="4" t="s">
        <v>289</v>
      </c>
      <c r="D83" s="4">
        <f>+Tabla1[[#This Row],[Consumo presentado '[L/mes']]]*(1-EERR!$E$24)</f>
        <v>3379.06</v>
      </c>
      <c r="E83" s="4">
        <v>3379.06</v>
      </c>
      <c r="F83" s="4"/>
      <c r="G83" s="4">
        <v>10</v>
      </c>
      <c r="H83" s="4"/>
      <c r="I83" s="180"/>
      <c r="J83" s="117" t="s">
        <v>290</v>
      </c>
      <c r="K83" s="117" t="str">
        <f>IFERROR(VLOOKUP(J83,'Lista PQ Comp'!D:E,2,0),"")</f>
        <v>Reductor de fricción</v>
      </c>
      <c r="L83" s="4" t="s">
        <v>168</v>
      </c>
      <c r="M83" s="117">
        <v>10000276573</v>
      </c>
      <c r="N83" s="137">
        <f>IFERROR(VLOOKUP(J83,'Lista PQ Comp'!D:F,3,0),"")</f>
        <v>5.76</v>
      </c>
      <c r="O83" s="197">
        <f>N83*Tabla1[[#This Row],[Consumo presentado '[L/mes']]]</f>
        <v>19463.385599999998</v>
      </c>
      <c r="P83" s="185"/>
      <c r="Q83" s="117" t="s">
        <v>177</v>
      </c>
      <c r="R83" s="146">
        <f>IFERROR(VLOOKUP(Q83,'Lista PQ PECOM'!$I:$P,8,0),"")</f>
        <v>3.25</v>
      </c>
      <c r="S83" s="206">
        <f>IFERROR(VLOOKUP(Q83,CR!D:F,3,0),"")</f>
        <v>2.3434332647628273</v>
      </c>
      <c r="T83" s="197">
        <f>R83*Tabla1[[#This Row],[Consumo optimizado '[l/mes']]]</f>
        <v>10981.945</v>
      </c>
      <c r="U83" s="214">
        <f t="shared" si="2"/>
        <v>-0.43576388888888884</v>
      </c>
      <c r="W83" s="1" t="s">
        <v>184</v>
      </c>
    </row>
    <row r="84" spans="1:23">
      <c r="A84" s="345" t="s">
        <v>253</v>
      </c>
      <c r="C84" s="4" t="s">
        <v>291</v>
      </c>
      <c r="D84" s="4">
        <f>+Tabla1[[#This Row],[Consumo presentado '[L/mes']]]*(1-EERR!$E$24)</f>
        <v>514</v>
      </c>
      <c r="E84" s="4">
        <v>514</v>
      </c>
      <c r="F84" s="4"/>
      <c r="G84" s="4">
        <v>1</v>
      </c>
      <c r="H84" s="4"/>
      <c r="I84" s="180"/>
      <c r="J84" s="116" t="s">
        <v>292</v>
      </c>
      <c r="K84" s="116" t="str">
        <f>IFERROR(VLOOKUP(J84,'Lista PQ Comp'!D:E,2,0),"")</f>
        <v>Reductor de viscosidad</v>
      </c>
      <c r="L84" s="4" t="s">
        <v>168</v>
      </c>
      <c r="M84" s="116">
        <v>1000568148</v>
      </c>
      <c r="N84" s="116">
        <f>IFERROR(VLOOKUP(J84,'Lista PQ Comp'!D:F,3,0),"")</f>
        <v>11.22</v>
      </c>
      <c r="O84" s="199">
        <f>N84*Tabla1[[#This Row],[Consumo presentado '[L/mes']]]</f>
        <v>5767.08</v>
      </c>
      <c r="P84" s="183"/>
      <c r="Q84" s="116" t="s">
        <v>246</v>
      </c>
      <c r="R84" s="145">
        <f>IFERROR(VLOOKUP(Q84,'Lista PQ PECOM'!$I:$P,8,0),"")</f>
        <v>6.61</v>
      </c>
      <c r="S84" s="206">
        <f>IFERROR(VLOOKUP(Q84,CR!D:F,3,0),"")</f>
        <v>5.0541526074536618</v>
      </c>
      <c r="T84" s="199">
        <f>R84*Tabla1[[#This Row],[Consumo optimizado '[l/mes']]]</f>
        <v>3397.54</v>
      </c>
      <c r="U84" s="216">
        <f t="shared" si="2"/>
        <v>-0.410873440285205</v>
      </c>
    </row>
    <row r="85" spans="1:23">
      <c r="A85" s="345" t="s">
        <v>253</v>
      </c>
      <c r="C85" s="4" t="s">
        <v>293</v>
      </c>
      <c r="D85" s="4">
        <f>+Tabla1[[#This Row],[Consumo presentado '[L/mes']]]*(1-EERR!$E$24)</f>
        <v>0</v>
      </c>
      <c r="E85" s="4">
        <v>0</v>
      </c>
      <c r="F85" s="4"/>
      <c r="G85" s="4"/>
      <c r="H85" s="4"/>
      <c r="I85" s="180"/>
      <c r="J85" s="117" t="s">
        <v>294</v>
      </c>
      <c r="K85" s="117" t="str">
        <f>IFERROR(VLOOKUP(J85,'Lista PQ Comp'!D:E,2,0),"")</f>
        <v>INHIBIDOR DE INCRUSTACIONES</v>
      </c>
      <c r="L85" s="4" t="s">
        <v>168</v>
      </c>
      <c r="M85" s="117">
        <v>1000556376</v>
      </c>
      <c r="N85" s="137">
        <f>IFERROR(VLOOKUP(J85,'Lista PQ Comp'!D:F,3,0),"")</f>
        <v>2.65</v>
      </c>
      <c r="O85" s="197">
        <f>N85*Tabla1[[#This Row],[Consumo presentado '[L/mes']]]</f>
        <v>0</v>
      </c>
      <c r="P85" s="185"/>
      <c r="Q85" s="117" t="str">
        <f>+Q79</f>
        <v>IC898</v>
      </c>
      <c r="R85" s="146">
        <f>IFERROR(VLOOKUP(Q85,'Lista PQ PECOM'!$I:$P,8,0),"")</f>
        <v>3.48</v>
      </c>
      <c r="S85" s="206">
        <f>IFERROR(VLOOKUP(Q85,CR!D:F,3,0),"")</f>
        <v>1.7864625248587429</v>
      </c>
      <c r="T85" s="197"/>
      <c r="U85" s="214"/>
    </row>
    <row r="86" spans="1:23">
      <c r="A86" s="345" t="s">
        <v>253</v>
      </c>
      <c r="C86" s="4" t="s">
        <v>295</v>
      </c>
      <c r="D86" s="4">
        <f>+Tabla1[[#This Row],[Consumo presentado '[L/mes']]]*(1-EERR!$E$24)</f>
        <v>3030.7999999999997</v>
      </c>
      <c r="E86" s="4">
        <v>3030.7999999999997</v>
      </c>
      <c r="F86" s="4">
        <v>1</v>
      </c>
      <c r="G86" s="4">
        <v>2</v>
      </c>
      <c r="H86" s="4"/>
      <c r="I86" s="180"/>
      <c r="J86" s="116" t="s">
        <v>43</v>
      </c>
      <c r="K86" s="116" t="str">
        <f>IFERROR(VLOOKUP(J86,'Lista PQ Comp'!D:E,2,0),"")</f>
        <v>Ruptor</v>
      </c>
      <c r="L86" s="4"/>
      <c r="M86" s="116"/>
      <c r="N86" s="116">
        <f>IFERROR(VLOOKUP(J86,'Lista PQ Comp'!D:F,3,0),"")</f>
        <v>6.19</v>
      </c>
      <c r="O86" s="199">
        <f>N86*Tabla1[[#This Row],[Consumo presentado '[L/mes']]]</f>
        <v>18760.651999999998</v>
      </c>
      <c r="P86" s="183"/>
      <c r="Q86" s="116" t="s">
        <v>296</v>
      </c>
      <c r="R86" s="145">
        <f>IFERROR(VLOOKUP(Q86,'Lista PQ PECOM'!$I:$P,8,0),"")</f>
        <v>6.82</v>
      </c>
      <c r="S86" s="206">
        <f>IFERROR(VLOOKUP(Q86,CR!D:F,3,0),"")</f>
        <v>4.05</v>
      </c>
      <c r="T86" s="199">
        <f>R86*Tabla1[[#This Row],[Consumo optimizado '[l/mes']]]</f>
        <v>20670.056</v>
      </c>
      <c r="U86" s="216">
        <f t="shared" si="2"/>
        <v>0.10177705977382889</v>
      </c>
    </row>
    <row r="87" spans="1:23">
      <c r="A87" s="345" t="s">
        <v>253</v>
      </c>
      <c r="C87" s="4" t="s">
        <v>297</v>
      </c>
      <c r="D87" s="4">
        <f>+Tabla1[[#This Row],[Consumo presentado '[L/mes']]]*(1-EERR!$E$24)</f>
        <v>589</v>
      </c>
      <c r="E87" s="4">
        <v>589</v>
      </c>
      <c r="F87" s="4"/>
      <c r="G87" s="4">
        <v>3</v>
      </c>
      <c r="H87" s="4"/>
      <c r="I87" s="180"/>
      <c r="J87" s="117" t="s">
        <v>39</v>
      </c>
      <c r="K87" s="117" t="str">
        <f>IFERROR(VLOOKUP(J87,'Lista PQ Comp'!D:E,2,0),"")</f>
        <v>Sec de H2S</v>
      </c>
      <c r="L87" s="4" t="s">
        <v>168</v>
      </c>
      <c r="M87" s="117">
        <v>1000276487</v>
      </c>
      <c r="N87" s="137">
        <f>IFERROR(VLOOKUP(J87,'Lista PQ Comp'!D:F,3,0),"")</f>
        <v>2.64</v>
      </c>
      <c r="O87" s="197">
        <f>N87*Tabla1[[#This Row],[Consumo presentado '[L/mes']]]</f>
        <v>1554.96</v>
      </c>
      <c r="P87" s="185"/>
      <c r="Q87" s="117" t="s">
        <v>610</v>
      </c>
      <c r="R87" s="146">
        <f>IFERROR(VLOOKUP(Q87,'Lista PQ PECOM'!$I:$P,8,0),"")</f>
        <v>2.4500000000000002</v>
      </c>
      <c r="S87" s="206">
        <f>2.22+0.25</f>
        <v>2.4700000000000002</v>
      </c>
      <c r="T87" s="197">
        <f>R87*Tabla1[[#This Row],[Consumo optimizado '[l/mes']]]</f>
        <v>1443.0500000000002</v>
      </c>
      <c r="U87" s="218">
        <f t="shared" si="2"/>
        <v>-7.1969696969696878E-2</v>
      </c>
    </row>
    <row r="88" spans="1:23">
      <c r="A88" s="345" t="s">
        <v>253</v>
      </c>
      <c r="C88" s="4" t="s">
        <v>299</v>
      </c>
      <c r="D88" s="4">
        <f>+Tabla1[[#This Row],[Consumo presentado '[L/mes']]]*(1-EERR!$E$24)</f>
        <v>89</v>
      </c>
      <c r="E88" s="4">
        <v>89</v>
      </c>
      <c r="F88" s="4"/>
      <c r="G88" s="4">
        <v>1</v>
      </c>
      <c r="H88" s="4"/>
      <c r="I88" s="180"/>
      <c r="J88" s="116" t="s">
        <v>51</v>
      </c>
      <c r="K88" s="116" t="str">
        <f>IFERROR(VLOOKUP(J88,'Lista PQ Comp'!D:E,2,0),"")</f>
        <v>Inhibidor de corrosión</v>
      </c>
      <c r="L88" s="4" t="s">
        <v>168</v>
      </c>
      <c r="M88" s="116">
        <v>10000276486</v>
      </c>
      <c r="N88" s="116">
        <f>IFERROR(VLOOKUP(J88,'Lista PQ Comp'!D:F,3,0),"")</f>
        <v>1.77</v>
      </c>
      <c r="O88" s="199">
        <f>N88*Tabla1[[#This Row],[Consumo presentado '[L/mes']]]</f>
        <v>157.53</v>
      </c>
      <c r="P88" s="183"/>
      <c r="Q88" s="116" t="s">
        <v>226</v>
      </c>
      <c r="R88" s="145">
        <f>IFERROR(VLOOKUP(Q88,'Lista PQ PECOM'!$I:$P,8,0),"")</f>
        <v>2.31</v>
      </c>
      <c r="S88" s="206">
        <f>IFERROR(VLOOKUP(Q88,CR!D:F,3,0),"")</f>
        <v>1.8266571757018397</v>
      </c>
      <c r="T88" s="199">
        <f>R88*Tabla1[[#This Row],[Consumo optimizado '[l/mes']]]</f>
        <v>205.59</v>
      </c>
      <c r="U88" s="219">
        <f t="shared" si="2"/>
        <v>0.30508474576271188</v>
      </c>
    </row>
    <row r="89" spans="1:23">
      <c r="A89" s="345" t="s">
        <v>253</v>
      </c>
      <c r="C89" s="4" t="s">
        <v>300</v>
      </c>
      <c r="D89" s="4">
        <f>+Tabla1[[#This Row],[Consumo presentado '[L/mes']]]*(1-EERR!$E$24)</f>
        <v>169.1</v>
      </c>
      <c r="E89" s="4">
        <v>169.1</v>
      </c>
      <c r="F89" s="4"/>
      <c r="G89" s="4">
        <v>1</v>
      </c>
      <c r="H89" s="4"/>
      <c r="I89" s="180"/>
      <c r="J89" s="117" t="s">
        <v>51</v>
      </c>
      <c r="K89" s="117" t="str">
        <f>IFERROR(VLOOKUP(J89,'Lista PQ Comp'!D:E,2,0),"")</f>
        <v>Inhibidor de corrosión</v>
      </c>
      <c r="L89" s="4" t="s">
        <v>168</v>
      </c>
      <c r="M89" s="117">
        <v>10000276486</v>
      </c>
      <c r="N89" s="137">
        <f>IFERROR(VLOOKUP(J89,'Lista PQ Comp'!D:F,3,0),"")</f>
        <v>1.77</v>
      </c>
      <c r="O89" s="197">
        <f>N89*Tabla1[[#This Row],[Consumo presentado '[L/mes']]]</f>
        <v>299.30700000000002</v>
      </c>
      <c r="P89" s="185"/>
      <c r="Q89" s="117" t="s">
        <v>226</v>
      </c>
      <c r="R89" s="146">
        <f>IFERROR(VLOOKUP(Q89,'Lista PQ PECOM'!$I:$P,8,0),"")</f>
        <v>2.31</v>
      </c>
      <c r="S89" s="206">
        <f>IFERROR(VLOOKUP(Q89,CR!D:F,3,0),"")</f>
        <v>1.8266571757018397</v>
      </c>
      <c r="T89" s="197">
        <f>R89*Tabla1[[#This Row],[Consumo optimizado '[l/mes']]]</f>
        <v>390.62099999999998</v>
      </c>
      <c r="U89" s="218">
        <f t="shared" si="2"/>
        <v>0.30508474576271172</v>
      </c>
    </row>
    <row r="90" spans="1:23">
      <c r="A90" s="345" t="s">
        <v>253</v>
      </c>
      <c r="C90" s="4" t="s">
        <v>227</v>
      </c>
      <c r="D90" s="4">
        <f>+Tabla1[[#This Row],[Consumo presentado '[L/mes']]]*(1-EERR!$E$24)</f>
        <v>5033.6000000000004</v>
      </c>
      <c r="E90" s="4">
        <v>5033.6000000000004</v>
      </c>
      <c r="F90" s="4">
        <v>2</v>
      </c>
      <c r="G90" s="4">
        <v>3</v>
      </c>
      <c r="H90" s="4"/>
      <c r="I90" s="180"/>
      <c r="J90" s="116" t="s">
        <v>229</v>
      </c>
      <c r="K90" s="116" t="str">
        <f>IFERROR(VLOOKUP(J90,'Lista PQ Comp'!D:E,2,0),"")</f>
        <v>Sec de H2S</v>
      </c>
      <c r="L90" s="4" t="s">
        <v>168</v>
      </c>
      <c r="M90" s="116">
        <v>1000276487</v>
      </c>
      <c r="N90" s="116">
        <f>IFERROR(VLOOKUP(J90,'Lista PQ Comp'!D:F,3,0),"")</f>
        <v>2.64</v>
      </c>
      <c r="O90" s="199">
        <f>N90*Tabla1[[#This Row],[Consumo presentado '[L/mes']]]</f>
        <v>13288.704000000002</v>
      </c>
      <c r="P90" s="183"/>
      <c r="Q90" s="116" t="str">
        <f>+Q87</f>
        <v>BSH506CT</v>
      </c>
      <c r="R90" s="145">
        <f>IFERROR(VLOOKUP(Q90,'Lista PQ PECOM'!$I:$P,8,0),"")</f>
        <v>2.4500000000000002</v>
      </c>
      <c r="S90" s="206">
        <f>+S87</f>
        <v>2.4700000000000002</v>
      </c>
      <c r="T90" s="199">
        <f>R90*Tabla1[[#This Row],[Consumo optimizado '[l/mes']]]</f>
        <v>12332.320000000002</v>
      </c>
      <c r="U90" s="219">
        <f t="shared" si="2"/>
        <v>-7.1969696969696961E-2</v>
      </c>
    </row>
    <row r="91" spans="1:23">
      <c r="A91" s="345" t="s">
        <v>253</v>
      </c>
      <c r="C91" s="173"/>
      <c r="D91" s="173"/>
      <c r="E91" s="173"/>
      <c r="F91" s="173"/>
      <c r="G91" s="173"/>
      <c r="H91" s="173"/>
      <c r="I91" s="180"/>
      <c r="J91" s="209"/>
      <c r="K91" s="209"/>
      <c r="L91" s="173"/>
      <c r="M91" s="209"/>
      <c r="N91" s="228" t="s">
        <v>234</v>
      </c>
      <c r="O91" s="201">
        <f>SUM(O60:O90)</f>
        <v>595139.47560000001</v>
      </c>
      <c r="P91" s="183"/>
      <c r="Q91" s="209"/>
      <c r="R91" s="212"/>
      <c r="S91" s="200" t="s">
        <v>234</v>
      </c>
      <c r="T91" s="201">
        <f>SUM(T60:T90)</f>
        <v>504734.89420000004</v>
      </c>
      <c r="U91" s="209"/>
    </row>
    <row r="92" spans="1:23">
      <c r="A92" s="345" t="s">
        <v>253</v>
      </c>
      <c r="C92" s="173"/>
      <c r="D92" s="173"/>
      <c r="E92" s="173"/>
      <c r="F92" s="173"/>
      <c r="G92" s="173"/>
      <c r="H92" s="173"/>
      <c r="I92" s="180"/>
      <c r="J92" s="209"/>
      <c r="K92" s="209"/>
      <c r="L92" s="173"/>
      <c r="M92" s="209"/>
      <c r="N92" s="210"/>
      <c r="O92" s="211"/>
      <c r="P92" s="183"/>
      <c r="Q92" s="209"/>
      <c r="R92" s="212"/>
      <c r="S92" s="175"/>
      <c r="T92" s="202"/>
    </row>
    <row r="93" spans="1:23" ht="15" customHeight="1">
      <c r="A93" s="345" t="s">
        <v>253</v>
      </c>
      <c r="C93" s="335" t="s">
        <v>100</v>
      </c>
      <c r="D93" s="335">
        <f>+Tabla1[[#This Row],[Consumo presentado '[L/mes']]]*(1-EERR!$E$24)</f>
        <v>10188</v>
      </c>
      <c r="E93" s="336">
        <v>10188</v>
      </c>
      <c r="F93" s="336">
        <v>52</v>
      </c>
      <c r="G93" s="336">
        <v>41</v>
      </c>
      <c r="H93" s="336"/>
      <c r="I93" s="180"/>
      <c r="J93" s="444" t="s">
        <v>100</v>
      </c>
      <c r="K93" s="445"/>
      <c r="L93" s="445"/>
      <c r="M93" s="445"/>
      <c r="N93" s="445"/>
      <c r="O93" s="445"/>
      <c r="P93" s="445"/>
      <c r="Q93" s="445"/>
      <c r="R93" s="445"/>
      <c r="S93" s="445"/>
      <c r="T93" s="445"/>
      <c r="U93" s="445"/>
    </row>
    <row r="94" spans="1:23">
      <c r="A94" s="345" t="s">
        <v>253</v>
      </c>
      <c r="C94" s="4" t="s">
        <v>166</v>
      </c>
      <c r="D94" s="4">
        <f>+Tabla1[[#This Row],[Consumo presentado '[L/mes']]]*(1-EERR!$E$24)</f>
        <v>2185</v>
      </c>
      <c r="E94" s="4">
        <v>2185</v>
      </c>
      <c r="F94" s="4">
        <v>21</v>
      </c>
      <c r="G94" s="4">
        <v>8</v>
      </c>
      <c r="H94" s="4"/>
      <c r="I94" s="4"/>
      <c r="J94" s="4" t="s">
        <v>171</v>
      </c>
      <c r="K94" s="4" t="str">
        <f>IFERROR(VLOOKUP(J94,'Lista PQ Comp'!D:E,2,0),"")</f>
        <v>Biocida</v>
      </c>
      <c r="L94" s="4" t="s">
        <v>172</v>
      </c>
      <c r="M94" s="4"/>
      <c r="N94" s="4">
        <f>IFERROR(VLOOKUP(J94,'Lista PQ Comp'!D:F,3,0),"")</f>
        <v>8</v>
      </c>
      <c r="O94" s="199">
        <f>N94*Tabla1[[#This Row],[Consumo presentado '[L/mes']]]</f>
        <v>17480</v>
      </c>
      <c r="P94" s="117"/>
      <c r="Q94" s="4" t="s">
        <v>301</v>
      </c>
      <c r="R94" s="4">
        <f>IFERROR(VLOOKUP(Q94,'Lista PQ PECOM'!$I:$P,8,0),"")</f>
        <v>2.84</v>
      </c>
      <c r="S94" s="207">
        <f>IFERROR(VLOOKUP(Q94,CR!D:F,3,0),"")</f>
        <v>1.8797532066795741</v>
      </c>
      <c r="T94" s="197">
        <f>R94*Tabla1[[#This Row],[Consumo optimizado '[l/mes']]]</f>
        <v>6205.4</v>
      </c>
      <c r="U94" s="245">
        <f t="shared" ref="U94:U100" si="3">(T94-O94)/O94</f>
        <v>-0.64500000000000002</v>
      </c>
    </row>
    <row r="95" spans="1:23">
      <c r="A95" s="345" t="s">
        <v>253</v>
      </c>
      <c r="C95" s="4" t="s">
        <v>173</v>
      </c>
      <c r="D95" s="4">
        <f>+Tabla1[[#This Row],[Consumo presentado '[L/mes']]]*(1-EERR!$E$24)</f>
        <v>0</v>
      </c>
      <c r="E95" s="4">
        <v>0</v>
      </c>
      <c r="F95" s="4"/>
      <c r="G95" s="4">
        <v>2</v>
      </c>
      <c r="H95" s="4"/>
      <c r="I95" s="4"/>
      <c r="J95" s="95"/>
      <c r="K95" s="95" t="str">
        <f>IFERROR(VLOOKUP(J95,'Lista PQ Comp'!D:E,2,0),"")</f>
        <v/>
      </c>
      <c r="L95" s="95"/>
      <c r="M95" s="95"/>
      <c r="N95" s="4" t="str">
        <f>IFERROR(VLOOKUP(J95,'Lista PQ Comp'!D:F,3,0),"")</f>
        <v/>
      </c>
      <c r="O95" s="196"/>
      <c r="P95" s="4"/>
      <c r="Q95" s="95"/>
      <c r="R95" s="95" t="str">
        <f>IFERROR(VLOOKUP(Q95,'Lista PQ PECOM'!$I:$P,8,0),"")</f>
        <v/>
      </c>
      <c r="S95" s="206" t="str">
        <f>IFERROR(VLOOKUP(Q95,CR!D:F,3,0),"")</f>
        <v/>
      </c>
      <c r="T95" s="197"/>
      <c r="U95" s="246"/>
    </row>
    <row r="96" spans="1:23">
      <c r="A96" s="345" t="s">
        <v>253</v>
      </c>
      <c r="C96" s="4" t="s">
        <v>178</v>
      </c>
      <c r="D96" s="4">
        <f>+Tabla1[[#This Row],[Consumo presentado '[L/mes']]]*(1-EERR!$E$24)</f>
        <v>120</v>
      </c>
      <c r="E96" s="4">
        <v>120</v>
      </c>
      <c r="F96" s="4"/>
      <c r="G96" s="4">
        <v>4</v>
      </c>
      <c r="H96" s="4"/>
      <c r="I96" s="4"/>
      <c r="J96" s="116" t="s">
        <v>52</v>
      </c>
      <c r="K96" s="4" t="str">
        <f>IFERROR(VLOOKUP(J96,'Lista PQ Comp'!D:E,2,0),"")</f>
        <v>Clarificante</v>
      </c>
      <c r="L96" s="4" t="s">
        <v>168</v>
      </c>
      <c r="M96" s="4"/>
      <c r="N96" s="4">
        <f>IFERROR(VLOOKUP(J96,'Lista PQ Comp'!D:F,3,0),"")</f>
        <v>5.12</v>
      </c>
      <c r="O96" s="197">
        <f>N96*Tabla1[[#This Row],[Consumo presentado '[L/mes']]]</f>
        <v>614.4</v>
      </c>
      <c r="P96" s="4"/>
      <c r="Q96" s="4" t="s">
        <v>179</v>
      </c>
      <c r="R96" s="4">
        <f>IFERROR(VLOOKUP(Q96,'Lista PQ PECOM'!$I:$P,8,0),"")</f>
        <v>2.74</v>
      </c>
      <c r="S96" s="207">
        <f>IFERROR(VLOOKUP(Q96,CR!D:F,3,0),"")</f>
        <v>1.504731491417457</v>
      </c>
      <c r="T96" s="197">
        <f>R96*Tabla1[[#This Row],[Consumo optimizado '[l/mes']]]</f>
        <v>328.8</v>
      </c>
      <c r="U96" s="246">
        <f t="shared" si="3"/>
        <v>-0.46484374999999994</v>
      </c>
    </row>
    <row r="97" spans="1:24">
      <c r="A97" s="345" t="s">
        <v>253</v>
      </c>
      <c r="C97" s="4" t="s">
        <v>180</v>
      </c>
      <c r="D97" s="4">
        <f>+Tabla1[[#This Row],[Consumo presentado '[L/mes']]]*(1-EERR!$E$24)</f>
        <v>4977</v>
      </c>
      <c r="E97" s="4">
        <v>4977</v>
      </c>
      <c r="F97" s="4">
        <v>9</v>
      </c>
      <c r="G97" s="4">
        <v>8</v>
      </c>
      <c r="H97" s="4"/>
      <c r="I97" s="4"/>
      <c r="J97" s="95" t="s">
        <v>240</v>
      </c>
      <c r="K97" s="95" t="str">
        <f>IFERROR(VLOOKUP(J97,'Lista PQ Comp'!D:E,2,0),"")</f>
        <v>Desmulsionante</v>
      </c>
      <c r="L97" s="95" t="s">
        <v>172</v>
      </c>
      <c r="M97" s="95"/>
      <c r="N97" s="95">
        <f>IFERROR(VLOOKUP(J97,'Lista PQ Comp'!D:F,3,0),"")</f>
        <v>6.46</v>
      </c>
      <c r="O97" s="196">
        <f>N97*Tabla1[[#This Row],[Consumo presentado '[L/mes']]]</f>
        <v>32151.42</v>
      </c>
      <c r="P97" s="4"/>
      <c r="Q97" s="95" t="s">
        <v>182</v>
      </c>
      <c r="R97" s="95">
        <f>IFERROR(VLOOKUP(Q97,'Lista PQ PECOM'!$I:$P,8,0),"")</f>
        <v>6.82</v>
      </c>
      <c r="S97" s="208">
        <f>3.79+0.25</f>
        <v>4.04</v>
      </c>
      <c r="T97" s="197">
        <f>R97*Tabla1[[#This Row],[Consumo optimizado '[l/mes']]]</f>
        <v>33943.14</v>
      </c>
      <c r="U97" s="246">
        <f t="shared" si="3"/>
        <v>5.5727554179566603E-2</v>
      </c>
      <c r="X97" s="1" t="s">
        <v>183</v>
      </c>
    </row>
    <row r="98" spans="1:24">
      <c r="A98" s="345" t="s">
        <v>253</v>
      </c>
      <c r="C98" s="4" t="s">
        <v>195</v>
      </c>
      <c r="D98" s="4">
        <f>+Tabla1[[#This Row],[Consumo presentado '[L/mes']]]*(1-EERR!$E$24)</f>
        <v>1176</v>
      </c>
      <c r="E98" s="4">
        <v>1176</v>
      </c>
      <c r="F98" s="4">
        <v>7</v>
      </c>
      <c r="G98" s="4">
        <v>4</v>
      </c>
      <c r="H98" s="4"/>
      <c r="I98" s="4"/>
      <c r="J98" s="116" t="s">
        <v>196</v>
      </c>
      <c r="K98" s="4">
        <f>IFERROR(VLOOKUP(J98,'Lista PQ Comp'!D:E,2,0),"")</f>
        <v>0</v>
      </c>
      <c r="L98" s="4" t="s">
        <v>172</v>
      </c>
      <c r="M98" s="4"/>
      <c r="N98" s="4">
        <f>IFERROR(VLOOKUP(J98,'Lista PQ Comp'!D:F,3,0),"")</f>
        <v>4.5</v>
      </c>
      <c r="O98" s="197">
        <f>N98*Tabla1[[#This Row],[Consumo presentado '[L/mes']]]</f>
        <v>5292</v>
      </c>
      <c r="P98" s="4"/>
      <c r="Q98" s="4" t="s">
        <v>287</v>
      </c>
      <c r="R98" s="4">
        <f>IFERROR(VLOOKUP(Q98,'Lista PQ PECOM'!$I:$P,8,0),"")</f>
        <v>7.2</v>
      </c>
      <c r="S98" s="207">
        <f>IFERROR(VLOOKUP(Q98,CR!D:F,3,0),"")</f>
        <v>4.4678609027105516</v>
      </c>
      <c r="T98" s="197">
        <f>R98*Tabla1[[#This Row],[Consumo optimizado '[l/mes']]]</f>
        <v>8467.2000000000007</v>
      </c>
      <c r="U98" s="246"/>
      <c r="X98" s="1" t="s">
        <v>197</v>
      </c>
    </row>
    <row r="99" spans="1:24">
      <c r="A99" s="345" t="s">
        <v>253</v>
      </c>
      <c r="C99" s="4" t="s">
        <v>202</v>
      </c>
      <c r="D99" s="4">
        <f>+Tabla1[[#This Row],[Consumo presentado '[L/mes']]]*(1-EERR!$E$24)</f>
        <v>1197</v>
      </c>
      <c r="E99" s="4">
        <v>1197</v>
      </c>
      <c r="F99" s="4">
        <v>13</v>
      </c>
      <c r="G99" s="4">
        <v>6</v>
      </c>
      <c r="H99" s="4"/>
      <c r="I99" s="4"/>
      <c r="J99" s="95" t="s">
        <v>203</v>
      </c>
      <c r="K99" s="95" t="str">
        <f>IFERROR(VLOOKUP(J99,'Lista PQ Comp'!D:E,2,0),"")</f>
        <v>Inhibidor de corrosión</v>
      </c>
      <c r="L99" s="95" t="s">
        <v>172</v>
      </c>
      <c r="M99" s="95"/>
      <c r="N99" s="95">
        <f>IFERROR(VLOOKUP(J99,'Lista PQ Comp'!D:F,3,0),"")</f>
        <v>2.97</v>
      </c>
      <c r="O99" s="196">
        <f>N99*Tabla1[[#This Row],[Consumo presentado '[L/mes']]]</f>
        <v>3555.09</v>
      </c>
      <c r="P99" s="4"/>
      <c r="Q99" s="367" t="str">
        <f>+Q77</f>
        <v>CYB816</v>
      </c>
      <c r="R99" s="95">
        <f>IFERROR(VLOOKUP(Q99,'Lista PQ PECOM'!$I:$P,8,0),"")</f>
        <v>3.21</v>
      </c>
      <c r="S99" s="206">
        <f>+S77</f>
        <v>2.2799999999999998</v>
      </c>
      <c r="T99" s="197">
        <f>R99*Tabla1[[#This Row],[Consumo optimizado '[l/mes']]]</f>
        <v>3842.37</v>
      </c>
      <c r="U99" s="246">
        <f t="shared" si="3"/>
        <v>8.0808080808080732E-2</v>
      </c>
    </row>
    <row r="100" spans="1:24">
      <c r="A100" s="345" t="s">
        <v>253</v>
      </c>
      <c r="C100" s="4" t="s">
        <v>205</v>
      </c>
      <c r="D100" s="4">
        <f>+Tabla1[[#This Row],[Consumo presentado '[L/mes']]]*(1-EERR!$E$24)</f>
        <v>533</v>
      </c>
      <c r="E100" s="4">
        <v>533</v>
      </c>
      <c r="F100" s="4">
        <v>1</v>
      </c>
      <c r="G100" s="4">
        <v>7</v>
      </c>
      <c r="H100" s="4"/>
      <c r="I100" s="4"/>
      <c r="J100" s="4" t="s">
        <v>207</v>
      </c>
      <c r="K100" s="4" t="str">
        <f>IFERROR(VLOOKUP(J100,'Lista PQ Comp'!D:E,2,0),"")</f>
        <v>INHIBIDOR DE INCRUSTACIONES</v>
      </c>
      <c r="L100" s="4" t="s">
        <v>172</v>
      </c>
      <c r="M100" s="4"/>
      <c r="N100" s="4">
        <f>IFERROR(VLOOKUP(J100,'Lista PQ Comp'!D:F,3,0),"")</f>
        <v>5.31</v>
      </c>
      <c r="O100" s="197">
        <f>N100*Tabla1[[#This Row],[Consumo presentado '[L/mes']]]</f>
        <v>2830.23</v>
      </c>
      <c r="P100" s="4"/>
      <c r="Q100" s="4" t="s">
        <v>208</v>
      </c>
      <c r="R100" s="4">
        <f>IFERROR(VLOOKUP(Q100,'Lista PQ PECOM'!$I:$P,8,0),"")</f>
        <v>4.0199999999999996</v>
      </c>
      <c r="S100" s="207">
        <f>IFERROR(VLOOKUP(Q100,CR!D:F,3,0),"")</f>
        <v>1.8969840434471943</v>
      </c>
      <c r="T100" s="197">
        <f>R100*Tabla1[[#This Row],[Consumo optimizado '[l/mes']]]</f>
        <v>2142.66</v>
      </c>
      <c r="U100" s="246">
        <f t="shared" si="3"/>
        <v>-0.2429378531073447</v>
      </c>
    </row>
    <row r="101" spans="1:24">
      <c r="A101" s="345" t="s">
        <v>253</v>
      </c>
      <c r="C101" s="4" t="s">
        <v>289</v>
      </c>
      <c r="D101" s="4">
        <f>+Tabla1[[#This Row],[Consumo presentado '[L/mes']]]*(1-EERR!$E$24)</f>
        <v>0</v>
      </c>
      <c r="E101" s="4">
        <v>0</v>
      </c>
      <c r="F101" s="4"/>
      <c r="G101" s="4">
        <v>2</v>
      </c>
      <c r="H101" s="4"/>
      <c r="I101" s="4"/>
      <c r="J101" s="95"/>
      <c r="K101" s="95" t="str">
        <f>IFERROR(VLOOKUP(J101,'Lista PQ Comp'!D:E,2,0),"")</f>
        <v/>
      </c>
      <c r="L101" s="95"/>
      <c r="M101" s="95"/>
      <c r="N101" s="95" t="str">
        <f>IFERROR(VLOOKUP(J101,'Lista PQ Comp'!D:F,3,0),"")</f>
        <v/>
      </c>
      <c r="O101" s="196"/>
      <c r="P101" s="4"/>
      <c r="Q101" s="95"/>
      <c r="R101" s="95" t="str">
        <f>IFERROR(VLOOKUP(Q101,'Lista PQ PECOM'!$I:$P,8,0),"")</f>
        <v/>
      </c>
      <c r="S101" s="206" t="str">
        <f>IFERROR(VLOOKUP(Q101,CR!D:F,3,0),"")</f>
        <v/>
      </c>
      <c r="T101" s="197"/>
      <c r="U101" s="246"/>
    </row>
    <row r="102" spans="1:24">
      <c r="A102" s="345" t="s">
        <v>253</v>
      </c>
      <c r="C102" s="4" t="s">
        <v>224</v>
      </c>
      <c r="D102" s="4">
        <f>+Tabla1[[#This Row],[Consumo presentado '[L/mes']]]*(1-EERR!$E$24)</f>
        <v>0</v>
      </c>
      <c r="E102" s="4">
        <v>0</v>
      </c>
      <c r="F102" s="4">
        <v>1</v>
      </c>
      <c r="G102" s="4"/>
      <c r="H102" s="4"/>
      <c r="I102" s="4"/>
      <c r="J102" s="4"/>
      <c r="K102" s="4" t="str">
        <f>IFERROR(VLOOKUP(J102,'Lista PQ Comp'!D:E,2,0),"")</f>
        <v/>
      </c>
      <c r="L102" s="4"/>
      <c r="M102" s="4"/>
      <c r="N102" s="4" t="str">
        <f>IFERROR(VLOOKUP(J102,'Lista PQ Comp'!D:F,3,0),"")</f>
        <v/>
      </c>
      <c r="O102" s="197"/>
      <c r="P102" s="4"/>
      <c r="Q102" s="4" t="s">
        <v>226</v>
      </c>
      <c r="R102" s="4">
        <f>IFERROR(VLOOKUP(Q102,'Lista PQ PECOM'!$I:$P,8,0),"")</f>
        <v>2.31</v>
      </c>
      <c r="S102" s="207">
        <f>IFERROR(VLOOKUP(Q102,CR!D:F,3,0),"")</f>
        <v>1.8266571757018397</v>
      </c>
      <c r="T102" s="197">
        <f>R102*Tabla1[[#This Row],[Consumo optimizado '[l/mes']]]</f>
        <v>0</v>
      </c>
      <c r="U102" s="246"/>
    </row>
    <row r="103" spans="1:24">
      <c r="C103" s="243"/>
      <c r="D103" s="243">
        <f>+Tabla1[[#This Row],[Consumo presentado '[L/mes']]]*(1-EERR!$E$24)</f>
        <v>0</v>
      </c>
      <c r="E103" s="243"/>
      <c r="F103" s="243"/>
      <c r="G103" s="243"/>
      <c r="H103" s="243"/>
      <c r="I103" s="180"/>
      <c r="J103" s="243"/>
      <c r="K103" s="243"/>
      <c r="L103" s="243"/>
      <c r="M103" s="243"/>
      <c r="N103" s="228" t="s">
        <v>234</v>
      </c>
      <c r="O103" s="201">
        <f>SUM(O94:O102)</f>
        <v>61923.140000000007</v>
      </c>
      <c r="P103" s="180"/>
      <c r="Q103" s="243"/>
      <c r="R103" s="244"/>
      <c r="S103" s="228" t="s">
        <v>234</v>
      </c>
      <c r="T103" s="201">
        <f>SUM(T94:T102)</f>
        <v>54929.569999999992</v>
      </c>
    </row>
    <row r="104" spans="1:24">
      <c r="C104" s="4"/>
      <c r="D104" s="4">
        <f>+Tabla1[[#This Row],[Consumo presentado '[L/mes']]]*(1-EERR!$E$24)</f>
        <v>0</v>
      </c>
      <c r="E104" s="4"/>
      <c r="F104" s="4"/>
      <c r="G104" s="4"/>
      <c r="H104" s="4"/>
      <c r="I104" s="180"/>
      <c r="J104" s="4"/>
      <c r="K104" s="4"/>
      <c r="L104" s="4"/>
      <c r="M104" s="4"/>
      <c r="N104" s="4"/>
      <c r="O104" s="180"/>
      <c r="P104" s="180"/>
      <c r="Q104" s="4"/>
      <c r="R104" s="143"/>
      <c r="S104" s="4"/>
      <c r="T104" s="71"/>
    </row>
    <row r="105" spans="1:24" ht="15" customHeight="1">
      <c r="C105" s="96" t="s">
        <v>101</v>
      </c>
      <c r="D105" s="96">
        <f>+Tabla1[[#This Row],[Consumo presentado '[L/mes']]]*(1-EERR!$E$24)</f>
        <v>78935</v>
      </c>
      <c r="E105" s="97">
        <v>78935</v>
      </c>
      <c r="F105" s="97">
        <v>210</v>
      </c>
      <c r="G105" s="97">
        <v>165</v>
      </c>
      <c r="H105" s="97"/>
      <c r="I105" s="180"/>
      <c r="J105" s="444" t="s">
        <v>101</v>
      </c>
      <c r="K105" s="445"/>
      <c r="L105" s="445"/>
      <c r="M105" s="445"/>
      <c r="N105" s="445"/>
      <c r="O105" s="445"/>
      <c r="P105" s="445"/>
      <c r="Q105" s="445"/>
      <c r="R105" s="445"/>
      <c r="S105" s="445"/>
      <c r="T105" s="445"/>
      <c r="U105" s="445"/>
    </row>
    <row r="106" spans="1:24">
      <c r="C106" s="97"/>
      <c r="D106" s="97">
        <f>+Tabla1[[#This Row],[Consumo presentado '[L/mes']]]*(1-EERR!$E$24)</f>
        <v>10000</v>
      </c>
      <c r="E106" s="97">
        <v>10000</v>
      </c>
      <c r="F106" s="97"/>
      <c r="G106" s="97"/>
      <c r="H106" s="97"/>
      <c r="I106" s="180"/>
      <c r="J106" s="95" t="s">
        <v>167</v>
      </c>
      <c r="K106" s="95" t="s">
        <v>166</v>
      </c>
      <c r="L106" s="95" t="s">
        <v>168</v>
      </c>
      <c r="M106" s="95"/>
      <c r="N106" s="95">
        <f>IFERROR(VLOOKUP(J106,'Lista PQ Comp'!D:F,3,0),"")</f>
        <v>8.08</v>
      </c>
      <c r="O106" s="196">
        <f>N106*Tabla1[[#This Row],[Consumo presentado '[L/mes']]]</f>
        <v>80800</v>
      </c>
      <c r="P106" s="183"/>
      <c r="Q106" s="95"/>
      <c r="R106" s="95"/>
      <c r="S106" s="95"/>
      <c r="T106" s="95"/>
      <c r="U106" s="95"/>
    </row>
    <row r="107" spans="1:24">
      <c r="A107" s="345" t="s">
        <v>302</v>
      </c>
      <c r="C107" s="4" t="s">
        <v>166</v>
      </c>
      <c r="D107" s="4">
        <f>+Tabla1[[#This Row],[Consumo presentado '[L/mes']]]*(1-EERR!$E$24)</f>
        <v>5187</v>
      </c>
      <c r="E107" s="4">
        <v>5187</v>
      </c>
      <c r="F107" s="4">
        <v>10</v>
      </c>
      <c r="G107" s="4">
        <v>28</v>
      </c>
      <c r="H107" s="4"/>
      <c r="I107" s="180"/>
      <c r="J107" s="4" t="s">
        <v>171</v>
      </c>
      <c r="K107" s="4" t="str">
        <f>IFERROR(VLOOKUP(J107,'Lista PQ Comp'!D:E,2,0),"")</f>
        <v>Biocida</v>
      </c>
      <c r="L107" s="4" t="s">
        <v>172</v>
      </c>
      <c r="M107" s="4"/>
      <c r="N107" s="117">
        <f>IFERROR(VLOOKUP(J107,'Lista PQ Comp'!D:F,3,0),"")</f>
        <v>8</v>
      </c>
      <c r="O107" s="197">
        <f>N107*Tabla1[[#This Row],[Consumo presentado '[L/mes']]]</f>
        <v>41496</v>
      </c>
      <c r="P107" s="183"/>
      <c r="Q107" s="4" t="s">
        <v>301</v>
      </c>
      <c r="R107" s="4">
        <f>IFERROR(VLOOKUP(Q107,'Lista PQ PECOM'!$I:$P,8,0),"")</f>
        <v>2.84</v>
      </c>
      <c r="S107" s="207">
        <f>IFERROR(VLOOKUP(Q107,CR!D:F,3,0),"")</f>
        <v>1.8797532066795741</v>
      </c>
      <c r="T107" s="197">
        <f>R107*Tabla1[[#This Row],[Consumo optimizado '[l/mes']]]</f>
        <v>14731.08</v>
      </c>
      <c r="U107" s="214">
        <f>(T107-O107)/O107</f>
        <v>-0.64499999999999991</v>
      </c>
    </row>
    <row r="108" spans="1:24">
      <c r="A108" s="345" t="s">
        <v>302</v>
      </c>
      <c r="C108" s="4" t="s">
        <v>175</v>
      </c>
      <c r="D108" s="4">
        <f>+Tabla1[[#This Row],[Consumo presentado '[L/mes']]]*(1-EERR!$E$24)</f>
        <v>60</v>
      </c>
      <c r="E108" s="4">
        <v>60</v>
      </c>
      <c r="F108" s="4"/>
      <c r="G108" s="4">
        <v>2</v>
      </c>
      <c r="H108" s="4"/>
      <c r="I108" s="180"/>
      <c r="J108" s="95" t="s">
        <v>240</v>
      </c>
      <c r="K108" s="95" t="str">
        <f>IFERROR(VLOOKUP(J108,'Lista PQ Comp'!D:E,2,0),"")</f>
        <v>Desmulsionante</v>
      </c>
      <c r="L108" s="95" t="s">
        <v>172</v>
      </c>
      <c r="M108" s="95"/>
      <c r="N108" s="95">
        <f>IFERROR(VLOOKUP(J108,'Lista PQ Comp'!D:F,3,0),"")</f>
        <v>6.46</v>
      </c>
      <c r="O108" s="196">
        <f>N108*Tabla1[[#This Row],[Consumo presentado '[L/mes']]]</f>
        <v>387.6</v>
      </c>
      <c r="P108" s="180"/>
      <c r="Q108" s="95" t="s">
        <v>303</v>
      </c>
      <c r="R108" s="95">
        <f>IFERROR(VLOOKUP(Q108,'Lista PQ PECOM'!$I:$P,8,0),"")</f>
        <v>6.62</v>
      </c>
      <c r="S108" s="206">
        <f>IFERROR(VLOOKUP(Q108,CR!D:F,3,0),"")</f>
        <v>3.77</v>
      </c>
      <c r="T108" s="198">
        <f>R108*Tabla1[[#This Row],[Consumo optimizado '[l/mes']]]</f>
        <v>397.2</v>
      </c>
      <c r="U108" s="214">
        <f t="shared" ref="U108:U120" si="4">(T108-O108)/O108</f>
        <v>2.4767801857585051E-2</v>
      </c>
      <c r="W108" s="1" t="s">
        <v>242</v>
      </c>
    </row>
    <row r="109" spans="1:24">
      <c r="A109" s="345" t="s">
        <v>302</v>
      </c>
      <c r="C109" s="4" t="s">
        <v>178</v>
      </c>
      <c r="D109" s="4">
        <f>+Tabla1[[#This Row],[Consumo presentado '[L/mes']]]*(1-EERR!$E$24)</f>
        <v>1880</v>
      </c>
      <c r="E109" s="4">
        <v>1880</v>
      </c>
      <c r="F109" s="4"/>
      <c r="G109" s="4">
        <v>2</v>
      </c>
      <c r="H109" s="4"/>
      <c r="I109" s="180"/>
      <c r="J109" s="116" t="s">
        <v>52</v>
      </c>
      <c r="K109" s="4" t="str">
        <f>IFERROR(VLOOKUP(J109,'Lista PQ Comp'!D:E,2,0),"")</f>
        <v>Clarificante</v>
      </c>
      <c r="L109" s="4" t="s">
        <v>168</v>
      </c>
      <c r="M109" s="4"/>
      <c r="N109" s="4">
        <f>IFERROR(VLOOKUP(J109,'Lista PQ Comp'!D:F,3,0),"")</f>
        <v>5.12</v>
      </c>
      <c r="O109" s="197">
        <f>N109*Tabla1[[#This Row],[Consumo presentado '[L/mes']]]</f>
        <v>9625.6</v>
      </c>
      <c r="P109" s="180"/>
      <c r="Q109" s="4" t="s">
        <v>179</v>
      </c>
      <c r="R109" s="4">
        <f>IFERROR(VLOOKUP(Q109,'Lista PQ PECOM'!$I:$P,8,0),"")</f>
        <v>2.74</v>
      </c>
      <c r="S109" s="207">
        <f>IFERROR(VLOOKUP(Q109,CR!D:F,3,0),"")</f>
        <v>1.504731491417457</v>
      </c>
      <c r="T109" s="197">
        <f>R109*Tabla1[[#This Row],[Consumo optimizado '[l/mes']]]</f>
        <v>5151.2000000000007</v>
      </c>
      <c r="U109" s="214">
        <f t="shared" si="4"/>
        <v>-0.46484374999999994</v>
      </c>
    </row>
    <row r="110" spans="1:24">
      <c r="A110" s="345" t="s">
        <v>302</v>
      </c>
      <c r="C110" s="4" t="s">
        <v>180</v>
      </c>
      <c r="D110" s="4">
        <f>+Tabla1[[#This Row],[Consumo presentado '[L/mes']]]*(1-EERR!$E$24)</f>
        <v>10472</v>
      </c>
      <c r="E110" s="4">
        <v>10472</v>
      </c>
      <c r="F110" s="4">
        <v>5</v>
      </c>
      <c r="G110" s="4">
        <v>26</v>
      </c>
      <c r="H110" s="4"/>
      <c r="I110" s="180"/>
      <c r="J110" s="117" t="s">
        <v>240</v>
      </c>
      <c r="K110" s="95" t="str">
        <f>IFERROR(VLOOKUP(J110,'Lista PQ Comp'!D:E,2,0),"")</f>
        <v>Desmulsionante</v>
      </c>
      <c r="L110" s="95" t="s">
        <v>172</v>
      </c>
      <c r="M110" s="95"/>
      <c r="N110" s="95">
        <f>IFERROR(VLOOKUP(J110,'Lista PQ Comp'!D:F,3,0),"")</f>
        <v>6.46</v>
      </c>
      <c r="O110" s="196">
        <f>N110*Tabla1[[#This Row],[Consumo presentado '[L/mes']]]</f>
        <v>67649.119999999995</v>
      </c>
      <c r="P110" s="180"/>
      <c r="Q110" s="95" t="s">
        <v>303</v>
      </c>
      <c r="R110" s="95">
        <f>IFERROR(VLOOKUP(Q110,'Lista PQ PECOM'!$I:$P,8,0),"")</f>
        <v>6.62</v>
      </c>
      <c r="S110" s="207">
        <f>IFERROR(VLOOKUP(Q110,CR!D:F,3,0),"")</f>
        <v>3.77</v>
      </c>
      <c r="T110" s="198">
        <f>R110*Tabla1[[#This Row],[Consumo optimizado '[l/mes']]]</f>
        <v>69324.639999999999</v>
      </c>
      <c r="U110" s="214">
        <f t="shared" si="4"/>
        <v>2.47678018575852E-2</v>
      </c>
      <c r="W110" s="1" t="s">
        <v>242</v>
      </c>
    </row>
    <row r="111" spans="1:24">
      <c r="A111" s="345" t="s">
        <v>302</v>
      </c>
      <c r="C111" s="4" t="s">
        <v>187</v>
      </c>
      <c r="D111" s="4">
        <f>+Tabla1[[#This Row],[Consumo presentado '[L/mes']]]*(1-EERR!$E$24)</f>
        <v>330</v>
      </c>
      <c r="E111" s="4">
        <v>330</v>
      </c>
      <c r="F111" s="4"/>
      <c r="G111" s="4">
        <v>2</v>
      </c>
      <c r="H111" s="4"/>
      <c r="I111" s="180"/>
      <c r="J111" s="4"/>
      <c r="K111" s="4" t="str">
        <f>IFERROR(VLOOKUP(J111,'Lista PQ Comp'!D:E,2,0),"")</f>
        <v/>
      </c>
      <c r="L111" s="4"/>
      <c r="M111" s="4"/>
      <c r="N111" s="4" t="str">
        <f>IFERROR(VLOOKUP(J111,'Lista PQ Comp'!D:F,3,0),"")</f>
        <v/>
      </c>
      <c r="O111" s="197"/>
      <c r="P111" s="180"/>
      <c r="Q111" s="4" t="s">
        <v>188</v>
      </c>
      <c r="R111" s="4">
        <f>IFERROR(VLOOKUP(Q111,'Lista PQ PECOM'!$I:$P,8,0),"")</f>
        <v>1.51</v>
      </c>
      <c r="S111" s="207">
        <f>IFERROR(VLOOKUP(Q111,CR!D:F,3,0),"")</f>
        <v>0.97</v>
      </c>
      <c r="T111" s="234">
        <f>R111*Tabla1[[#This Row],[Consumo optimizado '[l/mes']]]</f>
        <v>498.3</v>
      </c>
      <c r="U111" s="214"/>
      <c r="W111" s="1" t="s">
        <v>189</v>
      </c>
    </row>
    <row r="112" spans="1:24">
      <c r="A112" s="345" t="s">
        <v>302</v>
      </c>
      <c r="C112" s="4" t="s">
        <v>195</v>
      </c>
      <c r="D112" s="4">
        <f>+Tabla1[[#This Row],[Consumo presentado '[L/mes']]]*(1-EERR!$E$24)</f>
        <v>656</v>
      </c>
      <c r="E112" s="4">
        <v>656</v>
      </c>
      <c r="F112" s="4">
        <v>3</v>
      </c>
      <c r="G112" s="4">
        <v>2</v>
      </c>
      <c r="H112" s="4"/>
      <c r="I112" s="180"/>
      <c r="J112" s="117" t="s">
        <v>196</v>
      </c>
      <c r="K112" s="95">
        <f>IFERROR(VLOOKUP(J112,'Lista PQ Comp'!D:E,2,0),"")</f>
        <v>0</v>
      </c>
      <c r="L112" s="95" t="s">
        <v>172</v>
      </c>
      <c r="M112" s="95"/>
      <c r="N112" s="95">
        <f>IFERROR(VLOOKUP(J112,'Lista PQ Comp'!D:F,3,0),"")</f>
        <v>4.5</v>
      </c>
      <c r="O112" s="196">
        <f>N112*Tabla1[[#This Row],[Consumo presentado '[L/mes']]]</f>
        <v>2952</v>
      </c>
      <c r="P112" s="180"/>
      <c r="Q112" s="95" t="s">
        <v>246</v>
      </c>
      <c r="R112" s="95">
        <f>IFERROR(VLOOKUP(Q112,'Lista PQ PECOM'!$I:$P,8,0),"")</f>
        <v>6.61</v>
      </c>
      <c r="S112" s="206">
        <f>IFERROR(VLOOKUP(Q112,CR!D:F,3,0),"")</f>
        <v>5.0541526074536618</v>
      </c>
      <c r="T112" s="198">
        <f>R112*Tabla1[[#This Row],[Consumo optimizado '[l/mes']]]</f>
        <v>4336.16</v>
      </c>
      <c r="U112" s="214"/>
      <c r="W112" s="1" t="s">
        <v>165</v>
      </c>
    </row>
    <row r="113" spans="1:23">
      <c r="A113" s="345" t="s">
        <v>302</v>
      </c>
      <c r="C113" s="4" t="s">
        <v>200</v>
      </c>
      <c r="D113" s="4">
        <f>+Tabla1[[#This Row],[Consumo presentado '[L/mes']]]*(1-EERR!$E$24)</f>
        <v>1282</v>
      </c>
      <c r="E113" s="4">
        <v>1282</v>
      </c>
      <c r="F113" s="4"/>
      <c r="G113" s="4">
        <v>2</v>
      </c>
      <c r="H113" s="4"/>
      <c r="I113" s="180"/>
      <c r="J113" s="4" t="s">
        <v>207</v>
      </c>
      <c r="K113" s="4" t="str">
        <f>IFERROR(VLOOKUP(J113,'Lista PQ Comp'!D:E,2,0),"")</f>
        <v>INHIBIDOR DE INCRUSTACIONES</v>
      </c>
      <c r="L113" s="4" t="s">
        <v>172</v>
      </c>
      <c r="M113" s="4"/>
      <c r="N113" s="4">
        <f>IFERROR(VLOOKUP(J113,'Lista PQ Comp'!D:F,3,0),"")</f>
        <v>5.31</v>
      </c>
      <c r="O113" s="197">
        <f>N113*Tabla1[[#This Row],[Consumo presentado '[L/mes']]]</f>
        <v>6807.4199999999992</v>
      </c>
      <c r="P113" s="180"/>
      <c r="Q113" s="4" t="s">
        <v>282</v>
      </c>
      <c r="R113" s="4">
        <f>IFERROR(VLOOKUP(Q113,'Lista PQ PECOM'!$I:$P,8,0),"")</f>
        <v>4.5999999999999996</v>
      </c>
      <c r="S113" s="207">
        <f>IFERROR(VLOOKUP(Q113,CR!D:F,3,0),"")</f>
        <v>2.031723017523126</v>
      </c>
      <c r="T113" s="197">
        <f>R113*Tabla1[[#This Row],[Consumo optimizado '[l/mes']]]</f>
        <v>5897.2</v>
      </c>
      <c r="U113" s="214">
        <f t="shared" si="4"/>
        <v>-0.13370998116760821</v>
      </c>
    </row>
    <row r="114" spans="1:23">
      <c r="A114" s="345" t="s">
        <v>302</v>
      </c>
      <c r="C114" s="4" t="s">
        <v>202</v>
      </c>
      <c r="D114" s="4">
        <f>+Tabla1[[#This Row],[Consumo presentado '[L/mes']]]*(1-EERR!$E$24)</f>
        <v>33172</v>
      </c>
      <c r="E114" s="4">
        <v>33172</v>
      </c>
      <c r="F114" s="4">
        <v>190</v>
      </c>
      <c r="G114" s="4">
        <v>43</v>
      </c>
      <c r="H114" s="4"/>
      <c r="I114" s="180"/>
      <c r="J114" s="95" t="s">
        <v>203</v>
      </c>
      <c r="K114" s="95" t="str">
        <f>IFERROR(VLOOKUP(J114,'Lista PQ Comp'!D:E,2,0),"")</f>
        <v>Inhibidor de corrosión</v>
      </c>
      <c r="L114" s="95" t="s">
        <v>172</v>
      </c>
      <c r="M114" s="95"/>
      <c r="N114" s="95">
        <f>IFERROR(VLOOKUP(J114,'Lista PQ Comp'!D:F,3,0),"")</f>
        <v>2.97</v>
      </c>
      <c r="O114" s="196">
        <f>N114*Tabla1[[#This Row],[Consumo presentado '[L/mes']]]</f>
        <v>98520.840000000011</v>
      </c>
      <c r="P114" s="180"/>
      <c r="Q114" s="367" t="str">
        <f>+Q99</f>
        <v>CYB816</v>
      </c>
      <c r="R114" s="95">
        <f>IFERROR(VLOOKUP(Q114,'Lista PQ PECOM'!$I:$P,8,0),"")</f>
        <v>3.21</v>
      </c>
      <c r="S114" s="206">
        <f>+S99</f>
        <v>2.2799999999999998</v>
      </c>
      <c r="T114" s="198">
        <f>R114*Tabla1[[#This Row],[Consumo optimizado '[l/mes']]]</f>
        <v>106482.12</v>
      </c>
      <c r="U114" s="214">
        <f t="shared" si="4"/>
        <v>8.0808080808080635E-2</v>
      </c>
    </row>
    <row r="115" spans="1:23">
      <c r="A115" s="345" t="s">
        <v>302</v>
      </c>
      <c r="C115" s="4" t="s">
        <v>248</v>
      </c>
      <c r="D115" s="4">
        <f>+Tabla1[[#This Row],[Consumo presentado '[L/mes']]]*(1-EERR!$E$24)</f>
        <v>0</v>
      </c>
      <c r="E115" s="4">
        <v>0</v>
      </c>
      <c r="F115" s="4"/>
      <c r="G115" s="4">
        <v>6</v>
      </c>
      <c r="H115" s="4"/>
      <c r="I115" s="180"/>
      <c r="J115" s="4"/>
      <c r="K115" s="4" t="str">
        <f>IFERROR(VLOOKUP(J115,'Lista PQ Comp'!D:E,2,0),"")</f>
        <v/>
      </c>
      <c r="L115" s="4"/>
      <c r="M115" s="4"/>
      <c r="N115" s="4" t="str">
        <f>IFERROR(VLOOKUP(J115,'Lista PQ Comp'!D:F,3,0),"")</f>
        <v/>
      </c>
      <c r="O115" s="197"/>
      <c r="P115" s="180"/>
      <c r="Q115" s="4"/>
      <c r="R115" s="4" t="str">
        <f>IFERROR(VLOOKUP(Q115,'Lista PQ PECOM'!$I:$P,8,0),"")</f>
        <v/>
      </c>
      <c r="S115" s="207" t="str">
        <f>IFERROR(VLOOKUP(Q115,CR!D:F,3,0),"")</f>
        <v/>
      </c>
      <c r="T115" s="197"/>
      <c r="U115" s="214"/>
    </row>
    <row r="116" spans="1:23">
      <c r="A116" s="345" t="s">
        <v>302</v>
      </c>
      <c r="C116" s="4" t="s">
        <v>205</v>
      </c>
      <c r="D116" s="4">
        <f>+Tabla1[[#This Row],[Consumo presentado '[L/mes']]]*(1-EERR!$E$24)</f>
        <v>11476</v>
      </c>
      <c r="E116" s="4">
        <v>11476</v>
      </c>
      <c r="F116" s="4">
        <v>2</v>
      </c>
      <c r="G116" s="4">
        <v>34</v>
      </c>
      <c r="H116" s="4"/>
      <c r="I116" s="180"/>
      <c r="J116" s="95" t="s">
        <v>250</v>
      </c>
      <c r="K116" s="95" t="str">
        <f>IFERROR(VLOOKUP(J116,'Lista PQ Comp'!D:E,2,0),"")</f>
        <v>INHIBIDOR DE INCRUSTACIONES</v>
      </c>
      <c r="L116" s="95" t="s">
        <v>172</v>
      </c>
      <c r="M116" s="95"/>
      <c r="N116" s="95">
        <f>IFERROR(VLOOKUP(J116,'Lista PQ Comp'!D:F,3,0),"")</f>
        <v>5.58</v>
      </c>
      <c r="O116" s="196">
        <f>N116*Tabla1[[#This Row],[Consumo presentado '[L/mes']]]</f>
        <v>64036.08</v>
      </c>
      <c r="P116" s="180"/>
      <c r="Q116" s="95" t="s">
        <v>208</v>
      </c>
      <c r="R116" s="95">
        <f>IFERROR(VLOOKUP(Q116,'Lista PQ PECOM'!$I:$P,8,0),"")</f>
        <v>4.0199999999999996</v>
      </c>
      <c r="S116" s="206">
        <f>IFERROR(VLOOKUP(Q116,CR!D:F,3,0),"")</f>
        <v>1.8969840434471943</v>
      </c>
      <c r="T116" s="198">
        <f>R116*Tabla1[[#This Row],[Consumo optimizado '[l/mes']]]</f>
        <v>46133.52</v>
      </c>
      <c r="U116" s="214">
        <f t="shared" si="4"/>
        <v>-0.27956989247311836</v>
      </c>
    </row>
    <row r="117" spans="1:23">
      <c r="A117" s="345" t="s">
        <v>302</v>
      </c>
      <c r="C117" s="4" t="s">
        <v>219</v>
      </c>
      <c r="D117" s="4">
        <f>+Tabla1[[#This Row],[Consumo presentado '[L/mes']]]*(1-EERR!$E$24)</f>
        <v>250</v>
      </c>
      <c r="E117" s="4">
        <v>250</v>
      </c>
      <c r="F117" s="4"/>
      <c r="G117" s="4">
        <v>2</v>
      </c>
      <c r="H117" s="4"/>
      <c r="I117" s="180"/>
      <c r="J117" s="4"/>
      <c r="K117" s="4" t="str">
        <f>IFERROR(VLOOKUP(J117,'Lista PQ Comp'!D:E,2,0),"")</f>
        <v/>
      </c>
      <c r="L117" s="4"/>
      <c r="M117" s="4"/>
      <c r="N117" s="4" t="str">
        <f>IFERROR(VLOOKUP(J117,'Lista PQ Comp'!D:F,3,0),"")</f>
        <v/>
      </c>
      <c r="O117" s="197"/>
      <c r="P117" s="180"/>
      <c r="Q117" s="4"/>
      <c r="R117" s="4" t="str">
        <f>IFERROR(VLOOKUP(Q117,'Lista PQ PECOM'!$I:$P,8,0),"")</f>
        <v/>
      </c>
      <c r="S117" s="207" t="str">
        <f>IFERROR(VLOOKUP(Q117,CR!D:F,3,0),"")</f>
        <v/>
      </c>
      <c r="T117" s="197"/>
      <c r="U117" s="214"/>
      <c r="W117" s="1" t="s">
        <v>220</v>
      </c>
    </row>
    <row r="118" spans="1:23">
      <c r="A118" s="345" t="s">
        <v>302</v>
      </c>
      <c r="C118" s="4" t="s">
        <v>221</v>
      </c>
      <c r="D118" s="4">
        <f>+Tabla1[[#This Row],[Consumo presentado '[L/mes']]]*(1-EERR!$E$24)</f>
        <v>0</v>
      </c>
      <c r="E118" s="4">
        <v>0</v>
      </c>
      <c r="F118" s="4"/>
      <c r="G118" s="4">
        <v>2</v>
      </c>
      <c r="H118" s="4"/>
      <c r="I118" s="180"/>
      <c r="J118" s="95"/>
      <c r="K118" s="95" t="str">
        <f>IFERROR(VLOOKUP(J118,'Lista PQ Comp'!D:E,2,0),"")</f>
        <v/>
      </c>
      <c r="L118" s="95"/>
      <c r="M118" s="95"/>
      <c r="N118" s="95" t="str">
        <f>IFERROR(VLOOKUP(J118,'Lista PQ Comp'!D:F,3,0),"")</f>
        <v/>
      </c>
      <c r="O118" s="196"/>
      <c r="P118" s="180"/>
      <c r="Q118" s="95"/>
      <c r="R118" s="95" t="str">
        <f>IFERROR(VLOOKUP(Q118,'Lista PQ PECOM'!$I:$P,8,0),"")</f>
        <v/>
      </c>
      <c r="S118" s="206" t="str">
        <f>IFERROR(VLOOKUP(Q118,CR!D:F,3,0),"")</f>
        <v/>
      </c>
      <c r="T118" s="198"/>
      <c r="U118" s="214"/>
      <c r="W118" s="1" t="s">
        <v>304</v>
      </c>
    </row>
    <row r="119" spans="1:23">
      <c r="A119" s="345" t="s">
        <v>302</v>
      </c>
      <c r="C119" s="4" t="s">
        <v>224</v>
      </c>
      <c r="D119" s="4">
        <f>+Tabla1[[#This Row],[Consumo presentado '[L/mes']]]*(1-EERR!$E$24)</f>
        <v>3670</v>
      </c>
      <c r="E119" s="4">
        <v>3670</v>
      </c>
      <c r="F119" s="4"/>
      <c r="G119" s="4">
        <v>12</v>
      </c>
      <c r="H119" s="4"/>
      <c r="I119" s="180"/>
      <c r="J119" s="4" t="s">
        <v>51</v>
      </c>
      <c r="K119" s="4" t="str">
        <f>IFERROR(VLOOKUP(J119,'Lista PQ Comp'!D:E,2,0),"")</f>
        <v>Inhibidor de corrosión</v>
      </c>
      <c r="L119" s="4" t="s">
        <v>168</v>
      </c>
      <c r="M119" s="4"/>
      <c r="N119" s="4">
        <f>IFERROR(VLOOKUP(J119,'Lista PQ Comp'!D:F,3,0),"")</f>
        <v>1.77</v>
      </c>
      <c r="O119" s="197">
        <f>N119*Tabla1[[#This Row],[Consumo presentado '[L/mes']]]</f>
        <v>6495.9</v>
      </c>
      <c r="P119" s="180"/>
      <c r="Q119" s="4" t="s">
        <v>226</v>
      </c>
      <c r="R119" s="4">
        <f>IFERROR(VLOOKUP(Q119,'Lista PQ PECOM'!$I:$P,8,0),"")</f>
        <v>2.31</v>
      </c>
      <c r="S119" s="207">
        <f>IFERROR(VLOOKUP(Q119,CR!D:F,3,0),"")</f>
        <v>1.8266571757018397</v>
      </c>
      <c r="T119" s="197">
        <f>R119*Tabla1[[#This Row],[Consumo optimizado '[l/mes']]]</f>
        <v>8477.7000000000007</v>
      </c>
      <c r="U119" s="214">
        <f t="shared" si="4"/>
        <v>0.30508474576271205</v>
      </c>
    </row>
    <row r="120" spans="1:23">
      <c r="A120" s="345" t="s">
        <v>302</v>
      </c>
      <c r="C120" s="4" t="s">
        <v>227</v>
      </c>
      <c r="D120" s="4">
        <f>+Tabla1[[#This Row],[Consumo presentado '[L/mes']]]*(1-EERR!$E$24)</f>
        <v>500</v>
      </c>
      <c r="E120" s="4">
        <v>500</v>
      </c>
      <c r="F120" s="4"/>
      <c r="G120" s="4">
        <v>2</v>
      </c>
      <c r="H120" s="4"/>
      <c r="I120" s="180"/>
      <c r="J120" s="95" t="s">
        <v>229</v>
      </c>
      <c r="K120" s="95" t="str">
        <f>IFERROR(VLOOKUP(J120,'Lista PQ Comp'!D:E,2,0),"")</f>
        <v>Sec de H2S</v>
      </c>
      <c r="L120" s="95" t="s">
        <v>168</v>
      </c>
      <c r="M120" s="95"/>
      <c r="N120" s="95">
        <f>IFERROR(VLOOKUP(J120,'Lista PQ Comp'!D:F,3,0),"")</f>
        <v>2.64</v>
      </c>
      <c r="O120" s="196">
        <f>N120*Tabla1[[#This Row],[Consumo presentado '[L/mes']]]</f>
        <v>1320</v>
      </c>
      <c r="P120" s="180"/>
      <c r="Q120" s="95" t="s">
        <v>610</v>
      </c>
      <c r="R120" s="95">
        <f>IFERROR(VLOOKUP(Q120,'Lista PQ PECOM'!$I:$P,8,0),"")</f>
        <v>2.4500000000000002</v>
      </c>
      <c r="S120" s="206">
        <f>+S87</f>
        <v>2.4700000000000002</v>
      </c>
      <c r="T120" s="198">
        <f>R120*Tabla1[[#This Row],[Consumo optimizado '[l/mes']]]</f>
        <v>1225</v>
      </c>
      <c r="U120" s="214">
        <f t="shared" si="4"/>
        <v>-7.1969696969696975E-2</v>
      </c>
    </row>
    <row r="121" spans="1:23">
      <c r="C121" s="4"/>
      <c r="D121" s="4">
        <f>+Tabla1[[#This Row],[Consumo presentado '[L/mes']]]*(1-EERR!$E$24)</f>
        <v>0</v>
      </c>
      <c r="E121" s="4"/>
      <c r="F121" s="4"/>
      <c r="G121" s="4"/>
      <c r="H121" s="4"/>
      <c r="I121" s="180"/>
      <c r="J121" s="95"/>
      <c r="K121" s="95"/>
      <c r="L121" s="95"/>
      <c r="M121" s="95"/>
      <c r="N121" s="228" t="s">
        <v>234</v>
      </c>
      <c r="O121" s="201">
        <f>SUM(O106:O120)</f>
        <v>380090.56000000006</v>
      </c>
      <c r="P121" s="180"/>
      <c r="Q121" s="200"/>
      <c r="R121" s="233"/>
      <c r="S121" s="228" t="s">
        <v>234</v>
      </c>
      <c r="T121" s="201">
        <f>SUM(T106:T120)</f>
        <v>262654.12</v>
      </c>
    </row>
    <row r="122" spans="1:23">
      <c r="C122" s="4"/>
      <c r="D122" s="4">
        <f>+Tabla1[[#This Row],[Consumo presentado '[L/mes']]]*(1-EERR!$E$24)</f>
        <v>0</v>
      </c>
      <c r="E122" s="4"/>
      <c r="F122" s="4"/>
      <c r="G122" s="4"/>
      <c r="H122" s="4"/>
      <c r="I122" s="180"/>
      <c r="J122" s="95"/>
      <c r="K122" s="95"/>
      <c r="L122" s="95"/>
      <c r="M122" s="95"/>
      <c r="N122" s="95"/>
      <c r="O122" s="191"/>
      <c r="P122" s="180"/>
      <c r="Q122" s="95"/>
      <c r="R122" s="144"/>
      <c r="S122" s="117"/>
      <c r="T122" s="190"/>
    </row>
    <row r="123" spans="1:23">
      <c r="C123" s="4"/>
      <c r="D123" s="4">
        <f>+Tabla1[[#This Row],[Consumo presentado '[L/mes']]]*(1-EERR!$E$24)</f>
        <v>0</v>
      </c>
      <c r="E123" s="4"/>
      <c r="F123" s="4"/>
      <c r="G123" s="4"/>
      <c r="H123" s="4"/>
      <c r="I123" s="180"/>
      <c r="J123" s="95"/>
      <c r="K123" s="95"/>
      <c r="L123" s="95"/>
      <c r="M123" s="95"/>
      <c r="N123" s="95"/>
      <c r="O123" s="191"/>
      <c r="P123" s="180"/>
      <c r="Q123" s="95"/>
      <c r="R123" s="144"/>
      <c r="S123" s="117"/>
      <c r="T123" s="190"/>
    </row>
    <row r="124" spans="1:23">
      <c r="C124" s="177" t="s">
        <v>305</v>
      </c>
      <c r="D124" s="177">
        <f>+Tabla1[[#This Row],[Consumo presentado '[L/mes']]]*(1-EERR!$E$24)</f>
        <v>366878.82999999996</v>
      </c>
      <c r="E124" s="177">
        <v>366878.82999999996</v>
      </c>
      <c r="F124" s="177">
        <v>1145</v>
      </c>
      <c r="G124" s="177">
        <v>695</v>
      </c>
      <c r="H124" s="177"/>
      <c r="I124" s="180"/>
      <c r="J124" s="247">
        <f>+Tabla1[[#This Row],[Consumo presentado '[L/mes']]]*5</f>
        <v>1834394.15</v>
      </c>
      <c r="K124" s="177" t="str">
        <f>IFERROR(VLOOKUP(J124,'Lista PQ Comp'!D:E,2,0),"")</f>
        <v/>
      </c>
      <c r="L124" s="177"/>
      <c r="M124" s="177"/>
      <c r="N124" s="177" t="str">
        <f>IFERROR(VLOOKUP(J124,'Lista PQ Comp'!D:F,3,0),"")</f>
        <v/>
      </c>
      <c r="O124" s="192"/>
      <c r="P124" s="180"/>
      <c r="Q124" s="177"/>
      <c r="R124" s="178" t="str">
        <f>IFERROR(VLOOKUP(Q124,'Lista PQ PECOM'!$I:$P,8,0),"")</f>
        <v/>
      </c>
      <c r="S124" s="177" t="str">
        <f>IFERROR(VLOOKUP(Q124,CR!D:F,3,0),"")</f>
        <v/>
      </c>
      <c r="T124" s="203"/>
    </row>
    <row r="125" spans="1:23">
      <c r="C125" s="4" t="s">
        <v>205</v>
      </c>
      <c r="D125" s="4">
        <f>+Tabla1[[#This Row],[Consumo presentado '[L/mes']]]*(1-EERR!$E$24)</f>
        <v>2</v>
      </c>
      <c r="E125" s="4">
        <v>2</v>
      </c>
      <c r="F125" s="4">
        <v>34</v>
      </c>
      <c r="G125" s="4"/>
      <c r="H125" s="4"/>
      <c r="I125" s="180"/>
      <c r="J125" s="95"/>
      <c r="K125" s="95" t="str">
        <f>IFERROR(VLOOKUP(J125,'Lista PQ Comp'!D:E,2,0),"")</f>
        <v/>
      </c>
      <c r="L125" s="95"/>
      <c r="M125" s="95"/>
      <c r="N125" s="95" t="str">
        <f>IFERROR(VLOOKUP(J125,'Lista PQ Comp'!D:F,3,0),"")</f>
        <v/>
      </c>
      <c r="O125" s="191"/>
      <c r="P125" s="180"/>
      <c r="Q125" s="95"/>
      <c r="R125" s="144" t="str">
        <f>IFERROR(VLOOKUP(Q125,'Lista PQ PECOM'!$I:$P,8,0),"")</f>
        <v/>
      </c>
      <c r="S125" s="117" t="str">
        <f>IFERROR(VLOOKUP(Q125,CR!D:F,3,0),"")</f>
        <v/>
      </c>
      <c r="T125" s="190"/>
    </row>
    <row r="126" spans="1:23">
      <c r="C126" s="4" t="s">
        <v>219</v>
      </c>
      <c r="D126" s="4">
        <f>+Tabla1[[#This Row],[Consumo presentado '[L/mes']]]*(1-EERR!$E$24)</f>
        <v>0</v>
      </c>
      <c r="E126" s="4"/>
      <c r="F126" s="4">
        <v>2</v>
      </c>
      <c r="G126" s="4"/>
      <c r="H126" s="4"/>
      <c r="I126" s="180"/>
      <c r="J126" s="4"/>
      <c r="K126" s="4" t="str">
        <f>IFERROR(VLOOKUP(J126,'Lista PQ Comp'!D:E,2,0),"")</f>
        <v/>
      </c>
      <c r="L126" s="4"/>
      <c r="M126" s="4"/>
      <c r="N126" s="4" t="str">
        <f>IFERROR(VLOOKUP(J126,'Lista PQ Comp'!D:F,3,0),"")</f>
        <v/>
      </c>
      <c r="O126" s="180"/>
      <c r="P126" s="180"/>
      <c r="Q126" s="4"/>
      <c r="R126" s="143" t="str">
        <f>IFERROR(VLOOKUP(Q126,'Lista PQ PECOM'!$I:$P,8,0),"")</f>
        <v/>
      </c>
      <c r="S126" s="4" t="str">
        <f>IFERROR(VLOOKUP(Q126,CR!D:F,3,0),"")</f>
        <v/>
      </c>
      <c r="T126" s="71"/>
      <c r="U126" s="1" t="s">
        <v>220</v>
      </c>
    </row>
    <row r="127" spans="1:23">
      <c r="C127" s="4" t="s">
        <v>221</v>
      </c>
      <c r="D127" s="4">
        <f>+Tabla1[[#This Row],[Consumo presentado '[L/mes']]]*(1-EERR!$E$24)</f>
        <v>0</v>
      </c>
      <c r="E127" s="4"/>
      <c r="F127" s="4">
        <v>2</v>
      </c>
      <c r="G127" s="4"/>
      <c r="H127" s="4"/>
      <c r="I127" s="180"/>
      <c r="J127" s="95"/>
      <c r="K127" s="95" t="str">
        <f>IFERROR(VLOOKUP(J127,'Lista PQ Comp'!D:E,2,0),"")</f>
        <v/>
      </c>
      <c r="L127" s="95"/>
      <c r="M127" s="95"/>
      <c r="N127" s="95" t="str">
        <f>IFERROR(VLOOKUP(J127,'Lista PQ Comp'!D:F,3,0),"")</f>
        <v/>
      </c>
      <c r="O127" s="191"/>
      <c r="P127" s="180"/>
      <c r="Q127" s="95"/>
      <c r="R127" s="144" t="str">
        <f>IFERROR(VLOOKUP(Q127,'Lista PQ PECOM'!$I:$P,8,0),"")</f>
        <v/>
      </c>
      <c r="S127" s="117" t="str">
        <f>IFERROR(VLOOKUP(Q127,CR!D:F,3,0),"")</f>
        <v/>
      </c>
      <c r="T127" s="190"/>
      <c r="U127" s="1" t="s">
        <v>223</v>
      </c>
    </row>
    <row r="128" spans="1:23">
      <c r="C128" s="4" t="s">
        <v>224</v>
      </c>
      <c r="D128" s="4">
        <f>+Tabla1[[#This Row],[Consumo presentado '[L/mes']]]*(1-EERR!$E$24)</f>
        <v>0</v>
      </c>
      <c r="E128" s="4"/>
      <c r="F128" s="4">
        <v>12</v>
      </c>
      <c r="G128" s="4"/>
      <c r="H128" s="4"/>
      <c r="I128" s="180"/>
      <c r="J128" s="4"/>
      <c r="K128" s="4" t="str">
        <f>IFERROR(VLOOKUP(J128,'Lista PQ Comp'!D:E,2,0),"")</f>
        <v/>
      </c>
      <c r="L128" s="4"/>
      <c r="M128" s="4"/>
      <c r="N128" s="4" t="str">
        <f>IFERROR(VLOOKUP(J128,'Lista PQ Comp'!D:F,3,0),"")</f>
        <v/>
      </c>
      <c r="O128" s="180"/>
      <c r="P128" s="180"/>
      <c r="Q128" s="4" t="s">
        <v>226</v>
      </c>
      <c r="R128" s="143">
        <f>IFERROR(VLOOKUP(Q128,'Lista PQ PECOM'!$I:$P,8,0),"")</f>
        <v>2.31</v>
      </c>
      <c r="S128" s="4">
        <f>IFERROR(VLOOKUP(Q128,CR!D:F,3,0),"")</f>
        <v>1.8266571757018397</v>
      </c>
      <c r="T128" s="71"/>
    </row>
    <row r="129" spans="3:20">
      <c r="C129" s="4" t="s">
        <v>227</v>
      </c>
      <c r="D129" s="4">
        <f>+Tabla1[[#This Row],[Consumo presentado '[L/mes']]]*(1-EERR!$E$24)</f>
        <v>0</v>
      </c>
      <c r="E129" s="4"/>
      <c r="F129" s="4">
        <v>2</v>
      </c>
      <c r="G129" s="4"/>
      <c r="H129" s="4"/>
      <c r="I129" s="180"/>
      <c r="J129" s="95"/>
      <c r="K129" s="95" t="str">
        <f>IFERROR(VLOOKUP(J129,'Lista PQ Comp'!D:E,2,0),"")</f>
        <v/>
      </c>
      <c r="L129" s="95"/>
      <c r="M129" s="95"/>
      <c r="N129" s="95" t="str">
        <f>IFERROR(VLOOKUP(J129,'Lista PQ Comp'!D:F,3,0),"")</f>
        <v/>
      </c>
      <c r="O129" s="191"/>
      <c r="P129" s="180"/>
      <c r="Q129" s="95" t="s">
        <v>298</v>
      </c>
      <c r="R129" s="144">
        <f>IFERROR(VLOOKUP(Q129,'Lista PQ PECOM'!$I:$P,8,0),"")</f>
        <v>4.1100000000000003</v>
      </c>
      <c r="S129" s="117">
        <f>IFERROR(VLOOKUP(Q129,CR!D:F,3,0),"")</f>
        <v>2.1833464266698939</v>
      </c>
      <c r="T129" s="190"/>
    </row>
    <row r="130" spans="3:20">
      <c r="C130" s="4" t="s">
        <v>305</v>
      </c>
      <c r="D130" s="4">
        <f>+Tabla1[[#This Row],[Consumo presentado '[L/mes']]]*(1-EERR!$E$24)</f>
        <v>1344</v>
      </c>
      <c r="E130" s="4">
        <v>1344</v>
      </c>
      <c r="F130" s="4">
        <v>878</v>
      </c>
      <c r="G130" s="4"/>
      <c r="H130" s="4"/>
      <c r="I130" s="180"/>
      <c r="J130" s="4"/>
      <c r="K130" s="4" t="str">
        <f>IFERROR(VLOOKUP(J130,'Lista PQ Comp'!D:E,2,0),"")</f>
        <v/>
      </c>
      <c r="L130" s="4"/>
      <c r="M130" s="4"/>
      <c r="N130" s="4"/>
      <c r="O130" s="180"/>
      <c r="P130" s="180"/>
      <c r="Q130" s="4"/>
      <c r="R130" s="143"/>
      <c r="S130" s="4" t="str">
        <f>IFERROR(VLOOKUP(Q130,CR!D:F,3,0),"")</f>
        <v/>
      </c>
      <c r="T130" s="71"/>
    </row>
  </sheetData>
  <mergeCells count="7">
    <mergeCell ref="J105:U105"/>
    <mergeCell ref="J93:U93"/>
    <mergeCell ref="J2:O2"/>
    <mergeCell ref="Q2:U2"/>
    <mergeCell ref="J59:U59"/>
    <mergeCell ref="J32:U32"/>
    <mergeCell ref="J4:U4"/>
  </mergeCells>
  <pageMargins left="0.7" right="0.7" top="0.75" bottom="0.75" header="0.3" footer="0.3"/>
  <pageSetup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E9529A0-AF3A-4BC6-8711-C6A6DD968C1A}">
          <x14:formula1>
            <xm:f>'Lista PQ Comp'!$D$3:$D$76</xm:f>
          </x14:formula1>
          <xm:sqref>J33:J58 J106:J130 J60:J92 J94:J104 J5:J31</xm:sqref>
        </x14:dataValidation>
        <x14:dataValidation type="list" allowBlank="1" showInputMessage="1" showErrorMessage="1" xr:uid="{C6B84AB9-EB4D-40B6-8018-93889D04978A}">
          <x14:formula1>
            <xm:f>'Lista PQ PECOM'!$I$3:$I$290</xm:f>
          </x14:formula1>
          <xm:sqref>Q33:Q58 Q5:Q31 Q94:Q104 Q60:Q92 Q106:Q130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5D1-3F46-407B-ADF1-C78F2ACB31E2}">
  <dimension ref="B3:C5"/>
  <sheetViews>
    <sheetView workbookViewId="0">
      <selection activeCell="D4" sqref="D4"/>
    </sheetView>
  </sheetViews>
  <sheetFormatPr baseColWidth="10" defaultRowHeight="15"/>
  <sheetData>
    <row r="3" spans="2:3">
      <c r="B3" t="s">
        <v>220</v>
      </c>
    </row>
    <row r="4" spans="2:3">
      <c r="B4" t="s">
        <v>223</v>
      </c>
    </row>
    <row r="5" spans="2:3">
      <c r="B5" t="s">
        <v>1354</v>
      </c>
      <c r="C5">
        <v>3.51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D4045-D673-4E5C-867F-5AFDC1076FB0}">
  <dimension ref="B2:H33"/>
  <sheetViews>
    <sheetView showGridLines="0" topLeftCell="A9" workbookViewId="0">
      <selection activeCell="L26" sqref="L26"/>
    </sheetView>
  </sheetViews>
  <sheetFormatPr baseColWidth="10" defaultRowHeight="15"/>
  <cols>
    <col min="1" max="1" width="1.42578125" style="7" customWidth="1"/>
    <col min="2" max="2" width="42.28515625" style="7" customWidth="1"/>
    <col min="3" max="3" width="12.140625" style="7" customWidth="1"/>
    <col min="4" max="4" width="14.5703125" style="7" customWidth="1"/>
    <col min="5" max="5" width="11.42578125" style="7"/>
    <col min="6" max="6" width="11" style="7" customWidth="1"/>
    <col min="7" max="7" width="7.42578125" style="7" customWidth="1"/>
    <col min="8" max="16384" width="11.42578125" style="7"/>
  </cols>
  <sheetData>
    <row r="2" spans="2:8">
      <c r="B2" s="485" t="s">
        <v>1372</v>
      </c>
      <c r="C2" s="486"/>
      <c r="D2" s="486"/>
      <c r="E2" s="486"/>
      <c r="F2" s="486"/>
      <c r="G2" s="487"/>
    </row>
    <row r="3" spans="2:8" s="17" customFormat="1" ht="48" customHeight="1">
      <c r="B3" s="488" t="s">
        <v>1373</v>
      </c>
      <c r="C3" s="488" t="s">
        <v>1374</v>
      </c>
      <c r="D3" s="488" t="s">
        <v>1375</v>
      </c>
      <c r="E3" s="488" t="s">
        <v>65</v>
      </c>
      <c r="F3" s="488" t="s">
        <v>1376</v>
      </c>
      <c r="G3" s="488" t="s">
        <v>96</v>
      </c>
    </row>
    <row r="4" spans="2:8">
      <c r="B4" s="10" t="s">
        <v>1377</v>
      </c>
      <c r="C4" s="10">
        <f>13+2</f>
        <v>15</v>
      </c>
      <c r="D4" s="10">
        <v>11</v>
      </c>
      <c r="E4" s="10">
        <v>11</v>
      </c>
      <c r="F4" s="10"/>
      <c r="G4" s="10">
        <f>+SUM(C4:F4)</f>
        <v>37</v>
      </c>
    </row>
    <row r="5" spans="2:8">
      <c r="B5" s="10" t="s">
        <v>1378</v>
      </c>
      <c r="C5" s="10">
        <v>3</v>
      </c>
      <c r="D5" s="10">
        <v>3</v>
      </c>
      <c r="E5" s="10">
        <v>2</v>
      </c>
      <c r="F5" s="10"/>
      <c r="G5" s="10">
        <f>+SUM(C5:F5)</f>
        <v>8</v>
      </c>
    </row>
    <row r="6" spans="2:8">
      <c r="B6" s="10" t="s">
        <v>1379</v>
      </c>
      <c r="C6" s="10">
        <v>6</v>
      </c>
      <c r="D6" s="10">
        <v>6</v>
      </c>
      <c r="E6" s="10">
        <v>6</v>
      </c>
      <c r="F6" s="10"/>
      <c r="G6" s="10">
        <f>+SUM(C6:F6)</f>
        <v>18</v>
      </c>
      <c r="H6" s="104"/>
    </row>
    <row r="7" spans="2:8" ht="3.75" customHeight="1"/>
    <row r="8" spans="2:8">
      <c r="B8" s="485" t="s">
        <v>1380</v>
      </c>
      <c r="C8" s="486"/>
      <c r="D8" s="486"/>
      <c r="E8" s="486"/>
      <c r="F8" s="486"/>
      <c r="G8" s="487"/>
    </row>
    <row r="9" spans="2:8" ht="52.5" customHeight="1">
      <c r="B9" s="488" t="s">
        <v>1373</v>
      </c>
      <c r="C9" s="488" t="s">
        <v>1374</v>
      </c>
      <c r="D9" s="488" t="s">
        <v>1375</v>
      </c>
      <c r="E9" s="488" t="s">
        <v>65</v>
      </c>
      <c r="F9" s="488" t="s">
        <v>1376</v>
      </c>
      <c r="G9" s="488" t="s">
        <v>96</v>
      </c>
    </row>
    <row r="10" spans="2:8">
      <c r="B10" s="10" t="s">
        <v>1377</v>
      </c>
      <c r="C10" s="10">
        <v>6</v>
      </c>
      <c r="D10" s="10">
        <v>6</v>
      </c>
      <c r="E10" s="10">
        <v>6</v>
      </c>
      <c r="F10" s="10">
        <v>4</v>
      </c>
      <c r="G10" s="10">
        <f>+SUM(C10:F10)</f>
        <v>22</v>
      </c>
    </row>
    <row r="11" spans="2:8">
      <c r="B11" s="10" t="s">
        <v>1378</v>
      </c>
      <c r="C11" s="10">
        <v>2</v>
      </c>
      <c r="D11" s="10">
        <v>2</v>
      </c>
      <c r="E11" s="10">
        <v>2</v>
      </c>
      <c r="F11" s="10"/>
      <c r="G11" s="10">
        <f>+SUM(C11:F11)</f>
        <v>6</v>
      </c>
    </row>
    <row r="12" spans="2:8">
      <c r="B12" s="10" t="s">
        <v>1379</v>
      </c>
      <c r="C12" s="10">
        <v>4</v>
      </c>
      <c r="D12" s="10">
        <v>4</v>
      </c>
      <c r="E12" s="10">
        <v>4</v>
      </c>
      <c r="F12" s="10">
        <v>4</v>
      </c>
      <c r="G12" s="10">
        <f>+SUM(C12:F12)</f>
        <v>16</v>
      </c>
    </row>
    <row r="14" spans="2:8">
      <c r="B14" s="485" t="s">
        <v>1381</v>
      </c>
      <c r="C14" s="486"/>
      <c r="D14" s="486"/>
      <c r="E14" s="486"/>
      <c r="F14" s="486"/>
      <c r="G14" s="489"/>
    </row>
    <row r="15" spans="2:8" ht="30">
      <c r="B15" s="488" t="s">
        <v>1373</v>
      </c>
      <c r="C15" s="488" t="s">
        <v>1374</v>
      </c>
      <c r="D15" s="488" t="s">
        <v>1375</v>
      </c>
      <c r="E15" s="488" t="s">
        <v>65</v>
      </c>
      <c r="F15" s="488" t="s">
        <v>96</v>
      </c>
    </row>
    <row r="16" spans="2:8">
      <c r="B16" s="10" t="s">
        <v>1377</v>
      </c>
      <c r="C16" s="371">
        <f>+C10/C4-1</f>
        <v>-0.6</v>
      </c>
      <c r="D16" s="371">
        <f>+D10/D4-1</f>
        <v>-0.45454545454545459</v>
      </c>
      <c r="E16" s="371">
        <f>+E10/E4-1</f>
        <v>-0.45454545454545459</v>
      </c>
      <c r="F16" s="371">
        <f>+G10/G4-1</f>
        <v>-0.40540540540540537</v>
      </c>
    </row>
    <row r="17" spans="2:6">
      <c r="B17" s="10" t="s">
        <v>1378</v>
      </c>
      <c r="C17" s="371">
        <f>+C11/C5-1</f>
        <v>-0.33333333333333337</v>
      </c>
      <c r="D17" s="371">
        <f>+D11/D5-1</f>
        <v>-0.33333333333333337</v>
      </c>
      <c r="E17" s="371">
        <f>+E11/E5-1</f>
        <v>0</v>
      </c>
      <c r="F17" s="371">
        <f>+G11/G5-1</f>
        <v>-0.25</v>
      </c>
    </row>
    <row r="18" spans="2:6">
      <c r="B18" s="10" t="s">
        <v>1379</v>
      </c>
      <c r="C18" s="371">
        <f>+C12/C6-1</f>
        <v>-0.33333333333333337</v>
      </c>
      <c r="D18" s="371">
        <f>+D12/D6-1</f>
        <v>-0.33333333333333337</v>
      </c>
      <c r="E18" s="371">
        <f>+E12/E6-1</f>
        <v>-0.33333333333333337</v>
      </c>
      <c r="F18" s="371">
        <f>+G12/G6-1</f>
        <v>-0.11111111111111116</v>
      </c>
    </row>
    <row r="21" spans="2:6">
      <c r="B21" s="7" t="s">
        <v>1382</v>
      </c>
      <c r="C21" s="369">
        <f>+Scio!E73</f>
        <v>3600</v>
      </c>
      <c r="D21" s="369">
        <f>+C21</f>
        <v>3600</v>
      </c>
      <c r="E21" s="369">
        <f t="shared" ref="E21:F21" si="0">+D21</f>
        <v>3600</v>
      </c>
      <c r="F21" s="369">
        <f t="shared" ref="F21" si="1">+E21</f>
        <v>3600</v>
      </c>
    </row>
    <row r="22" spans="2:6">
      <c r="B22" s="7" t="s">
        <v>1384</v>
      </c>
      <c r="C22" s="369">
        <f>+Scio!C73</f>
        <v>6886.666666666667</v>
      </c>
      <c r="D22" s="369">
        <f t="shared" ref="D22:F23" si="2">+C22</f>
        <v>6886.666666666667</v>
      </c>
      <c r="E22" s="369">
        <f t="shared" si="2"/>
        <v>6886.666666666667</v>
      </c>
      <c r="F22" s="369">
        <f t="shared" ref="F22" si="3">+E22</f>
        <v>6886.666666666667</v>
      </c>
    </row>
    <row r="23" spans="2:6">
      <c r="B23" s="7" t="s">
        <v>1383</v>
      </c>
      <c r="C23" s="369">
        <f>+Scio!D73</f>
        <v>2400</v>
      </c>
      <c r="D23" s="369">
        <f t="shared" si="2"/>
        <v>2400</v>
      </c>
      <c r="E23" s="369">
        <f t="shared" si="2"/>
        <v>2400</v>
      </c>
      <c r="F23" s="369">
        <f t="shared" ref="F23" si="4">+E23</f>
        <v>2400</v>
      </c>
    </row>
    <row r="24" spans="2:6">
      <c r="C24" s="369"/>
      <c r="D24" s="369"/>
      <c r="E24" s="369"/>
      <c r="F24" s="369"/>
    </row>
    <row r="25" spans="2:6">
      <c r="B25" s="7" t="s">
        <v>1385</v>
      </c>
      <c r="C25" s="369">
        <f>+C21*(C4-C10)</f>
        <v>32400</v>
      </c>
      <c r="D25" s="369">
        <f>+D21*(D4-D10)</f>
        <v>18000</v>
      </c>
      <c r="E25" s="369">
        <f t="shared" ref="D25:F25" si="5">+E21*(E4-E10)</f>
        <v>18000</v>
      </c>
      <c r="F25" s="369">
        <f>+F21*(F4-F10)</f>
        <v>-14400</v>
      </c>
    </row>
    <row r="26" spans="2:6">
      <c r="B26" s="7" t="s">
        <v>1384</v>
      </c>
      <c r="C26" s="369">
        <f>+C22*(C5-C11)</f>
        <v>6886.666666666667</v>
      </c>
      <c r="D26" s="369">
        <f>+D22*(D5-D11)</f>
        <v>6886.666666666667</v>
      </c>
      <c r="E26" s="369">
        <f t="shared" ref="C26:F26" si="6">+E22*(E5-E11)</f>
        <v>0</v>
      </c>
      <c r="F26" s="369">
        <f t="shared" ref="F26" si="7">+F22*(F5-F11)</f>
        <v>0</v>
      </c>
    </row>
    <row r="27" spans="2:6">
      <c r="B27" s="7" t="s">
        <v>1383</v>
      </c>
      <c r="C27" s="369">
        <f t="shared" ref="C27:F27" si="8">+C23*(C6-C12)</f>
        <v>4800</v>
      </c>
      <c r="D27" s="369">
        <f>+D23*(D6-D12)</f>
        <v>4800</v>
      </c>
      <c r="E27" s="369">
        <f t="shared" si="8"/>
        <v>4800</v>
      </c>
      <c r="F27" s="369">
        <f t="shared" ref="F27" si="9">+F23*(F6-F12)</f>
        <v>-9600</v>
      </c>
    </row>
    <row r="29" spans="2:6">
      <c r="C29" s="369">
        <f>+C25+$F$25/3</f>
        <v>27600</v>
      </c>
      <c r="D29" s="369">
        <f t="shared" ref="D29:E29" si="10">+D25+$F$25/3</f>
        <v>13200</v>
      </c>
      <c r="E29" s="369">
        <f t="shared" si="10"/>
        <v>13200</v>
      </c>
    </row>
    <row r="30" spans="2:6">
      <c r="C30" s="369">
        <f>+C26</f>
        <v>6886.666666666667</v>
      </c>
      <c r="D30" s="369">
        <f t="shared" ref="D30:E30" si="11">+D26</f>
        <v>6886.666666666667</v>
      </c>
      <c r="E30" s="369">
        <f t="shared" si="11"/>
        <v>0</v>
      </c>
    </row>
    <row r="31" spans="2:6">
      <c r="C31" s="369">
        <f>+C27+($F$27/3)</f>
        <v>1600</v>
      </c>
      <c r="D31" s="369">
        <f t="shared" ref="D31:E31" si="12">+D27+($F$27/3)</f>
        <v>1600</v>
      </c>
      <c r="E31" s="369">
        <f t="shared" si="12"/>
        <v>1600</v>
      </c>
    </row>
    <row r="32" spans="2:6">
      <c r="B32" s="7" t="s">
        <v>1386</v>
      </c>
      <c r="C32" s="369">
        <f>+SUM(C29:C31)</f>
        <v>36086.666666666664</v>
      </c>
      <c r="D32" s="369">
        <f t="shared" ref="D32:E32" si="13">+SUM(D29:D31)</f>
        <v>21686.666666666668</v>
      </c>
      <c r="E32" s="369">
        <f t="shared" si="13"/>
        <v>14800</v>
      </c>
    </row>
    <row r="33" spans="2:5">
      <c r="B33" s="7" t="s">
        <v>75</v>
      </c>
      <c r="C33" s="369">
        <f>(Scio!M3+Scio!M6)/Scio!O9</f>
        <v>121766.1832115718</v>
      </c>
      <c r="D33" s="369">
        <f>+Scio!M4+Scio!M7</f>
        <v>122057895.65463564</v>
      </c>
      <c r="E33" s="369"/>
    </row>
  </sheetData>
  <mergeCells count="3">
    <mergeCell ref="B2:G2"/>
    <mergeCell ref="B8:G8"/>
    <mergeCell ref="B14:F14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0C16C-DE96-466F-8B65-40322B097D3D}">
  <dimension ref="A1:O300"/>
  <sheetViews>
    <sheetView showGridLines="0" topLeftCell="A235" workbookViewId="0">
      <selection activeCell="O253" sqref="O253"/>
    </sheetView>
  </sheetViews>
  <sheetFormatPr baseColWidth="10" defaultRowHeight="15"/>
  <sheetData>
    <row r="1" spans="1:15">
      <c r="A1" s="372" t="s">
        <v>943</v>
      </c>
      <c r="B1" s="372" t="s">
        <v>944</v>
      </c>
      <c r="C1" s="373" t="s">
        <v>945</v>
      </c>
      <c r="D1" s="372" t="s">
        <v>946</v>
      </c>
      <c r="E1" s="373" t="s">
        <v>947</v>
      </c>
      <c r="H1" s="372" t="s">
        <v>943</v>
      </c>
      <c r="I1" s="372" t="s">
        <v>944</v>
      </c>
      <c r="J1" s="373" t="s">
        <v>945</v>
      </c>
      <c r="K1" s="372" t="s">
        <v>946</v>
      </c>
      <c r="L1" s="373" t="s">
        <v>947</v>
      </c>
    </row>
    <row r="2" spans="1:15">
      <c r="A2" s="374" t="s">
        <v>97</v>
      </c>
      <c r="B2" s="375" t="s">
        <v>948</v>
      </c>
      <c r="C2" s="376" t="s">
        <v>949</v>
      </c>
      <c r="D2" s="377">
        <v>1</v>
      </c>
      <c r="E2" s="376">
        <v>44</v>
      </c>
      <c r="H2" s="374" t="s">
        <v>67</v>
      </c>
      <c r="I2" s="375" t="s">
        <v>950</v>
      </c>
      <c r="J2" s="376" t="s">
        <v>951</v>
      </c>
      <c r="K2" s="377">
        <v>1</v>
      </c>
      <c r="L2" s="376">
        <v>109</v>
      </c>
      <c r="N2" s="10" t="s">
        <v>831</v>
      </c>
      <c r="O2" s="10" t="s">
        <v>1352</v>
      </c>
    </row>
    <row r="3" spans="1:15">
      <c r="A3" s="374" t="s">
        <v>97</v>
      </c>
      <c r="B3" s="375" t="s">
        <v>952</v>
      </c>
      <c r="C3" s="376" t="s">
        <v>953</v>
      </c>
      <c r="D3" s="377">
        <v>1</v>
      </c>
      <c r="E3" s="376">
        <v>96</v>
      </c>
      <c r="H3" s="374" t="s">
        <v>67</v>
      </c>
      <c r="I3" s="375" t="s">
        <v>950</v>
      </c>
      <c r="J3" s="376" t="s">
        <v>954</v>
      </c>
      <c r="K3" s="377">
        <v>1</v>
      </c>
      <c r="L3" s="376">
        <v>29</v>
      </c>
      <c r="N3" s="391" t="s">
        <v>97</v>
      </c>
      <c r="O3" s="10">
        <f>+SUMIF($A$2:$A$299,$N$3,$D$2:$D$299)</f>
        <v>175</v>
      </c>
    </row>
    <row r="4" spans="1:15">
      <c r="A4" s="374" t="s">
        <v>97</v>
      </c>
      <c r="B4" s="375" t="s">
        <v>948</v>
      </c>
      <c r="C4" s="376" t="s">
        <v>953</v>
      </c>
      <c r="D4" s="377"/>
      <c r="E4" s="376">
        <v>96</v>
      </c>
      <c r="H4" s="374" t="s">
        <v>67</v>
      </c>
      <c r="I4" s="375" t="s">
        <v>950</v>
      </c>
      <c r="J4" s="376" t="s">
        <v>955</v>
      </c>
      <c r="K4" s="377">
        <v>1</v>
      </c>
      <c r="L4" s="376">
        <v>80</v>
      </c>
      <c r="N4" s="391" t="s">
        <v>66</v>
      </c>
      <c r="O4" s="10">
        <f>+SUMIF($H$2:$H$299,$N$4,$K$2:$K$299)</f>
        <v>58</v>
      </c>
    </row>
    <row r="5" spans="1:15">
      <c r="A5" s="374" t="s">
        <v>97</v>
      </c>
      <c r="B5" s="375" t="s">
        <v>952</v>
      </c>
      <c r="C5" s="376" t="s">
        <v>956</v>
      </c>
      <c r="D5" s="377">
        <v>1</v>
      </c>
      <c r="E5" s="376">
        <v>74</v>
      </c>
      <c r="H5" s="374" t="s">
        <v>67</v>
      </c>
      <c r="I5" s="375" t="s">
        <v>950</v>
      </c>
      <c r="J5" s="376" t="s">
        <v>957</v>
      </c>
      <c r="K5" s="377">
        <v>1</v>
      </c>
      <c r="L5" s="376">
        <v>103</v>
      </c>
      <c r="N5" s="391" t="s">
        <v>253</v>
      </c>
      <c r="O5" s="10">
        <f>+SUMIF($H$2:$H$299,$N$5,$K$2:$K$299)</f>
        <v>73</v>
      </c>
    </row>
    <row r="6" spans="1:15">
      <c r="A6" s="374" t="s">
        <v>97</v>
      </c>
      <c r="B6" s="375" t="s">
        <v>948</v>
      </c>
      <c r="C6" s="376" t="s">
        <v>956</v>
      </c>
      <c r="D6" s="377"/>
      <c r="E6" s="376">
        <v>78</v>
      </c>
      <c r="H6" s="374" t="s">
        <v>67</v>
      </c>
      <c r="I6" s="375" t="s">
        <v>950</v>
      </c>
      <c r="J6" s="376" t="s">
        <v>958</v>
      </c>
      <c r="K6" s="377">
        <v>1</v>
      </c>
      <c r="L6" s="376">
        <v>263</v>
      </c>
      <c r="N6" s="391" t="s">
        <v>69</v>
      </c>
      <c r="O6" s="10">
        <f>+SUMIF($A$2:$A$299,$N$6,$D$2:$D$299)</f>
        <v>32</v>
      </c>
    </row>
    <row r="7" spans="1:15">
      <c r="A7" s="374" t="s">
        <v>97</v>
      </c>
      <c r="B7" s="375" t="s">
        <v>952</v>
      </c>
      <c r="C7" s="376" t="s">
        <v>959</v>
      </c>
      <c r="D7" s="377">
        <v>1</v>
      </c>
      <c r="E7" s="376">
        <v>30</v>
      </c>
      <c r="H7" s="374" t="s">
        <v>67</v>
      </c>
      <c r="I7" s="375" t="s">
        <v>950</v>
      </c>
      <c r="J7" s="376" t="s">
        <v>960</v>
      </c>
      <c r="K7" s="377">
        <v>1</v>
      </c>
      <c r="L7" s="376">
        <v>160</v>
      </c>
      <c r="N7" s="391" t="s">
        <v>67</v>
      </c>
      <c r="O7" s="10">
        <f>+SUMIF($H$2:$H$299,$N$7,$K$2:$K$299)</f>
        <v>152</v>
      </c>
    </row>
    <row r="8" spans="1:15">
      <c r="A8" s="374" t="s">
        <v>97</v>
      </c>
      <c r="B8" s="375" t="s">
        <v>948</v>
      </c>
      <c r="C8" s="376" t="s">
        <v>959</v>
      </c>
      <c r="D8" s="377"/>
      <c r="E8" s="376">
        <v>26</v>
      </c>
      <c r="H8" s="374" t="s">
        <v>67</v>
      </c>
      <c r="I8" s="375" t="s">
        <v>950</v>
      </c>
      <c r="J8" s="376" t="s">
        <v>961</v>
      </c>
      <c r="K8" s="377">
        <v>1</v>
      </c>
      <c r="L8" s="376">
        <v>94</v>
      </c>
    </row>
    <row r="9" spans="1:15">
      <c r="A9" s="374" t="s">
        <v>97</v>
      </c>
      <c r="B9" s="375" t="s">
        <v>948</v>
      </c>
      <c r="C9" s="376" t="s">
        <v>962</v>
      </c>
      <c r="D9" s="377">
        <v>1</v>
      </c>
      <c r="E9" s="376">
        <v>26</v>
      </c>
      <c r="H9" s="374" t="s">
        <v>67</v>
      </c>
      <c r="I9" s="375" t="s">
        <v>950</v>
      </c>
      <c r="J9" s="376" t="s">
        <v>963</v>
      </c>
      <c r="K9" s="377">
        <v>1</v>
      </c>
      <c r="L9" s="376">
        <v>217</v>
      </c>
    </row>
    <row r="10" spans="1:15">
      <c r="A10" s="374" t="s">
        <v>97</v>
      </c>
      <c r="B10" s="375" t="s">
        <v>964</v>
      </c>
      <c r="C10" s="376" t="s">
        <v>962</v>
      </c>
      <c r="D10" s="377">
        <v>1</v>
      </c>
      <c r="E10" s="376">
        <v>72</v>
      </c>
      <c r="H10" s="374" t="s">
        <v>67</v>
      </c>
      <c r="I10" s="375" t="s">
        <v>965</v>
      </c>
      <c r="J10" s="376" t="s">
        <v>966</v>
      </c>
      <c r="K10" s="377">
        <v>1</v>
      </c>
      <c r="L10" s="376">
        <v>26</v>
      </c>
    </row>
    <row r="11" spans="1:15">
      <c r="A11" s="374" t="s">
        <v>97</v>
      </c>
      <c r="B11" s="375" t="s">
        <v>952</v>
      </c>
      <c r="C11" s="376" t="s">
        <v>967</v>
      </c>
      <c r="D11" s="377">
        <v>1</v>
      </c>
      <c r="E11" s="376">
        <v>86</v>
      </c>
      <c r="H11" s="374" t="s">
        <v>67</v>
      </c>
      <c r="I11" s="375" t="s">
        <v>950</v>
      </c>
      <c r="J11" s="376" t="s">
        <v>966</v>
      </c>
      <c r="K11" s="377">
        <v>1</v>
      </c>
      <c r="L11" s="376">
        <v>14</v>
      </c>
    </row>
    <row r="12" spans="1:15">
      <c r="A12" s="374" t="s">
        <v>97</v>
      </c>
      <c r="B12" s="375" t="s">
        <v>948</v>
      </c>
      <c r="C12" s="376" t="s">
        <v>967</v>
      </c>
      <c r="D12" s="377"/>
      <c r="E12" s="376">
        <v>86</v>
      </c>
      <c r="H12" s="374" t="s">
        <v>67</v>
      </c>
      <c r="I12" s="375" t="s">
        <v>950</v>
      </c>
      <c r="J12" s="376" t="s">
        <v>968</v>
      </c>
      <c r="K12" s="377">
        <v>1</v>
      </c>
      <c r="L12" s="376">
        <v>19</v>
      </c>
    </row>
    <row r="13" spans="1:15">
      <c r="A13" s="374" t="s">
        <v>97</v>
      </c>
      <c r="B13" s="375" t="s">
        <v>952</v>
      </c>
      <c r="C13" s="376" t="s">
        <v>969</v>
      </c>
      <c r="D13" s="377">
        <v>1</v>
      </c>
      <c r="E13" s="376">
        <v>104</v>
      </c>
      <c r="H13" s="374" t="s">
        <v>67</v>
      </c>
      <c r="I13" s="375" t="s">
        <v>950</v>
      </c>
      <c r="J13" s="376" t="s">
        <v>970</v>
      </c>
      <c r="K13" s="377">
        <v>1</v>
      </c>
      <c r="L13" s="376">
        <v>10</v>
      </c>
    </row>
    <row r="14" spans="1:15">
      <c r="A14" s="374" t="s">
        <v>97</v>
      </c>
      <c r="B14" s="375" t="s">
        <v>948</v>
      </c>
      <c r="C14" s="376" t="s">
        <v>971</v>
      </c>
      <c r="D14" s="377">
        <v>1</v>
      </c>
      <c r="E14" s="376">
        <v>38</v>
      </c>
      <c r="H14" s="374" t="s">
        <v>67</v>
      </c>
      <c r="I14" s="375" t="s">
        <v>950</v>
      </c>
      <c r="J14" s="376" t="s">
        <v>972</v>
      </c>
      <c r="K14" s="377">
        <v>1</v>
      </c>
      <c r="L14" s="376">
        <v>27</v>
      </c>
    </row>
    <row r="15" spans="1:15">
      <c r="A15" s="374" t="s">
        <v>97</v>
      </c>
      <c r="B15" s="375" t="s">
        <v>952</v>
      </c>
      <c r="C15" s="376" t="s">
        <v>973</v>
      </c>
      <c r="D15" s="377">
        <v>1</v>
      </c>
      <c r="E15" s="376">
        <v>112</v>
      </c>
      <c r="H15" s="374" t="s">
        <v>66</v>
      </c>
      <c r="I15" s="375" t="s">
        <v>948</v>
      </c>
      <c r="J15" s="376" t="s">
        <v>974</v>
      </c>
      <c r="K15" s="377">
        <v>1</v>
      </c>
      <c r="L15" s="376">
        <v>200</v>
      </c>
    </row>
    <row r="16" spans="1:15">
      <c r="A16" s="374" t="s">
        <v>97</v>
      </c>
      <c r="B16" s="375" t="s">
        <v>948</v>
      </c>
      <c r="C16" s="376" t="s">
        <v>973</v>
      </c>
      <c r="D16" s="377"/>
      <c r="E16" s="376">
        <v>94</v>
      </c>
      <c r="H16" s="374" t="s">
        <v>66</v>
      </c>
      <c r="I16" s="375" t="s">
        <v>975</v>
      </c>
      <c r="J16" s="376" t="s">
        <v>976</v>
      </c>
      <c r="K16" s="377">
        <v>1</v>
      </c>
      <c r="L16" s="376">
        <v>264</v>
      </c>
    </row>
    <row r="17" spans="1:12">
      <c r="A17" s="374" t="s">
        <v>97</v>
      </c>
      <c r="B17" s="375" t="s">
        <v>948</v>
      </c>
      <c r="C17" s="376" t="s">
        <v>977</v>
      </c>
      <c r="D17" s="377">
        <v>1</v>
      </c>
      <c r="E17" s="376">
        <v>98</v>
      </c>
      <c r="H17" s="374" t="s">
        <v>66</v>
      </c>
      <c r="I17" s="375" t="s">
        <v>948</v>
      </c>
      <c r="J17" s="376" t="s">
        <v>978</v>
      </c>
      <c r="K17" s="377">
        <v>1</v>
      </c>
      <c r="L17" s="376">
        <v>72</v>
      </c>
    </row>
    <row r="18" spans="1:12">
      <c r="A18" s="374" t="s">
        <v>97</v>
      </c>
      <c r="B18" s="375" t="s">
        <v>964</v>
      </c>
      <c r="C18" s="376" t="s">
        <v>977</v>
      </c>
      <c r="D18" s="377">
        <v>1</v>
      </c>
      <c r="E18" s="376">
        <v>134</v>
      </c>
      <c r="H18" s="374" t="s">
        <v>66</v>
      </c>
      <c r="I18" s="375" t="s">
        <v>948</v>
      </c>
      <c r="J18" s="376" t="s">
        <v>979</v>
      </c>
      <c r="K18" s="377">
        <v>1</v>
      </c>
      <c r="L18" s="376">
        <v>64</v>
      </c>
    </row>
    <row r="19" spans="1:12">
      <c r="A19" s="374" t="s">
        <v>97</v>
      </c>
      <c r="B19" s="375" t="s">
        <v>948</v>
      </c>
      <c r="C19" s="376" t="s">
        <v>980</v>
      </c>
      <c r="D19" s="377">
        <v>1</v>
      </c>
      <c r="E19" s="376">
        <v>92</v>
      </c>
      <c r="H19" s="374" t="s">
        <v>66</v>
      </c>
      <c r="I19" s="375" t="s">
        <v>975</v>
      </c>
      <c r="J19" s="376" t="s">
        <v>981</v>
      </c>
      <c r="K19" s="377">
        <v>1</v>
      </c>
      <c r="L19" s="376">
        <v>54</v>
      </c>
    </row>
    <row r="20" spans="1:12">
      <c r="A20" s="374" t="s">
        <v>97</v>
      </c>
      <c r="B20" s="375" t="s">
        <v>952</v>
      </c>
      <c r="C20" s="376" t="s">
        <v>982</v>
      </c>
      <c r="D20" s="377">
        <v>1</v>
      </c>
      <c r="E20" s="376">
        <v>46</v>
      </c>
      <c r="H20" s="374" t="s">
        <v>66</v>
      </c>
      <c r="I20" s="375" t="s">
        <v>948</v>
      </c>
      <c r="J20" s="376" t="s">
        <v>981</v>
      </c>
      <c r="K20" s="377"/>
      <c r="L20" s="376">
        <v>54</v>
      </c>
    </row>
    <row r="21" spans="1:12">
      <c r="A21" s="374" t="s">
        <v>97</v>
      </c>
      <c r="B21" s="375" t="s">
        <v>983</v>
      </c>
      <c r="C21" s="376" t="s">
        <v>982</v>
      </c>
      <c r="D21" s="377">
        <v>1</v>
      </c>
      <c r="E21" s="376">
        <v>90</v>
      </c>
      <c r="H21" s="374" t="s">
        <v>66</v>
      </c>
      <c r="I21" s="375" t="s">
        <v>975</v>
      </c>
      <c r="J21" s="376" t="s">
        <v>984</v>
      </c>
      <c r="K21" s="377">
        <v>1</v>
      </c>
      <c r="L21" s="376">
        <v>66</v>
      </c>
    </row>
    <row r="22" spans="1:12">
      <c r="A22" s="374" t="s">
        <v>97</v>
      </c>
      <c r="B22" s="375" t="s">
        <v>948</v>
      </c>
      <c r="C22" s="376" t="s">
        <v>982</v>
      </c>
      <c r="D22" s="377"/>
      <c r="E22" s="376">
        <v>40</v>
      </c>
      <c r="H22" s="374" t="s">
        <v>66</v>
      </c>
      <c r="I22" s="375" t="s">
        <v>948</v>
      </c>
      <c r="J22" s="376" t="s">
        <v>984</v>
      </c>
      <c r="K22" s="377"/>
      <c r="L22" s="376">
        <v>66</v>
      </c>
    </row>
    <row r="23" spans="1:12">
      <c r="A23" s="374" t="s">
        <v>97</v>
      </c>
      <c r="B23" s="375" t="s">
        <v>985</v>
      </c>
      <c r="C23" s="376" t="s">
        <v>982</v>
      </c>
      <c r="D23" s="377"/>
      <c r="E23" s="376">
        <v>90</v>
      </c>
      <c r="H23" s="374" t="s">
        <v>66</v>
      </c>
      <c r="I23" s="375" t="s">
        <v>948</v>
      </c>
      <c r="J23" s="376" t="s">
        <v>986</v>
      </c>
      <c r="K23" s="377">
        <v>1</v>
      </c>
      <c r="L23" s="376">
        <v>72</v>
      </c>
    </row>
    <row r="24" spans="1:12">
      <c r="A24" s="374" t="s">
        <v>97</v>
      </c>
      <c r="B24" s="375" t="s">
        <v>948</v>
      </c>
      <c r="C24" s="376" t="s">
        <v>987</v>
      </c>
      <c r="D24" s="377">
        <v>1</v>
      </c>
      <c r="E24" s="376">
        <v>178</v>
      </c>
      <c r="H24" s="374" t="s">
        <v>66</v>
      </c>
      <c r="I24" s="375" t="s">
        <v>975</v>
      </c>
      <c r="J24" s="376" t="s">
        <v>988</v>
      </c>
      <c r="K24" s="377">
        <v>1</v>
      </c>
      <c r="L24" s="376">
        <v>68</v>
      </c>
    </row>
    <row r="25" spans="1:12">
      <c r="A25" s="374" t="s">
        <v>97</v>
      </c>
      <c r="B25" s="375" t="s">
        <v>983</v>
      </c>
      <c r="C25" s="376" t="s">
        <v>989</v>
      </c>
      <c r="D25" s="377">
        <v>1</v>
      </c>
      <c r="E25" s="376">
        <v>80</v>
      </c>
      <c r="H25" s="374" t="s">
        <v>66</v>
      </c>
      <c r="I25" s="375" t="s">
        <v>948</v>
      </c>
      <c r="J25" s="376" t="s">
        <v>988</v>
      </c>
      <c r="K25" s="377"/>
      <c r="L25" s="376">
        <v>68</v>
      </c>
    </row>
    <row r="26" spans="1:12">
      <c r="A26" s="374" t="s">
        <v>97</v>
      </c>
      <c r="B26" s="375" t="s">
        <v>948</v>
      </c>
      <c r="C26" s="376" t="s">
        <v>989</v>
      </c>
      <c r="D26" s="377"/>
      <c r="E26" s="376">
        <v>44</v>
      </c>
      <c r="H26" s="374" t="s">
        <v>66</v>
      </c>
      <c r="I26" s="375" t="s">
        <v>948</v>
      </c>
      <c r="J26" s="376" t="s">
        <v>990</v>
      </c>
      <c r="K26" s="377">
        <v>1</v>
      </c>
      <c r="L26" s="376">
        <v>58</v>
      </c>
    </row>
    <row r="27" spans="1:12">
      <c r="A27" s="374" t="s">
        <v>97</v>
      </c>
      <c r="B27" s="375" t="s">
        <v>985</v>
      </c>
      <c r="C27" s="376" t="s">
        <v>989</v>
      </c>
      <c r="D27" s="377">
        <v>1</v>
      </c>
      <c r="E27" s="376">
        <v>80</v>
      </c>
      <c r="H27" s="374" t="s">
        <v>66</v>
      </c>
      <c r="I27" s="375" t="s">
        <v>975</v>
      </c>
      <c r="J27" s="376" t="s">
        <v>991</v>
      </c>
      <c r="K27" s="377">
        <v>1</v>
      </c>
      <c r="L27" s="376">
        <v>49</v>
      </c>
    </row>
    <row r="28" spans="1:12">
      <c r="A28" s="374" t="s">
        <v>97</v>
      </c>
      <c r="B28" s="375" t="s">
        <v>952</v>
      </c>
      <c r="C28" s="376" t="s">
        <v>992</v>
      </c>
      <c r="D28" s="377">
        <v>1</v>
      </c>
      <c r="E28" s="376">
        <v>78</v>
      </c>
      <c r="H28" s="374" t="s">
        <v>66</v>
      </c>
      <c r="I28" s="375" t="s">
        <v>948</v>
      </c>
      <c r="J28" s="376" t="s">
        <v>991</v>
      </c>
      <c r="K28" s="377"/>
      <c r="L28" s="376">
        <v>43</v>
      </c>
    </row>
    <row r="29" spans="1:12">
      <c r="A29" s="374" t="s">
        <v>97</v>
      </c>
      <c r="B29" s="375" t="s">
        <v>948</v>
      </c>
      <c r="C29" s="376" t="s">
        <v>992</v>
      </c>
      <c r="D29" s="377"/>
      <c r="E29" s="376">
        <v>72</v>
      </c>
      <c r="H29" s="374" t="s">
        <v>66</v>
      </c>
      <c r="I29" s="375" t="s">
        <v>948</v>
      </c>
      <c r="J29" s="376" t="s">
        <v>993</v>
      </c>
      <c r="K29" s="377">
        <v>1</v>
      </c>
      <c r="L29" s="376">
        <v>74</v>
      </c>
    </row>
    <row r="30" spans="1:12">
      <c r="A30" s="374" t="s">
        <v>97</v>
      </c>
      <c r="B30" s="375" t="s">
        <v>948</v>
      </c>
      <c r="C30" s="376" t="s">
        <v>994</v>
      </c>
      <c r="D30" s="377">
        <v>1</v>
      </c>
      <c r="E30" s="376">
        <v>88</v>
      </c>
      <c r="H30" s="374" t="s">
        <v>66</v>
      </c>
      <c r="I30" s="375" t="s">
        <v>975</v>
      </c>
      <c r="J30" s="376" t="s">
        <v>995</v>
      </c>
      <c r="K30" s="377">
        <v>1</v>
      </c>
      <c r="L30" s="376">
        <v>142</v>
      </c>
    </row>
    <row r="31" spans="1:12">
      <c r="A31" s="374" t="s">
        <v>97</v>
      </c>
      <c r="B31" s="375" t="s">
        <v>952</v>
      </c>
      <c r="C31" s="376" t="s">
        <v>996</v>
      </c>
      <c r="D31" s="377">
        <v>1</v>
      </c>
      <c r="E31" s="376">
        <v>136</v>
      </c>
      <c r="H31" s="374" t="s">
        <v>66</v>
      </c>
      <c r="I31" s="375" t="s">
        <v>948</v>
      </c>
      <c r="J31" s="376" t="s">
        <v>995</v>
      </c>
      <c r="K31" s="377"/>
      <c r="L31" s="376">
        <v>142</v>
      </c>
    </row>
    <row r="32" spans="1:12">
      <c r="A32" s="374" t="s">
        <v>97</v>
      </c>
      <c r="B32" s="375" t="s">
        <v>948</v>
      </c>
      <c r="C32" s="376" t="s">
        <v>997</v>
      </c>
      <c r="D32" s="377">
        <v>1</v>
      </c>
      <c r="E32" s="376">
        <v>90</v>
      </c>
      <c r="H32" s="374" t="s">
        <v>66</v>
      </c>
      <c r="I32" s="375" t="s">
        <v>948</v>
      </c>
      <c r="J32" s="376" t="s">
        <v>998</v>
      </c>
      <c r="K32" s="377">
        <v>1</v>
      </c>
      <c r="L32" s="376">
        <v>80</v>
      </c>
    </row>
    <row r="33" spans="1:12">
      <c r="A33" s="374" t="s">
        <v>97</v>
      </c>
      <c r="B33" s="375" t="s">
        <v>948</v>
      </c>
      <c r="C33" s="376" t="s">
        <v>999</v>
      </c>
      <c r="D33" s="377">
        <v>1</v>
      </c>
      <c r="E33" s="376">
        <v>108</v>
      </c>
      <c r="H33" s="374" t="s">
        <v>66</v>
      </c>
      <c r="I33" s="375" t="s">
        <v>975</v>
      </c>
      <c r="J33" s="376" t="s">
        <v>1000</v>
      </c>
      <c r="K33" s="377">
        <v>1</v>
      </c>
      <c r="L33" s="376">
        <v>74</v>
      </c>
    </row>
    <row r="34" spans="1:12">
      <c r="A34" s="374" t="s">
        <v>97</v>
      </c>
      <c r="B34" s="375" t="s">
        <v>952</v>
      </c>
      <c r="C34" s="376" t="s">
        <v>1001</v>
      </c>
      <c r="D34" s="377">
        <v>1</v>
      </c>
      <c r="E34" s="376">
        <v>18</v>
      </c>
      <c r="H34" s="374" t="s">
        <v>66</v>
      </c>
      <c r="I34" s="375" t="s">
        <v>948</v>
      </c>
      <c r="J34" s="376" t="s">
        <v>1000</v>
      </c>
      <c r="K34" s="377"/>
      <c r="L34" s="376">
        <v>74</v>
      </c>
    </row>
    <row r="35" spans="1:12">
      <c r="A35" s="374" t="s">
        <v>97</v>
      </c>
      <c r="B35" s="375" t="s">
        <v>948</v>
      </c>
      <c r="C35" s="376" t="s">
        <v>1001</v>
      </c>
      <c r="D35" s="377"/>
      <c r="E35" s="376">
        <v>18</v>
      </c>
      <c r="H35" s="374" t="s">
        <v>66</v>
      </c>
      <c r="I35" s="375" t="s">
        <v>948</v>
      </c>
      <c r="J35" s="376" t="s">
        <v>1002</v>
      </c>
      <c r="K35" s="377">
        <v>1</v>
      </c>
      <c r="L35" s="376">
        <v>80</v>
      </c>
    </row>
    <row r="36" spans="1:12">
      <c r="A36" s="374" t="s">
        <v>97</v>
      </c>
      <c r="B36" s="375" t="s">
        <v>952</v>
      </c>
      <c r="C36" s="376" t="s">
        <v>1003</v>
      </c>
      <c r="D36" s="377">
        <v>1</v>
      </c>
      <c r="E36" s="376">
        <v>40</v>
      </c>
      <c r="H36" s="374" t="s">
        <v>66</v>
      </c>
      <c r="I36" s="375" t="s">
        <v>1004</v>
      </c>
      <c r="J36" s="376" t="s">
        <v>1005</v>
      </c>
      <c r="K36" s="377">
        <v>1</v>
      </c>
      <c r="L36" s="376">
        <v>58</v>
      </c>
    </row>
    <row r="37" spans="1:12">
      <c r="A37" s="374" t="s">
        <v>97</v>
      </c>
      <c r="B37" s="375" t="s">
        <v>948</v>
      </c>
      <c r="C37" s="376" t="s">
        <v>1003</v>
      </c>
      <c r="D37" s="377"/>
      <c r="E37" s="376">
        <v>40</v>
      </c>
      <c r="H37" s="374" t="s">
        <v>66</v>
      </c>
      <c r="I37" s="375" t="s">
        <v>975</v>
      </c>
      <c r="J37" s="376" t="s">
        <v>1006</v>
      </c>
      <c r="K37" s="377">
        <v>1</v>
      </c>
      <c r="L37" s="376">
        <v>60</v>
      </c>
    </row>
    <row r="38" spans="1:12">
      <c r="A38" s="374" t="s">
        <v>97</v>
      </c>
      <c r="B38" s="375" t="s">
        <v>948</v>
      </c>
      <c r="C38" s="376" t="s">
        <v>1007</v>
      </c>
      <c r="D38" s="377">
        <v>1</v>
      </c>
      <c r="E38" s="376">
        <v>90</v>
      </c>
      <c r="H38" s="374" t="s">
        <v>66</v>
      </c>
      <c r="I38" s="375" t="s">
        <v>1008</v>
      </c>
      <c r="J38" s="376" t="s">
        <v>1009</v>
      </c>
      <c r="K38" s="377">
        <v>1</v>
      </c>
      <c r="L38" s="376">
        <v>104</v>
      </c>
    </row>
    <row r="39" spans="1:12">
      <c r="A39" s="374" t="s">
        <v>97</v>
      </c>
      <c r="B39" s="375" t="s">
        <v>948</v>
      </c>
      <c r="C39" s="376" t="s">
        <v>1010</v>
      </c>
      <c r="D39" s="377">
        <v>1</v>
      </c>
      <c r="E39" s="376">
        <v>82</v>
      </c>
      <c r="H39" s="374" t="s">
        <v>66</v>
      </c>
      <c r="I39" s="375" t="s">
        <v>975</v>
      </c>
      <c r="J39" s="376" t="s">
        <v>1011</v>
      </c>
      <c r="K39" s="377">
        <v>1</v>
      </c>
      <c r="L39" s="376">
        <v>46</v>
      </c>
    </row>
    <row r="40" spans="1:12">
      <c r="A40" s="374" t="s">
        <v>97</v>
      </c>
      <c r="B40" s="375" t="s">
        <v>952</v>
      </c>
      <c r="C40" s="376" t="s">
        <v>1012</v>
      </c>
      <c r="D40" s="377">
        <v>1</v>
      </c>
      <c r="E40" s="376">
        <v>74</v>
      </c>
      <c r="H40" s="374" t="s">
        <v>66</v>
      </c>
      <c r="I40" s="375" t="s">
        <v>948</v>
      </c>
      <c r="J40" s="376" t="s">
        <v>1011</v>
      </c>
      <c r="K40" s="377"/>
      <c r="L40" s="376">
        <v>33</v>
      </c>
    </row>
    <row r="41" spans="1:12">
      <c r="A41" s="374" t="s">
        <v>97</v>
      </c>
      <c r="B41" s="375" t="s">
        <v>1013</v>
      </c>
      <c r="C41" s="376" t="s">
        <v>1012</v>
      </c>
      <c r="D41" s="377"/>
      <c r="E41" s="376">
        <v>40</v>
      </c>
      <c r="H41" s="374" t="s">
        <v>66</v>
      </c>
      <c r="I41" s="375" t="s">
        <v>975</v>
      </c>
      <c r="J41" s="376" t="s">
        <v>1014</v>
      </c>
      <c r="K41" s="377">
        <v>1</v>
      </c>
      <c r="L41" s="376">
        <v>68</v>
      </c>
    </row>
    <row r="42" spans="1:12">
      <c r="A42" s="374" t="s">
        <v>97</v>
      </c>
      <c r="B42" s="375" t="s">
        <v>948</v>
      </c>
      <c r="C42" s="376" t="s">
        <v>1015</v>
      </c>
      <c r="D42" s="377">
        <v>1</v>
      </c>
      <c r="E42" s="376">
        <v>34</v>
      </c>
      <c r="H42" s="374" t="s">
        <v>66</v>
      </c>
      <c r="I42" s="375" t="s">
        <v>948</v>
      </c>
      <c r="J42" s="376" t="s">
        <v>1014</v>
      </c>
      <c r="K42" s="377"/>
      <c r="L42" s="376">
        <v>114</v>
      </c>
    </row>
    <row r="43" spans="1:12">
      <c r="A43" s="374" t="s">
        <v>97</v>
      </c>
      <c r="B43" s="375" t="s">
        <v>952</v>
      </c>
      <c r="C43" s="376" t="s">
        <v>1016</v>
      </c>
      <c r="D43" s="377">
        <v>1</v>
      </c>
      <c r="E43" s="376">
        <v>68</v>
      </c>
      <c r="H43" s="374" t="s">
        <v>66</v>
      </c>
      <c r="I43" s="375" t="s">
        <v>948</v>
      </c>
      <c r="J43" s="376" t="s">
        <v>1017</v>
      </c>
      <c r="K43" s="377">
        <v>1</v>
      </c>
      <c r="L43" s="376">
        <v>86</v>
      </c>
    </row>
    <row r="44" spans="1:12">
      <c r="A44" s="374" t="s">
        <v>97</v>
      </c>
      <c r="B44" s="375" t="s">
        <v>948</v>
      </c>
      <c r="C44" s="376" t="s">
        <v>1016</v>
      </c>
      <c r="D44" s="377"/>
      <c r="E44" s="376">
        <v>68</v>
      </c>
      <c r="H44" s="374" t="s">
        <v>66</v>
      </c>
      <c r="I44" s="375" t="s">
        <v>948</v>
      </c>
      <c r="J44" s="376" t="s">
        <v>1018</v>
      </c>
      <c r="K44" s="377">
        <v>1</v>
      </c>
      <c r="L44" s="376">
        <v>80</v>
      </c>
    </row>
    <row r="45" spans="1:12">
      <c r="A45" s="374" t="s">
        <v>97</v>
      </c>
      <c r="B45" s="375" t="s">
        <v>952</v>
      </c>
      <c r="C45" s="376" t="s">
        <v>1019</v>
      </c>
      <c r="D45" s="377">
        <v>1</v>
      </c>
      <c r="E45" s="376">
        <v>66</v>
      </c>
      <c r="H45" s="374" t="s">
        <v>66</v>
      </c>
      <c r="I45" s="375" t="s">
        <v>975</v>
      </c>
      <c r="J45" s="376" t="s">
        <v>1020</v>
      </c>
      <c r="K45" s="377">
        <v>1</v>
      </c>
      <c r="L45" s="376">
        <v>26</v>
      </c>
    </row>
    <row r="46" spans="1:12">
      <c r="A46" s="374" t="s">
        <v>97</v>
      </c>
      <c r="B46" s="375" t="s">
        <v>948</v>
      </c>
      <c r="C46" s="376" t="s">
        <v>1019</v>
      </c>
      <c r="D46" s="377"/>
      <c r="E46" s="376">
        <v>66</v>
      </c>
      <c r="H46" s="374" t="s">
        <v>66</v>
      </c>
      <c r="I46" s="375" t="s">
        <v>948</v>
      </c>
      <c r="J46" s="376" t="s">
        <v>1020</v>
      </c>
      <c r="K46" s="377"/>
      <c r="L46" s="376">
        <v>26</v>
      </c>
    </row>
    <row r="47" spans="1:12">
      <c r="A47" s="374" t="s">
        <v>97</v>
      </c>
      <c r="B47" s="375" t="s">
        <v>948</v>
      </c>
      <c r="C47" s="376" t="s">
        <v>1021</v>
      </c>
      <c r="D47" s="377">
        <v>1</v>
      </c>
      <c r="E47" s="376">
        <v>96</v>
      </c>
      <c r="H47" s="374" t="s">
        <v>66</v>
      </c>
      <c r="I47" s="375" t="s">
        <v>948</v>
      </c>
      <c r="J47" s="376" t="s">
        <v>1022</v>
      </c>
      <c r="K47" s="377">
        <v>1</v>
      </c>
      <c r="L47" s="376">
        <v>100</v>
      </c>
    </row>
    <row r="48" spans="1:12">
      <c r="A48" s="374" t="s">
        <v>97</v>
      </c>
      <c r="B48" s="375" t="s">
        <v>952</v>
      </c>
      <c r="C48" s="376" t="s">
        <v>1023</v>
      </c>
      <c r="D48" s="377">
        <v>1</v>
      </c>
      <c r="E48" s="376">
        <v>54</v>
      </c>
      <c r="H48" s="374" t="s">
        <v>66</v>
      </c>
      <c r="I48" s="375" t="s">
        <v>975</v>
      </c>
      <c r="J48" s="376" t="s">
        <v>1024</v>
      </c>
      <c r="K48" s="377">
        <v>1</v>
      </c>
      <c r="L48" s="376">
        <v>86</v>
      </c>
    </row>
    <row r="49" spans="1:12">
      <c r="A49" s="374" t="s">
        <v>97</v>
      </c>
      <c r="B49" s="375" t="s">
        <v>948</v>
      </c>
      <c r="C49" s="376" t="s">
        <v>1023</v>
      </c>
      <c r="D49" s="377"/>
      <c r="E49" s="376">
        <v>48</v>
      </c>
      <c r="H49" s="374" t="s">
        <v>66</v>
      </c>
      <c r="I49" s="375" t="s">
        <v>948</v>
      </c>
      <c r="J49" s="376" t="s">
        <v>1024</v>
      </c>
      <c r="K49" s="377"/>
      <c r="L49" s="376">
        <v>86</v>
      </c>
    </row>
    <row r="50" spans="1:12">
      <c r="A50" s="374" t="s">
        <v>97</v>
      </c>
      <c r="B50" s="375" t="s">
        <v>985</v>
      </c>
      <c r="C50" s="376" t="s">
        <v>1023</v>
      </c>
      <c r="D50" s="377">
        <v>1</v>
      </c>
      <c r="E50" s="376">
        <v>72</v>
      </c>
      <c r="H50" s="374" t="s">
        <v>66</v>
      </c>
      <c r="I50" s="375" t="s">
        <v>1008</v>
      </c>
      <c r="J50" s="376" t="s">
        <v>1025</v>
      </c>
      <c r="K50" s="377">
        <v>1</v>
      </c>
      <c r="L50" s="376">
        <v>60</v>
      </c>
    </row>
    <row r="51" spans="1:12">
      <c r="A51" s="374" t="s">
        <v>97</v>
      </c>
      <c r="B51" s="375" t="s">
        <v>952</v>
      </c>
      <c r="C51" s="376" t="s">
        <v>1026</v>
      </c>
      <c r="D51" s="377">
        <v>1</v>
      </c>
      <c r="E51" s="376">
        <v>70</v>
      </c>
      <c r="H51" s="374" t="s">
        <v>66</v>
      </c>
      <c r="I51" s="375" t="s">
        <v>975</v>
      </c>
      <c r="J51" s="376" t="s">
        <v>1027</v>
      </c>
      <c r="K51" s="377">
        <v>1</v>
      </c>
      <c r="L51" s="376">
        <v>66</v>
      </c>
    </row>
    <row r="52" spans="1:12">
      <c r="A52" s="374" t="s">
        <v>97</v>
      </c>
      <c r="B52" s="375" t="s">
        <v>948</v>
      </c>
      <c r="C52" s="376" t="s">
        <v>1026</v>
      </c>
      <c r="D52" s="377"/>
      <c r="E52" s="376">
        <v>50</v>
      </c>
      <c r="H52" s="374" t="s">
        <v>66</v>
      </c>
      <c r="I52" s="375" t="s">
        <v>975</v>
      </c>
      <c r="J52" s="376" t="s">
        <v>1028</v>
      </c>
      <c r="K52" s="377">
        <v>1</v>
      </c>
      <c r="L52" s="376">
        <v>25</v>
      </c>
    </row>
    <row r="53" spans="1:12">
      <c r="A53" s="374" t="s">
        <v>97</v>
      </c>
      <c r="B53" s="375" t="s">
        <v>985</v>
      </c>
      <c r="C53" s="376" t="s">
        <v>1026</v>
      </c>
      <c r="D53" s="377"/>
      <c r="E53" s="376">
        <v>66</v>
      </c>
      <c r="H53" s="374" t="s">
        <v>66</v>
      </c>
      <c r="I53" s="375" t="s">
        <v>1008</v>
      </c>
      <c r="J53" s="376" t="s">
        <v>1028</v>
      </c>
      <c r="K53" s="377">
        <v>1</v>
      </c>
      <c r="L53" s="376">
        <v>43</v>
      </c>
    </row>
    <row r="54" spans="1:12">
      <c r="A54" s="374" t="s">
        <v>97</v>
      </c>
      <c r="B54" s="375" t="s">
        <v>952</v>
      </c>
      <c r="C54" s="376" t="s">
        <v>1029</v>
      </c>
      <c r="D54" s="377">
        <v>1</v>
      </c>
      <c r="E54" s="376">
        <v>40</v>
      </c>
      <c r="H54" s="374" t="s">
        <v>66</v>
      </c>
      <c r="I54" s="375" t="s">
        <v>948</v>
      </c>
      <c r="J54" s="376" t="s">
        <v>1028</v>
      </c>
      <c r="K54" s="377"/>
      <c r="L54" s="376">
        <v>25</v>
      </c>
    </row>
    <row r="55" spans="1:12">
      <c r="A55" s="374" t="s">
        <v>97</v>
      </c>
      <c r="B55" s="375" t="s">
        <v>948</v>
      </c>
      <c r="C55" s="376" t="s">
        <v>1029</v>
      </c>
      <c r="D55" s="377"/>
      <c r="E55" s="376">
        <v>40</v>
      </c>
      <c r="H55" s="374" t="s">
        <v>66</v>
      </c>
      <c r="I55" s="375" t="s">
        <v>975</v>
      </c>
      <c r="J55" s="376" t="s">
        <v>1030</v>
      </c>
      <c r="K55" s="377">
        <v>1</v>
      </c>
      <c r="L55" s="376">
        <v>78</v>
      </c>
    </row>
    <row r="56" spans="1:12">
      <c r="A56" s="374" t="s">
        <v>97</v>
      </c>
      <c r="B56" s="375" t="s">
        <v>952</v>
      </c>
      <c r="C56" s="376" t="s">
        <v>1031</v>
      </c>
      <c r="D56" s="377">
        <v>1</v>
      </c>
      <c r="E56" s="376">
        <v>34</v>
      </c>
      <c r="H56" s="374" t="s">
        <v>66</v>
      </c>
      <c r="I56" s="375" t="s">
        <v>948</v>
      </c>
      <c r="J56" s="376" t="s">
        <v>1030</v>
      </c>
      <c r="K56" s="377"/>
      <c r="L56" s="376">
        <v>78</v>
      </c>
    </row>
    <row r="57" spans="1:12">
      <c r="A57" s="374" t="s">
        <v>97</v>
      </c>
      <c r="B57" s="375" t="s">
        <v>948</v>
      </c>
      <c r="C57" s="376" t="s">
        <v>1031</v>
      </c>
      <c r="D57" s="377"/>
      <c r="E57" s="376">
        <v>34</v>
      </c>
      <c r="H57" s="374" t="s">
        <v>66</v>
      </c>
      <c r="I57" s="375" t="s">
        <v>975</v>
      </c>
      <c r="J57" s="376" t="s">
        <v>1032</v>
      </c>
      <c r="K57" s="377">
        <v>1</v>
      </c>
      <c r="L57" s="376">
        <v>46</v>
      </c>
    </row>
    <row r="58" spans="1:12">
      <c r="A58" s="374" t="s">
        <v>97</v>
      </c>
      <c r="B58" s="375" t="s">
        <v>985</v>
      </c>
      <c r="C58" s="376" t="s">
        <v>1031</v>
      </c>
      <c r="D58" s="377"/>
      <c r="E58" s="376">
        <v>120</v>
      </c>
      <c r="H58" s="374" t="s">
        <v>66</v>
      </c>
      <c r="I58" s="375" t="s">
        <v>948</v>
      </c>
      <c r="J58" s="376" t="s">
        <v>1032</v>
      </c>
      <c r="K58" s="377"/>
      <c r="L58" s="376">
        <v>46</v>
      </c>
    </row>
    <row r="59" spans="1:12">
      <c r="A59" s="374" t="s">
        <v>97</v>
      </c>
      <c r="B59" s="375" t="s">
        <v>983</v>
      </c>
      <c r="C59" s="376" t="s">
        <v>1033</v>
      </c>
      <c r="D59" s="377">
        <v>1</v>
      </c>
      <c r="E59" s="376">
        <v>46</v>
      </c>
      <c r="H59" s="374" t="s">
        <v>66</v>
      </c>
      <c r="I59" s="375" t="s">
        <v>975</v>
      </c>
      <c r="J59" s="376" t="s">
        <v>1034</v>
      </c>
      <c r="K59" s="377">
        <v>1</v>
      </c>
      <c r="L59" s="376">
        <v>37</v>
      </c>
    </row>
    <row r="60" spans="1:12">
      <c r="A60" s="374" t="s">
        <v>97</v>
      </c>
      <c r="B60" s="375" t="s">
        <v>948</v>
      </c>
      <c r="C60" s="376" t="s">
        <v>1033</v>
      </c>
      <c r="D60" s="377">
        <v>1</v>
      </c>
      <c r="E60" s="376">
        <v>76</v>
      </c>
      <c r="H60" s="374" t="s">
        <v>66</v>
      </c>
      <c r="I60" s="375" t="s">
        <v>948</v>
      </c>
      <c r="J60" s="376" t="s">
        <v>1034</v>
      </c>
      <c r="K60" s="377"/>
      <c r="L60" s="376">
        <v>30</v>
      </c>
    </row>
    <row r="61" spans="1:12">
      <c r="A61" s="374" t="s">
        <v>97</v>
      </c>
      <c r="B61" s="375" t="s">
        <v>985</v>
      </c>
      <c r="C61" s="376" t="s">
        <v>1033</v>
      </c>
      <c r="D61" s="377"/>
      <c r="E61" s="376">
        <v>46</v>
      </c>
      <c r="H61" s="374" t="s">
        <v>66</v>
      </c>
      <c r="I61" s="375" t="s">
        <v>975</v>
      </c>
      <c r="J61" s="376" t="s">
        <v>1035</v>
      </c>
      <c r="K61" s="377">
        <v>1</v>
      </c>
      <c r="L61" s="376">
        <v>40</v>
      </c>
    </row>
    <row r="62" spans="1:12">
      <c r="A62" s="374" t="s">
        <v>97</v>
      </c>
      <c r="B62" s="375" t="s">
        <v>952</v>
      </c>
      <c r="C62" s="376" t="s">
        <v>1036</v>
      </c>
      <c r="D62" s="377">
        <v>1</v>
      </c>
      <c r="E62" s="376">
        <v>106</v>
      </c>
      <c r="H62" s="374" t="s">
        <v>66</v>
      </c>
      <c r="I62" s="375" t="s">
        <v>975</v>
      </c>
      <c r="J62" s="376" t="s">
        <v>1037</v>
      </c>
      <c r="K62" s="377">
        <v>1</v>
      </c>
      <c r="L62" s="376">
        <v>56</v>
      </c>
    </row>
    <row r="63" spans="1:12">
      <c r="A63" s="374" t="s">
        <v>97</v>
      </c>
      <c r="B63" s="375" t="s">
        <v>948</v>
      </c>
      <c r="C63" s="376" t="s">
        <v>1036</v>
      </c>
      <c r="D63" s="377"/>
      <c r="E63" s="376">
        <v>106</v>
      </c>
      <c r="H63" s="374" t="s">
        <v>66</v>
      </c>
      <c r="I63" s="375" t="s">
        <v>948</v>
      </c>
      <c r="J63" s="376" t="s">
        <v>1037</v>
      </c>
      <c r="K63" s="377"/>
      <c r="L63" s="376">
        <v>56</v>
      </c>
    </row>
    <row r="64" spans="1:12">
      <c r="A64" s="374" t="s">
        <v>97</v>
      </c>
      <c r="B64" s="375" t="s">
        <v>952</v>
      </c>
      <c r="C64" s="376" t="s">
        <v>1038</v>
      </c>
      <c r="D64" s="377">
        <v>1</v>
      </c>
      <c r="E64" s="376">
        <v>60</v>
      </c>
      <c r="H64" s="374" t="s">
        <v>67</v>
      </c>
      <c r="I64" s="375" t="s">
        <v>950</v>
      </c>
      <c r="J64" s="376" t="s">
        <v>1039</v>
      </c>
      <c r="K64" s="377">
        <v>1</v>
      </c>
      <c r="L64" s="376">
        <v>296</v>
      </c>
    </row>
    <row r="65" spans="1:12">
      <c r="A65" s="374" t="s">
        <v>97</v>
      </c>
      <c r="B65" s="375" t="s">
        <v>948</v>
      </c>
      <c r="C65" s="376" t="s">
        <v>1038</v>
      </c>
      <c r="D65" s="377"/>
      <c r="E65" s="376">
        <v>50</v>
      </c>
      <c r="H65" s="374" t="s">
        <v>67</v>
      </c>
      <c r="I65" s="375" t="s">
        <v>950</v>
      </c>
      <c r="J65" s="376" t="s">
        <v>1040</v>
      </c>
      <c r="K65" s="377">
        <v>1</v>
      </c>
      <c r="L65" s="376">
        <v>306</v>
      </c>
    </row>
    <row r="66" spans="1:12">
      <c r="A66" s="374" t="s">
        <v>97</v>
      </c>
      <c r="B66" s="375" t="s">
        <v>952</v>
      </c>
      <c r="C66" s="376" t="s">
        <v>1041</v>
      </c>
      <c r="D66" s="377">
        <v>1</v>
      </c>
      <c r="E66" s="376">
        <v>46</v>
      </c>
      <c r="H66" s="374" t="s">
        <v>67</v>
      </c>
      <c r="I66" s="375" t="s">
        <v>950</v>
      </c>
      <c r="J66" s="376" t="s">
        <v>1042</v>
      </c>
      <c r="K66" s="377">
        <v>1</v>
      </c>
      <c r="L66" s="376">
        <v>157</v>
      </c>
    </row>
    <row r="67" spans="1:12">
      <c r="A67" s="374" t="s">
        <v>97</v>
      </c>
      <c r="B67" s="375" t="s">
        <v>948</v>
      </c>
      <c r="C67" s="376" t="s">
        <v>1041</v>
      </c>
      <c r="D67" s="377"/>
      <c r="E67" s="376">
        <v>38</v>
      </c>
      <c r="H67" s="374" t="s">
        <v>67</v>
      </c>
      <c r="I67" s="375" t="s">
        <v>950</v>
      </c>
      <c r="J67" s="376" t="s">
        <v>1043</v>
      </c>
      <c r="K67" s="377">
        <v>1</v>
      </c>
      <c r="L67" s="376">
        <v>128</v>
      </c>
    </row>
    <row r="68" spans="1:12">
      <c r="A68" s="374" t="s">
        <v>97</v>
      </c>
      <c r="B68" s="375" t="s">
        <v>964</v>
      </c>
      <c r="C68" s="376" t="s">
        <v>1041</v>
      </c>
      <c r="D68" s="377">
        <v>1</v>
      </c>
      <c r="E68" s="376">
        <v>90</v>
      </c>
      <c r="H68" s="374" t="s">
        <v>67</v>
      </c>
      <c r="I68" s="375" t="s">
        <v>950</v>
      </c>
      <c r="J68" s="376" t="s">
        <v>1044</v>
      </c>
      <c r="K68" s="377">
        <v>1</v>
      </c>
      <c r="L68" s="376">
        <v>110</v>
      </c>
    </row>
    <row r="69" spans="1:12">
      <c r="A69" s="374" t="s">
        <v>97</v>
      </c>
      <c r="B69" s="375" t="s">
        <v>952</v>
      </c>
      <c r="C69" s="376" t="s">
        <v>1045</v>
      </c>
      <c r="D69" s="377">
        <v>1</v>
      </c>
      <c r="E69" s="376">
        <v>90</v>
      </c>
      <c r="H69" s="374" t="s">
        <v>67</v>
      </c>
      <c r="I69" s="375" t="s">
        <v>950</v>
      </c>
      <c r="J69" s="376" t="s">
        <v>1046</v>
      </c>
      <c r="K69" s="377">
        <v>1</v>
      </c>
      <c r="L69" s="376">
        <v>85</v>
      </c>
    </row>
    <row r="70" spans="1:12">
      <c r="A70" s="374" t="s">
        <v>97</v>
      </c>
      <c r="B70" s="375" t="s">
        <v>948</v>
      </c>
      <c r="C70" s="376" t="s">
        <v>1045</v>
      </c>
      <c r="D70" s="377"/>
      <c r="E70" s="376">
        <v>82</v>
      </c>
      <c r="H70" s="374" t="s">
        <v>67</v>
      </c>
      <c r="I70" s="375" t="s">
        <v>950</v>
      </c>
      <c r="J70" s="376" t="s">
        <v>1047</v>
      </c>
      <c r="K70" s="377">
        <v>1</v>
      </c>
      <c r="L70" s="376">
        <v>51</v>
      </c>
    </row>
    <row r="71" spans="1:12">
      <c r="A71" s="374" t="s">
        <v>97</v>
      </c>
      <c r="B71" s="375" t="s">
        <v>948</v>
      </c>
      <c r="C71" s="376" t="s">
        <v>1048</v>
      </c>
      <c r="D71" s="377">
        <v>1</v>
      </c>
      <c r="E71" s="376">
        <v>80</v>
      </c>
      <c r="H71" s="374" t="s">
        <v>67</v>
      </c>
      <c r="I71" s="375" t="s">
        <v>950</v>
      </c>
      <c r="J71" s="376" t="s">
        <v>1049</v>
      </c>
      <c r="K71" s="377">
        <v>1</v>
      </c>
      <c r="L71" s="376">
        <v>70</v>
      </c>
    </row>
    <row r="72" spans="1:12">
      <c r="A72" s="374" t="s">
        <v>97</v>
      </c>
      <c r="B72" s="375" t="s">
        <v>948</v>
      </c>
      <c r="C72" s="376" t="s">
        <v>1050</v>
      </c>
      <c r="D72" s="377">
        <v>1</v>
      </c>
      <c r="E72" s="376">
        <v>44</v>
      </c>
      <c r="H72" s="374" t="s">
        <v>67</v>
      </c>
      <c r="I72" s="375" t="s">
        <v>950</v>
      </c>
      <c r="J72" s="376" t="s">
        <v>1051</v>
      </c>
      <c r="K72" s="377">
        <v>1</v>
      </c>
      <c r="L72" s="376">
        <v>127</v>
      </c>
    </row>
    <row r="73" spans="1:12">
      <c r="A73" s="374" t="s">
        <v>97</v>
      </c>
      <c r="B73" s="375" t="s">
        <v>985</v>
      </c>
      <c r="C73" s="376" t="s">
        <v>1052</v>
      </c>
      <c r="D73" s="377">
        <v>1</v>
      </c>
      <c r="E73" s="376">
        <v>142</v>
      </c>
      <c r="H73" s="374" t="s">
        <v>67</v>
      </c>
      <c r="I73" s="375" t="s">
        <v>1053</v>
      </c>
      <c r="J73" s="376" t="s">
        <v>1054</v>
      </c>
      <c r="K73" s="377">
        <v>1</v>
      </c>
      <c r="L73" s="376">
        <v>250</v>
      </c>
    </row>
    <row r="74" spans="1:12">
      <c r="A74" s="374" t="s">
        <v>97</v>
      </c>
      <c r="B74" s="375" t="s">
        <v>948</v>
      </c>
      <c r="C74" s="376" t="s">
        <v>1055</v>
      </c>
      <c r="D74" s="377">
        <v>1</v>
      </c>
      <c r="E74" s="376">
        <v>36</v>
      </c>
      <c r="H74" s="374" t="s">
        <v>67</v>
      </c>
      <c r="I74" s="375" t="s">
        <v>950</v>
      </c>
      <c r="J74" s="376" t="s">
        <v>1054</v>
      </c>
      <c r="K74" s="377"/>
      <c r="L74" s="376">
        <v>96</v>
      </c>
    </row>
    <row r="75" spans="1:12">
      <c r="A75" s="374" t="s">
        <v>97</v>
      </c>
      <c r="B75" s="375" t="s">
        <v>952</v>
      </c>
      <c r="C75" s="376" t="s">
        <v>1056</v>
      </c>
      <c r="D75" s="377">
        <v>1</v>
      </c>
      <c r="E75" s="376">
        <v>82</v>
      </c>
      <c r="H75" s="374" t="s">
        <v>67</v>
      </c>
      <c r="I75" s="375" t="s">
        <v>950</v>
      </c>
      <c r="J75" s="376" t="s">
        <v>1057</v>
      </c>
      <c r="K75" s="377">
        <v>1</v>
      </c>
      <c r="L75" s="376">
        <v>138</v>
      </c>
    </row>
    <row r="76" spans="1:12">
      <c r="A76" s="374" t="s">
        <v>97</v>
      </c>
      <c r="B76" s="375" t="s">
        <v>948</v>
      </c>
      <c r="C76" s="376" t="s">
        <v>1056</v>
      </c>
      <c r="D76" s="377"/>
      <c r="E76" s="376">
        <v>82</v>
      </c>
      <c r="H76" s="374" t="s">
        <v>67</v>
      </c>
      <c r="I76" s="375" t="s">
        <v>950</v>
      </c>
      <c r="J76" s="376" t="s">
        <v>1058</v>
      </c>
      <c r="K76" s="377">
        <v>1</v>
      </c>
      <c r="L76" s="376">
        <v>142</v>
      </c>
    </row>
    <row r="77" spans="1:12">
      <c r="A77" s="374" t="s">
        <v>97</v>
      </c>
      <c r="B77" s="375" t="s">
        <v>952</v>
      </c>
      <c r="C77" s="376" t="s">
        <v>1059</v>
      </c>
      <c r="D77" s="377">
        <v>1</v>
      </c>
      <c r="E77" s="376">
        <v>86</v>
      </c>
      <c r="H77" s="374" t="s">
        <v>67</v>
      </c>
      <c r="I77" s="375" t="s">
        <v>950</v>
      </c>
      <c r="J77" s="376" t="s">
        <v>1060</v>
      </c>
      <c r="K77" s="377">
        <v>1</v>
      </c>
      <c r="L77" s="376">
        <v>215</v>
      </c>
    </row>
    <row r="78" spans="1:12">
      <c r="A78" s="374" t="s">
        <v>97</v>
      </c>
      <c r="B78" s="375" t="s">
        <v>948</v>
      </c>
      <c r="C78" s="376" t="s">
        <v>1059</v>
      </c>
      <c r="D78" s="377"/>
      <c r="E78" s="376">
        <v>72</v>
      </c>
      <c r="H78" s="374" t="s">
        <v>67</v>
      </c>
      <c r="I78" s="375" t="s">
        <v>950</v>
      </c>
      <c r="J78" s="376" t="s">
        <v>1061</v>
      </c>
      <c r="K78" s="377">
        <v>1</v>
      </c>
      <c r="L78" s="376">
        <v>120</v>
      </c>
    </row>
    <row r="79" spans="1:12">
      <c r="A79" s="374" t="s">
        <v>97</v>
      </c>
      <c r="B79" s="375" t="s">
        <v>952</v>
      </c>
      <c r="C79" s="376" t="s">
        <v>1062</v>
      </c>
      <c r="D79" s="377">
        <v>1</v>
      </c>
      <c r="E79" s="376">
        <v>40</v>
      </c>
      <c r="H79" s="374" t="s">
        <v>67</v>
      </c>
      <c r="I79" s="375" t="s">
        <v>950</v>
      </c>
      <c r="J79" s="376" t="s">
        <v>1063</v>
      </c>
      <c r="K79" s="377">
        <v>1</v>
      </c>
      <c r="L79" s="376">
        <v>50</v>
      </c>
    </row>
    <row r="80" spans="1:12">
      <c r="A80" s="374" t="s">
        <v>97</v>
      </c>
      <c r="B80" s="375" t="s">
        <v>983</v>
      </c>
      <c r="C80" s="376" t="s">
        <v>1062</v>
      </c>
      <c r="D80" s="377">
        <v>1</v>
      </c>
      <c r="E80" s="376">
        <v>84</v>
      </c>
      <c r="H80" s="374" t="s">
        <v>67</v>
      </c>
      <c r="I80" s="375" t="s">
        <v>950</v>
      </c>
      <c r="J80" s="376" t="s">
        <v>1064</v>
      </c>
      <c r="K80" s="377">
        <v>1</v>
      </c>
      <c r="L80" s="376">
        <v>42</v>
      </c>
    </row>
    <row r="81" spans="1:12">
      <c r="A81" s="374" t="s">
        <v>97</v>
      </c>
      <c r="B81" s="375" t="s">
        <v>948</v>
      </c>
      <c r="C81" s="376" t="s">
        <v>1062</v>
      </c>
      <c r="D81" s="377"/>
      <c r="E81" s="376">
        <v>40</v>
      </c>
      <c r="H81" s="374" t="s">
        <v>67</v>
      </c>
      <c r="I81" s="375" t="s">
        <v>950</v>
      </c>
      <c r="J81" s="376" t="s">
        <v>1065</v>
      </c>
      <c r="K81" s="377">
        <v>1</v>
      </c>
      <c r="L81" s="376">
        <v>71</v>
      </c>
    </row>
    <row r="82" spans="1:12">
      <c r="A82" s="374" t="s">
        <v>97</v>
      </c>
      <c r="B82" s="375" t="s">
        <v>985</v>
      </c>
      <c r="C82" s="376" t="s">
        <v>1062</v>
      </c>
      <c r="D82" s="377"/>
      <c r="E82" s="376">
        <v>84</v>
      </c>
      <c r="H82" s="374" t="s">
        <v>67</v>
      </c>
      <c r="I82" s="375" t="s">
        <v>950</v>
      </c>
      <c r="J82" s="376" t="s">
        <v>1066</v>
      </c>
      <c r="K82" s="377">
        <v>1</v>
      </c>
      <c r="L82" s="376">
        <v>55</v>
      </c>
    </row>
    <row r="83" spans="1:12">
      <c r="A83" s="374" t="s">
        <v>97</v>
      </c>
      <c r="B83" s="375" t="s">
        <v>948</v>
      </c>
      <c r="C83" s="376" t="s">
        <v>1067</v>
      </c>
      <c r="D83" s="377">
        <v>1</v>
      </c>
      <c r="E83" s="376">
        <v>73</v>
      </c>
      <c r="H83" s="374" t="s">
        <v>67</v>
      </c>
      <c r="I83" s="375" t="s">
        <v>950</v>
      </c>
      <c r="J83" s="376" t="s">
        <v>1068</v>
      </c>
      <c r="K83" s="377">
        <v>1</v>
      </c>
      <c r="L83" s="376">
        <v>132</v>
      </c>
    </row>
    <row r="84" spans="1:12">
      <c r="A84" s="374" t="s">
        <v>97</v>
      </c>
      <c r="B84" s="375" t="s">
        <v>1069</v>
      </c>
      <c r="C84" s="376" t="s">
        <v>1067</v>
      </c>
      <c r="D84" s="377">
        <v>1</v>
      </c>
      <c r="E84" s="376">
        <v>40</v>
      </c>
      <c r="H84" s="374" t="s">
        <v>67</v>
      </c>
      <c r="I84" s="375" t="s">
        <v>950</v>
      </c>
      <c r="J84" s="376" t="s">
        <v>1070</v>
      </c>
      <c r="K84" s="377">
        <v>1</v>
      </c>
      <c r="L84" s="376">
        <v>74</v>
      </c>
    </row>
    <row r="85" spans="1:12">
      <c r="A85" s="374" t="s">
        <v>97</v>
      </c>
      <c r="B85" s="375" t="s">
        <v>952</v>
      </c>
      <c r="C85" s="376" t="s">
        <v>1071</v>
      </c>
      <c r="D85" s="377">
        <v>1</v>
      </c>
      <c r="E85" s="376">
        <v>62</v>
      </c>
      <c r="H85" s="374" t="s">
        <v>67</v>
      </c>
      <c r="I85" s="375" t="s">
        <v>950</v>
      </c>
      <c r="J85" s="376" t="s">
        <v>1072</v>
      </c>
      <c r="K85" s="377">
        <v>1</v>
      </c>
      <c r="L85" s="376">
        <v>82</v>
      </c>
    </row>
    <row r="86" spans="1:12">
      <c r="A86" s="374" t="s">
        <v>97</v>
      </c>
      <c r="B86" s="375" t="s">
        <v>948</v>
      </c>
      <c r="C86" s="376" t="s">
        <v>1071</v>
      </c>
      <c r="D86" s="377">
        <v>1</v>
      </c>
      <c r="E86" s="376">
        <v>60</v>
      </c>
      <c r="H86" s="374" t="s">
        <v>67</v>
      </c>
      <c r="I86" s="375" t="s">
        <v>950</v>
      </c>
      <c r="J86" s="376" t="s">
        <v>1073</v>
      </c>
      <c r="K86" s="377">
        <v>1</v>
      </c>
      <c r="L86" s="376">
        <v>113</v>
      </c>
    </row>
    <row r="87" spans="1:12">
      <c r="A87" s="374" t="s">
        <v>97</v>
      </c>
      <c r="B87" s="375" t="s">
        <v>952</v>
      </c>
      <c r="C87" s="376" t="s">
        <v>1074</v>
      </c>
      <c r="D87" s="377">
        <v>1</v>
      </c>
      <c r="E87" s="376">
        <v>64</v>
      </c>
      <c r="H87" s="374" t="s">
        <v>67</v>
      </c>
      <c r="I87" s="375" t="s">
        <v>950</v>
      </c>
      <c r="J87" s="376" t="s">
        <v>1075</v>
      </c>
      <c r="K87" s="377">
        <v>1</v>
      </c>
      <c r="L87" s="376">
        <v>105</v>
      </c>
    </row>
    <row r="88" spans="1:12">
      <c r="A88" s="374" t="s">
        <v>97</v>
      </c>
      <c r="B88" s="375" t="s">
        <v>948</v>
      </c>
      <c r="C88" s="376" t="s">
        <v>1074</v>
      </c>
      <c r="D88" s="377"/>
      <c r="E88" s="376">
        <v>64</v>
      </c>
      <c r="H88" s="374" t="s">
        <v>67</v>
      </c>
      <c r="I88" s="375" t="s">
        <v>950</v>
      </c>
      <c r="J88" s="376" t="s">
        <v>1076</v>
      </c>
      <c r="K88" s="377">
        <v>1</v>
      </c>
      <c r="L88" s="376">
        <v>57</v>
      </c>
    </row>
    <row r="89" spans="1:12">
      <c r="A89" s="374" t="s">
        <v>97</v>
      </c>
      <c r="B89" s="375" t="s">
        <v>952</v>
      </c>
      <c r="C89" s="376" t="s">
        <v>1077</v>
      </c>
      <c r="D89" s="377">
        <v>1</v>
      </c>
      <c r="E89" s="376">
        <v>138</v>
      </c>
      <c r="H89" s="374" t="s">
        <v>67</v>
      </c>
      <c r="I89" s="375" t="s">
        <v>950</v>
      </c>
      <c r="J89" s="376" t="s">
        <v>1078</v>
      </c>
      <c r="K89" s="377">
        <v>1</v>
      </c>
      <c r="L89" s="376">
        <v>151</v>
      </c>
    </row>
    <row r="90" spans="1:12">
      <c r="A90" s="374" t="s">
        <v>97</v>
      </c>
      <c r="B90" s="375" t="s">
        <v>948</v>
      </c>
      <c r="C90" s="376" t="s">
        <v>1077</v>
      </c>
      <c r="D90" s="377">
        <v>1</v>
      </c>
      <c r="E90" s="376">
        <v>110</v>
      </c>
      <c r="H90" s="374" t="s">
        <v>67</v>
      </c>
      <c r="I90" s="375" t="s">
        <v>950</v>
      </c>
      <c r="J90" s="376" t="s">
        <v>1079</v>
      </c>
      <c r="K90" s="377">
        <v>1</v>
      </c>
      <c r="L90" s="376">
        <v>125</v>
      </c>
    </row>
    <row r="91" spans="1:12">
      <c r="A91" s="374" t="s">
        <v>97</v>
      </c>
      <c r="B91" s="375" t="s">
        <v>948</v>
      </c>
      <c r="C91" s="376" t="s">
        <v>1080</v>
      </c>
      <c r="D91" s="377"/>
      <c r="E91" s="376">
        <v>116</v>
      </c>
      <c r="H91" s="374" t="s">
        <v>67</v>
      </c>
      <c r="I91" s="375" t="s">
        <v>950</v>
      </c>
      <c r="J91" s="376" t="s">
        <v>1081</v>
      </c>
      <c r="K91" s="377">
        <v>1</v>
      </c>
      <c r="L91" s="376">
        <v>169</v>
      </c>
    </row>
    <row r="92" spans="1:12">
      <c r="A92" s="374" t="s">
        <v>97</v>
      </c>
      <c r="B92" s="375" t="s">
        <v>952</v>
      </c>
      <c r="C92" s="376" t="s">
        <v>1082</v>
      </c>
      <c r="D92" s="377">
        <v>1</v>
      </c>
      <c r="E92" s="376">
        <v>60</v>
      </c>
      <c r="H92" s="374" t="s">
        <v>67</v>
      </c>
      <c r="I92" s="375" t="s">
        <v>950</v>
      </c>
      <c r="J92" s="376" t="s">
        <v>1083</v>
      </c>
      <c r="K92" s="377">
        <v>1</v>
      </c>
      <c r="L92" s="376">
        <v>246</v>
      </c>
    </row>
    <row r="93" spans="1:12">
      <c r="A93" s="374" t="s">
        <v>97</v>
      </c>
      <c r="B93" s="375" t="s">
        <v>948</v>
      </c>
      <c r="C93" s="376" t="s">
        <v>1082</v>
      </c>
      <c r="D93" s="377"/>
      <c r="E93" s="376">
        <v>76</v>
      </c>
      <c r="H93" s="374" t="s">
        <v>67</v>
      </c>
      <c r="I93" s="375" t="s">
        <v>950</v>
      </c>
      <c r="J93" s="376" t="s">
        <v>1084</v>
      </c>
      <c r="K93" s="377">
        <v>1</v>
      </c>
      <c r="L93" s="376">
        <v>285</v>
      </c>
    </row>
    <row r="94" spans="1:12">
      <c r="A94" s="374" t="s">
        <v>97</v>
      </c>
      <c r="B94" s="375" t="s">
        <v>948</v>
      </c>
      <c r="C94" s="376" t="s">
        <v>1085</v>
      </c>
      <c r="D94" s="377">
        <v>1</v>
      </c>
      <c r="E94" s="376">
        <v>78</v>
      </c>
      <c r="H94" s="374" t="s">
        <v>67</v>
      </c>
      <c r="I94" s="375" t="s">
        <v>950</v>
      </c>
      <c r="J94" s="376" t="s">
        <v>1086</v>
      </c>
      <c r="K94" s="377">
        <v>1</v>
      </c>
      <c r="L94" s="376">
        <v>107</v>
      </c>
    </row>
    <row r="95" spans="1:12">
      <c r="A95" s="374" t="s">
        <v>97</v>
      </c>
      <c r="B95" s="375" t="s">
        <v>948</v>
      </c>
      <c r="C95" s="376" t="s">
        <v>1087</v>
      </c>
      <c r="D95" s="377">
        <v>1</v>
      </c>
      <c r="E95" s="376">
        <v>72</v>
      </c>
      <c r="H95" s="374" t="s">
        <v>67</v>
      </c>
      <c r="I95" s="375" t="s">
        <v>950</v>
      </c>
      <c r="J95" s="376" t="s">
        <v>1088</v>
      </c>
      <c r="K95" s="377">
        <v>1</v>
      </c>
      <c r="L95" s="376">
        <v>244</v>
      </c>
    </row>
    <row r="96" spans="1:12">
      <c r="A96" s="374" t="s">
        <v>97</v>
      </c>
      <c r="B96" s="375" t="s">
        <v>952</v>
      </c>
      <c r="C96" s="376" t="s">
        <v>1089</v>
      </c>
      <c r="D96" s="377">
        <v>1</v>
      </c>
      <c r="E96" s="376">
        <v>80</v>
      </c>
      <c r="H96" s="374" t="s">
        <v>67</v>
      </c>
      <c r="I96" s="375" t="s">
        <v>950</v>
      </c>
      <c r="J96" s="376" t="s">
        <v>1090</v>
      </c>
      <c r="K96" s="377">
        <v>1</v>
      </c>
      <c r="L96" s="376">
        <v>149</v>
      </c>
    </row>
    <row r="97" spans="1:12">
      <c r="A97" s="374" t="s">
        <v>97</v>
      </c>
      <c r="B97" s="375" t="s">
        <v>948</v>
      </c>
      <c r="C97" s="376" t="s">
        <v>1089</v>
      </c>
      <c r="D97" s="377"/>
      <c r="E97" s="376">
        <v>40</v>
      </c>
      <c r="H97" s="374" t="s">
        <v>67</v>
      </c>
      <c r="I97" s="375" t="s">
        <v>950</v>
      </c>
      <c r="J97" s="376" t="s">
        <v>1091</v>
      </c>
      <c r="K97" s="377">
        <v>1</v>
      </c>
      <c r="L97" s="376">
        <v>179</v>
      </c>
    </row>
    <row r="98" spans="1:12">
      <c r="A98" s="374" t="s">
        <v>97</v>
      </c>
      <c r="B98" s="375" t="s">
        <v>948</v>
      </c>
      <c r="C98" s="376" t="s">
        <v>1092</v>
      </c>
      <c r="D98" s="377">
        <v>1</v>
      </c>
      <c r="E98" s="376">
        <v>120</v>
      </c>
      <c r="H98" s="374" t="s">
        <v>67</v>
      </c>
      <c r="I98" s="375" t="s">
        <v>950</v>
      </c>
      <c r="J98" s="376" t="s">
        <v>1093</v>
      </c>
      <c r="K98" s="377">
        <v>1</v>
      </c>
      <c r="L98" s="376">
        <v>181</v>
      </c>
    </row>
    <row r="99" spans="1:12">
      <c r="A99" s="374" t="s">
        <v>97</v>
      </c>
      <c r="B99" s="375" t="s">
        <v>983</v>
      </c>
      <c r="C99" s="376" t="s">
        <v>1094</v>
      </c>
      <c r="D99" s="377">
        <v>1</v>
      </c>
      <c r="E99" s="376">
        <v>96</v>
      </c>
      <c r="H99" s="374" t="s">
        <v>67</v>
      </c>
      <c r="I99" s="375" t="s">
        <v>950</v>
      </c>
      <c r="J99" s="376" t="s">
        <v>1095</v>
      </c>
      <c r="K99" s="377">
        <v>1</v>
      </c>
      <c r="L99" s="376">
        <v>199</v>
      </c>
    </row>
    <row r="100" spans="1:12">
      <c r="A100" s="374" t="s">
        <v>97</v>
      </c>
      <c r="B100" s="375" t="s">
        <v>948</v>
      </c>
      <c r="C100" s="376" t="s">
        <v>1094</v>
      </c>
      <c r="D100" s="377">
        <v>1</v>
      </c>
      <c r="E100" s="376">
        <v>60</v>
      </c>
      <c r="H100" s="374" t="s">
        <v>67</v>
      </c>
      <c r="I100" s="375" t="s">
        <v>950</v>
      </c>
      <c r="J100" s="376" t="s">
        <v>1096</v>
      </c>
      <c r="K100" s="377">
        <v>1</v>
      </c>
      <c r="L100" s="376">
        <v>100</v>
      </c>
    </row>
    <row r="101" spans="1:12">
      <c r="A101" s="374" t="s">
        <v>97</v>
      </c>
      <c r="B101" s="375" t="s">
        <v>985</v>
      </c>
      <c r="C101" s="376" t="s">
        <v>1097</v>
      </c>
      <c r="D101" s="377">
        <v>1</v>
      </c>
      <c r="E101" s="376">
        <v>300</v>
      </c>
      <c r="H101" s="374" t="s">
        <v>67</v>
      </c>
      <c r="I101" s="375" t="s">
        <v>950</v>
      </c>
      <c r="J101" s="376" t="s">
        <v>1098</v>
      </c>
      <c r="K101" s="377">
        <v>1</v>
      </c>
      <c r="L101" s="376">
        <v>124</v>
      </c>
    </row>
    <row r="102" spans="1:12">
      <c r="A102" s="374" t="s">
        <v>97</v>
      </c>
      <c r="B102" s="375" t="s">
        <v>952</v>
      </c>
      <c r="C102" s="376" t="s">
        <v>1099</v>
      </c>
      <c r="D102" s="377">
        <v>1</v>
      </c>
      <c r="E102" s="376">
        <v>100</v>
      </c>
      <c r="H102" s="374" t="s">
        <v>67</v>
      </c>
      <c r="I102" s="375" t="s">
        <v>950</v>
      </c>
      <c r="J102" s="376" t="s">
        <v>1100</v>
      </c>
      <c r="K102" s="377">
        <v>1</v>
      </c>
      <c r="L102" s="376">
        <v>101</v>
      </c>
    </row>
    <row r="103" spans="1:12">
      <c r="A103" s="374" t="s">
        <v>97</v>
      </c>
      <c r="B103" s="375" t="s">
        <v>948</v>
      </c>
      <c r="C103" s="376" t="s">
        <v>1101</v>
      </c>
      <c r="D103" s="377">
        <v>1</v>
      </c>
      <c r="E103" s="376">
        <v>56</v>
      </c>
      <c r="H103" s="374" t="s">
        <v>67</v>
      </c>
      <c r="I103" s="375" t="s">
        <v>950</v>
      </c>
      <c r="J103" s="376" t="s">
        <v>1102</v>
      </c>
      <c r="K103" s="377">
        <v>1</v>
      </c>
      <c r="L103" s="376">
        <v>123</v>
      </c>
    </row>
    <row r="104" spans="1:12">
      <c r="A104" s="374" t="s">
        <v>97</v>
      </c>
      <c r="B104" s="375" t="s">
        <v>952</v>
      </c>
      <c r="C104" s="376" t="s">
        <v>1103</v>
      </c>
      <c r="D104" s="377">
        <v>1</v>
      </c>
      <c r="E104" s="376">
        <v>68</v>
      </c>
      <c r="H104" s="374" t="s">
        <v>67</v>
      </c>
      <c r="I104" s="375" t="s">
        <v>950</v>
      </c>
      <c r="J104" s="376" t="s">
        <v>1104</v>
      </c>
      <c r="K104" s="377">
        <v>1</v>
      </c>
      <c r="L104" s="376">
        <v>70</v>
      </c>
    </row>
    <row r="105" spans="1:12">
      <c r="A105" s="374" t="s">
        <v>97</v>
      </c>
      <c r="B105" s="375" t="s">
        <v>948</v>
      </c>
      <c r="C105" s="376" t="s">
        <v>1103</v>
      </c>
      <c r="D105" s="377"/>
      <c r="E105" s="376">
        <v>68</v>
      </c>
      <c r="H105" s="374" t="s">
        <v>67</v>
      </c>
      <c r="I105" s="375" t="s">
        <v>950</v>
      </c>
      <c r="J105" s="376" t="s">
        <v>1105</v>
      </c>
      <c r="K105" s="377">
        <v>1</v>
      </c>
      <c r="L105" s="376">
        <v>138</v>
      </c>
    </row>
    <row r="106" spans="1:12">
      <c r="A106" s="374" t="s">
        <v>97</v>
      </c>
      <c r="B106" s="375" t="s">
        <v>985</v>
      </c>
      <c r="C106" s="376" t="s">
        <v>1103</v>
      </c>
      <c r="D106" s="377">
        <v>1</v>
      </c>
      <c r="E106" s="376">
        <v>60</v>
      </c>
      <c r="H106" s="374" t="s">
        <v>67</v>
      </c>
      <c r="I106" s="375" t="s">
        <v>950</v>
      </c>
      <c r="J106" s="376" t="s">
        <v>1106</v>
      </c>
      <c r="K106" s="377">
        <v>1</v>
      </c>
      <c r="L106" s="376">
        <v>201</v>
      </c>
    </row>
    <row r="107" spans="1:12">
      <c r="A107" s="374" t="s">
        <v>97</v>
      </c>
      <c r="B107" s="375" t="s">
        <v>952</v>
      </c>
      <c r="C107" s="376" t="s">
        <v>1107</v>
      </c>
      <c r="D107" s="377">
        <v>1</v>
      </c>
      <c r="E107" s="376">
        <v>56</v>
      </c>
      <c r="H107" s="374" t="s">
        <v>67</v>
      </c>
      <c r="I107" s="375" t="s">
        <v>950</v>
      </c>
      <c r="J107" s="376" t="s">
        <v>1108</v>
      </c>
      <c r="K107" s="377">
        <v>1</v>
      </c>
      <c r="L107" s="376">
        <v>51</v>
      </c>
    </row>
    <row r="108" spans="1:12">
      <c r="A108" s="374" t="s">
        <v>97</v>
      </c>
      <c r="B108" s="375" t="s">
        <v>948</v>
      </c>
      <c r="C108" s="376" t="s">
        <v>1107</v>
      </c>
      <c r="D108" s="377"/>
      <c r="E108" s="376">
        <v>56</v>
      </c>
      <c r="H108" s="374" t="s">
        <v>67</v>
      </c>
      <c r="I108" s="375" t="s">
        <v>950</v>
      </c>
      <c r="J108" s="376" t="s">
        <v>1109</v>
      </c>
      <c r="K108" s="377">
        <v>1</v>
      </c>
      <c r="L108" s="376">
        <v>383</v>
      </c>
    </row>
    <row r="109" spans="1:12">
      <c r="A109" s="374" t="s">
        <v>97</v>
      </c>
      <c r="B109" s="375" t="s">
        <v>952</v>
      </c>
      <c r="C109" s="376" t="s">
        <v>1110</v>
      </c>
      <c r="D109" s="377">
        <v>1</v>
      </c>
      <c r="E109" s="376">
        <v>92</v>
      </c>
      <c r="H109" s="374" t="s">
        <v>67</v>
      </c>
      <c r="I109" s="375" t="s">
        <v>950</v>
      </c>
      <c r="J109" s="376" t="s">
        <v>1111</v>
      </c>
      <c r="K109" s="377">
        <v>1</v>
      </c>
      <c r="L109" s="376">
        <v>49</v>
      </c>
    </row>
    <row r="110" spans="1:12">
      <c r="A110" s="374" t="s">
        <v>97</v>
      </c>
      <c r="B110" s="375" t="s">
        <v>983</v>
      </c>
      <c r="C110" s="376" t="s">
        <v>1110</v>
      </c>
      <c r="D110" s="377">
        <v>1</v>
      </c>
      <c r="E110" s="376">
        <v>92</v>
      </c>
      <c r="H110" s="374" t="s">
        <v>67</v>
      </c>
      <c r="I110" s="375" t="s">
        <v>950</v>
      </c>
      <c r="J110" s="376" t="s">
        <v>1112</v>
      </c>
      <c r="K110" s="377">
        <v>1</v>
      </c>
      <c r="L110" s="376">
        <v>49</v>
      </c>
    </row>
    <row r="111" spans="1:12">
      <c r="A111" s="374" t="s">
        <v>97</v>
      </c>
      <c r="B111" s="375" t="s">
        <v>948</v>
      </c>
      <c r="C111" s="376" t="s">
        <v>1110</v>
      </c>
      <c r="D111" s="377"/>
      <c r="E111" s="376">
        <v>92</v>
      </c>
      <c r="H111" s="374" t="s">
        <v>67</v>
      </c>
      <c r="I111" s="375" t="s">
        <v>950</v>
      </c>
      <c r="J111" s="376" t="s">
        <v>1113</v>
      </c>
      <c r="K111" s="377">
        <v>1</v>
      </c>
      <c r="L111" s="376">
        <v>167</v>
      </c>
    </row>
    <row r="112" spans="1:12">
      <c r="A112" s="374" t="s">
        <v>97</v>
      </c>
      <c r="B112" s="375" t="s">
        <v>952</v>
      </c>
      <c r="C112" s="376" t="s">
        <v>1114</v>
      </c>
      <c r="D112" s="377">
        <v>1</v>
      </c>
      <c r="E112" s="376">
        <v>94</v>
      </c>
      <c r="H112" s="374" t="s">
        <v>67</v>
      </c>
      <c r="I112" s="375" t="s">
        <v>950</v>
      </c>
      <c r="J112" s="376" t="s">
        <v>1115</v>
      </c>
      <c r="K112" s="377">
        <v>1</v>
      </c>
      <c r="L112" s="376">
        <v>81</v>
      </c>
    </row>
    <row r="113" spans="1:12">
      <c r="A113" s="374" t="s">
        <v>97</v>
      </c>
      <c r="B113" s="375" t="s">
        <v>948</v>
      </c>
      <c r="C113" s="376" t="s">
        <v>1114</v>
      </c>
      <c r="D113" s="377"/>
      <c r="E113" s="376">
        <v>94</v>
      </c>
      <c r="H113" s="374" t="s">
        <v>67</v>
      </c>
      <c r="I113" s="375" t="s">
        <v>950</v>
      </c>
      <c r="J113" s="376" t="s">
        <v>1116</v>
      </c>
      <c r="K113" s="377">
        <v>1</v>
      </c>
      <c r="L113" s="376">
        <v>91</v>
      </c>
    </row>
    <row r="114" spans="1:12">
      <c r="A114" s="374" t="s">
        <v>97</v>
      </c>
      <c r="B114" s="375" t="s">
        <v>952</v>
      </c>
      <c r="C114" s="376" t="s">
        <v>1117</v>
      </c>
      <c r="D114" s="377">
        <v>1</v>
      </c>
      <c r="E114" s="376">
        <v>118</v>
      </c>
      <c r="H114" s="374" t="s">
        <v>67</v>
      </c>
      <c r="I114" s="375" t="s">
        <v>950</v>
      </c>
      <c r="J114" s="376" t="s">
        <v>1118</v>
      </c>
      <c r="K114" s="377">
        <v>1</v>
      </c>
      <c r="L114" s="376">
        <v>64</v>
      </c>
    </row>
    <row r="115" spans="1:12">
      <c r="A115" s="374" t="s">
        <v>97</v>
      </c>
      <c r="B115" s="375" t="s">
        <v>948</v>
      </c>
      <c r="C115" s="376" t="s">
        <v>1117</v>
      </c>
      <c r="D115" s="377"/>
      <c r="E115" s="376">
        <v>66</v>
      </c>
      <c r="H115" s="374" t="s">
        <v>67</v>
      </c>
      <c r="I115" s="375" t="s">
        <v>950</v>
      </c>
      <c r="J115" s="376" t="s">
        <v>1119</v>
      </c>
      <c r="K115" s="377">
        <v>1</v>
      </c>
      <c r="L115" s="376">
        <v>52</v>
      </c>
    </row>
    <row r="116" spans="1:12">
      <c r="A116" s="374" t="s">
        <v>97</v>
      </c>
      <c r="B116" s="375" t="s">
        <v>952</v>
      </c>
      <c r="C116" s="376" t="s">
        <v>1120</v>
      </c>
      <c r="D116" s="377">
        <v>1</v>
      </c>
      <c r="E116" s="376">
        <v>80</v>
      </c>
      <c r="H116" s="374" t="s">
        <v>67</v>
      </c>
      <c r="I116" s="375" t="s">
        <v>1053</v>
      </c>
      <c r="J116" s="376" t="s">
        <v>1121</v>
      </c>
      <c r="K116" s="377">
        <v>1</v>
      </c>
      <c r="L116" s="376">
        <v>97</v>
      </c>
    </row>
    <row r="117" spans="1:12">
      <c r="A117" s="374" t="s">
        <v>97</v>
      </c>
      <c r="B117" s="375" t="s">
        <v>983</v>
      </c>
      <c r="C117" s="376" t="s">
        <v>1120</v>
      </c>
      <c r="D117" s="377">
        <v>1</v>
      </c>
      <c r="E117" s="376">
        <v>110</v>
      </c>
      <c r="H117" s="374" t="s">
        <v>67</v>
      </c>
      <c r="I117" s="375" t="s">
        <v>950</v>
      </c>
      <c r="J117" s="376" t="s">
        <v>1121</v>
      </c>
      <c r="K117" s="377"/>
      <c r="L117" s="376">
        <v>42</v>
      </c>
    </row>
    <row r="118" spans="1:12">
      <c r="A118" s="374" t="s">
        <v>97</v>
      </c>
      <c r="B118" s="375" t="s">
        <v>948</v>
      </c>
      <c r="C118" s="376" t="s">
        <v>1120</v>
      </c>
      <c r="D118" s="377"/>
      <c r="E118" s="376">
        <v>60</v>
      </c>
      <c r="H118" s="374" t="s">
        <v>67</v>
      </c>
      <c r="I118" s="375" t="s">
        <v>950</v>
      </c>
      <c r="J118" s="376" t="s">
        <v>1122</v>
      </c>
      <c r="K118" s="377">
        <v>1</v>
      </c>
      <c r="L118" s="376">
        <v>124</v>
      </c>
    </row>
    <row r="119" spans="1:12">
      <c r="A119" s="374" t="s">
        <v>97</v>
      </c>
      <c r="B119" s="375" t="s">
        <v>985</v>
      </c>
      <c r="C119" s="376" t="s">
        <v>1120</v>
      </c>
      <c r="D119" s="377"/>
      <c r="E119" s="376">
        <v>110</v>
      </c>
      <c r="H119" s="374" t="s">
        <v>67</v>
      </c>
      <c r="I119" s="375" t="s">
        <v>950</v>
      </c>
      <c r="J119" s="376" t="s">
        <v>1123</v>
      </c>
      <c r="K119" s="377">
        <v>1</v>
      </c>
      <c r="L119" s="376">
        <v>163</v>
      </c>
    </row>
    <row r="120" spans="1:12">
      <c r="A120" s="374" t="s">
        <v>97</v>
      </c>
      <c r="B120" s="375" t="s">
        <v>952</v>
      </c>
      <c r="C120" s="376" t="s">
        <v>1124</v>
      </c>
      <c r="D120" s="377">
        <v>1</v>
      </c>
      <c r="E120" s="376">
        <v>88</v>
      </c>
      <c r="H120" s="374" t="s">
        <v>67</v>
      </c>
      <c r="I120" s="375" t="s">
        <v>950</v>
      </c>
      <c r="J120" s="376" t="s">
        <v>1125</v>
      </c>
      <c r="K120" s="377">
        <v>1</v>
      </c>
      <c r="L120" s="376">
        <v>186</v>
      </c>
    </row>
    <row r="121" spans="1:12">
      <c r="A121" s="374" t="s">
        <v>97</v>
      </c>
      <c r="B121" s="375" t="s">
        <v>952</v>
      </c>
      <c r="C121" s="376" t="s">
        <v>1126</v>
      </c>
      <c r="D121" s="377">
        <v>1</v>
      </c>
      <c r="E121" s="376">
        <v>108</v>
      </c>
      <c r="H121" s="374" t="s">
        <v>67</v>
      </c>
      <c r="I121" s="375" t="s">
        <v>950</v>
      </c>
      <c r="J121" s="376" t="s">
        <v>1127</v>
      </c>
      <c r="K121" s="377">
        <v>1</v>
      </c>
      <c r="L121" s="376">
        <v>71</v>
      </c>
    </row>
    <row r="122" spans="1:12">
      <c r="A122" s="374" t="s">
        <v>97</v>
      </c>
      <c r="B122" s="375" t="s">
        <v>983</v>
      </c>
      <c r="C122" s="376" t="s">
        <v>1126</v>
      </c>
      <c r="D122" s="377">
        <v>1</v>
      </c>
      <c r="E122" s="376">
        <v>102</v>
      </c>
      <c r="H122" s="374" t="s">
        <v>67</v>
      </c>
      <c r="I122" s="375" t="s">
        <v>950</v>
      </c>
      <c r="J122" s="376" t="s">
        <v>1128</v>
      </c>
      <c r="K122" s="377">
        <v>1</v>
      </c>
      <c r="L122" s="376">
        <v>109</v>
      </c>
    </row>
    <row r="123" spans="1:12">
      <c r="A123" s="374" t="s">
        <v>97</v>
      </c>
      <c r="B123" s="375" t="s">
        <v>985</v>
      </c>
      <c r="C123" s="376" t="s">
        <v>1126</v>
      </c>
      <c r="D123" s="377"/>
      <c r="E123" s="376">
        <v>102</v>
      </c>
      <c r="H123" s="374" t="s">
        <v>67</v>
      </c>
      <c r="I123" s="375" t="s">
        <v>950</v>
      </c>
      <c r="J123" s="376" t="s">
        <v>1129</v>
      </c>
      <c r="K123" s="377">
        <v>1</v>
      </c>
      <c r="L123" s="376">
        <v>155</v>
      </c>
    </row>
    <row r="124" spans="1:12">
      <c r="A124" s="374" t="s">
        <v>97</v>
      </c>
      <c r="B124" s="375" t="s">
        <v>952</v>
      </c>
      <c r="C124" s="376" t="s">
        <v>1130</v>
      </c>
      <c r="D124" s="377">
        <v>1</v>
      </c>
      <c r="E124" s="376">
        <v>76</v>
      </c>
      <c r="H124" s="374" t="s">
        <v>67</v>
      </c>
      <c r="I124" s="375" t="s">
        <v>950</v>
      </c>
      <c r="J124" s="376" t="s">
        <v>1131</v>
      </c>
      <c r="K124" s="377">
        <v>1</v>
      </c>
      <c r="L124" s="376">
        <v>175</v>
      </c>
    </row>
    <row r="125" spans="1:12">
      <c r="A125" s="374" t="s">
        <v>97</v>
      </c>
      <c r="B125" s="375" t="s">
        <v>983</v>
      </c>
      <c r="C125" s="376" t="s">
        <v>1130</v>
      </c>
      <c r="D125" s="377">
        <v>1</v>
      </c>
      <c r="E125" s="376">
        <v>84</v>
      </c>
      <c r="H125" s="374" t="s">
        <v>67</v>
      </c>
      <c r="I125" s="375" t="s">
        <v>950</v>
      </c>
      <c r="J125" s="376" t="s">
        <v>1132</v>
      </c>
      <c r="K125" s="377">
        <v>1</v>
      </c>
      <c r="L125" s="376">
        <v>307</v>
      </c>
    </row>
    <row r="126" spans="1:12">
      <c r="A126" s="374" t="s">
        <v>97</v>
      </c>
      <c r="B126" s="375" t="s">
        <v>948</v>
      </c>
      <c r="C126" s="376" t="s">
        <v>1130</v>
      </c>
      <c r="D126" s="377"/>
      <c r="E126" s="376">
        <v>76</v>
      </c>
      <c r="H126" s="374" t="s">
        <v>67</v>
      </c>
      <c r="I126" s="375" t="s">
        <v>950</v>
      </c>
      <c r="J126" s="376" t="s">
        <v>1133</v>
      </c>
      <c r="K126" s="377">
        <v>1</v>
      </c>
      <c r="L126" s="376">
        <v>97</v>
      </c>
    </row>
    <row r="127" spans="1:12">
      <c r="A127" s="374" t="s">
        <v>97</v>
      </c>
      <c r="B127" s="375" t="s">
        <v>985</v>
      </c>
      <c r="C127" s="376" t="s">
        <v>1130</v>
      </c>
      <c r="D127" s="377"/>
      <c r="E127" s="376">
        <v>84</v>
      </c>
      <c r="H127" s="374" t="s">
        <v>67</v>
      </c>
      <c r="I127" s="375" t="s">
        <v>950</v>
      </c>
      <c r="J127" s="376" t="s">
        <v>1134</v>
      </c>
      <c r="K127" s="377">
        <v>1</v>
      </c>
      <c r="L127" s="376">
        <v>130</v>
      </c>
    </row>
    <row r="128" spans="1:12">
      <c r="A128" s="374" t="s">
        <v>97</v>
      </c>
      <c r="B128" s="375" t="s">
        <v>952</v>
      </c>
      <c r="C128" s="376" t="s">
        <v>1135</v>
      </c>
      <c r="D128" s="377">
        <v>1</v>
      </c>
      <c r="E128" s="376">
        <v>76</v>
      </c>
      <c r="H128" s="374" t="s">
        <v>67</v>
      </c>
      <c r="I128" s="375" t="s">
        <v>950</v>
      </c>
      <c r="J128" s="376" t="s">
        <v>1136</v>
      </c>
      <c r="K128" s="377">
        <v>1</v>
      </c>
      <c r="L128" s="376">
        <v>82</v>
      </c>
    </row>
    <row r="129" spans="1:12">
      <c r="A129" s="374" t="s">
        <v>97</v>
      </c>
      <c r="B129" s="375" t="s">
        <v>948</v>
      </c>
      <c r="C129" s="376" t="s">
        <v>1135</v>
      </c>
      <c r="D129" s="377"/>
      <c r="E129" s="376">
        <v>66</v>
      </c>
      <c r="H129" s="374" t="s">
        <v>67</v>
      </c>
      <c r="I129" s="375" t="s">
        <v>950</v>
      </c>
      <c r="J129" s="376" t="s">
        <v>1137</v>
      </c>
      <c r="K129" s="377">
        <v>1</v>
      </c>
      <c r="L129" s="376">
        <v>132</v>
      </c>
    </row>
    <row r="130" spans="1:12">
      <c r="A130" s="374" t="s">
        <v>97</v>
      </c>
      <c r="B130" s="375" t="s">
        <v>985</v>
      </c>
      <c r="C130" s="376" t="s">
        <v>1135</v>
      </c>
      <c r="D130" s="377">
        <v>1</v>
      </c>
      <c r="E130" s="376">
        <v>150</v>
      </c>
      <c r="H130" s="374" t="s">
        <v>67</v>
      </c>
      <c r="I130" s="375" t="s">
        <v>950</v>
      </c>
      <c r="J130" s="376" t="s">
        <v>1138</v>
      </c>
      <c r="K130" s="377">
        <v>1</v>
      </c>
      <c r="L130" s="376">
        <v>97</v>
      </c>
    </row>
    <row r="131" spans="1:12">
      <c r="A131" s="374" t="s">
        <v>97</v>
      </c>
      <c r="B131" s="375" t="s">
        <v>952</v>
      </c>
      <c r="C131" s="376" t="s">
        <v>1139</v>
      </c>
      <c r="D131" s="377">
        <v>1</v>
      </c>
      <c r="E131" s="376">
        <v>46</v>
      </c>
      <c r="H131" s="374" t="s">
        <v>67</v>
      </c>
      <c r="I131" s="375" t="s">
        <v>950</v>
      </c>
      <c r="J131" s="376" t="s">
        <v>1140</v>
      </c>
      <c r="K131" s="377">
        <v>1</v>
      </c>
      <c r="L131" s="376">
        <v>71</v>
      </c>
    </row>
    <row r="132" spans="1:12">
      <c r="A132" s="374" t="s">
        <v>97</v>
      </c>
      <c r="B132" s="375" t="s">
        <v>948</v>
      </c>
      <c r="C132" s="376" t="s">
        <v>1139</v>
      </c>
      <c r="D132" s="377"/>
      <c r="E132" s="376">
        <v>40</v>
      </c>
      <c r="H132" s="374" t="s">
        <v>67</v>
      </c>
      <c r="I132" s="375" t="s">
        <v>950</v>
      </c>
      <c r="J132" s="376" t="s">
        <v>1141</v>
      </c>
      <c r="K132" s="377">
        <v>1</v>
      </c>
      <c r="L132" s="376">
        <v>221</v>
      </c>
    </row>
    <row r="133" spans="1:12">
      <c r="A133" s="374" t="s">
        <v>97</v>
      </c>
      <c r="B133" s="375" t="s">
        <v>948</v>
      </c>
      <c r="C133" s="376" t="s">
        <v>1142</v>
      </c>
      <c r="D133" s="377">
        <v>1</v>
      </c>
      <c r="E133" s="376">
        <v>90</v>
      </c>
      <c r="H133" s="374" t="s">
        <v>67</v>
      </c>
      <c r="I133" s="375" t="s">
        <v>950</v>
      </c>
      <c r="J133" s="376" t="s">
        <v>1143</v>
      </c>
      <c r="K133" s="377">
        <v>1</v>
      </c>
      <c r="L133" s="376">
        <v>48</v>
      </c>
    </row>
    <row r="134" spans="1:12">
      <c r="A134" s="374" t="s">
        <v>97</v>
      </c>
      <c r="B134" s="375" t="s">
        <v>985</v>
      </c>
      <c r="C134" s="376" t="s">
        <v>1144</v>
      </c>
      <c r="D134" s="377">
        <v>1</v>
      </c>
      <c r="E134" s="376">
        <v>140</v>
      </c>
      <c r="H134" s="374" t="s">
        <v>67</v>
      </c>
      <c r="I134" s="375" t="s">
        <v>950</v>
      </c>
      <c r="J134" s="376" t="s">
        <v>1145</v>
      </c>
      <c r="K134" s="377">
        <v>1</v>
      </c>
      <c r="L134" s="376">
        <v>141</v>
      </c>
    </row>
    <row r="135" spans="1:12">
      <c r="A135" s="374" t="s">
        <v>97</v>
      </c>
      <c r="B135" s="375" t="s">
        <v>985</v>
      </c>
      <c r="C135" s="376" t="s">
        <v>1146</v>
      </c>
      <c r="D135" s="377">
        <v>1</v>
      </c>
      <c r="E135" s="376">
        <v>68</v>
      </c>
      <c r="H135" s="374" t="s">
        <v>67</v>
      </c>
      <c r="I135" s="375" t="s">
        <v>950</v>
      </c>
      <c r="J135" s="376" t="s">
        <v>1147</v>
      </c>
      <c r="K135" s="377">
        <v>1</v>
      </c>
      <c r="L135" s="376">
        <v>102</v>
      </c>
    </row>
    <row r="136" spans="1:12">
      <c r="A136" s="374" t="s">
        <v>97</v>
      </c>
      <c r="B136" s="375" t="s">
        <v>952</v>
      </c>
      <c r="C136" s="376" t="s">
        <v>1148</v>
      </c>
      <c r="D136" s="377">
        <v>1</v>
      </c>
      <c r="E136" s="376">
        <v>60</v>
      </c>
      <c r="H136" s="374" t="s">
        <v>67</v>
      </c>
      <c r="I136" s="375" t="s">
        <v>950</v>
      </c>
      <c r="J136" s="376" t="s">
        <v>1149</v>
      </c>
      <c r="K136" s="377">
        <v>1</v>
      </c>
      <c r="L136" s="376">
        <v>59</v>
      </c>
    </row>
    <row r="137" spans="1:12">
      <c r="A137" s="374" t="s">
        <v>97</v>
      </c>
      <c r="B137" s="375" t="s">
        <v>948</v>
      </c>
      <c r="C137" s="376" t="s">
        <v>1148</v>
      </c>
      <c r="D137" s="377"/>
      <c r="E137" s="376">
        <v>52</v>
      </c>
      <c r="H137" s="374" t="s">
        <v>67</v>
      </c>
      <c r="I137" s="375" t="s">
        <v>950</v>
      </c>
      <c r="J137" s="376" t="s">
        <v>1150</v>
      </c>
      <c r="K137" s="377">
        <v>1</v>
      </c>
      <c r="L137" s="376">
        <v>58</v>
      </c>
    </row>
    <row r="138" spans="1:12">
      <c r="A138" s="374" t="s">
        <v>97</v>
      </c>
      <c r="B138" s="375" t="s">
        <v>952</v>
      </c>
      <c r="C138" s="376" t="s">
        <v>1151</v>
      </c>
      <c r="D138" s="377">
        <v>1</v>
      </c>
      <c r="E138" s="376">
        <v>80</v>
      </c>
      <c r="H138" s="374" t="s">
        <v>67</v>
      </c>
      <c r="I138" s="375" t="s">
        <v>950</v>
      </c>
      <c r="J138" s="376" t="s">
        <v>1152</v>
      </c>
      <c r="K138" s="377">
        <v>1</v>
      </c>
      <c r="L138" s="376">
        <v>202</v>
      </c>
    </row>
    <row r="139" spans="1:12">
      <c r="A139" s="374" t="s">
        <v>97</v>
      </c>
      <c r="B139" s="375" t="s">
        <v>948</v>
      </c>
      <c r="C139" s="376" t="s">
        <v>1151</v>
      </c>
      <c r="D139" s="377"/>
      <c r="E139" s="376">
        <v>80</v>
      </c>
      <c r="H139" s="374" t="s">
        <v>67</v>
      </c>
      <c r="I139" s="375" t="s">
        <v>1053</v>
      </c>
      <c r="J139" s="376" t="s">
        <v>1153</v>
      </c>
      <c r="K139" s="377">
        <v>1</v>
      </c>
      <c r="L139" s="376">
        <v>150</v>
      </c>
    </row>
    <row r="140" spans="1:12">
      <c r="A140" s="374" t="s">
        <v>97</v>
      </c>
      <c r="B140" s="375" t="s">
        <v>948</v>
      </c>
      <c r="C140" s="376" t="s">
        <v>1154</v>
      </c>
      <c r="D140" s="377">
        <v>1</v>
      </c>
      <c r="E140" s="376">
        <v>50</v>
      </c>
      <c r="H140" s="374" t="s">
        <v>67</v>
      </c>
      <c r="I140" s="375" t="s">
        <v>950</v>
      </c>
      <c r="J140" s="376" t="s">
        <v>1153</v>
      </c>
      <c r="K140" s="377">
        <v>1</v>
      </c>
      <c r="L140" s="376">
        <v>108</v>
      </c>
    </row>
    <row r="141" spans="1:12">
      <c r="A141" s="374" t="s">
        <v>97</v>
      </c>
      <c r="B141" s="375" t="s">
        <v>948</v>
      </c>
      <c r="C141" s="376" t="s">
        <v>1155</v>
      </c>
      <c r="D141" s="377">
        <v>1</v>
      </c>
      <c r="E141" s="376">
        <v>50</v>
      </c>
      <c r="H141" s="374" t="s">
        <v>67</v>
      </c>
      <c r="I141" s="375" t="s">
        <v>950</v>
      </c>
      <c r="J141" s="376" t="s">
        <v>1156</v>
      </c>
      <c r="K141" s="377">
        <v>1</v>
      </c>
      <c r="L141" s="376">
        <v>74</v>
      </c>
    </row>
    <row r="142" spans="1:12">
      <c r="A142" s="374" t="s">
        <v>97</v>
      </c>
      <c r="B142" s="375" t="s">
        <v>952</v>
      </c>
      <c r="C142" s="376" t="s">
        <v>1157</v>
      </c>
      <c r="D142" s="377">
        <v>1</v>
      </c>
      <c r="E142" s="376">
        <v>50</v>
      </c>
      <c r="H142" s="374" t="s">
        <v>67</v>
      </c>
      <c r="I142" s="375" t="s">
        <v>950</v>
      </c>
      <c r="J142" s="376" t="s">
        <v>1158</v>
      </c>
      <c r="K142" s="377">
        <v>1</v>
      </c>
      <c r="L142" s="376">
        <v>120</v>
      </c>
    </row>
    <row r="143" spans="1:12">
      <c r="A143" s="374" t="s">
        <v>97</v>
      </c>
      <c r="B143" s="375" t="s">
        <v>983</v>
      </c>
      <c r="C143" s="376" t="s">
        <v>1157</v>
      </c>
      <c r="D143" s="377">
        <v>1</v>
      </c>
      <c r="E143" s="376">
        <v>60</v>
      </c>
      <c r="H143" s="374" t="s">
        <v>67</v>
      </c>
      <c r="I143" s="375" t="s">
        <v>950</v>
      </c>
      <c r="J143" s="376" t="s">
        <v>1159</v>
      </c>
      <c r="K143" s="377">
        <v>1</v>
      </c>
      <c r="L143" s="376">
        <v>108</v>
      </c>
    </row>
    <row r="144" spans="1:12">
      <c r="A144" s="374" t="s">
        <v>97</v>
      </c>
      <c r="B144" s="375" t="s">
        <v>948</v>
      </c>
      <c r="C144" s="376" t="s">
        <v>1157</v>
      </c>
      <c r="D144" s="377"/>
      <c r="E144" s="376">
        <v>50</v>
      </c>
      <c r="H144" s="374" t="s">
        <v>67</v>
      </c>
      <c r="I144" s="375" t="s">
        <v>1053</v>
      </c>
      <c r="J144" s="376" t="s">
        <v>1160</v>
      </c>
      <c r="K144" s="377">
        <v>1</v>
      </c>
      <c r="L144" s="376">
        <v>38</v>
      </c>
    </row>
    <row r="145" spans="1:12">
      <c r="A145" s="374" t="s">
        <v>97</v>
      </c>
      <c r="B145" s="375" t="s">
        <v>985</v>
      </c>
      <c r="C145" s="376" t="s">
        <v>1157</v>
      </c>
      <c r="D145" s="377"/>
      <c r="E145" s="376">
        <v>60</v>
      </c>
      <c r="H145" s="374" t="s">
        <v>67</v>
      </c>
      <c r="I145" s="375" t="s">
        <v>950</v>
      </c>
      <c r="J145" s="376" t="s">
        <v>1160</v>
      </c>
      <c r="K145" s="377"/>
      <c r="L145" s="376">
        <v>54</v>
      </c>
    </row>
    <row r="146" spans="1:12">
      <c r="A146" s="374" t="s">
        <v>97</v>
      </c>
      <c r="B146" s="375" t="s">
        <v>983</v>
      </c>
      <c r="C146" s="376" t="s">
        <v>1161</v>
      </c>
      <c r="D146" s="377">
        <v>1</v>
      </c>
      <c r="E146" s="376">
        <v>40</v>
      </c>
      <c r="H146" s="374" t="s">
        <v>67</v>
      </c>
      <c r="I146" s="375" t="s">
        <v>950</v>
      </c>
      <c r="J146" s="376" t="s">
        <v>1162</v>
      </c>
      <c r="K146" s="377">
        <v>1</v>
      </c>
      <c r="L146" s="376">
        <v>42</v>
      </c>
    </row>
    <row r="147" spans="1:12">
      <c r="A147" s="374" t="s">
        <v>97</v>
      </c>
      <c r="B147" s="375" t="s">
        <v>948</v>
      </c>
      <c r="C147" s="376" t="s">
        <v>1161</v>
      </c>
      <c r="D147" s="377">
        <v>1</v>
      </c>
      <c r="E147" s="376">
        <v>50</v>
      </c>
      <c r="H147" s="374" t="s">
        <v>67</v>
      </c>
      <c r="I147" s="375" t="s">
        <v>950</v>
      </c>
      <c r="J147" s="376" t="s">
        <v>1163</v>
      </c>
      <c r="K147" s="377">
        <v>1</v>
      </c>
      <c r="L147" s="376">
        <v>92</v>
      </c>
    </row>
    <row r="148" spans="1:12">
      <c r="A148" s="374" t="s">
        <v>97</v>
      </c>
      <c r="B148" s="375" t="s">
        <v>952</v>
      </c>
      <c r="C148" s="376" t="s">
        <v>1164</v>
      </c>
      <c r="D148" s="377">
        <v>1</v>
      </c>
      <c r="E148" s="376">
        <v>30</v>
      </c>
      <c r="H148" s="374" t="s">
        <v>67</v>
      </c>
      <c r="I148" s="375" t="s">
        <v>950</v>
      </c>
      <c r="J148" s="376" t="s">
        <v>1165</v>
      </c>
      <c r="K148" s="377">
        <v>1</v>
      </c>
      <c r="L148" s="376">
        <v>75</v>
      </c>
    </row>
    <row r="149" spans="1:12">
      <c r="A149" s="374" t="s">
        <v>97</v>
      </c>
      <c r="B149" s="375" t="s">
        <v>983</v>
      </c>
      <c r="C149" s="376" t="s">
        <v>1164</v>
      </c>
      <c r="D149" s="377">
        <v>1</v>
      </c>
      <c r="E149" s="376">
        <v>120</v>
      </c>
      <c r="H149" s="374" t="s">
        <v>67</v>
      </c>
      <c r="I149" s="375" t="s">
        <v>950</v>
      </c>
      <c r="J149" s="376" t="s">
        <v>1166</v>
      </c>
      <c r="K149" s="377">
        <v>1</v>
      </c>
      <c r="L149" s="376">
        <v>57</v>
      </c>
    </row>
    <row r="150" spans="1:12">
      <c r="A150" s="374" t="s">
        <v>97</v>
      </c>
      <c r="B150" s="375" t="s">
        <v>948</v>
      </c>
      <c r="C150" s="376" t="s">
        <v>1164</v>
      </c>
      <c r="D150" s="377"/>
      <c r="E150" s="376">
        <v>50</v>
      </c>
      <c r="H150" s="374" t="s">
        <v>67</v>
      </c>
      <c r="I150" s="375" t="s">
        <v>950</v>
      </c>
      <c r="J150" s="376" t="s">
        <v>1167</v>
      </c>
      <c r="K150" s="377">
        <v>1</v>
      </c>
      <c r="L150" s="376">
        <v>111</v>
      </c>
    </row>
    <row r="151" spans="1:12">
      <c r="A151" s="374" t="s">
        <v>97</v>
      </c>
      <c r="B151" s="375" t="s">
        <v>985</v>
      </c>
      <c r="C151" s="376" t="s">
        <v>1164</v>
      </c>
      <c r="D151" s="377"/>
      <c r="E151" s="376">
        <v>120</v>
      </c>
      <c r="H151" s="374" t="s">
        <v>67</v>
      </c>
      <c r="I151" s="375" t="s">
        <v>950</v>
      </c>
      <c r="J151" s="376" t="s">
        <v>1168</v>
      </c>
      <c r="K151" s="377">
        <v>1</v>
      </c>
      <c r="L151" s="376">
        <v>201</v>
      </c>
    </row>
    <row r="152" spans="1:12">
      <c r="A152" s="374" t="s">
        <v>97</v>
      </c>
      <c r="B152" s="375" t="s">
        <v>985</v>
      </c>
      <c r="C152" s="376" t="s">
        <v>1169</v>
      </c>
      <c r="D152" s="377">
        <v>1</v>
      </c>
      <c r="E152" s="376">
        <v>70</v>
      </c>
      <c r="H152" s="374" t="s">
        <v>67</v>
      </c>
      <c r="I152" s="375" t="s">
        <v>950</v>
      </c>
      <c r="J152" s="376" t="s">
        <v>1170</v>
      </c>
      <c r="K152" s="377">
        <v>1</v>
      </c>
      <c r="L152" s="376">
        <v>109</v>
      </c>
    </row>
    <row r="153" spans="1:12">
      <c r="A153" s="374" t="s">
        <v>97</v>
      </c>
      <c r="B153" s="375" t="s">
        <v>952</v>
      </c>
      <c r="C153" s="376" t="s">
        <v>1171</v>
      </c>
      <c r="D153" s="377">
        <v>1</v>
      </c>
      <c r="E153" s="376">
        <v>40</v>
      </c>
      <c r="H153" s="374" t="s">
        <v>67</v>
      </c>
      <c r="I153" s="375" t="s">
        <v>950</v>
      </c>
      <c r="J153" s="376" t="s">
        <v>1172</v>
      </c>
      <c r="K153" s="377">
        <v>1</v>
      </c>
      <c r="L153" s="376">
        <v>136</v>
      </c>
    </row>
    <row r="154" spans="1:12">
      <c r="A154" s="374" t="s">
        <v>97</v>
      </c>
      <c r="B154" s="375" t="s">
        <v>983</v>
      </c>
      <c r="C154" s="376" t="s">
        <v>1171</v>
      </c>
      <c r="D154" s="377">
        <v>1</v>
      </c>
      <c r="E154" s="376">
        <v>40</v>
      </c>
      <c r="H154" s="374" t="s">
        <v>67</v>
      </c>
      <c r="I154" s="375" t="s">
        <v>1053</v>
      </c>
      <c r="J154" s="376" t="s">
        <v>1173</v>
      </c>
      <c r="K154" s="377">
        <v>1</v>
      </c>
      <c r="L154" s="376">
        <v>159</v>
      </c>
    </row>
    <row r="155" spans="1:12">
      <c r="A155" s="374" t="s">
        <v>97</v>
      </c>
      <c r="B155" s="375" t="s">
        <v>948</v>
      </c>
      <c r="C155" s="376" t="s">
        <v>1171</v>
      </c>
      <c r="D155" s="377"/>
      <c r="E155" s="376">
        <v>50</v>
      </c>
      <c r="H155" s="374" t="s">
        <v>67</v>
      </c>
      <c r="I155" s="375" t="s">
        <v>950</v>
      </c>
      <c r="J155" s="376" t="s">
        <v>1174</v>
      </c>
      <c r="K155" s="377">
        <v>1</v>
      </c>
      <c r="L155" s="376">
        <v>130</v>
      </c>
    </row>
    <row r="156" spans="1:12">
      <c r="A156" s="374" t="s">
        <v>97</v>
      </c>
      <c r="B156" s="375" t="s">
        <v>983</v>
      </c>
      <c r="C156" s="376" t="s">
        <v>1175</v>
      </c>
      <c r="D156" s="377">
        <v>1</v>
      </c>
      <c r="E156" s="376">
        <v>50</v>
      </c>
      <c r="H156" s="374" t="s">
        <v>67</v>
      </c>
      <c r="I156" s="375" t="s">
        <v>950</v>
      </c>
      <c r="J156" s="376" t="s">
        <v>1176</v>
      </c>
      <c r="K156" s="377">
        <v>1</v>
      </c>
      <c r="L156" s="376">
        <v>134</v>
      </c>
    </row>
    <row r="157" spans="1:12">
      <c r="A157" s="374" t="s">
        <v>97</v>
      </c>
      <c r="B157" s="375" t="s">
        <v>948</v>
      </c>
      <c r="C157" s="376" t="s">
        <v>1175</v>
      </c>
      <c r="D157" s="377">
        <v>1</v>
      </c>
      <c r="E157" s="376">
        <v>50</v>
      </c>
      <c r="H157" s="374" t="s">
        <v>67</v>
      </c>
      <c r="I157" s="375" t="s">
        <v>950</v>
      </c>
      <c r="J157" s="376" t="s">
        <v>1177</v>
      </c>
      <c r="K157" s="377">
        <v>1</v>
      </c>
      <c r="L157" s="376">
        <v>211</v>
      </c>
    </row>
    <row r="158" spans="1:12">
      <c r="A158" s="374" t="s">
        <v>97</v>
      </c>
      <c r="B158" s="375" t="s">
        <v>983</v>
      </c>
      <c r="C158" s="376" t="s">
        <v>1178</v>
      </c>
      <c r="D158" s="377">
        <v>1</v>
      </c>
      <c r="E158" s="376">
        <v>50</v>
      </c>
      <c r="H158" s="374" t="s">
        <v>67</v>
      </c>
      <c r="I158" s="375" t="s">
        <v>950</v>
      </c>
      <c r="J158" s="376" t="s">
        <v>1179</v>
      </c>
      <c r="K158" s="377">
        <v>1</v>
      </c>
      <c r="L158" s="376">
        <v>110</v>
      </c>
    </row>
    <row r="159" spans="1:12">
      <c r="A159" s="374" t="s">
        <v>97</v>
      </c>
      <c r="B159" s="375" t="s">
        <v>948</v>
      </c>
      <c r="C159" s="376" t="s">
        <v>1178</v>
      </c>
      <c r="D159" s="377">
        <v>1</v>
      </c>
      <c r="E159" s="376">
        <v>50</v>
      </c>
      <c r="H159" s="374" t="s">
        <v>67</v>
      </c>
      <c r="I159" s="375" t="s">
        <v>950</v>
      </c>
      <c r="J159" s="376" t="s">
        <v>1180</v>
      </c>
      <c r="K159" s="377">
        <v>1</v>
      </c>
      <c r="L159" s="376">
        <v>25</v>
      </c>
    </row>
    <row r="160" spans="1:12">
      <c r="A160" s="374" t="s">
        <v>97</v>
      </c>
      <c r="B160" s="375" t="s">
        <v>952</v>
      </c>
      <c r="C160" s="376" t="s">
        <v>1181</v>
      </c>
      <c r="D160" s="377">
        <v>1</v>
      </c>
      <c r="E160" s="376">
        <v>50</v>
      </c>
      <c r="H160" s="374" t="s">
        <v>67</v>
      </c>
      <c r="I160" s="375" t="s">
        <v>950</v>
      </c>
      <c r="J160" s="376" t="s">
        <v>1182</v>
      </c>
      <c r="K160" s="377">
        <v>1</v>
      </c>
      <c r="L160" s="376">
        <v>55</v>
      </c>
    </row>
    <row r="161" spans="1:12">
      <c r="A161" s="374" t="s">
        <v>97</v>
      </c>
      <c r="B161" s="375" t="s">
        <v>948</v>
      </c>
      <c r="C161" s="376" t="s">
        <v>1181</v>
      </c>
      <c r="D161" s="377"/>
      <c r="E161" s="376">
        <v>50</v>
      </c>
      <c r="H161" s="374" t="s">
        <v>67</v>
      </c>
      <c r="I161" s="375" t="s">
        <v>950</v>
      </c>
      <c r="J161" s="376" t="s">
        <v>1183</v>
      </c>
      <c r="K161" s="377">
        <v>1</v>
      </c>
      <c r="L161" s="376">
        <v>77</v>
      </c>
    </row>
    <row r="162" spans="1:12">
      <c r="A162" s="374" t="s">
        <v>97</v>
      </c>
      <c r="B162" s="375" t="s">
        <v>948</v>
      </c>
      <c r="C162" s="376" t="s">
        <v>1184</v>
      </c>
      <c r="D162" s="377">
        <v>1</v>
      </c>
      <c r="E162" s="376">
        <v>50</v>
      </c>
      <c r="H162" s="374" t="s">
        <v>67</v>
      </c>
      <c r="I162" s="375" t="s">
        <v>950</v>
      </c>
      <c r="J162" s="376" t="s">
        <v>1185</v>
      </c>
      <c r="K162" s="377">
        <v>1</v>
      </c>
      <c r="L162" s="376">
        <v>99</v>
      </c>
    </row>
    <row r="163" spans="1:12">
      <c r="A163" s="374" t="s">
        <v>97</v>
      </c>
      <c r="B163" s="375" t="s">
        <v>952</v>
      </c>
      <c r="C163" s="376" t="s">
        <v>1186</v>
      </c>
      <c r="D163" s="377">
        <v>1</v>
      </c>
      <c r="E163" s="376">
        <v>80</v>
      </c>
      <c r="H163" s="374" t="s">
        <v>67</v>
      </c>
      <c r="I163" s="375" t="s">
        <v>950</v>
      </c>
      <c r="J163" s="376" t="s">
        <v>1187</v>
      </c>
      <c r="K163" s="377">
        <v>1</v>
      </c>
      <c r="L163" s="376">
        <v>60</v>
      </c>
    </row>
    <row r="164" spans="1:12">
      <c r="A164" s="374" t="s">
        <v>97</v>
      </c>
      <c r="B164" s="375" t="s">
        <v>948</v>
      </c>
      <c r="C164" s="376" t="s">
        <v>1186</v>
      </c>
      <c r="D164" s="377"/>
      <c r="E164" s="376">
        <v>50</v>
      </c>
      <c r="H164" s="374" t="s">
        <v>67</v>
      </c>
      <c r="I164" s="375" t="s">
        <v>950</v>
      </c>
      <c r="J164" s="376" t="s">
        <v>1188</v>
      </c>
      <c r="K164" s="377">
        <v>1</v>
      </c>
      <c r="L164" s="376">
        <v>52</v>
      </c>
    </row>
    <row r="165" spans="1:12">
      <c r="A165" s="374" t="s">
        <v>97</v>
      </c>
      <c r="B165" s="375" t="s">
        <v>948</v>
      </c>
      <c r="C165" s="376" t="s">
        <v>1189</v>
      </c>
      <c r="D165" s="377">
        <v>1</v>
      </c>
      <c r="E165" s="376">
        <v>50</v>
      </c>
      <c r="H165" s="374" t="s">
        <v>67</v>
      </c>
      <c r="I165" s="375" t="s">
        <v>950</v>
      </c>
      <c r="J165" s="376" t="s">
        <v>1190</v>
      </c>
      <c r="K165" s="377">
        <v>1</v>
      </c>
      <c r="L165" s="376">
        <v>87</v>
      </c>
    </row>
    <row r="166" spans="1:12">
      <c r="A166" s="374" t="s">
        <v>97</v>
      </c>
      <c r="B166" s="375" t="s">
        <v>985</v>
      </c>
      <c r="C166" s="376" t="s">
        <v>1189</v>
      </c>
      <c r="D166" s="377">
        <v>1</v>
      </c>
      <c r="E166" s="376">
        <v>70</v>
      </c>
      <c r="H166" s="374" t="s">
        <v>67</v>
      </c>
      <c r="I166" s="375" t="s">
        <v>950</v>
      </c>
      <c r="J166" s="376" t="s">
        <v>1191</v>
      </c>
      <c r="K166" s="377">
        <v>1</v>
      </c>
      <c r="L166" s="376">
        <v>51</v>
      </c>
    </row>
    <row r="167" spans="1:12">
      <c r="A167" s="374" t="s">
        <v>97</v>
      </c>
      <c r="B167" s="375" t="s">
        <v>948</v>
      </c>
      <c r="C167" s="376" t="s">
        <v>1192</v>
      </c>
      <c r="D167" s="377">
        <v>1</v>
      </c>
      <c r="E167" s="376">
        <v>100</v>
      </c>
      <c r="H167" s="374" t="s">
        <v>67</v>
      </c>
      <c r="I167" s="375" t="s">
        <v>950</v>
      </c>
      <c r="J167" s="376" t="s">
        <v>1193</v>
      </c>
      <c r="K167" s="377">
        <v>1</v>
      </c>
      <c r="L167" s="376">
        <v>46</v>
      </c>
    </row>
    <row r="168" spans="1:12">
      <c r="A168" s="374" t="s">
        <v>97</v>
      </c>
      <c r="B168" s="375" t="s">
        <v>985</v>
      </c>
      <c r="C168" s="376" t="s">
        <v>1192</v>
      </c>
      <c r="D168" s="377">
        <v>1</v>
      </c>
      <c r="E168" s="376">
        <v>120</v>
      </c>
      <c r="H168" s="374" t="s">
        <v>67</v>
      </c>
      <c r="I168" s="375" t="s">
        <v>950</v>
      </c>
      <c r="J168" s="376" t="s">
        <v>1194</v>
      </c>
      <c r="K168" s="377">
        <v>1</v>
      </c>
      <c r="L168" s="376">
        <v>124</v>
      </c>
    </row>
    <row r="169" spans="1:12">
      <c r="A169" s="374" t="s">
        <v>97</v>
      </c>
      <c r="B169" s="375" t="s">
        <v>952</v>
      </c>
      <c r="C169" s="376" t="s">
        <v>1195</v>
      </c>
      <c r="D169" s="377">
        <v>1</v>
      </c>
      <c r="E169" s="376">
        <v>50</v>
      </c>
      <c r="H169" s="374" t="s">
        <v>67</v>
      </c>
      <c r="I169" s="375" t="s">
        <v>950</v>
      </c>
      <c r="J169" s="376" t="s">
        <v>1196</v>
      </c>
      <c r="K169" s="377">
        <v>1</v>
      </c>
      <c r="L169" s="376">
        <v>158</v>
      </c>
    </row>
    <row r="170" spans="1:12">
      <c r="A170" s="374" t="s">
        <v>97</v>
      </c>
      <c r="B170" s="375" t="s">
        <v>983</v>
      </c>
      <c r="C170" s="376" t="s">
        <v>1195</v>
      </c>
      <c r="D170" s="377">
        <v>1</v>
      </c>
      <c r="E170" s="376">
        <v>80</v>
      </c>
      <c r="H170" s="374" t="s">
        <v>67</v>
      </c>
      <c r="I170" s="375" t="s">
        <v>950</v>
      </c>
      <c r="J170" s="376" t="s">
        <v>1197</v>
      </c>
      <c r="K170" s="377">
        <v>1</v>
      </c>
      <c r="L170" s="376">
        <v>41</v>
      </c>
    </row>
    <row r="171" spans="1:12">
      <c r="A171" s="374" t="s">
        <v>97</v>
      </c>
      <c r="B171" s="375" t="s">
        <v>948</v>
      </c>
      <c r="C171" s="376" t="s">
        <v>1195</v>
      </c>
      <c r="D171" s="377"/>
      <c r="E171" s="376">
        <v>100</v>
      </c>
      <c r="H171" s="374" t="s">
        <v>67</v>
      </c>
      <c r="I171" s="375" t="s">
        <v>950</v>
      </c>
      <c r="J171" s="376" t="s">
        <v>1198</v>
      </c>
      <c r="K171" s="377">
        <v>1</v>
      </c>
      <c r="L171" s="376">
        <v>51</v>
      </c>
    </row>
    <row r="172" spans="1:12">
      <c r="A172" s="374" t="s">
        <v>97</v>
      </c>
      <c r="B172" s="375" t="s">
        <v>964</v>
      </c>
      <c r="C172" s="376" t="s">
        <v>1199</v>
      </c>
      <c r="D172" s="377">
        <v>1</v>
      </c>
      <c r="E172" s="376">
        <v>120</v>
      </c>
      <c r="H172" s="374" t="s">
        <v>67</v>
      </c>
      <c r="I172" s="375" t="s">
        <v>950</v>
      </c>
      <c r="J172" s="376" t="s">
        <v>1200</v>
      </c>
      <c r="K172" s="377">
        <v>1</v>
      </c>
      <c r="L172" s="376">
        <v>57</v>
      </c>
    </row>
    <row r="173" spans="1:12">
      <c r="A173" s="374" t="s">
        <v>97</v>
      </c>
      <c r="B173" s="375" t="s">
        <v>952</v>
      </c>
      <c r="C173" s="376" t="s">
        <v>1201</v>
      </c>
      <c r="D173" s="377">
        <v>1</v>
      </c>
      <c r="E173" s="376">
        <v>20</v>
      </c>
      <c r="H173" s="374" t="s">
        <v>67</v>
      </c>
      <c r="I173" s="375" t="s">
        <v>950</v>
      </c>
      <c r="J173" s="376" t="s">
        <v>1202</v>
      </c>
      <c r="K173" s="377">
        <v>1</v>
      </c>
      <c r="L173" s="376">
        <v>336</v>
      </c>
    </row>
    <row r="174" spans="1:12">
      <c r="A174" s="374" t="s">
        <v>97</v>
      </c>
      <c r="B174" s="375" t="s">
        <v>948</v>
      </c>
      <c r="C174" s="376" t="s">
        <v>1201</v>
      </c>
      <c r="D174" s="377"/>
      <c r="E174" s="376">
        <v>50</v>
      </c>
      <c r="H174" s="374" t="s">
        <v>67</v>
      </c>
      <c r="I174" s="375" t="s">
        <v>950</v>
      </c>
      <c r="J174" s="376" t="s">
        <v>1203</v>
      </c>
      <c r="K174" s="377">
        <v>1</v>
      </c>
      <c r="L174" s="376">
        <v>153</v>
      </c>
    </row>
    <row r="175" spans="1:12">
      <c r="A175" s="374" t="s">
        <v>97</v>
      </c>
      <c r="B175" s="375" t="s">
        <v>985</v>
      </c>
      <c r="C175" s="376" t="s">
        <v>1201</v>
      </c>
      <c r="D175" s="377">
        <v>1</v>
      </c>
      <c r="E175" s="376">
        <v>40</v>
      </c>
      <c r="H175" s="374" t="s">
        <v>67</v>
      </c>
      <c r="I175" s="375" t="s">
        <v>950</v>
      </c>
      <c r="J175" s="376" t="s">
        <v>1204</v>
      </c>
      <c r="K175" s="377">
        <v>1</v>
      </c>
      <c r="L175" s="376">
        <v>101</v>
      </c>
    </row>
    <row r="176" spans="1:12">
      <c r="A176" s="374" t="s">
        <v>97</v>
      </c>
      <c r="B176" s="375" t="s">
        <v>952</v>
      </c>
      <c r="C176" s="376" t="s">
        <v>1205</v>
      </c>
      <c r="D176" s="377">
        <v>1</v>
      </c>
      <c r="E176" s="376">
        <v>110</v>
      </c>
      <c r="H176" s="374" t="s">
        <v>67</v>
      </c>
      <c r="I176" s="375" t="s">
        <v>950</v>
      </c>
      <c r="J176" s="376" t="s">
        <v>1206</v>
      </c>
      <c r="K176" s="377">
        <v>1</v>
      </c>
      <c r="L176" s="376">
        <v>159</v>
      </c>
    </row>
    <row r="177" spans="1:12">
      <c r="A177" s="374" t="s">
        <v>97</v>
      </c>
      <c r="B177" s="375" t="s">
        <v>948</v>
      </c>
      <c r="C177" s="376" t="s">
        <v>1205</v>
      </c>
      <c r="D177" s="377"/>
      <c r="E177" s="376">
        <v>100</v>
      </c>
      <c r="H177" s="374" t="s">
        <v>67</v>
      </c>
      <c r="I177" s="375" t="s">
        <v>1053</v>
      </c>
      <c r="J177" s="376" t="s">
        <v>1207</v>
      </c>
      <c r="K177" s="377">
        <v>1</v>
      </c>
      <c r="L177" s="376">
        <v>120</v>
      </c>
    </row>
    <row r="178" spans="1:12">
      <c r="A178" s="374" t="s">
        <v>97</v>
      </c>
      <c r="B178" s="375" t="s">
        <v>952</v>
      </c>
      <c r="C178" s="376" t="s">
        <v>1208</v>
      </c>
      <c r="D178" s="377">
        <v>1</v>
      </c>
      <c r="E178" s="376">
        <v>20</v>
      </c>
      <c r="H178" s="374" t="s">
        <v>67</v>
      </c>
      <c r="I178" s="375" t="s">
        <v>950</v>
      </c>
      <c r="J178" s="376" t="s">
        <v>1207</v>
      </c>
      <c r="K178" s="377"/>
      <c r="L178" s="376">
        <v>157</v>
      </c>
    </row>
    <row r="179" spans="1:12">
      <c r="A179" s="374" t="s">
        <v>97</v>
      </c>
      <c r="B179" s="375" t="s">
        <v>983</v>
      </c>
      <c r="C179" s="376" t="s">
        <v>1208</v>
      </c>
      <c r="D179" s="377">
        <v>1</v>
      </c>
      <c r="E179" s="376">
        <v>40</v>
      </c>
      <c r="H179" s="374" t="s">
        <v>67</v>
      </c>
      <c r="I179" s="375" t="s">
        <v>950</v>
      </c>
      <c r="J179" s="376" t="s">
        <v>1209</v>
      </c>
      <c r="K179" s="377">
        <v>1</v>
      </c>
      <c r="L179" s="376">
        <v>128</v>
      </c>
    </row>
    <row r="180" spans="1:12">
      <c r="A180" s="374" t="s">
        <v>97</v>
      </c>
      <c r="B180" s="375" t="s">
        <v>948</v>
      </c>
      <c r="C180" s="376" t="s">
        <v>1208</v>
      </c>
      <c r="D180" s="377"/>
      <c r="E180" s="376">
        <v>50</v>
      </c>
      <c r="H180" s="374" t="s">
        <v>67</v>
      </c>
      <c r="I180" s="375" t="s">
        <v>950</v>
      </c>
      <c r="J180" s="376" t="s">
        <v>1210</v>
      </c>
      <c r="K180" s="377">
        <v>1</v>
      </c>
      <c r="L180" s="376">
        <v>232</v>
      </c>
    </row>
    <row r="181" spans="1:12">
      <c r="A181" s="374" t="s">
        <v>97</v>
      </c>
      <c r="B181" s="375" t="s">
        <v>952</v>
      </c>
      <c r="C181" s="376" t="s">
        <v>1211</v>
      </c>
      <c r="D181" s="377">
        <v>1</v>
      </c>
      <c r="E181" s="376">
        <v>140</v>
      </c>
      <c r="H181" s="374" t="s">
        <v>67</v>
      </c>
      <c r="I181" s="375" t="s">
        <v>950</v>
      </c>
      <c r="J181" s="376" t="s">
        <v>1212</v>
      </c>
      <c r="K181" s="377">
        <v>1</v>
      </c>
      <c r="L181" s="376">
        <v>131</v>
      </c>
    </row>
    <row r="182" spans="1:12">
      <c r="A182" s="374" t="s">
        <v>97</v>
      </c>
      <c r="B182" s="375" t="s">
        <v>948</v>
      </c>
      <c r="C182" s="376" t="s">
        <v>1211</v>
      </c>
      <c r="D182" s="377"/>
      <c r="E182" s="376">
        <v>100</v>
      </c>
      <c r="H182" s="374" t="s">
        <v>67</v>
      </c>
      <c r="I182" s="375" t="s">
        <v>950</v>
      </c>
      <c r="J182" s="376" t="s">
        <v>1213</v>
      </c>
      <c r="K182" s="377">
        <v>1</v>
      </c>
      <c r="L182" s="376">
        <v>147</v>
      </c>
    </row>
    <row r="183" spans="1:12">
      <c r="A183" s="374" t="s">
        <v>97</v>
      </c>
      <c r="B183" s="375" t="s">
        <v>964</v>
      </c>
      <c r="C183" s="376" t="s">
        <v>1211</v>
      </c>
      <c r="D183" s="377">
        <v>1</v>
      </c>
      <c r="E183" s="376">
        <v>110</v>
      </c>
      <c r="H183" s="374" t="s">
        <v>67</v>
      </c>
      <c r="I183" s="375" t="s">
        <v>950</v>
      </c>
      <c r="J183" s="376" t="s">
        <v>1214</v>
      </c>
      <c r="K183" s="377">
        <v>1</v>
      </c>
      <c r="L183" s="376">
        <v>172</v>
      </c>
    </row>
    <row r="184" spans="1:12">
      <c r="A184" s="374" t="s">
        <v>97</v>
      </c>
      <c r="B184" s="375" t="s">
        <v>1013</v>
      </c>
      <c r="C184" s="376" t="s">
        <v>1215</v>
      </c>
      <c r="D184" s="377">
        <v>1</v>
      </c>
      <c r="E184" s="376">
        <v>120</v>
      </c>
      <c r="H184" s="374" t="s">
        <v>67</v>
      </c>
      <c r="I184" s="375" t="s">
        <v>950</v>
      </c>
      <c r="J184" s="376" t="s">
        <v>1216</v>
      </c>
      <c r="K184" s="377">
        <v>1</v>
      </c>
      <c r="L184" s="376">
        <v>105</v>
      </c>
    </row>
    <row r="185" spans="1:12">
      <c r="A185" s="374" t="s">
        <v>97</v>
      </c>
      <c r="B185" s="375" t="s">
        <v>952</v>
      </c>
      <c r="C185" s="376" t="s">
        <v>1217</v>
      </c>
      <c r="D185" s="377">
        <v>1</v>
      </c>
      <c r="E185" s="376">
        <v>40</v>
      </c>
      <c r="H185" s="374" t="s">
        <v>67</v>
      </c>
      <c r="I185" s="375" t="s">
        <v>950</v>
      </c>
      <c r="J185" s="376" t="s">
        <v>1218</v>
      </c>
      <c r="K185" s="377">
        <v>1</v>
      </c>
      <c r="L185" s="376">
        <v>154</v>
      </c>
    </row>
    <row r="186" spans="1:12">
      <c r="A186" s="374" t="s">
        <v>97</v>
      </c>
      <c r="B186" s="375" t="s">
        <v>948</v>
      </c>
      <c r="C186" s="376" t="s">
        <v>1217</v>
      </c>
      <c r="D186" s="377"/>
      <c r="E186" s="376">
        <v>50</v>
      </c>
      <c r="H186" s="374" t="s">
        <v>67</v>
      </c>
      <c r="I186" s="375" t="s">
        <v>950</v>
      </c>
      <c r="J186" s="376" t="s">
        <v>1219</v>
      </c>
      <c r="K186" s="377">
        <v>1</v>
      </c>
      <c r="L186" s="376">
        <v>183</v>
      </c>
    </row>
    <row r="187" spans="1:12">
      <c r="A187" s="374" t="s">
        <v>97</v>
      </c>
      <c r="B187" s="375" t="s">
        <v>952</v>
      </c>
      <c r="C187" s="376" t="s">
        <v>1220</v>
      </c>
      <c r="D187" s="377">
        <v>1</v>
      </c>
      <c r="E187" s="376">
        <v>70</v>
      </c>
      <c r="H187" s="374" t="s">
        <v>67</v>
      </c>
      <c r="I187" s="375" t="s">
        <v>950</v>
      </c>
      <c r="J187" s="376" t="s">
        <v>1221</v>
      </c>
      <c r="K187" s="377">
        <v>1</v>
      </c>
      <c r="L187" s="376">
        <v>99</v>
      </c>
    </row>
    <row r="188" spans="1:12">
      <c r="A188" s="374" t="s">
        <v>97</v>
      </c>
      <c r="B188" s="375" t="s">
        <v>948</v>
      </c>
      <c r="C188" s="376" t="s">
        <v>1220</v>
      </c>
      <c r="D188" s="377"/>
      <c r="E188" s="376">
        <v>100</v>
      </c>
      <c r="H188" s="374" t="s">
        <v>67</v>
      </c>
      <c r="I188" s="375" t="s">
        <v>950</v>
      </c>
      <c r="J188" s="376" t="s">
        <v>1222</v>
      </c>
      <c r="K188" s="377">
        <v>1</v>
      </c>
      <c r="L188" s="376">
        <v>201</v>
      </c>
    </row>
    <row r="189" spans="1:12">
      <c r="A189" s="374" t="s">
        <v>97</v>
      </c>
      <c r="B189" s="375" t="s">
        <v>952</v>
      </c>
      <c r="C189" s="376" t="s">
        <v>1223</v>
      </c>
      <c r="D189" s="377">
        <v>1</v>
      </c>
      <c r="E189" s="376">
        <v>50</v>
      </c>
      <c r="H189" s="374" t="s">
        <v>67</v>
      </c>
      <c r="I189" s="375" t="s">
        <v>950</v>
      </c>
      <c r="J189" s="376" t="s">
        <v>1224</v>
      </c>
      <c r="K189" s="377">
        <v>1</v>
      </c>
      <c r="L189" s="376">
        <v>74</v>
      </c>
    </row>
    <row r="190" spans="1:12">
      <c r="A190" s="374" t="s">
        <v>97</v>
      </c>
      <c r="B190" s="375" t="s">
        <v>948</v>
      </c>
      <c r="C190" s="376" t="s">
        <v>1223</v>
      </c>
      <c r="D190" s="377"/>
      <c r="E190" s="376">
        <v>100</v>
      </c>
      <c r="H190" s="374" t="s">
        <v>67</v>
      </c>
      <c r="I190" s="375" t="s">
        <v>950</v>
      </c>
      <c r="J190" s="376" t="s">
        <v>1225</v>
      </c>
      <c r="K190" s="377">
        <v>1</v>
      </c>
      <c r="L190" s="376">
        <v>139</v>
      </c>
    </row>
    <row r="191" spans="1:12">
      <c r="A191" s="374" t="s">
        <v>97</v>
      </c>
      <c r="B191" s="375" t="s">
        <v>948</v>
      </c>
      <c r="C191" s="376" t="s">
        <v>1226</v>
      </c>
      <c r="D191" s="377">
        <v>1</v>
      </c>
      <c r="E191" s="376">
        <v>50</v>
      </c>
      <c r="H191" s="374" t="s">
        <v>67</v>
      </c>
      <c r="I191" s="375" t="s">
        <v>950</v>
      </c>
      <c r="J191" s="376" t="s">
        <v>1227</v>
      </c>
      <c r="K191" s="377">
        <v>1</v>
      </c>
      <c r="L191" s="376">
        <v>47</v>
      </c>
    </row>
    <row r="192" spans="1:12">
      <c r="A192" s="374" t="s">
        <v>97</v>
      </c>
      <c r="B192" s="375" t="s">
        <v>948</v>
      </c>
      <c r="C192" s="376" t="s">
        <v>1228</v>
      </c>
      <c r="D192" s="377">
        <v>1</v>
      </c>
      <c r="E192" s="376">
        <v>100</v>
      </c>
      <c r="H192" s="374" t="s">
        <v>67</v>
      </c>
      <c r="I192" s="375" t="s">
        <v>950</v>
      </c>
      <c r="J192" s="376" t="s">
        <v>1229</v>
      </c>
      <c r="K192" s="377">
        <v>1</v>
      </c>
      <c r="L192" s="376">
        <v>53</v>
      </c>
    </row>
    <row r="193" spans="1:12">
      <c r="A193" s="374" t="s">
        <v>97</v>
      </c>
      <c r="B193" s="375" t="s">
        <v>952</v>
      </c>
      <c r="C193" s="376" t="s">
        <v>1230</v>
      </c>
      <c r="D193" s="377">
        <v>1</v>
      </c>
      <c r="E193" s="376">
        <v>900</v>
      </c>
      <c r="H193" s="374" t="s">
        <v>67</v>
      </c>
      <c r="I193" s="375" t="s">
        <v>950</v>
      </c>
      <c r="J193" s="376" t="s">
        <v>1231</v>
      </c>
      <c r="K193" s="377">
        <v>1</v>
      </c>
      <c r="L193" s="376">
        <v>110</v>
      </c>
    </row>
    <row r="194" spans="1:12">
      <c r="A194" s="374" t="s">
        <v>97</v>
      </c>
      <c r="B194" s="375" t="s">
        <v>952</v>
      </c>
      <c r="C194" s="376" t="s">
        <v>1232</v>
      </c>
      <c r="D194" s="377">
        <v>1</v>
      </c>
      <c r="E194" s="376">
        <v>420</v>
      </c>
      <c r="H194" s="374" t="s">
        <v>67</v>
      </c>
      <c r="I194" s="375" t="s">
        <v>950</v>
      </c>
      <c r="J194" s="376" t="s">
        <v>1233</v>
      </c>
      <c r="K194" s="377">
        <v>1</v>
      </c>
      <c r="L194" s="376">
        <v>47</v>
      </c>
    </row>
    <row r="195" spans="1:12">
      <c r="A195" s="374" t="s">
        <v>97</v>
      </c>
      <c r="B195" s="375" t="s">
        <v>952</v>
      </c>
      <c r="C195" s="376" t="s">
        <v>1234</v>
      </c>
      <c r="D195" s="377">
        <v>1</v>
      </c>
      <c r="E195" s="376">
        <v>70</v>
      </c>
      <c r="H195" s="374" t="s">
        <v>66</v>
      </c>
      <c r="I195" s="375" t="s">
        <v>948</v>
      </c>
      <c r="J195" s="376" t="s">
        <v>1235</v>
      </c>
      <c r="K195" s="377">
        <v>1</v>
      </c>
      <c r="L195" s="376">
        <v>68</v>
      </c>
    </row>
    <row r="196" spans="1:12">
      <c r="A196" s="374" t="s">
        <v>97</v>
      </c>
      <c r="B196" s="375" t="s">
        <v>948</v>
      </c>
      <c r="C196" s="376" t="s">
        <v>1234</v>
      </c>
      <c r="D196" s="377"/>
      <c r="E196" s="376">
        <v>100</v>
      </c>
      <c r="H196" s="374" t="s">
        <v>66</v>
      </c>
      <c r="I196" s="375" t="s">
        <v>975</v>
      </c>
      <c r="J196" s="376" t="s">
        <v>1236</v>
      </c>
      <c r="K196" s="377">
        <v>1</v>
      </c>
      <c r="L196" s="376">
        <v>136</v>
      </c>
    </row>
    <row r="197" spans="1:12">
      <c r="A197" s="374" t="s">
        <v>97</v>
      </c>
      <c r="B197" s="375" t="s">
        <v>952</v>
      </c>
      <c r="C197" s="376" t="s">
        <v>1237</v>
      </c>
      <c r="D197" s="377">
        <v>1</v>
      </c>
      <c r="E197" s="376">
        <v>100</v>
      </c>
      <c r="H197" s="374" t="s">
        <v>66</v>
      </c>
      <c r="I197" s="375" t="s">
        <v>948</v>
      </c>
      <c r="J197" s="376" t="s">
        <v>1236</v>
      </c>
      <c r="K197" s="377"/>
      <c r="L197" s="376">
        <v>136</v>
      </c>
    </row>
    <row r="198" spans="1:12">
      <c r="A198" s="374" t="s">
        <v>97</v>
      </c>
      <c r="B198" s="375" t="s">
        <v>948</v>
      </c>
      <c r="C198" s="376" t="s">
        <v>1237</v>
      </c>
      <c r="D198" s="377"/>
      <c r="E198" s="376">
        <v>50</v>
      </c>
      <c r="H198" s="374" t="s">
        <v>66</v>
      </c>
      <c r="I198" s="375" t="s">
        <v>1008</v>
      </c>
      <c r="J198" s="376" t="s">
        <v>1238</v>
      </c>
      <c r="K198" s="377">
        <v>1</v>
      </c>
      <c r="L198" s="376">
        <v>130</v>
      </c>
    </row>
    <row r="199" spans="1:12">
      <c r="A199" s="374" t="s">
        <v>97</v>
      </c>
      <c r="B199" s="375" t="s">
        <v>952</v>
      </c>
      <c r="C199" s="376" t="s">
        <v>1239</v>
      </c>
      <c r="D199" s="377">
        <v>1</v>
      </c>
      <c r="E199" s="376">
        <v>40</v>
      </c>
      <c r="H199" s="374" t="s">
        <v>66</v>
      </c>
      <c r="I199" s="375" t="s">
        <v>948</v>
      </c>
      <c r="J199" s="376" t="s">
        <v>1238</v>
      </c>
      <c r="K199" s="377">
        <v>1</v>
      </c>
      <c r="L199" s="376">
        <v>80</v>
      </c>
    </row>
    <row r="200" spans="1:12">
      <c r="A200" s="374" t="s">
        <v>97</v>
      </c>
      <c r="B200" s="375" t="s">
        <v>983</v>
      </c>
      <c r="C200" s="376" t="s">
        <v>1239</v>
      </c>
      <c r="D200" s="377">
        <v>1</v>
      </c>
      <c r="E200" s="376">
        <v>40</v>
      </c>
      <c r="H200" s="374" t="s">
        <v>66</v>
      </c>
      <c r="I200" s="375" t="s">
        <v>975</v>
      </c>
      <c r="J200" s="376" t="s">
        <v>1240</v>
      </c>
      <c r="K200" s="377">
        <v>1</v>
      </c>
      <c r="L200" s="376">
        <v>78</v>
      </c>
    </row>
    <row r="201" spans="1:12">
      <c r="A201" s="374" t="s">
        <v>97</v>
      </c>
      <c r="B201" s="375" t="s">
        <v>948</v>
      </c>
      <c r="C201" s="376" t="s">
        <v>1239</v>
      </c>
      <c r="D201" s="377"/>
      <c r="E201" s="376">
        <v>100</v>
      </c>
      <c r="H201" s="374" t="s">
        <v>66</v>
      </c>
      <c r="I201" s="375" t="s">
        <v>948</v>
      </c>
      <c r="J201" s="376" t="s">
        <v>1241</v>
      </c>
      <c r="K201" s="377">
        <v>1</v>
      </c>
      <c r="L201" s="376">
        <v>31</v>
      </c>
    </row>
    <row r="202" spans="1:12">
      <c r="A202" s="374" t="s">
        <v>97</v>
      </c>
      <c r="B202" s="375" t="s">
        <v>983</v>
      </c>
      <c r="C202" s="376" t="s">
        <v>1242</v>
      </c>
      <c r="D202" s="377">
        <v>1</v>
      </c>
      <c r="E202" s="376">
        <v>100</v>
      </c>
      <c r="H202" s="374" t="s">
        <v>66</v>
      </c>
      <c r="I202" s="375" t="s">
        <v>975</v>
      </c>
      <c r="J202" s="376" t="s">
        <v>1243</v>
      </c>
      <c r="K202" s="377">
        <v>1</v>
      </c>
      <c r="L202" s="376">
        <v>45</v>
      </c>
    </row>
    <row r="203" spans="1:12">
      <c r="A203" s="374" t="s">
        <v>97</v>
      </c>
      <c r="B203" s="375" t="s">
        <v>948</v>
      </c>
      <c r="C203" s="376" t="s">
        <v>1242</v>
      </c>
      <c r="D203" s="377">
        <v>1</v>
      </c>
      <c r="E203" s="376">
        <v>100</v>
      </c>
      <c r="H203" s="374" t="s">
        <v>66</v>
      </c>
      <c r="I203" s="375" t="s">
        <v>948</v>
      </c>
      <c r="J203" s="376" t="s">
        <v>1243</v>
      </c>
      <c r="K203" s="377"/>
      <c r="L203" s="376">
        <v>45</v>
      </c>
    </row>
    <row r="204" spans="1:12">
      <c r="A204" s="374" t="s">
        <v>97</v>
      </c>
      <c r="B204" s="375" t="s">
        <v>948</v>
      </c>
      <c r="C204" s="376" t="s">
        <v>1244</v>
      </c>
      <c r="D204" s="377">
        <v>1</v>
      </c>
      <c r="E204" s="376">
        <v>100</v>
      </c>
      <c r="H204" s="374" t="s">
        <v>66</v>
      </c>
      <c r="I204" s="375" t="s">
        <v>975</v>
      </c>
      <c r="J204" s="376" t="s">
        <v>1245</v>
      </c>
      <c r="K204" s="377">
        <v>1</v>
      </c>
      <c r="L204" s="376">
        <v>86</v>
      </c>
    </row>
    <row r="205" spans="1:12">
      <c r="A205" s="374" t="s">
        <v>97</v>
      </c>
      <c r="B205" s="375" t="s">
        <v>1013</v>
      </c>
      <c r="C205" s="376" t="s">
        <v>1246</v>
      </c>
      <c r="D205" s="377">
        <v>1</v>
      </c>
      <c r="E205" s="376">
        <v>90</v>
      </c>
      <c r="H205" s="374" t="s">
        <v>66</v>
      </c>
      <c r="I205" s="375" t="s">
        <v>948</v>
      </c>
      <c r="J205" s="376" t="s">
        <v>1247</v>
      </c>
      <c r="K205" s="377">
        <v>1</v>
      </c>
      <c r="L205" s="376">
        <v>270</v>
      </c>
    </row>
    <row r="206" spans="1:12">
      <c r="A206" s="374" t="s">
        <v>97</v>
      </c>
      <c r="B206" s="375" t="s">
        <v>985</v>
      </c>
      <c r="C206" s="376" t="s">
        <v>1248</v>
      </c>
      <c r="D206" s="377">
        <v>1</v>
      </c>
      <c r="E206" s="376">
        <v>150</v>
      </c>
      <c r="H206" s="374" t="s">
        <v>66</v>
      </c>
      <c r="I206" s="375" t="s">
        <v>975</v>
      </c>
      <c r="J206" s="376" t="s">
        <v>1249</v>
      </c>
      <c r="K206" s="377">
        <v>1</v>
      </c>
      <c r="L206" s="376">
        <v>170</v>
      </c>
    </row>
    <row r="207" spans="1:12">
      <c r="A207" s="374" t="s">
        <v>97</v>
      </c>
      <c r="B207" s="375" t="s">
        <v>983</v>
      </c>
      <c r="C207" s="376" t="s">
        <v>1250</v>
      </c>
      <c r="D207" s="377">
        <v>1</v>
      </c>
      <c r="E207" s="376">
        <v>60</v>
      </c>
      <c r="H207" s="374" t="s">
        <v>66</v>
      </c>
      <c r="I207" s="375" t="s">
        <v>948</v>
      </c>
      <c r="J207" s="376" t="s">
        <v>1249</v>
      </c>
      <c r="K207" s="377"/>
      <c r="L207" s="376">
        <v>212</v>
      </c>
    </row>
    <row r="208" spans="1:12">
      <c r="A208" s="374" t="s">
        <v>97</v>
      </c>
      <c r="B208" s="375" t="s">
        <v>952</v>
      </c>
      <c r="C208" s="376" t="s">
        <v>1251</v>
      </c>
      <c r="D208" s="377">
        <v>1</v>
      </c>
      <c r="E208" s="376">
        <v>30</v>
      </c>
      <c r="H208" s="374" t="s">
        <v>66</v>
      </c>
      <c r="I208" s="375" t="s">
        <v>975</v>
      </c>
      <c r="J208" s="376" t="s">
        <v>1252</v>
      </c>
      <c r="K208" s="377">
        <v>1</v>
      </c>
      <c r="L208" s="376">
        <v>21</v>
      </c>
    </row>
    <row r="209" spans="1:12">
      <c r="A209" s="374" t="s">
        <v>97</v>
      </c>
      <c r="B209" s="375" t="s">
        <v>948</v>
      </c>
      <c r="C209" s="376" t="s">
        <v>1251</v>
      </c>
      <c r="D209" s="377"/>
      <c r="E209" s="376">
        <v>30</v>
      </c>
      <c r="H209" s="374" t="s">
        <v>66</v>
      </c>
      <c r="I209" s="375" t="s">
        <v>948</v>
      </c>
      <c r="J209" s="376" t="s">
        <v>1252</v>
      </c>
      <c r="K209" s="377"/>
      <c r="L209" s="376">
        <v>21</v>
      </c>
    </row>
    <row r="210" spans="1:12">
      <c r="A210" s="374" t="s">
        <v>97</v>
      </c>
      <c r="B210" s="375" t="s">
        <v>985</v>
      </c>
      <c r="C210" s="376" t="s">
        <v>1253</v>
      </c>
      <c r="D210" s="377">
        <v>1</v>
      </c>
      <c r="E210" s="376">
        <v>130</v>
      </c>
      <c r="H210" s="374" t="s">
        <v>66</v>
      </c>
      <c r="I210" s="375" t="s">
        <v>975</v>
      </c>
      <c r="J210" s="376" t="s">
        <v>1254</v>
      </c>
      <c r="K210" s="377">
        <v>1</v>
      </c>
      <c r="L210" s="376">
        <v>58</v>
      </c>
    </row>
    <row r="211" spans="1:12">
      <c r="A211" s="374" t="s">
        <v>97</v>
      </c>
      <c r="B211" s="375" t="s">
        <v>952</v>
      </c>
      <c r="C211" s="376" t="s">
        <v>1255</v>
      </c>
      <c r="D211" s="377">
        <v>1</v>
      </c>
      <c r="E211" s="376">
        <v>50</v>
      </c>
      <c r="H211" s="374" t="s">
        <v>66</v>
      </c>
      <c r="I211" s="375" t="s">
        <v>948</v>
      </c>
      <c r="J211" s="376" t="s">
        <v>1256</v>
      </c>
      <c r="K211" s="377">
        <v>1</v>
      </c>
      <c r="L211" s="376">
        <v>164</v>
      </c>
    </row>
    <row r="212" spans="1:12">
      <c r="A212" s="374" t="s">
        <v>97</v>
      </c>
      <c r="B212" s="375" t="s">
        <v>983</v>
      </c>
      <c r="C212" s="376" t="s">
        <v>1255</v>
      </c>
      <c r="D212" s="377">
        <v>1</v>
      </c>
      <c r="E212" s="376">
        <v>100</v>
      </c>
      <c r="H212" s="374" t="s">
        <v>66</v>
      </c>
      <c r="I212" s="375" t="s">
        <v>948</v>
      </c>
      <c r="J212" s="376" t="s">
        <v>1257</v>
      </c>
      <c r="K212" s="377">
        <v>1</v>
      </c>
      <c r="L212" s="376">
        <v>44</v>
      </c>
    </row>
    <row r="213" spans="1:12">
      <c r="A213" s="374" t="s">
        <v>97</v>
      </c>
      <c r="B213" s="375" t="s">
        <v>948</v>
      </c>
      <c r="C213" s="376" t="s">
        <v>1255</v>
      </c>
      <c r="D213" s="377"/>
      <c r="E213" s="376">
        <v>50</v>
      </c>
      <c r="H213" s="374" t="s">
        <v>66</v>
      </c>
      <c r="I213" s="375" t="s">
        <v>948</v>
      </c>
      <c r="J213" s="376" t="s">
        <v>1258</v>
      </c>
      <c r="K213" s="377">
        <v>1</v>
      </c>
      <c r="L213" s="376">
        <v>202</v>
      </c>
    </row>
    <row r="214" spans="1:12">
      <c r="A214" s="374" t="s">
        <v>97</v>
      </c>
      <c r="B214" s="375" t="s">
        <v>985</v>
      </c>
      <c r="C214" s="376" t="s">
        <v>1255</v>
      </c>
      <c r="D214" s="377"/>
      <c r="E214" s="376">
        <v>100</v>
      </c>
      <c r="H214" s="374" t="s">
        <v>66</v>
      </c>
      <c r="I214" s="375" t="s">
        <v>975</v>
      </c>
      <c r="J214" s="376" t="s">
        <v>1259</v>
      </c>
      <c r="K214" s="377">
        <v>1</v>
      </c>
      <c r="L214" s="376">
        <v>33</v>
      </c>
    </row>
    <row r="215" spans="1:12">
      <c r="A215" s="374" t="s">
        <v>97</v>
      </c>
      <c r="B215" s="375" t="s">
        <v>952</v>
      </c>
      <c r="C215" s="376" t="s">
        <v>1260</v>
      </c>
      <c r="D215" s="377">
        <v>1</v>
      </c>
      <c r="E215" s="376">
        <v>70</v>
      </c>
      <c r="H215" s="374" t="s">
        <v>66</v>
      </c>
      <c r="I215" s="375" t="s">
        <v>948</v>
      </c>
      <c r="J215" s="376" t="s">
        <v>1259</v>
      </c>
      <c r="K215" s="377"/>
      <c r="L215" s="376">
        <v>33</v>
      </c>
    </row>
    <row r="216" spans="1:12">
      <c r="A216" s="374" t="s">
        <v>97</v>
      </c>
      <c r="B216" s="375" t="s">
        <v>948</v>
      </c>
      <c r="C216" s="376" t="s">
        <v>1260</v>
      </c>
      <c r="D216" s="377"/>
      <c r="E216" s="376">
        <v>70</v>
      </c>
      <c r="H216" s="374" t="s">
        <v>66</v>
      </c>
      <c r="I216" s="375" t="s">
        <v>975</v>
      </c>
      <c r="J216" s="376" t="s">
        <v>1261</v>
      </c>
      <c r="K216" s="377">
        <v>1</v>
      </c>
      <c r="L216" s="376">
        <v>49</v>
      </c>
    </row>
    <row r="217" spans="1:12">
      <c r="A217" s="374" t="s">
        <v>97</v>
      </c>
      <c r="B217" s="375" t="s">
        <v>948</v>
      </c>
      <c r="C217" s="376" t="s">
        <v>1262</v>
      </c>
      <c r="D217" s="377">
        <v>1</v>
      </c>
      <c r="E217" s="376">
        <v>50</v>
      </c>
      <c r="H217" s="374" t="s">
        <v>66</v>
      </c>
      <c r="I217" s="375" t="s">
        <v>948</v>
      </c>
      <c r="J217" s="376" t="s">
        <v>1261</v>
      </c>
      <c r="K217" s="377"/>
      <c r="L217" s="376">
        <v>49</v>
      </c>
    </row>
    <row r="218" spans="1:12">
      <c r="A218" s="374" t="s">
        <v>97</v>
      </c>
      <c r="B218" s="375" t="s">
        <v>952</v>
      </c>
      <c r="C218" s="376" t="s">
        <v>1263</v>
      </c>
      <c r="D218" s="377">
        <v>1</v>
      </c>
      <c r="E218" s="376">
        <v>120</v>
      </c>
      <c r="H218" s="374" t="s">
        <v>66</v>
      </c>
      <c r="I218" s="375" t="s">
        <v>975</v>
      </c>
      <c r="J218" s="376" t="s">
        <v>1264</v>
      </c>
      <c r="K218" s="377">
        <v>1</v>
      </c>
      <c r="L218" s="376">
        <v>49</v>
      </c>
    </row>
    <row r="219" spans="1:12">
      <c r="A219" s="374" t="s">
        <v>97</v>
      </c>
      <c r="B219" s="375" t="s">
        <v>983</v>
      </c>
      <c r="C219" s="376" t="s">
        <v>1265</v>
      </c>
      <c r="D219" s="377">
        <v>1</v>
      </c>
      <c r="E219" s="376">
        <v>40</v>
      </c>
      <c r="H219" s="374" t="s">
        <v>66</v>
      </c>
      <c r="I219" s="375" t="s">
        <v>948</v>
      </c>
      <c r="J219" s="376" t="s">
        <v>1264</v>
      </c>
      <c r="K219" s="377"/>
      <c r="L219" s="376">
        <v>49</v>
      </c>
    </row>
    <row r="220" spans="1:12">
      <c r="A220" s="374" t="s">
        <v>97</v>
      </c>
      <c r="B220" s="375" t="s">
        <v>948</v>
      </c>
      <c r="C220" s="376" t="s">
        <v>1265</v>
      </c>
      <c r="D220" s="377">
        <v>1</v>
      </c>
      <c r="E220" s="376">
        <v>60</v>
      </c>
      <c r="H220" s="374" t="s">
        <v>66</v>
      </c>
      <c r="I220" s="375" t="s">
        <v>975</v>
      </c>
      <c r="J220" s="376" t="s">
        <v>1266</v>
      </c>
      <c r="K220" s="377">
        <v>1</v>
      </c>
      <c r="L220" s="376">
        <v>40</v>
      </c>
    </row>
    <row r="221" spans="1:12">
      <c r="A221" s="374" t="s">
        <v>97</v>
      </c>
      <c r="B221" s="375" t="s">
        <v>985</v>
      </c>
      <c r="C221" s="376" t="s">
        <v>1265</v>
      </c>
      <c r="D221" s="377"/>
      <c r="E221" s="376">
        <v>40</v>
      </c>
      <c r="H221" s="374" t="s">
        <v>66</v>
      </c>
      <c r="I221" s="375" t="s">
        <v>948</v>
      </c>
      <c r="J221" s="376" t="s">
        <v>1266</v>
      </c>
      <c r="K221" s="377"/>
      <c r="L221" s="376">
        <v>40</v>
      </c>
    </row>
    <row r="222" spans="1:12">
      <c r="A222" s="374" t="s">
        <v>97</v>
      </c>
      <c r="B222" s="375" t="s">
        <v>952</v>
      </c>
      <c r="C222" s="376" t="s">
        <v>1267</v>
      </c>
      <c r="D222" s="377">
        <v>1</v>
      </c>
      <c r="E222" s="376">
        <v>60</v>
      </c>
      <c r="H222" s="374" t="s">
        <v>66</v>
      </c>
      <c r="I222" s="375" t="s">
        <v>948</v>
      </c>
      <c r="J222" s="376" t="s">
        <v>1268</v>
      </c>
      <c r="K222" s="377">
        <v>1</v>
      </c>
      <c r="L222" s="376">
        <v>29</v>
      </c>
    </row>
    <row r="223" spans="1:12">
      <c r="A223" s="374" t="s">
        <v>97</v>
      </c>
      <c r="B223" s="375" t="s">
        <v>948</v>
      </c>
      <c r="C223" s="376" t="s">
        <v>1267</v>
      </c>
      <c r="D223" s="377"/>
      <c r="E223" s="376">
        <v>60</v>
      </c>
      <c r="H223" s="374" t="s">
        <v>66</v>
      </c>
      <c r="I223" s="375" t="s">
        <v>975</v>
      </c>
      <c r="J223" s="376" t="s">
        <v>1269</v>
      </c>
      <c r="K223" s="377">
        <v>1</v>
      </c>
      <c r="L223" s="376">
        <v>49</v>
      </c>
    </row>
    <row r="224" spans="1:12">
      <c r="A224" s="374" t="s">
        <v>97</v>
      </c>
      <c r="B224" s="375" t="s">
        <v>952</v>
      </c>
      <c r="C224" s="376" t="s">
        <v>1270</v>
      </c>
      <c r="D224" s="377">
        <v>1</v>
      </c>
      <c r="E224" s="376">
        <v>30</v>
      </c>
      <c r="H224" s="374" t="s">
        <v>66</v>
      </c>
      <c r="I224" s="375" t="s">
        <v>948</v>
      </c>
      <c r="J224" s="376" t="s">
        <v>1269</v>
      </c>
      <c r="K224" s="377"/>
      <c r="L224" s="376">
        <v>30</v>
      </c>
    </row>
    <row r="225" spans="1:14">
      <c r="A225" s="374" t="s">
        <v>97</v>
      </c>
      <c r="B225" s="375" t="s">
        <v>948</v>
      </c>
      <c r="C225" s="376" t="s">
        <v>1270</v>
      </c>
      <c r="D225" s="377"/>
      <c r="E225" s="376">
        <v>30</v>
      </c>
      <c r="H225" s="374" t="s">
        <v>66</v>
      </c>
      <c r="I225" s="375" t="s">
        <v>948</v>
      </c>
      <c r="J225" s="376" t="s">
        <v>1271</v>
      </c>
      <c r="K225" s="377">
        <v>1</v>
      </c>
      <c r="L225" s="376">
        <v>48</v>
      </c>
    </row>
    <row r="226" spans="1:14">
      <c r="A226" s="374" t="s">
        <v>97</v>
      </c>
      <c r="B226" s="375" t="s">
        <v>985</v>
      </c>
      <c r="C226" s="376" t="s">
        <v>1270</v>
      </c>
      <c r="D226" s="377">
        <v>1</v>
      </c>
      <c r="E226" s="376">
        <v>130</v>
      </c>
      <c r="H226" s="374" t="s">
        <v>66</v>
      </c>
      <c r="I226" s="375" t="s">
        <v>948</v>
      </c>
      <c r="J226" s="376" t="s">
        <v>1272</v>
      </c>
      <c r="K226" s="377">
        <v>1</v>
      </c>
      <c r="L226" s="376">
        <v>70</v>
      </c>
    </row>
    <row r="227" spans="1:14">
      <c r="A227" s="374" t="s">
        <v>97</v>
      </c>
      <c r="B227" s="375" t="s">
        <v>952</v>
      </c>
      <c r="C227" s="376" t="s">
        <v>1273</v>
      </c>
      <c r="D227" s="377">
        <v>1</v>
      </c>
      <c r="E227" s="376">
        <v>80</v>
      </c>
      <c r="H227" s="374" t="s">
        <v>67</v>
      </c>
      <c r="I227" s="375" t="s">
        <v>950</v>
      </c>
      <c r="J227" s="376" t="s">
        <v>1274</v>
      </c>
      <c r="K227" s="377">
        <v>1</v>
      </c>
      <c r="L227" s="376">
        <v>149</v>
      </c>
    </row>
    <row r="228" spans="1:14">
      <c r="A228" s="374" t="s">
        <v>97</v>
      </c>
      <c r="B228" s="375" t="s">
        <v>948</v>
      </c>
      <c r="C228" s="376" t="s">
        <v>1273</v>
      </c>
      <c r="D228" s="377"/>
      <c r="E228" s="376">
        <v>80</v>
      </c>
      <c r="H228" s="374" t="s">
        <v>67</v>
      </c>
      <c r="I228" s="375" t="s">
        <v>950</v>
      </c>
      <c r="J228" s="376" t="s">
        <v>1275</v>
      </c>
      <c r="K228" s="377">
        <v>1</v>
      </c>
      <c r="L228" s="376">
        <v>98</v>
      </c>
    </row>
    <row r="229" spans="1:14">
      <c r="A229" s="374" t="s">
        <v>97</v>
      </c>
      <c r="B229" s="375" t="s">
        <v>952</v>
      </c>
      <c r="C229" s="376" t="s">
        <v>1276</v>
      </c>
      <c r="D229" s="377">
        <v>1</v>
      </c>
      <c r="E229" s="376">
        <v>30</v>
      </c>
      <c r="H229" s="374" t="s">
        <v>67</v>
      </c>
      <c r="I229" s="375" t="s">
        <v>950</v>
      </c>
      <c r="J229" s="376" t="s">
        <v>1277</v>
      </c>
      <c r="K229" s="377">
        <v>1</v>
      </c>
      <c r="L229" s="376">
        <v>134</v>
      </c>
    </row>
    <row r="230" spans="1:14">
      <c r="A230" s="374" t="s">
        <v>97</v>
      </c>
      <c r="B230" s="375" t="s">
        <v>948</v>
      </c>
      <c r="C230" s="376" t="s">
        <v>1276</v>
      </c>
      <c r="D230" s="377"/>
      <c r="E230" s="376">
        <v>30</v>
      </c>
      <c r="H230" s="374" t="s">
        <v>67</v>
      </c>
      <c r="I230" s="375" t="s">
        <v>950</v>
      </c>
      <c r="J230" s="376" t="s">
        <v>1278</v>
      </c>
      <c r="K230" s="377">
        <v>1</v>
      </c>
      <c r="L230" s="376">
        <v>187</v>
      </c>
    </row>
    <row r="231" spans="1:14">
      <c r="A231" s="374" t="s">
        <v>97</v>
      </c>
      <c r="B231" s="375" t="s">
        <v>952</v>
      </c>
      <c r="C231" s="376" t="s">
        <v>1279</v>
      </c>
      <c r="D231" s="377">
        <v>1</v>
      </c>
      <c r="E231" s="376">
        <v>60</v>
      </c>
      <c r="H231" s="374" t="s">
        <v>67</v>
      </c>
      <c r="I231" s="375" t="s">
        <v>950</v>
      </c>
      <c r="J231" s="376" t="s">
        <v>1280</v>
      </c>
      <c r="K231" s="377">
        <v>1</v>
      </c>
      <c r="L231" s="376">
        <v>117</v>
      </c>
    </row>
    <row r="232" spans="1:14">
      <c r="A232" s="374" t="s">
        <v>97</v>
      </c>
      <c r="B232" s="375" t="s">
        <v>948</v>
      </c>
      <c r="C232" s="376" t="s">
        <v>1279</v>
      </c>
      <c r="D232" s="377"/>
      <c r="E232" s="376">
        <v>60</v>
      </c>
      <c r="H232" s="374" t="s">
        <v>67</v>
      </c>
      <c r="I232" s="375" t="s">
        <v>950</v>
      </c>
      <c r="J232" s="376" t="s">
        <v>1281</v>
      </c>
      <c r="K232" s="377">
        <v>1</v>
      </c>
      <c r="L232" s="376">
        <v>221</v>
      </c>
    </row>
    <row r="233" spans="1:14">
      <c r="A233" s="374" t="s">
        <v>97</v>
      </c>
      <c r="B233" s="375" t="s">
        <v>985</v>
      </c>
      <c r="C233" s="376" t="s">
        <v>1282</v>
      </c>
      <c r="D233" s="377">
        <v>1</v>
      </c>
      <c r="E233" s="376">
        <v>150</v>
      </c>
      <c r="H233" s="374" t="s">
        <v>67</v>
      </c>
      <c r="I233" s="375" t="s">
        <v>950</v>
      </c>
      <c r="J233" s="376" t="s">
        <v>1283</v>
      </c>
      <c r="K233" s="377">
        <v>1</v>
      </c>
      <c r="L233" s="376">
        <v>73</v>
      </c>
    </row>
    <row r="234" spans="1:14">
      <c r="A234" s="374" t="s">
        <v>97</v>
      </c>
      <c r="B234" s="375" t="s">
        <v>985</v>
      </c>
      <c r="C234" s="376" t="s">
        <v>1284</v>
      </c>
      <c r="D234" s="377">
        <v>1</v>
      </c>
      <c r="E234" s="376">
        <v>200</v>
      </c>
      <c r="H234" s="374" t="s">
        <v>67</v>
      </c>
      <c r="I234" s="375" t="s">
        <v>950</v>
      </c>
      <c r="J234" s="376" t="s">
        <v>1285</v>
      </c>
      <c r="K234" s="377">
        <v>1</v>
      </c>
      <c r="L234" s="376">
        <v>73</v>
      </c>
    </row>
    <row r="235" spans="1:14">
      <c r="A235" s="374" t="s">
        <v>97</v>
      </c>
      <c r="B235" s="375" t="s">
        <v>985</v>
      </c>
      <c r="C235" s="376" t="s">
        <v>1286</v>
      </c>
      <c r="D235" s="377">
        <v>1</v>
      </c>
      <c r="E235" s="376">
        <v>120</v>
      </c>
      <c r="H235" s="374" t="s">
        <v>67</v>
      </c>
      <c r="I235" s="375" t="s">
        <v>950</v>
      </c>
      <c r="J235" s="376" t="s">
        <v>1287</v>
      </c>
      <c r="K235" s="377">
        <v>1</v>
      </c>
      <c r="L235" s="376">
        <v>164</v>
      </c>
    </row>
    <row r="236" spans="1:14">
      <c r="A236" s="374" t="s">
        <v>97</v>
      </c>
      <c r="B236" s="375" t="s">
        <v>952</v>
      </c>
      <c r="C236" s="376" t="s">
        <v>1288</v>
      </c>
      <c r="D236" s="377">
        <v>1</v>
      </c>
      <c r="E236" s="376">
        <v>140</v>
      </c>
      <c r="H236" s="374" t="s">
        <v>67</v>
      </c>
      <c r="I236" s="375" t="s">
        <v>950</v>
      </c>
      <c r="J236" s="376" t="s">
        <v>1289</v>
      </c>
      <c r="K236" s="377">
        <v>1</v>
      </c>
      <c r="L236" s="376">
        <v>235</v>
      </c>
    </row>
    <row r="237" spans="1:14">
      <c r="A237" s="374" t="s">
        <v>97</v>
      </c>
      <c r="B237" s="375" t="s">
        <v>948</v>
      </c>
      <c r="C237" s="376" t="s">
        <v>1288</v>
      </c>
      <c r="D237" s="377"/>
      <c r="E237" s="376">
        <v>140</v>
      </c>
      <c r="H237" s="374" t="s">
        <v>67</v>
      </c>
      <c r="I237" s="375" t="s">
        <v>950</v>
      </c>
      <c r="J237" s="376" t="s">
        <v>1290</v>
      </c>
      <c r="K237" s="377">
        <v>1</v>
      </c>
      <c r="L237" s="376">
        <v>286</v>
      </c>
    </row>
    <row r="238" spans="1:14">
      <c r="A238" s="374" t="s">
        <v>97</v>
      </c>
      <c r="B238" s="375" t="s">
        <v>952</v>
      </c>
      <c r="C238" s="376" t="s">
        <v>1291</v>
      </c>
      <c r="D238" s="377">
        <v>1</v>
      </c>
      <c r="E238" s="376">
        <v>150</v>
      </c>
      <c r="H238" s="374" t="s">
        <v>67</v>
      </c>
      <c r="I238" s="375" t="s">
        <v>950</v>
      </c>
      <c r="J238" s="376" t="s">
        <v>1292</v>
      </c>
      <c r="K238" s="377">
        <v>1</v>
      </c>
      <c r="L238" s="376">
        <v>12</v>
      </c>
    </row>
    <row r="239" spans="1:14">
      <c r="A239" s="374" t="s">
        <v>97</v>
      </c>
      <c r="B239" s="375" t="s">
        <v>948</v>
      </c>
      <c r="C239" s="376" t="s">
        <v>1291</v>
      </c>
      <c r="D239" s="377"/>
      <c r="E239" s="376">
        <v>130</v>
      </c>
      <c r="H239" s="374" t="s">
        <v>66</v>
      </c>
      <c r="I239" s="375" t="s">
        <v>975</v>
      </c>
      <c r="J239" s="376" t="s">
        <v>1293</v>
      </c>
      <c r="K239" s="378">
        <v>1</v>
      </c>
      <c r="L239" s="379">
        <v>16</v>
      </c>
    </row>
    <row r="240" spans="1:14">
      <c r="A240" s="374" t="s">
        <v>69</v>
      </c>
      <c r="B240" s="375" t="s">
        <v>975</v>
      </c>
      <c r="C240" s="376" t="s">
        <v>1294</v>
      </c>
      <c r="D240" s="377">
        <v>1</v>
      </c>
      <c r="E240" s="376">
        <v>50</v>
      </c>
      <c r="K240" s="380">
        <f>COUNT(K2:K239)</f>
        <v>210</v>
      </c>
      <c r="L240" s="380">
        <f>COUNT(L2:L239)</f>
        <v>238</v>
      </c>
      <c r="M240" s="380">
        <f>+L240-K240</f>
        <v>28</v>
      </c>
      <c r="N240" s="381">
        <f>+K240/L240-1</f>
        <v>-0.11764705882352944</v>
      </c>
    </row>
    <row r="241" spans="1:12">
      <c r="A241" s="374" t="s">
        <v>69</v>
      </c>
      <c r="B241" s="375" t="s">
        <v>975</v>
      </c>
      <c r="C241" s="377" t="s">
        <v>1295</v>
      </c>
      <c r="D241" s="377">
        <v>1</v>
      </c>
      <c r="E241" s="376">
        <v>50</v>
      </c>
      <c r="I241" t="s">
        <v>890</v>
      </c>
      <c r="K241" t="s">
        <v>891</v>
      </c>
      <c r="L241" t="s">
        <v>892</v>
      </c>
    </row>
    <row r="242" spans="1:12">
      <c r="A242" s="374" t="s">
        <v>69</v>
      </c>
      <c r="B242" s="375" t="s">
        <v>1296</v>
      </c>
      <c r="C242" s="376" t="s">
        <v>1295</v>
      </c>
      <c r="D242" s="377"/>
      <c r="E242" s="376">
        <v>50</v>
      </c>
      <c r="H242" t="s">
        <v>253</v>
      </c>
      <c r="I242" t="s">
        <v>893</v>
      </c>
      <c r="K242">
        <v>1</v>
      </c>
      <c r="L242">
        <v>1</v>
      </c>
    </row>
    <row r="243" spans="1:12">
      <c r="A243" s="374" t="s">
        <v>69</v>
      </c>
      <c r="B243" s="375" t="s">
        <v>1296</v>
      </c>
      <c r="C243" s="376" t="s">
        <v>1297</v>
      </c>
      <c r="D243" s="377">
        <v>1</v>
      </c>
      <c r="E243" s="376">
        <v>40</v>
      </c>
      <c r="G243" t="s">
        <v>253</v>
      </c>
      <c r="H243" t="s">
        <v>253</v>
      </c>
      <c r="I243" t="s">
        <v>894</v>
      </c>
      <c r="K243">
        <v>1</v>
      </c>
      <c r="L243">
        <v>1</v>
      </c>
    </row>
    <row r="244" spans="1:12">
      <c r="A244" s="374" t="s">
        <v>97</v>
      </c>
      <c r="B244" s="375" t="s">
        <v>948</v>
      </c>
      <c r="C244" s="376" t="s">
        <v>1298</v>
      </c>
      <c r="D244" s="377">
        <v>1</v>
      </c>
      <c r="E244" s="376">
        <v>120</v>
      </c>
      <c r="G244" t="s">
        <v>253</v>
      </c>
      <c r="H244" t="s">
        <v>253</v>
      </c>
      <c r="I244" t="s">
        <v>895</v>
      </c>
      <c r="K244">
        <v>1</v>
      </c>
      <c r="L244">
        <v>1</v>
      </c>
    </row>
    <row r="245" spans="1:12">
      <c r="A245" s="374" t="s">
        <v>69</v>
      </c>
      <c r="B245" s="375" t="s">
        <v>975</v>
      </c>
      <c r="C245" s="376" t="s">
        <v>1299</v>
      </c>
      <c r="D245" s="377">
        <v>1</v>
      </c>
      <c r="E245" s="376">
        <v>200</v>
      </c>
      <c r="G245" t="s">
        <v>253</v>
      </c>
      <c r="H245" t="s">
        <v>253</v>
      </c>
      <c r="I245" t="s">
        <v>896</v>
      </c>
      <c r="K245">
        <v>1</v>
      </c>
      <c r="L245">
        <v>1</v>
      </c>
    </row>
    <row r="246" spans="1:12">
      <c r="A246" s="374" t="s">
        <v>69</v>
      </c>
      <c r="B246" s="375" t="s">
        <v>975</v>
      </c>
      <c r="C246" s="376" t="s">
        <v>1300</v>
      </c>
      <c r="D246" s="377">
        <v>1</v>
      </c>
      <c r="E246" s="376">
        <v>20</v>
      </c>
      <c r="G246" t="s">
        <v>253</v>
      </c>
      <c r="H246" t="s">
        <v>253</v>
      </c>
      <c r="I246" t="s">
        <v>897</v>
      </c>
      <c r="K246">
        <v>2</v>
      </c>
      <c r="L246">
        <v>1</v>
      </c>
    </row>
    <row r="247" spans="1:12">
      <c r="A247" s="374" t="s">
        <v>69</v>
      </c>
      <c r="B247" s="375" t="s">
        <v>1296</v>
      </c>
      <c r="C247" s="376" t="s">
        <v>1300</v>
      </c>
      <c r="D247" s="377"/>
      <c r="E247" s="376">
        <v>20</v>
      </c>
      <c r="G247" t="s">
        <v>253</v>
      </c>
      <c r="H247" t="s">
        <v>253</v>
      </c>
      <c r="I247" t="s">
        <v>898</v>
      </c>
      <c r="K247">
        <v>2</v>
      </c>
      <c r="L247">
        <v>1</v>
      </c>
    </row>
    <row r="248" spans="1:12">
      <c r="A248" s="374" t="s">
        <v>69</v>
      </c>
      <c r="B248" s="375" t="s">
        <v>975</v>
      </c>
      <c r="C248" s="376" t="s">
        <v>1301</v>
      </c>
      <c r="D248" s="377">
        <v>1</v>
      </c>
      <c r="E248" s="376">
        <v>20</v>
      </c>
      <c r="G248" t="s">
        <v>253</v>
      </c>
      <c r="H248" t="s">
        <v>253</v>
      </c>
      <c r="I248" t="s">
        <v>899</v>
      </c>
      <c r="K248">
        <v>2</v>
      </c>
      <c r="L248">
        <v>1</v>
      </c>
    </row>
    <row r="249" spans="1:12">
      <c r="A249" s="374" t="s">
        <v>69</v>
      </c>
      <c r="B249" s="375" t="s">
        <v>1302</v>
      </c>
      <c r="C249" s="376" t="s">
        <v>1303</v>
      </c>
      <c r="D249" s="377">
        <v>1</v>
      </c>
      <c r="E249" s="376">
        <v>100</v>
      </c>
      <c r="G249" t="s">
        <v>253</v>
      </c>
      <c r="H249" t="s">
        <v>253</v>
      </c>
      <c r="I249" t="s">
        <v>900</v>
      </c>
      <c r="K249">
        <v>2</v>
      </c>
      <c r="L249">
        <v>1</v>
      </c>
    </row>
    <row r="250" spans="1:12">
      <c r="A250" s="374" t="s">
        <v>69</v>
      </c>
      <c r="B250" s="375" t="s">
        <v>1004</v>
      </c>
      <c r="C250" s="376" t="s">
        <v>1303</v>
      </c>
      <c r="D250" s="377">
        <v>1</v>
      </c>
      <c r="E250" s="376">
        <v>100</v>
      </c>
      <c r="G250" t="s">
        <v>253</v>
      </c>
      <c r="H250" t="s">
        <v>253</v>
      </c>
      <c r="I250" t="s">
        <v>901</v>
      </c>
      <c r="K250">
        <v>2</v>
      </c>
      <c r="L250">
        <v>1</v>
      </c>
    </row>
    <row r="251" spans="1:12">
      <c r="A251" s="374" t="s">
        <v>69</v>
      </c>
      <c r="B251" s="375" t="s">
        <v>1302</v>
      </c>
      <c r="C251" s="376" t="s">
        <v>1304</v>
      </c>
      <c r="D251" s="377">
        <v>1</v>
      </c>
      <c r="E251" s="376">
        <v>100</v>
      </c>
      <c r="G251" t="s">
        <v>253</v>
      </c>
      <c r="H251" t="s">
        <v>253</v>
      </c>
      <c r="I251" t="s">
        <v>902</v>
      </c>
      <c r="K251">
        <v>2</v>
      </c>
      <c r="L251">
        <v>1</v>
      </c>
    </row>
    <row r="252" spans="1:12">
      <c r="A252" s="374" t="s">
        <v>69</v>
      </c>
      <c r="B252" s="375" t="s">
        <v>1296</v>
      </c>
      <c r="C252" s="376" t="s">
        <v>1304</v>
      </c>
      <c r="D252" s="377">
        <v>1</v>
      </c>
      <c r="E252" s="376">
        <v>40</v>
      </c>
      <c r="G252" t="s">
        <v>253</v>
      </c>
      <c r="H252" t="s">
        <v>253</v>
      </c>
      <c r="I252" t="s">
        <v>903</v>
      </c>
      <c r="K252">
        <v>2</v>
      </c>
      <c r="L252">
        <v>1</v>
      </c>
    </row>
    <row r="253" spans="1:12">
      <c r="A253" s="374" t="s">
        <v>69</v>
      </c>
      <c r="B253" s="375" t="s">
        <v>1004</v>
      </c>
      <c r="C253" s="376" t="s">
        <v>1304</v>
      </c>
      <c r="D253" s="377"/>
      <c r="E253" s="376">
        <v>100</v>
      </c>
      <c r="G253" t="s">
        <v>253</v>
      </c>
      <c r="H253" t="s">
        <v>253</v>
      </c>
      <c r="I253" t="s">
        <v>904</v>
      </c>
      <c r="K253">
        <v>2</v>
      </c>
      <c r="L253">
        <v>1</v>
      </c>
    </row>
    <row r="254" spans="1:12">
      <c r="A254" s="374" t="s">
        <v>69</v>
      </c>
      <c r="B254" s="375" t="s">
        <v>1302</v>
      </c>
      <c r="C254" s="376" t="s">
        <v>1305</v>
      </c>
      <c r="D254" s="377">
        <v>1</v>
      </c>
      <c r="E254" s="376">
        <v>100</v>
      </c>
      <c r="G254" t="s">
        <v>253</v>
      </c>
      <c r="H254" t="s">
        <v>253</v>
      </c>
      <c r="I254" t="s">
        <v>905</v>
      </c>
      <c r="K254">
        <v>3</v>
      </c>
      <c r="L254">
        <v>1</v>
      </c>
    </row>
    <row r="255" spans="1:12">
      <c r="A255" s="374" t="s">
        <v>69</v>
      </c>
      <c r="B255" s="375" t="s">
        <v>1004</v>
      </c>
      <c r="C255" s="376" t="s">
        <v>1305</v>
      </c>
      <c r="D255" s="377"/>
      <c r="E255" s="376">
        <v>100</v>
      </c>
      <c r="G255" t="s">
        <v>253</v>
      </c>
      <c r="H255" t="s">
        <v>253</v>
      </c>
      <c r="I255" t="s">
        <v>906</v>
      </c>
      <c r="K255">
        <v>2</v>
      </c>
      <c r="L255">
        <v>1</v>
      </c>
    </row>
    <row r="256" spans="1:12">
      <c r="A256" s="374" t="s">
        <v>69</v>
      </c>
      <c r="B256" s="375" t="s">
        <v>1296</v>
      </c>
      <c r="C256" s="376" t="s">
        <v>1306</v>
      </c>
      <c r="D256" s="377">
        <v>1</v>
      </c>
      <c r="E256" s="376">
        <v>50</v>
      </c>
      <c r="G256" t="s">
        <v>253</v>
      </c>
      <c r="H256" t="s">
        <v>253</v>
      </c>
      <c r="I256" t="s">
        <v>907</v>
      </c>
      <c r="K256">
        <v>2</v>
      </c>
      <c r="L256">
        <v>1</v>
      </c>
    </row>
    <row r="257" spans="1:12">
      <c r="A257" s="374" t="s">
        <v>69</v>
      </c>
      <c r="B257" s="375" t="s">
        <v>975</v>
      </c>
      <c r="C257" s="376" t="s">
        <v>1307</v>
      </c>
      <c r="D257" s="377">
        <v>1</v>
      </c>
      <c r="E257" s="376">
        <v>80</v>
      </c>
      <c r="G257" t="s">
        <v>253</v>
      </c>
      <c r="H257" t="s">
        <v>253</v>
      </c>
      <c r="I257" t="s">
        <v>908</v>
      </c>
      <c r="K257">
        <v>2</v>
      </c>
      <c r="L257">
        <v>1</v>
      </c>
    </row>
    <row r="258" spans="1:12">
      <c r="A258" s="374" t="s">
        <v>69</v>
      </c>
      <c r="B258" s="375" t="s">
        <v>1296</v>
      </c>
      <c r="C258" s="376" t="s">
        <v>1307</v>
      </c>
      <c r="D258" s="377"/>
      <c r="E258" s="376">
        <v>50</v>
      </c>
      <c r="G258" t="s">
        <v>253</v>
      </c>
      <c r="H258" t="s">
        <v>253</v>
      </c>
      <c r="I258" t="s">
        <v>909</v>
      </c>
      <c r="K258">
        <v>2</v>
      </c>
      <c r="L258">
        <v>1</v>
      </c>
    </row>
    <row r="259" spans="1:12">
      <c r="A259" s="374" t="s">
        <v>69</v>
      </c>
      <c r="B259" s="375" t="s">
        <v>1004</v>
      </c>
      <c r="C259" s="376" t="s">
        <v>1307</v>
      </c>
      <c r="D259" s="377">
        <v>1</v>
      </c>
      <c r="E259" s="376">
        <v>80</v>
      </c>
      <c r="G259" t="s">
        <v>253</v>
      </c>
      <c r="H259" t="s">
        <v>253</v>
      </c>
      <c r="I259" t="s">
        <v>910</v>
      </c>
      <c r="K259">
        <v>2</v>
      </c>
      <c r="L259">
        <v>1</v>
      </c>
    </row>
    <row r="260" spans="1:12">
      <c r="A260" s="374" t="s">
        <v>69</v>
      </c>
      <c r="B260" s="375" t="s">
        <v>1302</v>
      </c>
      <c r="C260" s="376" t="s">
        <v>1308</v>
      </c>
      <c r="D260" s="377">
        <v>1</v>
      </c>
      <c r="E260" s="376">
        <v>40</v>
      </c>
      <c r="G260" t="s">
        <v>253</v>
      </c>
      <c r="H260" t="s">
        <v>253</v>
      </c>
      <c r="I260" t="s">
        <v>911</v>
      </c>
      <c r="K260">
        <v>2</v>
      </c>
      <c r="L260">
        <v>1</v>
      </c>
    </row>
    <row r="261" spans="1:12">
      <c r="A261" s="374" t="s">
        <v>69</v>
      </c>
      <c r="B261" s="375" t="s">
        <v>1004</v>
      </c>
      <c r="C261" s="376" t="s">
        <v>1308</v>
      </c>
      <c r="D261" s="377"/>
      <c r="E261" s="376">
        <v>40</v>
      </c>
      <c r="G261" t="s">
        <v>253</v>
      </c>
      <c r="H261" t="s">
        <v>253</v>
      </c>
      <c r="I261" t="s">
        <v>912</v>
      </c>
      <c r="K261">
        <v>3</v>
      </c>
      <c r="L261">
        <v>1</v>
      </c>
    </row>
    <row r="262" spans="1:12">
      <c r="A262" s="374" t="s">
        <v>69</v>
      </c>
      <c r="B262" s="375" t="s">
        <v>975</v>
      </c>
      <c r="C262" s="376" t="s">
        <v>1309</v>
      </c>
      <c r="D262" s="377">
        <v>1</v>
      </c>
      <c r="E262" s="376">
        <v>30</v>
      </c>
      <c r="G262" t="s">
        <v>253</v>
      </c>
      <c r="H262" t="s">
        <v>253</v>
      </c>
      <c r="I262" t="s">
        <v>913</v>
      </c>
      <c r="K262">
        <v>2</v>
      </c>
      <c r="L262">
        <v>1</v>
      </c>
    </row>
    <row r="263" spans="1:12">
      <c r="A263" s="374" t="s">
        <v>69</v>
      </c>
      <c r="B263" s="375" t="s">
        <v>1296</v>
      </c>
      <c r="C263" s="376" t="s">
        <v>1309</v>
      </c>
      <c r="D263" s="377"/>
      <c r="E263" s="376">
        <v>40</v>
      </c>
      <c r="G263" t="s">
        <v>253</v>
      </c>
      <c r="H263" t="s">
        <v>253</v>
      </c>
      <c r="I263" t="s">
        <v>914</v>
      </c>
      <c r="K263">
        <v>2</v>
      </c>
      <c r="L263">
        <v>1</v>
      </c>
    </row>
    <row r="264" spans="1:12">
      <c r="A264" s="374" t="s">
        <v>69</v>
      </c>
      <c r="B264" s="375" t="s">
        <v>975</v>
      </c>
      <c r="C264" s="376" t="s">
        <v>1310</v>
      </c>
      <c r="D264" s="377">
        <v>1</v>
      </c>
      <c r="E264" s="376">
        <v>50</v>
      </c>
      <c r="G264" t="s">
        <v>253</v>
      </c>
      <c r="H264" t="s">
        <v>253</v>
      </c>
      <c r="I264" t="s">
        <v>915</v>
      </c>
      <c r="K264">
        <v>2</v>
      </c>
      <c r="L264">
        <v>1</v>
      </c>
    </row>
    <row r="265" spans="1:12">
      <c r="A265" s="374" t="s">
        <v>69</v>
      </c>
      <c r="B265" s="375" t="s">
        <v>1296</v>
      </c>
      <c r="C265" s="376" t="s">
        <v>1310</v>
      </c>
      <c r="D265" s="377"/>
      <c r="E265" s="376">
        <v>50</v>
      </c>
      <c r="G265" t="s">
        <v>253</v>
      </c>
      <c r="H265" t="s">
        <v>253</v>
      </c>
      <c r="I265" t="s">
        <v>916</v>
      </c>
      <c r="K265">
        <v>2</v>
      </c>
      <c r="L265">
        <v>1</v>
      </c>
    </row>
    <row r="266" spans="1:12">
      <c r="A266" s="374" t="s">
        <v>69</v>
      </c>
      <c r="B266" s="375" t="s">
        <v>975</v>
      </c>
      <c r="C266" s="376" t="s">
        <v>1311</v>
      </c>
      <c r="D266" s="377">
        <v>1</v>
      </c>
      <c r="E266" s="376">
        <v>50</v>
      </c>
      <c r="G266" t="s">
        <v>253</v>
      </c>
      <c r="H266" t="s">
        <v>253</v>
      </c>
      <c r="I266" t="s">
        <v>917</v>
      </c>
      <c r="K266">
        <v>1</v>
      </c>
      <c r="L266">
        <v>1</v>
      </c>
    </row>
    <row r="267" spans="1:12">
      <c r="A267" s="374" t="s">
        <v>69</v>
      </c>
      <c r="B267" s="375" t="s">
        <v>975</v>
      </c>
      <c r="C267" s="376" t="s">
        <v>1312</v>
      </c>
      <c r="D267" s="377">
        <v>1</v>
      </c>
      <c r="E267" s="376">
        <v>60</v>
      </c>
      <c r="G267" t="s">
        <v>253</v>
      </c>
      <c r="H267" t="s">
        <v>253</v>
      </c>
      <c r="I267" t="s">
        <v>918</v>
      </c>
      <c r="K267">
        <v>2</v>
      </c>
      <c r="L267">
        <v>1</v>
      </c>
    </row>
    <row r="268" spans="1:12">
      <c r="A268" s="374" t="s">
        <v>69</v>
      </c>
      <c r="B268" s="375" t="s">
        <v>1296</v>
      </c>
      <c r="C268" s="376" t="s">
        <v>1312</v>
      </c>
      <c r="D268" s="377"/>
      <c r="E268" s="376">
        <v>50</v>
      </c>
      <c r="G268" t="s">
        <v>253</v>
      </c>
      <c r="H268" t="s">
        <v>253</v>
      </c>
      <c r="I268" t="s">
        <v>919</v>
      </c>
      <c r="K268">
        <v>2</v>
      </c>
      <c r="L268">
        <v>1</v>
      </c>
    </row>
    <row r="269" spans="1:12">
      <c r="A269" s="374" t="s">
        <v>69</v>
      </c>
      <c r="B269" s="375" t="s">
        <v>975</v>
      </c>
      <c r="C269" s="376" t="s">
        <v>1313</v>
      </c>
      <c r="D269" s="377">
        <v>1</v>
      </c>
      <c r="E269" s="376">
        <v>60</v>
      </c>
      <c r="G269" t="s">
        <v>253</v>
      </c>
      <c r="H269" t="s">
        <v>253</v>
      </c>
      <c r="I269" t="s">
        <v>920</v>
      </c>
      <c r="K269">
        <v>1</v>
      </c>
      <c r="L269">
        <v>1</v>
      </c>
    </row>
    <row r="270" spans="1:12">
      <c r="A270" s="374" t="s">
        <v>69</v>
      </c>
      <c r="B270" s="375" t="s">
        <v>975</v>
      </c>
      <c r="C270" s="376" t="s">
        <v>1314</v>
      </c>
      <c r="D270" s="377">
        <v>1</v>
      </c>
      <c r="E270" s="376">
        <v>50</v>
      </c>
      <c r="G270" t="s">
        <v>253</v>
      </c>
      <c r="H270" t="s">
        <v>253</v>
      </c>
      <c r="I270" t="s">
        <v>921</v>
      </c>
      <c r="K270">
        <v>1</v>
      </c>
      <c r="L270">
        <v>1</v>
      </c>
    </row>
    <row r="271" spans="1:12">
      <c r="A271" s="374" t="s">
        <v>69</v>
      </c>
      <c r="B271" s="375" t="s">
        <v>1296</v>
      </c>
      <c r="C271" s="376" t="s">
        <v>1314</v>
      </c>
      <c r="D271" s="377"/>
      <c r="E271" s="376">
        <v>30</v>
      </c>
      <c r="G271" t="s">
        <v>253</v>
      </c>
      <c r="H271" t="s">
        <v>253</v>
      </c>
      <c r="I271" t="s">
        <v>922</v>
      </c>
      <c r="K271">
        <v>1</v>
      </c>
      <c r="L271">
        <v>1</v>
      </c>
    </row>
    <row r="272" spans="1:12">
      <c r="A272" s="374" t="s">
        <v>69</v>
      </c>
      <c r="B272" s="375" t="s">
        <v>975</v>
      </c>
      <c r="C272" s="376" t="s">
        <v>1315</v>
      </c>
      <c r="D272" s="377">
        <v>1</v>
      </c>
      <c r="E272" s="376">
        <v>60</v>
      </c>
      <c r="G272" t="s">
        <v>253</v>
      </c>
      <c r="H272" t="s">
        <v>253</v>
      </c>
      <c r="I272" t="s">
        <v>923</v>
      </c>
      <c r="K272">
        <v>1</v>
      </c>
      <c r="L272">
        <v>1</v>
      </c>
    </row>
    <row r="273" spans="1:12">
      <c r="A273" s="374" t="s">
        <v>69</v>
      </c>
      <c r="B273" s="375" t="s">
        <v>975</v>
      </c>
      <c r="C273" s="376" t="s">
        <v>1316</v>
      </c>
      <c r="D273" s="377">
        <v>1</v>
      </c>
      <c r="E273" s="376">
        <v>40</v>
      </c>
      <c r="G273" t="s">
        <v>253</v>
      </c>
      <c r="H273" t="s">
        <v>253</v>
      </c>
      <c r="I273" t="s">
        <v>924</v>
      </c>
      <c r="K273">
        <v>1</v>
      </c>
      <c r="L273">
        <v>1</v>
      </c>
    </row>
    <row r="274" spans="1:12">
      <c r="A274" s="374" t="s">
        <v>69</v>
      </c>
      <c r="B274" s="375" t="s">
        <v>1296</v>
      </c>
      <c r="C274" s="376" t="s">
        <v>1316</v>
      </c>
      <c r="D274" s="377"/>
      <c r="E274" s="376">
        <v>40</v>
      </c>
      <c r="G274" t="s">
        <v>253</v>
      </c>
      <c r="H274" t="s">
        <v>253</v>
      </c>
      <c r="I274" t="s">
        <v>925</v>
      </c>
      <c r="K274">
        <v>1</v>
      </c>
      <c r="L274">
        <v>1</v>
      </c>
    </row>
    <row r="275" spans="1:12">
      <c r="A275" s="374" t="s">
        <v>69</v>
      </c>
      <c r="B275" s="375" t="s">
        <v>975</v>
      </c>
      <c r="C275" s="376" t="s">
        <v>1317</v>
      </c>
      <c r="D275" s="377">
        <v>1</v>
      </c>
      <c r="E275" s="376">
        <v>50</v>
      </c>
      <c r="G275" t="s">
        <v>253</v>
      </c>
      <c r="H275" t="s">
        <v>253</v>
      </c>
      <c r="I275" t="s">
        <v>926</v>
      </c>
      <c r="K275">
        <v>1</v>
      </c>
      <c r="L275">
        <v>1</v>
      </c>
    </row>
    <row r="276" spans="1:12">
      <c r="A276" s="374" t="s">
        <v>69</v>
      </c>
      <c r="B276" s="375" t="s">
        <v>1302</v>
      </c>
      <c r="C276" s="376" t="s">
        <v>1317</v>
      </c>
      <c r="D276" s="377">
        <v>1</v>
      </c>
      <c r="E276" s="376">
        <v>40</v>
      </c>
      <c r="G276" t="s">
        <v>253</v>
      </c>
      <c r="H276" t="s">
        <v>253</v>
      </c>
      <c r="I276" t="s">
        <v>927</v>
      </c>
      <c r="K276">
        <v>1</v>
      </c>
      <c r="L276">
        <v>1</v>
      </c>
    </row>
    <row r="277" spans="1:12">
      <c r="A277" s="374" t="s">
        <v>69</v>
      </c>
      <c r="B277" s="375" t="s">
        <v>1296</v>
      </c>
      <c r="C277" s="376" t="s">
        <v>1317</v>
      </c>
      <c r="D277" s="377"/>
      <c r="E277" s="376">
        <v>50</v>
      </c>
      <c r="G277" t="s">
        <v>253</v>
      </c>
      <c r="H277" t="s">
        <v>253</v>
      </c>
      <c r="I277" t="s">
        <v>928</v>
      </c>
      <c r="K277">
        <v>1</v>
      </c>
      <c r="L277">
        <v>1</v>
      </c>
    </row>
    <row r="278" spans="1:12">
      <c r="A278" s="374" t="s">
        <v>69</v>
      </c>
      <c r="B278" s="375" t="s">
        <v>1004</v>
      </c>
      <c r="C278" s="376" t="s">
        <v>1317</v>
      </c>
      <c r="D278" s="377"/>
      <c r="E278" s="376">
        <v>170</v>
      </c>
      <c r="G278" t="s">
        <v>253</v>
      </c>
      <c r="H278" t="s">
        <v>253</v>
      </c>
      <c r="I278" t="s">
        <v>929</v>
      </c>
      <c r="K278">
        <v>1</v>
      </c>
      <c r="L278">
        <v>1</v>
      </c>
    </row>
    <row r="279" spans="1:12">
      <c r="A279" s="374" t="s">
        <v>69</v>
      </c>
      <c r="B279" s="375" t="s">
        <v>975</v>
      </c>
      <c r="C279" s="376" t="s">
        <v>1318</v>
      </c>
      <c r="D279" s="377">
        <v>1</v>
      </c>
      <c r="E279" s="376">
        <v>50</v>
      </c>
      <c r="G279" t="s">
        <v>253</v>
      </c>
      <c r="H279" t="s">
        <v>253</v>
      </c>
      <c r="I279" t="s">
        <v>930</v>
      </c>
      <c r="K279">
        <v>1</v>
      </c>
      <c r="L279">
        <v>1</v>
      </c>
    </row>
    <row r="280" spans="1:12">
      <c r="A280" s="374" t="s">
        <v>69</v>
      </c>
      <c r="B280" s="375" t="s">
        <v>1004</v>
      </c>
      <c r="C280" s="376" t="s">
        <v>1318</v>
      </c>
      <c r="D280" s="377">
        <v>1</v>
      </c>
      <c r="E280" s="376">
        <v>140</v>
      </c>
      <c r="G280" t="s">
        <v>253</v>
      </c>
      <c r="H280" t="s">
        <v>253</v>
      </c>
      <c r="I280" t="s">
        <v>931</v>
      </c>
      <c r="K280">
        <v>1</v>
      </c>
      <c r="L280">
        <v>1</v>
      </c>
    </row>
    <row r="281" spans="1:12">
      <c r="A281" s="374" t="s">
        <v>69</v>
      </c>
      <c r="B281" s="375" t="s">
        <v>975</v>
      </c>
      <c r="C281" s="376" t="s">
        <v>1319</v>
      </c>
      <c r="D281" s="377">
        <v>1</v>
      </c>
      <c r="E281" s="376">
        <v>80</v>
      </c>
      <c r="G281" t="s">
        <v>253</v>
      </c>
      <c r="H281" t="s">
        <v>253</v>
      </c>
      <c r="I281" t="s">
        <v>932</v>
      </c>
      <c r="K281">
        <v>1</v>
      </c>
      <c r="L281">
        <v>1</v>
      </c>
    </row>
    <row r="282" spans="1:12">
      <c r="A282" s="374" t="s">
        <v>69</v>
      </c>
      <c r="B282" s="375" t="s">
        <v>1004</v>
      </c>
      <c r="C282" s="376" t="s">
        <v>1319</v>
      </c>
      <c r="D282" s="377">
        <v>1</v>
      </c>
      <c r="E282" s="376">
        <v>140</v>
      </c>
      <c r="G282" t="s">
        <v>253</v>
      </c>
      <c r="H282" t="s">
        <v>253</v>
      </c>
      <c r="I282" t="s">
        <v>933</v>
      </c>
      <c r="K282">
        <v>1</v>
      </c>
      <c r="L282">
        <v>1</v>
      </c>
    </row>
    <row r="283" spans="1:12">
      <c r="A283" s="374" t="s">
        <v>69</v>
      </c>
      <c r="B283" s="375" t="s">
        <v>975</v>
      </c>
      <c r="C283" s="376" t="s">
        <v>1320</v>
      </c>
      <c r="D283" s="377">
        <v>1</v>
      </c>
      <c r="E283" s="376">
        <v>60</v>
      </c>
      <c r="G283" t="s">
        <v>253</v>
      </c>
      <c r="H283" t="s">
        <v>253</v>
      </c>
      <c r="I283" t="s">
        <v>934</v>
      </c>
      <c r="K283">
        <v>1</v>
      </c>
      <c r="L283">
        <v>1</v>
      </c>
    </row>
    <row r="284" spans="1:12">
      <c r="A284" s="374" t="s">
        <v>69</v>
      </c>
      <c r="B284" s="375" t="s">
        <v>975</v>
      </c>
      <c r="C284" s="376" t="s">
        <v>1321</v>
      </c>
      <c r="D284" s="377">
        <v>1</v>
      </c>
      <c r="E284" s="376">
        <v>80</v>
      </c>
      <c r="G284" t="s">
        <v>253</v>
      </c>
      <c r="H284" t="s">
        <v>253</v>
      </c>
      <c r="I284" t="s">
        <v>935</v>
      </c>
      <c r="K284">
        <v>1</v>
      </c>
      <c r="L284">
        <v>1</v>
      </c>
    </row>
    <row r="285" spans="1:12">
      <c r="A285" s="374" t="s">
        <v>69</v>
      </c>
      <c r="B285" s="375" t="s">
        <v>975</v>
      </c>
      <c r="C285" s="376" t="s">
        <v>1322</v>
      </c>
      <c r="D285" s="377">
        <v>1</v>
      </c>
      <c r="E285" s="376">
        <v>70</v>
      </c>
      <c r="G285" t="s">
        <v>253</v>
      </c>
      <c r="H285" t="s">
        <v>253</v>
      </c>
      <c r="I285" t="s">
        <v>936</v>
      </c>
      <c r="K285">
        <v>1</v>
      </c>
      <c r="L285">
        <v>1</v>
      </c>
    </row>
    <row r="286" spans="1:12">
      <c r="A286" s="374" t="s">
        <v>97</v>
      </c>
      <c r="B286" s="375" t="s">
        <v>952</v>
      </c>
      <c r="C286" s="376" t="s">
        <v>1323</v>
      </c>
      <c r="D286" s="377">
        <v>1</v>
      </c>
      <c r="E286" s="376">
        <v>80</v>
      </c>
      <c r="G286" t="s">
        <v>253</v>
      </c>
      <c r="H286" t="s">
        <v>253</v>
      </c>
      <c r="I286" t="s">
        <v>937</v>
      </c>
      <c r="K286">
        <v>1</v>
      </c>
      <c r="L286">
        <v>1</v>
      </c>
    </row>
    <row r="287" spans="1:12">
      <c r="A287" s="374" t="s">
        <v>97</v>
      </c>
      <c r="B287" s="375" t="s">
        <v>948</v>
      </c>
      <c r="C287" s="376" t="s">
        <v>1323</v>
      </c>
      <c r="D287" s="377">
        <v>1</v>
      </c>
      <c r="E287" s="376">
        <v>80</v>
      </c>
      <c r="G287" t="s">
        <v>253</v>
      </c>
      <c r="H287" t="s">
        <v>253</v>
      </c>
      <c r="I287" t="s">
        <v>938</v>
      </c>
      <c r="K287">
        <v>1</v>
      </c>
      <c r="L287">
        <v>1</v>
      </c>
    </row>
    <row r="288" spans="1:12">
      <c r="A288" s="374" t="s">
        <v>97</v>
      </c>
      <c r="B288" s="375" t="s">
        <v>948</v>
      </c>
      <c r="C288" s="376" t="s">
        <v>1324</v>
      </c>
      <c r="D288" s="377">
        <v>1</v>
      </c>
      <c r="E288" s="376">
        <v>128</v>
      </c>
      <c r="G288" t="s">
        <v>253</v>
      </c>
      <c r="H288" t="s">
        <v>253</v>
      </c>
      <c r="I288" t="s">
        <v>939</v>
      </c>
      <c r="K288">
        <v>1</v>
      </c>
      <c r="L288">
        <v>1</v>
      </c>
    </row>
    <row r="289" spans="1:12">
      <c r="A289" s="374" t="s">
        <v>97</v>
      </c>
      <c r="B289" s="375" t="s">
        <v>948</v>
      </c>
      <c r="C289" s="376" t="s">
        <v>1325</v>
      </c>
      <c r="D289" s="377">
        <v>1</v>
      </c>
      <c r="E289" s="376">
        <v>68</v>
      </c>
      <c r="G289" t="s">
        <v>253</v>
      </c>
      <c r="H289" t="s">
        <v>253</v>
      </c>
      <c r="I289" t="s">
        <v>940</v>
      </c>
      <c r="K289">
        <v>1</v>
      </c>
      <c r="L289">
        <v>1</v>
      </c>
    </row>
    <row r="290" spans="1:12">
      <c r="A290" s="374" t="s">
        <v>97</v>
      </c>
      <c r="B290" s="375" t="s">
        <v>1013</v>
      </c>
      <c r="C290" s="376" t="s">
        <v>1326</v>
      </c>
      <c r="D290" s="377">
        <v>1</v>
      </c>
      <c r="E290" s="376">
        <v>42</v>
      </c>
      <c r="G290" t="s">
        <v>253</v>
      </c>
      <c r="H290" t="s">
        <v>253</v>
      </c>
      <c r="I290" t="s">
        <v>941</v>
      </c>
      <c r="K290">
        <v>1</v>
      </c>
      <c r="L290">
        <v>1</v>
      </c>
    </row>
    <row r="291" spans="1:12">
      <c r="A291" s="374" t="s">
        <v>97</v>
      </c>
      <c r="B291" s="375" t="s">
        <v>948</v>
      </c>
      <c r="C291" s="376" t="s">
        <v>1327</v>
      </c>
      <c r="D291" s="377">
        <v>1</v>
      </c>
      <c r="E291" s="376">
        <v>122</v>
      </c>
      <c r="G291" t="s">
        <v>253</v>
      </c>
      <c r="I291" t="s">
        <v>96</v>
      </c>
      <c r="K291">
        <v>73</v>
      </c>
      <c r="L291">
        <v>49</v>
      </c>
    </row>
    <row r="292" spans="1:12">
      <c r="A292" s="374" t="s">
        <v>97</v>
      </c>
      <c r="B292" s="375" t="s">
        <v>1013</v>
      </c>
      <c r="C292" s="376" t="s">
        <v>1327</v>
      </c>
      <c r="D292" s="377">
        <v>1</v>
      </c>
      <c r="E292" s="376">
        <v>122</v>
      </c>
      <c r="I292" t="s">
        <v>942</v>
      </c>
      <c r="L292" s="113">
        <v>-0.32876712328767121</v>
      </c>
    </row>
    <row r="293" spans="1:12">
      <c r="A293" s="374" t="s">
        <v>97</v>
      </c>
      <c r="B293" s="375" t="s">
        <v>948</v>
      </c>
      <c r="C293" s="376" t="s">
        <v>1328</v>
      </c>
      <c r="D293" s="377">
        <v>1</v>
      </c>
      <c r="E293" s="376">
        <v>16</v>
      </c>
      <c r="H293" t="s">
        <v>942</v>
      </c>
      <c r="K293" s="113">
        <v>-0.32876712328767121</v>
      </c>
    </row>
    <row r="294" spans="1:12">
      <c r="A294" s="374" t="s">
        <v>97</v>
      </c>
      <c r="B294" s="375" t="s">
        <v>948</v>
      </c>
      <c r="C294" s="376" t="s">
        <v>1329</v>
      </c>
      <c r="D294" s="377">
        <v>1</v>
      </c>
      <c r="E294" s="376">
        <v>50</v>
      </c>
    </row>
    <row r="295" spans="1:12">
      <c r="A295" s="374" t="s">
        <v>97</v>
      </c>
      <c r="B295" s="375" t="s">
        <v>952</v>
      </c>
      <c r="C295" s="376" t="s">
        <v>1330</v>
      </c>
      <c r="D295" s="377">
        <v>1</v>
      </c>
      <c r="E295" s="376">
        <v>60</v>
      </c>
    </row>
    <row r="296" spans="1:12">
      <c r="A296" s="374" t="s">
        <v>97</v>
      </c>
      <c r="B296" s="375" t="s">
        <v>948</v>
      </c>
      <c r="C296" s="376" t="s">
        <v>1330</v>
      </c>
      <c r="D296" s="377"/>
      <c r="E296" s="376">
        <v>50</v>
      </c>
    </row>
    <row r="297" spans="1:12">
      <c r="A297" s="374" t="s">
        <v>97</v>
      </c>
      <c r="B297" s="375" t="s">
        <v>948</v>
      </c>
      <c r="C297" s="376" t="s">
        <v>1331</v>
      </c>
      <c r="D297" s="377">
        <v>1</v>
      </c>
      <c r="E297" s="376">
        <v>50</v>
      </c>
    </row>
    <row r="298" spans="1:12">
      <c r="A298" s="374" t="s">
        <v>97</v>
      </c>
      <c r="B298" s="375" t="s">
        <v>983</v>
      </c>
      <c r="C298" s="376" t="s">
        <v>1332</v>
      </c>
      <c r="D298" s="377">
        <v>1</v>
      </c>
      <c r="E298" s="376">
        <v>150</v>
      </c>
    </row>
    <row r="299" spans="1:12">
      <c r="A299" s="374" t="s">
        <v>97</v>
      </c>
      <c r="B299" s="375" t="s">
        <v>985</v>
      </c>
      <c r="C299" s="376" t="s">
        <v>1332</v>
      </c>
      <c r="D299" s="378">
        <v>1</v>
      </c>
      <c r="E299" s="379">
        <v>150</v>
      </c>
    </row>
    <row r="300" spans="1:12">
      <c r="D300" s="380">
        <f>COUNT(D2:D299)</f>
        <v>207</v>
      </c>
      <c r="E300" s="380">
        <f>COUNT(E2:E299)</f>
        <v>298</v>
      </c>
      <c r="F300" s="380">
        <f>+E300-D300</f>
        <v>91</v>
      </c>
      <c r="G300" s="381">
        <f>+D300/E300-1</f>
        <v>-0.30536912751677847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CEF86-D4FA-4EBF-B657-CB89CED0622F}">
  <dimension ref="D2:S51"/>
  <sheetViews>
    <sheetView showGridLines="0" zoomScale="80" zoomScaleNormal="80" workbookViewId="0">
      <selection activeCell="S19" sqref="S19"/>
    </sheetView>
  </sheetViews>
  <sheetFormatPr baseColWidth="10" defaultColWidth="11.42578125" defaultRowHeight="15"/>
  <cols>
    <col min="1" max="3" width="2.28515625" customWidth="1"/>
    <col min="4" max="4" width="51.42578125" customWidth="1"/>
    <col min="5" max="5" width="5.85546875" hidden="1" customWidth="1"/>
    <col min="6" max="7" width="6" hidden="1" customWidth="1"/>
    <col min="8" max="8" width="6.85546875" hidden="1" customWidth="1"/>
    <col min="9" max="9" width="11.42578125" customWidth="1"/>
    <col min="13" max="13" width="0" style="340" hidden="1" customWidth="1"/>
    <col min="14" max="14" width="5" customWidth="1"/>
    <col min="15" max="15" width="32.85546875" customWidth="1"/>
    <col min="16" max="16" width="15.140625" customWidth="1"/>
    <col min="17" max="17" width="3.85546875" customWidth="1"/>
    <col min="18" max="18" width="30.28515625" customWidth="1"/>
    <col min="19" max="19" width="18.28515625" customWidth="1"/>
  </cols>
  <sheetData>
    <row r="2" spans="4:19">
      <c r="D2" s="344" t="s">
        <v>1</v>
      </c>
      <c r="E2" s="344" t="s">
        <v>68</v>
      </c>
      <c r="F2" s="344" t="s">
        <v>253</v>
      </c>
      <c r="G2" s="344" t="s">
        <v>235</v>
      </c>
      <c r="H2" s="344" t="s">
        <v>302</v>
      </c>
      <c r="I2" s="344" t="s">
        <v>68</v>
      </c>
      <c r="J2" s="344" t="s">
        <v>253</v>
      </c>
      <c r="K2" s="344" t="s">
        <v>235</v>
      </c>
      <c r="L2" s="344" t="s">
        <v>302</v>
      </c>
      <c r="O2" s="453" t="s">
        <v>68</v>
      </c>
      <c r="P2" s="453"/>
      <c r="R2" s="453" t="str">
        <f>+J2</f>
        <v>Mgue</v>
      </c>
      <c r="S2" s="453"/>
    </row>
    <row r="3" spans="4:19">
      <c r="D3" s="4" t="s">
        <v>166</v>
      </c>
      <c r="E3" s="2">
        <f>SUMIFS('PUNTOS DE INYECCIÓN'!$E$4:$E$131,'PUNTOS DE INYECCIÓN'!$A$4:$A$131,'Consumos importantes'!E$2,'PUNTOS DE INYECCIÓN'!$C$4:$C$131,$D3)</f>
        <v>17000</v>
      </c>
      <c r="F3" s="2">
        <f>SUMIFS('PUNTOS DE INYECCIÓN'!$E$4:$E$131,'PUNTOS DE INYECCIÓN'!$A$4:$A$131,'Consumos importantes'!F$2,'PUNTOS DE INYECCIÓN'!$C$4:$C$131,$D3)</f>
        <v>2185</v>
      </c>
      <c r="G3" s="2">
        <f>SUMIFS('PUNTOS DE INYECCIÓN'!$E$4:$E$131,'PUNTOS DE INYECCIÓN'!$A$4:$A$131,'Consumos importantes'!G$2,'PUNTOS DE INYECCIÓN'!$C$4:$C$131,$D3)</f>
        <v>8000</v>
      </c>
      <c r="H3" s="2">
        <f>SUMIFS('PUNTOS DE INYECCIÓN'!$E$4:$E$131,'PUNTOS DE INYECCIÓN'!$A$4:$A$131,'Consumos importantes'!H$2,'PUNTOS DE INYECCIÓN'!$C$4:$C$131,$D3)</f>
        <v>5187</v>
      </c>
      <c r="I3" s="338">
        <f t="shared" ref="I3:I50" si="0">+E3/E$51</f>
        <v>0.15276504735716467</v>
      </c>
      <c r="J3" s="338">
        <f t="shared" ref="J3:J50" si="1">+F3/F$51</f>
        <v>1.8924658466212295E-2</v>
      </c>
      <c r="K3" s="338">
        <f t="shared" ref="K3:K50" si="2">+G3/G$51</f>
        <v>0.13076168682576006</v>
      </c>
      <c r="L3" s="338">
        <f t="shared" ref="L3:L50" si="3">+H3/H$51</f>
        <v>7.5244795822151309E-2</v>
      </c>
      <c r="M3" s="341" t="str">
        <f>+D3</f>
        <v>Biocida</v>
      </c>
      <c r="N3">
        <v>1</v>
      </c>
      <c r="O3" s="2" t="str">
        <f>+VLOOKUP(P3,I:M,5,0)</f>
        <v xml:space="preserve">Sal </v>
      </c>
      <c r="P3" s="339">
        <f t="shared" ref="P3:P8" si="4">LARGE(I3:I50,N3)</f>
        <v>0.25610610880465845</v>
      </c>
      <c r="R3" s="2" t="str">
        <f>+VLOOKUP(S3,J$2:M$1048576,4,0)</f>
        <v>DESEMULSIONANTE</v>
      </c>
      <c r="S3" s="339">
        <f>LARGE($J$3:$J$50,N3)</f>
        <v>0.23192892158115214</v>
      </c>
    </row>
    <row r="4" spans="4:19">
      <c r="D4" s="4" t="s">
        <v>173</v>
      </c>
      <c r="E4" s="2">
        <f>SUMIFS('PUNTOS DE INYECCIÓN'!$E$4:$E$131,'PUNTOS DE INYECCIÓN'!$A$4:$A$131,'Consumos importantes'!E$2,'PUNTOS DE INYECCIÓN'!$C$4:$C$131,$D4)</f>
        <v>1540</v>
      </c>
      <c r="F4" s="2">
        <f>SUMIFS('PUNTOS DE INYECCIÓN'!$E$4:$E$131,'PUNTOS DE INYECCIÓN'!$A$4:$A$131,'Consumos importantes'!F$2,'PUNTOS DE INYECCIÓN'!$C$4:$C$131,$D4)</f>
        <v>1845.5</v>
      </c>
      <c r="G4" s="2">
        <f>SUMIFS('PUNTOS DE INYECCIÓN'!$E$4:$E$131,'PUNTOS DE INYECCIÓN'!$A$4:$A$131,'Consumos importantes'!G$2,'PUNTOS DE INYECCIÓN'!$C$4:$C$131,$D4)</f>
        <v>1310</v>
      </c>
      <c r="H4" s="2">
        <f>SUMIFS('PUNTOS DE INYECCIÓN'!$E$4:$E$131,'PUNTOS DE INYECCIÓN'!$A$4:$A$131,'Consumos importantes'!H$2,'PUNTOS DE INYECCIÓN'!$C$4:$C$131,$D4)</f>
        <v>0</v>
      </c>
      <c r="I4" s="338">
        <f t="shared" si="0"/>
        <v>1.3838716054707859E-2</v>
      </c>
      <c r="J4" s="338">
        <f t="shared" si="1"/>
        <v>1.5984190937938118E-2</v>
      </c>
      <c r="K4" s="338">
        <f t="shared" si="2"/>
        <v>2.1412226217718208E-2</v>
      </c>
      <c r="L4" s="338">
        <f t="shared" si="3"/>
        <v>0</v>
      </c>
      <c r="M4" s="341" t="str">
        <f t="shared" ref="M4:M50" si="5">+D4</f>
        <v>CLARIFICANTE</v>
      </c>
      <c r="N4">
        <v>2</v>
      </c>
      <c r="O4" s="2" t="str">
        <f t="shared" ref="O4:O8" si="6">+VLOOKUP(P4,I:M,5,0)</f>
        <v>Deshidratación y Calidad de entrega</v>
      </c>
      <c r="P4" s="339">
        <f t="shared" si="4"/>
        <v>0.15317841160295464</v>
      </c>
      <c r="R4" s="2" t="str">
        <f t="shared" ref="R4:R8" si="7">+VLOOKUP(S4,J$2:M$1048576,4,0)</f>
        <v>BACTERICIDA</v>
      </c>
      <c r="S4" s="339">
        <f t="shared" ref="S4:S8" si="8">LARGE($J$3:$J$50,N4)</f>
        <v>0.13134752316062062</v>
      </c>
    </row>
    <row r="5" spans="4:19">
      <c r="D5" s="4" t="s">
        <v>175</v>
      </c>
      <c r="E5" s="2">
        <f>SUMIFS('PUNTOS DE INYECCIÓN'!$E$4:$E$131,'PUNTOS DE INYECCIÓN'!$A$4:$A$131,'Consumos importantes'!E$2,'PUNTOS DE INYECCIÓN'!$C$4:$C$131,$D5)</f>
        <v>110</v>
      </c>
      <c r="F5" s="2">
        <f>SUMIFS('PUNTOS DE INYECCIÓN'!$E$4:$E$131,'PUNTOS DE INYECCIÓN'!$A$4:$A$131,'Consumos importantes'!F$2,'PUNTOS DE INYECCIÓN'!$C$4:$C$131,$D5)</f>
        <v>0</v>
      </c>
      <c r="G5" s="2">
        <f>SUMIFS('PUNTOS DE INYECCIÓN'!$E$4:$E$131,'PUNTOS DE INYECCIÓN'!$A$4:$A$131,'Consumos importantes'!G$2,'PUNTOS DE INYECCIÓN'!$C$4:$C$131,$D5)</f>
        <v>80</v>
      </c>
      <c r="H5" s="2">
        <f>SUMIFS('PUNTOS DE INYECCIÓN'!$E$4:$E$131,'PUNTOS DE INYECCIÓN'!$A$4:$A$131,'Consumos importantes'!H$2,'PUNTOS DE INYECCIÓN'!$C$4:$C$131,$D5)</f>
        <v>60</v>
      </c>
      <c r="I5" s="338">
        <f t="shared" si="0"/>
        <v>9.8847971819341859E-4</v>
      </c>
      <c r="J5" s="338">
        <f t="shared" si="1"/>
        <v>0</v>
      </c>
      <c r="K5" s="338">
        <f t="shared" si="2"/>
        <v>1.3076168682576005E-3</v>
      </c>
      <c r="L5" s="338">
        <f t="shared" si="3"/>
        <v>8.7038514542685133E-4</v>
      </c>
      <c r="M5" s="341" t="str">
        <f t="shared" si="5"/>
        <v xml:space="preserve">Desemulsionante  </v>
      </c>
      <c r="N5">
        <v>3</v>
      </c>
      <c r="O5" s="2" t="str">
        <f t="shared" si="6"/>
        <v>INHIBIDOR DE CORROSIÓN</v>
      </c>
      <c r="P5" s="339">
        <f t="shared" si="4"/>
        <v>0.13611365719523372</v>
      </c>
      <c r="R5" s="2" t="str">
        <f t="shared" si="7"/>
        <v>INHIBIDOR DE INCRUSTACIONES</v>
      </c>
      <c r="S5" s="339">
        <f t="shared" si="8"/>
        <v>0.10235304093278039</v>
      </c>
    </row>
    <row r="6" spans="4:19">
      <c r="D6" s="4" t="s">
        <v>178</v>
      </c>
      <c r="E6" s="2">
        <f>SUMIFS('PUNTOS DE INYECCIÓN'!$E$4:$E$131,'PUNTOS DE INYECCIÓN'!$A$4:$A$131,'Consumos importantes'!E$2,'PUNTOS DE INYECCIÓN'!$C$4:$C$131,$D6)</f>
        <v>3080</v>
      </c>
      <c r="F6" s="2">
        <f>SUMIFS('PUNTOS DE INYECCIÓN'!$E$4:$E$131,'PUNTOS DE INYECCIÓN'!$A$4:$A$131,'Consumos importantes'!F$2,'PUNTOS DE INYECCIÓN'!$C$4:$C$131,$D6)</f>
        <v>120</v>
      </c>
      <c r="G6" s="2">
        <f>SUMIFS('PUNTOS DE INYECCIÓN'!$E$4:$E$131,'PUNTOS DE INYECCIÓN'!$A$4:$A$131,'Consumos importantes'!G$2,'PUNTOS DE INYECCIÓN'!$C$4:$C$131,$D6)</f>
        <v>3080</v>
      </c>
      <c r="H6" s="2">
        <f>SUMIFS('PUNTOS DE INYECCIÓN'!$E$4:$E$131,'PUNTOS DE INYECCIÓN'!$A$4:$A$131,'Consumos importantes'!H$2,'PUNTOS DE INYECCIÓN'!$C$4:$C$131,$D6)</f>
        <v>1880</v>
      </c>
      <c r="I6" s="338">
        <f t="shared" si="0"/>
        <v>2.7677432109415718E-2</v>
      </c>
      <c r="J6" s="338">
        <f t="shared" si="1"/>
        <v>1.0393405107301946E-3</v>
      </c>
      <c r="K6" s="338">
        <f t="shared" si="2"/>
        <v>5.0343249427917618E-2</v>
      </c>
      <c r="L6" s="338">
        <f t="shared" si="3"/>
        <v>2.7272067890041343E-2</v>
      </c>
      <c r="M6" s="341" t="str">
        <f t="shared" si="5"/>
        <v>Desemulsionante inverso</v>
      </c>
      <c r="N6">
        <v>4</v>
      </c>
      <c r="O6" s="2" t="str">
        <f t="shared" si="6"/>
        <v>Mejorador de flujo y de Parafinas</v>
      </c>
      <c r="P6" s="339">
        <f t="shared" si="4"/>
        <v>6.312790927553423E-2</v>
      </c>
      <c r="R6" s="2" t="str">
        <f t="shared" si="7"/>
        <v>DISOLVENTE DE PARAFINAS Y ASFALTENOS</v>
      </c>
      <c r="S6" s="339">
        <f t="shared" si="8"/>
        <v>0.10192535231261492</v>
      </c>
    </row>
    <row r="7" spans="4:19">
      <c r="D7" s="4" t="s">
        <v>180</v>
      </c>
      <c r="E7" s="2">
        <f>SUMIFS('PUNTOS DE INYECCIÓN'!$E$4:$E$131,'PUNTOS DE INYECCIÓN'!$A$4:$A$131,'Consumos importantes'!E$2,'PUNTOS DE INYECCIÓN'!$C$4:$C$131,$D7)</f>
        <v>17046</v>
      </c>
      <c r="F7" s="2">
        <f>SUMIFS('PUNTOS DE INYECCIÓN'!$E$4:$E$131,'PUNTOS DE INYECCIÓN'!$A$4:$A$131,'Consumos importantes'!F$2,'PUNTOS DE INYECCIÓN'!$C$4:$C$131,$D7)</f>
        <v>4977</v>
      </c>
      <c r="G7" s="2">
        <f>SUMIFS('PUNTOS DE INYECCIÓN'!$E$4:$E$131,'PUNTOS DE INYECCIÓN'!$A$4:$A$131,'Consumos importantes'!G$2,'PUNTOS DE INYECCIÓN'!$C$4:$C$131,$D7)</f>
        <v>2318</v>
      </c>
      <c r="H7" s="2">
        <f>SUMIFS('PUNTOS DE INYECCIÓN'!$E$4:$E$131,'PUNTOS DE INYECCIÓN'!$A$4:$A$131,'Consumos importantes'!H$2,'PUNTOS DE INYECCIÓN'!$C$4:$C$131,$D7)</f>
        <v>10472</v>
      </c>
      <c r="I7" s="338">
        <f t="shared" si="0"/>
        <v>0.15317841160295464</v>
      </c>
      <c r="J7" s="338">
        <f t="shared" si="1"/>
        <v>4.3106647682534818E-2</v>
      </c>
      <c r="K7" s="338">
        <f t="shared" si="2"/>
        <v>3.7888198757763975E-2</v>
      </c>
      <c r="L7" s="338">
        <f t="shared" si="3"/>
        <v>0.15191122071516647</v>
      </c>
      <c r="M7" s="341" t="str">
        <f t="shared" si="5"/>
        <v>Deshidratación y Calidad de entrega</v>
      </c>
      <c r="N7">
        <v>5</v>
      </c>
      <c r="O7" s="2" t="str">
        <f t="shared" si="6"/>
        <v>INHIBIDOR DE INCRUSTACIONES</v>
      </c>
      <c r="P7" s="339">
        <f t="shared" si="4"/>
        <v>5.9865926205495947E-2</v>
      </c>
      <c r="R7" s="2" t="str">
        <f t="shared" si="7"/>
        <v>INHIBIDOR DE CORROSIÓN</v>
      </c>
      <c r="S7" s="339">
        <f t="shared" si="8"/>
        <v>8.4569924794186749E-2</v>
      </c>
    </row>
    <row r="8" spans="4:19">
      <c r="D8" s="4" t="s">
        <v>185</v>
      </c>
      <c r="E8" s="2">
        <f>SUMIFS('PUNTOS DE INYECCIÓN'!$E$4:$E$131,'PUNTOS DE INYECCIÓN'!$A$4:$A$131,'Consumos importantes'!E$2,'PUNTOS DE INYECCIÓN'!$C$4:$C$131,$D8)</f>
        <v>0</v>
      </c>
      <c r="F8" s="2">
        <f>SUMIFS('PUNTOS DE INYECCIÓN'!$E$4:$E$131,'PUNTOS DE INYECCIÓN'!$A$4:$A$131,'Consumos importantes'!F$2,'PUNTOS DE INYECCIÓN'!$C$4:$C$131,$D8)</f>
        <v>0</v>
      </c>
      <c r="G8" s="2">
        <f>SUMIFS('PUNTOS DE INYECCIÓN'!$E$4:$E$131,'PUNTOS DE INYECCIÓN'!$A$4:$A$131,'Consumos importantes'!G$2,'PUNTOS DE INYECCIÓN'!$C$4:$C$131,$D8)</f>
        <v>0</v>
      </c>
      <c r="H8" s="2">
        <f>SUMIFS('PUNTOS DE INYECCIÓN'!$E$4:$E$131,'PUNTOS DE INYECCIÓN'!$A$4:$A$131,'Consumos importantes'!H$2,'PUNTOS DE INYECCIÓN'!$C$4:$C$131,$D8)</f>
        <v>0</v>
      </c>
      <c r="I8" s="338">
        <f t="shared" si="0"/>
        <v>0</v>
      </c>
      <c r="J8" s="338">
        <f t="shared" si="1"/>
        <v>0</v>
      </c>
      <c r="K8" s="338">
        <f t="shared" si="2"/>
        <v>0</v>
      </c>
      <c r="L8" s="338">
        <f t="shared" si="3"/>
        <v>0</v>
      </c>
      <c r="M8" s="341" t="str">
        <f t="shared" si="5"/>
        <v>Deshidratador de gas</v>
      </c>
      <c r="N8">
        <v>6</v>
      </c>
      <c r="O8" s="2" t="str">
        <f t="shared" si="6"/>
        <v>Dispersante de parafinas y/o asfaltenos</v>
      </c>
      <c r="P8" s="339">
        <f t="shared" si="4"/>
        <v>4.0096331841627579E-2</v>
      </c>
      <c r="R8" s="2" t="str">
        <f t="shared" si="7"/>
        <v>SECUESTRANTE DE SULFHÍDRICO</v>
      </c>
      <c r="S8" s="339">
        <f t="shared" si="8"/>
        <v>4.3596869956762568E-2</v>
      </c>
    </row>
    <row r="9" spans="4:19">
      <c r="D9" s="4" t="s">
        <v>187</v>
      </c>
      <c r="E9" s="2">
        <f>SUMIFS('PUNTOS DE INYECCIÓN'!$E$4:$E$131,'PUNTOS DE INYECCIÓN'!$A$4:$A$131,'Consumos importantes'!E$2,'PUNTOS DE INYECCIÓN'!$C$4:$C$131,$D9)</f>
        <v>0</v>
      </c>
      <c r="F9" s="2">
        <f>SUMIFS('PUNTOS DE INYECCIÓN'!$E$4:$E$131,'PUNTOS DE INYECCIÓN'!$A$4:$A$131,'Consumos importantes'!F$2,'PUNTOS DE INYECCIÓN'!$C$4:$C$131,$D9)</f>
        <v>1200</v>
      </c>
      <c r="G9" s="2">
        <f>SUMIFS('PUNTOS DE INYECCIÓN'!$E$4:$E$131,'PUNTOS DE INYECCIÓN'!$A$4:$A$131,'Consumos importantes'!G$2,'PUNTOS DE INYECCIÓN'!$C$4:$C$131,$D9)</f>
        <v>800</v>
      </c>
      <c r="H9" s="2">
        <f>SUMIFS('PUNTOS DE INYECCIÓN'!$E$4:$E$131,'PUNTOS DE INYECCIÓN'!$A$4:$A$131,'Consumos importantes'!H$2,'PUNTOS DE INYECCIÓN'!$C$4:$C$131,$D9)</f>
        <v>330</v>
      </c>
      <c r="I9" s="338">
        <f t="shared" si="0"/>
        <v>0</v>
      </c>
      <c r="J9" s="338">
        <f t="shared" si="1"/>
        <v>1.0393405107301946E-2</v>
      </c>
      <c r="K9" s="338">
        <f t="shared" si="2"/>
        <v>1.3076168682576005E-2</v>
      </c>
      <c r="L9" s="338">
        <f t="shared" si="3"/>
        <v>4.7871182998476822E-3</v>
      </c>
      <c r="M9" s="341" t="str">
        <f t="shared" si="5"/>
        <v>DESINCRUSTANTE</v>
      </c>
      <c r="O9" s="342" t="s">
        <v>306</v>
      </c>
      <c r="P9" s="343">
        <f>+SUM(P3:P8)</f>
        <v>0.7084883449255045</v>
      </c>
      <c r="R9" s="342" t="s">
        <v>306</v>
      </c>
      <c r="S9" s="343">
        <f>+SUM(S3:S8)</f>
        <v>0.69572163273811749</v>
      </c>
    </row>
    <row r="10" spans="4:19">
      <c r="D10" s="4" t="s">
        <v>190</v>
      </c>
      <c r="E10" s="2">
        <f>SUMIFS('PUNTOS DE INYECCIÓN'!$E$4:$E$131,'PUNTOS DE INYECCIÓN'!$A$4:$A$131,'Consumos importantes'!E$2,'PUNTOS DE INYECCIÓN'!$C$4:$C$131,$D10)</f>
        <v>710</v>
      </c>
      <c r="F10" s="2">
        <f>SUMIFS('PUNTOS DE INYECCIÓN'!$E$4:$E$131,'PUNTOS DE INYECCIÓN'!$A$4:$A$131,'Consumos importantes'!F$2,'PUNTOS DE INYECCIÓN'!$C$4:$C$131,$D10)</f>
        <v>0</v>
      </c>
      <c r="G10" s="2">
        <f>SUMIFS('PUNTOS DE INYECCIÓN'!$E$4:$E$131,'PUNTOS DE INYECCIÓN'!$A$4:$A$131,'Consumos importantes'!G$2,'PUNTOS DE INYECCIÓN'!$C$4:$C$131,$D10)</f>
        <v>0</v>
      </c>
      <c r="H10" s="2">
        <f>SUMIFS('PUNTOS DE INYECCIÓN'!$E$4:$E$131,'PUNTOS DE INYECCIÓN'!$A$4:$A$131,'Consumos importantes'!H$2,'PUNTOS DE INYECCIÓN'!$C$4:$C$131,$D10)</f>
        <v>0</v>
      </c>
      <c r="I10" s="338">
        <f t="shared" si="0"/>
        <v>6.3801872719757013E-3</v>
      </c>
      <c r="J10" s="338">
        <f t="shared" si="1"/>
        <v>0</v>
      </c>
      <c r="K10" s="338">
        <f t="shared" si="2"/>
        <v>0</v>
      </c>
      <c r="L10" s="338">
        <f t="shared" si="3"/>
        <v>0</v>
      </c>
      <c r="M10" s="341" t="str">
        <f t="shared" si="5"/>
        <v>Detergente</v>
      </c>
    </row>
    <row r="11" spans="4:19">
      <c r="D11" s="4" t="s">
        <v>193</v>
      </c>
      <c r="E11" s="2">
        <f>SUMIFS('PUNTOS DE INYECCIÓN'!$E$4:$E$131,'PUNTOS DE INYECCIÓN'!$A$4:$A$131,'Consumos importantes'!E$2,'PUNTOS DE INYECCIÓN'!$C$4:$C$131,$D11)</f>
        <v>450</v>
      </c>
      <c r="F11" s="2">
        <f>SUMIFS('PUNTOS DE INYECCIÓN'!$E$4:$E$131,'PUNTOS DE INYECCIÓN'!$A$4:$A$131,'Consumos importantes'!F$2,'PUNTOS DE INYECCIÓN'!$C$4:$C$131,$D11)</f>
        <v>0</v>
      </c>
      <c r="G11" s="2">
        <f>SUMIFS('PUNTOS DE INYECCIÓN'!$E$4:$E$131,'PUNTOS DE INYECCIÓN'!$A$4:$A$131,'Consumos importantes'!G$2,'PUNTOS DE INYECCIÓN'!$C$4:$C$131,$D11)</f>
        <v>315</v>
      </c>
      <c r="H11" s="2">
        <f>SUMIFS('PUNTOS DE INYECCIÓN'!$E$4:$E$131,'PUNTOS DE INYECCIÓN'!$A$4:$A$131,'Consumos importantes'!H$2,'PUNTOS DE INYECCIÓN'!$C$4:$C$131,$D11)</f>
        <v>0</v>
      </c>
      <c r="I11" s="338">
        <f t="shared" si="0"/>
        <v>4.0437806653367122E-3</v>
      </c>
      <c r="J11" s="338">
        <f t="shared" si="1"/>
        <v>0</v>
      </c>
      <c r="K11" s="338">
        <f t="shared" si="2"/>
        <v>5.148741418764302E-3</v>
      </c>
      <c r="L11" s="338">
        <f t="shared" si="3"/>
        <v>0</v>
      </c>
      <c r="M11" s="341" t="str">
        <f t="shared" si="5"/>
        <v>Dispersante</v>
      </c>
    </row>
    <row r="12" spans="4:19">
      <c r="D12" s="4" t="s">
        <v>195</v>
      </c>
      <c r="E12" s="2">
        <f>SUMIFS('PUNTOS DE INYECCIÓN'!$E$4:$E$131,'PUNTOS DE INYECCIÓN'!$A$4:$A$131,'Consumos importantes'!E$2,'PUNTOS DE INYECCIÓN'!$C$4:$C$131,$D12)</f>
        <v>4462</v>
      </c>
      <c r="F12" s="2">
        <f>SUMIFS('PUNTOS DE INYECCIÓN'!$E$4:$E$131,'PUNTOS DE INYECCIÓN'!$A$4:$A$131,'Consumos importantes'!F$2,'PUNTOS DE INYECCIÓN'!$C$4:$C$131,$D12)</f>
        <v>1176</v>
      </c>
      <c r="G12" s="2">
        <f>SUMIFS('PUNTOS DE INYECCIÓN'!$E$4:$E$131,'PUNTOS DE INYECCIÓN'!$A$4:$A$131,'Consumos importantes'!G$2,'PUNTOS DE INYECCIÓN'!$C$4:$C$131,$D12)</f>
        <v>912</v>
      </c>
      <c r="H12" s="2">
        <f>SUMIFS('PUNTOS DE INYECCIÓN'!$E$4:$E$131,'PUNTOS DE INYECCIÓN'!$A$4:$A$131,'Consumos importantes'!H$2,'PUNTOS DE INYECCIÓN'!$C$4:$C$131,$D12)</f>
        <v>656</v>
      </c>
      <c r="I12" s="338">
        <f t="shared" si="0"/>
        <v>4.0096331841627579E-2</v>
      </c>
      <c r="J12" s="338">
        <f t="shared" si="1"/>
        <v>1.0185537005155907E-2</v>
      </c>
      <c r="K12" s="338">
        <f t="shared" si="2"/>
        <v>1.4906832298136646E-2</v>
      </c>
      <c r="L12" s="338">
        <f t="shared" si="3"/>
        <v>9.5162109233335752E-3</v>
      </c>
      <c r="M12" s="341" t="str">
        <f t="shared" si="5"/>
        <v>Dispersante de parafinas y/o asfaltenos</v>
      </c>
      <c r="O12" s="453" t="str">
        <f>+K2</f>
        <v>La Vent</v>
      </c>
      <c r="P12" s="453"/>
      <c r="R12" s="453" t="str">
        <f>+L2</f>
        <v>Viz</v>
      </c>
      <c r="S12" s="453"/>
    </row>
    <row r="13" spans="4:19">
      <c r="D13" s="4" t="s">
        <v>198</v>
      </c>
      <c r="E13" s="2">
        <f>SUMIFS('PUNTOS DE INYECCIÓN'!$E$4:$E$131,'PUNTOS DE INYECCIÓN'!$A$4:$A$131,'Consumos importantes'!E$2,'PUNTOS DE INYECCIÓN'!$C$4:$C$131,$D13)</f>
        <v>0</v>
      </c>
      <c r="F13" s="2">
        <f>SUMIFS('PUNTOS DE INYECCIÓN'!$E$4:$E$131,'PUNTOS DE INYECCIÓN'!$A$4:$A$131,'Consumos importantes'!F$2,'PUNTOS DE INYECCIÓN'!$C$4:$C$131,$D13)</f>
        <v>0</v>
      </c>
      <c r="G13" s="2">
        <f>SUMIFS('PUNTOS DE INYECCIÓN'!$E$4:$E$131,'PUNTOS DE INYECCIÓN'!$A$4:$A$131,'Consumos importantes'!G$2,'PUNTOS DE INYECCIÓN'!$C$4:$C$131,$D13)</f>
        <v>0</v>
      </c>
      <c r="H13" s="2">
        <f>SUMIFS('PUNTOS DE INYECCIÓN'!$E$4:$E$131,'PUNTOS DE INYECCIÓN'!$A$4:$A$131,'Consumos importantes'!H$2,'PUNTOS DE INYECCIÓN'!$C$4:$C$131,$D13)</f>
        <v>0</v>
      </c>
      <c r="I13" s="338">
        <f t="shared" si="0"/>
        <v>0</v>
      </c>
      <c r="J13" s="338">
        <f t="shared" si="1"/>
        <v>0</v>
      </c>
      <c r="K13" s="338">
        <f t="shared" si="2"/>
        <v>0</v>
      </c>
      <c r="L13" s="338">
        <f t="shared" si="3"/>
        <v>0</v>
      </c>
      <c r="M13" s="341" t="str">
        <f t="shared" si="5"/>
        <v>Humectante de Solido</v>
      </c>
      <c r="N13">
        <v>1</v>
      </c>
      <c r="O13" s="2" t="str">
        <f>+VLOOKUP(P13,K$2:M$1048576,3,0)</f>
        <v>INHIBIDOR DE CORROSIÓN</v>
      </c>
      <c r="P13" s="339">
        <f>LARGE($K$3:$K$50,N13)</f>
        <v>0.2976135992154299</v>
      </c>
      <c r="Q13">
        <v>1</v>
      </c>
      <c r="R13" s="2" t="str">
        <f>+VLOOKUP(S13,L$3:M$1048576,2,0)</f>
        <v>INHIBIDOR DE CORROSIÓN</v>
      </c>
      <c r="S13" s="339">
        <f>LARGE($L$3:$L$50,Q13)</f>
        <v>0.48120693406832521</v>
      </c>
    </row>
    <row r="14" spans="4:19">
      <c r="D14" s="4" t="s">
        <v>200</v>
      </c>
      <c r="E14" s="2">
        <f>SUMIFS('PUNTOS DE INYECCIÓN'!$E$4:$E$131,'PUNTOS DE INYECCIÓN'!$A$4:$A$131,'Consumos importantes'!E$2,'PUNTOS DE INYECCIÓN'!$C$4:$C$131,$D14)</f>
        <v>139</v>
      </c>
      <c r="F14" s="2">
        <f>SUMIFS('PUNTOS DE INYECCIÓN'!$E$4:$E$131,'PUNTOS DE INYECCIÓN'!$A$4:$A$131,'Consumos importantes'!F$2,'PUNTOS DE INYECCIÓN'!$C$4:$C$131,$D14)</f>
        <v>0</v>
      </c>
      <c r="G14" s="2">
        <f>SUMIFS('PUNTOS DE INYECCIÓN'!$E$4:$E$131,'PUNTOS DE INYECCIÓN'!$A$4:$A$131,'Consumos importantes'!G$2,'PUNTOS DE INYECCIÓN'!$C$4:$C$131,$D14)</f>
        <v>2584</v>
      </c>
      <c r="H14" s="2">
        <f>SUMIFS('PUNTOS DE INYECCIÓN'!$E$4:$E$131,'PUNTOS DE INYECCIÓN'!$A$4:$A$131,'Consumos importantes'!H$2,'PUNTOS DE INYECCIÓN'!$C$4:$C$131,$D14)</f>
        <v>1282</v>
      </c>
      <c r="I14" s="338">
        <f t="shared" si="0"/>
        <v>1.2490789166262289E-3</v>
      </c>
      <c r="J14" s="338">
        <f t="shared" si="1"/>
        <v>0</v>
      </c>
      <c r="K14" s="338">
        <f t="shared" si="2"/>
        <v>4.2236024844720499E-2</v>
      </c>
      <c r="L14" s="338">
        <f t="shared" si="3"/>
        <v>1.8597229273953724E-2</v>
      </c>
      <c r="M14" s="341" t="str">
        <f t="shared" si="5"/>
        <v>Inh. De Incrustaciones</v>
      </c>
      <c r="N14">
        <v>2</v>
      </c>
      <c r="O14" s="2" t="str">
        <f t="shared" ref="O14:O18" si="9">+VLOOKUP(P14,K$2:M$1048576,3,0)</f>
        <v>Biocida</v>
      </c>
      <c r="P14" s="339">
        <f t="shared" ref="P14:P18" si="10">LARGE($K$3:$K$50,N14)</f>
        <v>0.13076168682576006</v>
      </c>
      <c r="Q14">
        <v>2</v>
      </c>
      <c r="R14" s="2" t="str">
        <f t="shared" ref="R14:R18" si="11">+VLOOKUP(S14,L$3:M$1048576,2,0)</f>
        <v>INHIBIDOR DE INCRUSTACIONES</v>
      </c>
      <c r="S14" s="339">
        <f t="shared" ref="S14:S18" si="12">LARGE($L$3:$L$50,Q14)</f>
        <v>0.16647566548197579</v>
      </c>
    </row>
    <row r="15" spans="4:19">
      <c r="D15" s="4" t="s">
        <v>202</v>
      </c>
      <c r="E15" s="2">
        <f>SUMIFS('PUNTOS DE INYECCIÓN'!$E$4:$E$131,'PUNTOS DE INYECCIÓN'!$A$4:$A$131,'Consumos importantes'!E$2,'PUNTOS DE INYECCIÓN'!$C$4:$C$131,$D15)</f>
        <v>15147</v>
      </c>
      <c r="F15" s="2">
        <f>SUMIFS('PUNTOS DE INYECCIÓN'!$E$4:$E$131,'PUNTOS DE INYECCIÓN'!$A$4:$A$131,'Consumos importantes'!F$2,'PUNTOS DE INYECCIÓN'!$C$4:$C$131,$D15)</f>
        <v>9764.26</v>
      </c>
      <c r="G15" s="2">
        <f>SUMIFS('PUNTOS DE INYECCIÓN'!$E$4:$E$131,'PUNTOS DE INYECCIÓN'!$A$4:$A$131,'Consumos importantes'!G$2,'PUNTOS DE INYECCIÓN'!$C$4:$C$131,$D15)</f>
        <v>18208</v>
      </c>
      <c r="H15" s="2">
        <f>SUMIFS('PUNTOS DE INYECCIÓN'!$E$4:$E$131,'PUNTOS DE INYECCIÓN'!$A$4:$A$131,'Consumos importantes'!H$2,'PUNTOS DE INYECCIÓN'!$C$4:$C$131,$D15)</f>
        <v>33172</v>
      </c>
      <c r="I15" s="338">
        <f t="shared" si="0"/>
        <v>0.13611365719523372</v>
      </c>
      <c r="J15" s="338">
        <f t="shared" si="1"/>
        <v>8.4569924794186749E-2</v>
      </c>
      <c r="K15" s="338">
        <f t="shared" si="2"/>
        <v>0.2976135992154299</v>
      </c>
      <c r="L15" s="338">
        <f t="shared" si="3"/>
        <v>0.48120693406832521</v>
      </c>
      <c r="M15" s="341" t="str">
        <f t="shared" si="5"/>
        <v>INHIBIDOR DE CORROSIÓN</v>
      </c>
      <c r="N15">
        <v>3</v>
      </c>
      <c r="O15" s="2" t="str">
        <f t="shared" si="9"/>
        <v>Humectante/Secante</v>
      </c>
      <c r="P15" s="339">
        <f t="shared" si="10"/>
        <v>0.12698594311866623</v>
      </c>
      <c r="Q15">
        <v>3</v>
      </c>
      <c r="R15" s="2" t="str">
        <f t="shared" si="11"/>
        <v>Deshidratación y Calidad de entrega</v>
      </c>
      <c r="S15" s="339">
        <f t="shared" si="12"/>
        <v>0.15191122071516647</v>
      </c>
    </row>
    <row r="16" spans="4:19">
      <c r="D16" s="4" t="s">
        <v>205</v>
      </c>
      <c r="E16" s="2">
        <f>SUMIFS('PUNTOS DE INYECCIÓN'!$E$4:$E$131,'PUNTOS DE INYECCIÓN'!$A$4:$A$131,'Consumos importantes'!E$2,'PUNTOS DE INYECCIÓN'!$C$4:$C$131,$D16)</f>
        <v>6662</v>
      </c>
      <c r="F16" s="2">
        <f>SUMIFS('PUNTOS DE INYECCIÓN'!$E$4:$E$131,'PUNTOS DE INYECCIÓN'!$A$4:$A$131,'Consumos importantes'!F$2,'PUNTOS DE INYECCIÓN'!$C$4:$C$131,$D16)</f>
        <v>11817.460000000001</v>
      </c>
      <c r="G16" s="2">
        <f>SUMIFS('PUNTOS DE INYECCIÓN'!$E$4:$E$131,'PUNTOS DE INYECCIÓN'!$A$4:$A$131,'Consumos importantes'!G$2,'PUNTOS DE INYECCIÓN'!$C$4:$C$131,$D16)</f>
        <v>5350</v>
      </c>
      <c r="H16" s="2">
        <f>SUMIFS('PUNTOS DE INYECCIÓN'!$E$4:$E$131,'PUNTOS DE INYECCIÓN'!$A$4:$A$131,'Consumos importantes'!H$2,'PUNTOS DE INYECCIÓN'!$C$4:$C$131,$D16)</f>
        <v>11476</v>
      </c>
      <c r="I16" s="338">
        <f t="shared" si="0"/>
        <v>5.9865926205495947E-2</v>
      </c>
      <c r="J16" s="338">
        <f t="shared" si="1"/>
        <v>0.10235304093278039</v>
      </c>
      <c r="K16" s="338">
        <f t="shared" si="2"/>
        <v>8.7446878064727035E-2</v>
      </c>
      <c r="L16" s="338">
        <f t="shared" si="3"/>
        <v>0.16647566548197579</v>
      </c>
      <c r="M16" s="341" t="str">
        <f t="shared" si="5"/>
        <v>INHIBIDOR DE INCRUSTACIONES</v>
      </c>
      <c r="N16">
        <v>4</v>
      </c>
      <c r="O16" s="2" t="str">
        <f t="shared" si="9"/>
        <v>INHIBIDOR DE INCRUSTACIONES</v>
      </c>
      <c r="P16" s="339">
        <f t="shared" si="10"/>
        <v>8.7446878064727035E-2</v>
      </c>
      <c r="Q16">
        <v>4</v>
      </c>
      <c r="R16" s="2" t="str">
        <f t="shared" si="11"/>
        <v>Biocida</v>
      </c>
      <c r="S16" s="339">
        <f t="shared" si="12"/>
        <v>7.5244795822151309E-2</v>
      </c>
    </row>
    <row r="17" spans="4:19">
      <c r="D17" s="4" t="s">
        <v>209</v>
      </c>
      <c r="E17" s="2">
        <f>SUMIFS('PUNTOS DE INYECCIÓN'!$E$4:$E$131,'PUNTOS DE INYECCIÓN'!$A$4:$A$131,'Consumos importantes'!E$2,'PUNTOS DE INYECCIÓN'!$C$4:$C$131,$D17)</f>
        <v>0</v>
      </c>
      <c r="F17" s="2">
        <f>SUMIFS('PUNTOS DE INYECCIÓN'!$E$4:$E$131,'PUNTOS DE INYECCIÓN'!$A$4:$A$131,'Consumos importantes'!F$2,'PUNTOS DE INYECCIÓN'!$C$4:$C$131,$D17)</f>
        <v>0</v>
      </c>
      <c r="G17" s="2">
        <f>SUMIFS('PUNTOS DE INYECCIÓN'!$E$4:$E$131,'PUNTOS DE INYECCIÓN'!$A$4:$A$131,'Consumos importantes'!G$2,'PUNTOS DE INYECCIÓN'!$C$4:$C$131,$D17)</f>
        <v>0</v>
      </c>
      <c r="H17" s="2">
        <f>SUMIFS('PUNTOS DE INYECCIÓN'!$E$4:$E$131,'PUNTOS DE INYECCIÓN'!$A$4:$A$131,'Consumos importantes'!H$2,'PUNTOS DE INYECCIÓN'!$C$4:$C$131,$D17)</f>
        <v>0</v>
      </c>
      <c r="I17" s="338">
        <f t="shared" si="0"/>
        <v>0</v>
      </c>
      <c r="J17" s="338">
        <f t="shared" si="1"/>
        <v>0</v>
      </c>
      <c r="K17" s="338">
        <f t="shared" si="2"/>
        <v>0</v>
      </c>
      <c r="L17" s="338">
        <f t="shared" si="3"/>
        <v>0</v>
      </c>
      <c r="M17" s="341" t="str">
        <f t="shared" si="5"/>
        <v>Limpieza de Punzados</v>
      </c>
      <c r="N17">
        <v>5</v>
      </c>
      <c r="O17" s="2" t="str">
        <f t="shared" si="9"/>
        <v>Secuestrante de oxígeno</v>
      </c>
      <c r="P17" s="339">
        <f t="shared" si="10"/>
        <v>7.780320366132723E-2</v>
      </c>
      <c r="Q17">
        <v>5</v>
      </c>
      <c r="R17" s="2" t="str">
        <f t="shared" si="11"/>
        <v>Secuestrante de oxígeno</v>
      </c>
      <c r="S17" s="339">
        <f t="shared" si="12"/>
        <v>5.3238558061942408E-2</v>
      </c>
    </row>
    <row r="18" spans="4:19">
      <c r="D18" s="4" t="s">
        <v>210</v>
      </c>
      <c r="E18" s="2">
        <f>SUMIFS('PUNTOS DE INYECCIÓN'!$E$4:$E$131,'PUNTOS DE INYECCIÓN'!$A$4:$A$131,'Consumos importantes'!E$2,'PUNTOS DE INYECCIÓN'!$C$4:$C$131,$D18)</f>
        <v>539</v>
      </c>
      <c r="F18" s="2">
        <f>SUMIFS('PUNTOS DE INYECCIÓN'!$E$4:$E$131,'PUNTOS DE INYECCIÓN'!$A$4:$A$131,'Consumos importantes'!F$2,'PUNTOS DE INYECCIÓN'!$C$4:$C$131,$D18)</f>
        <v>0</v>
      </c>
      <c r="G18" s="2">
        <f>SUMIFS('PUNTOS DE INYECCIÓN'!$E$4:$E$131,'PUNTOS DE INYECCIÓN'!$A$4:$A$131,'Consumos importantes'!G$2,'PUNTOS DE INYECCIÓN'!$C$4:$C$131,$D18)</f>
        <v>0</v>
      </c>
      <c r="H18" s="2">
        <f>SUMIFS('PUNTOS DE INYECCIÓN'!$E$4:$E$131,'PUNTOS DE INYECCIÓN'!$A$4:$A$131,'Consumos importantes'!H$2,'PUNTOS DE INYECCIÓN'!$C$4:$C$131,$D18)</f>
        <v>0</v>
      </c>
      <c r="I18" s="338">
        <f t="shared" si="0"/>
        <v>4.8435506191477507E-3</v>
      </c>
      <c r="J18" s="338">
        <f t="shared" si="1"/>
        <v>0</v>
      </c>
      <c r="K18" s="338">
        <f t="shared" si="2"/>
        <v>0</v>
      </c>
      <c r="L18" s="338">
        <f t="shared" si="3"/>
        <v>0</v>
      </c>
      <c r="M18" s="341" t="str">
        <f t="shared" si="5"/>
        <v>Mejorador de Fluidez</v>
      </c>
      <c r="N18">
        <v>6</v>
      </c>
      <c r="O18" s="2" t="str">
        <f t="shared" si="9"/>
        <v>Desemulsionante inverso</v>
      </c>
      <c r="P18" s="339">
        <f t="shared" si="10"/>
        <v>5.0343249427917618E-2</v>
      </c>
      <c r="Q18">
        <v>6</v>
      </c>
      <c r="R18" s="2" t="str">
        <f t="shared" si="11"/>
        <v>Desemulsionante inverso</v>
      </c>
      <c r="S18" s="339">
        <f t="shared" si="12"/>
        <v>2.7272067890041343E-2</v>
      </c>
    </row>
    <row r="19" spans="4:19">
      <c r="D19" s="4" t="s">
        <v>213</v>
      </c>
      <c r="E19" s="2">
        <f>SUMIFS('PUNTOS DE INYECCIÓN'!$E$4:$E$131,'PUNTOS DE INYECCIÓN'!$A$4:$A$131,'Consumos importantes'!E$2,'PUNTOS DE INYECCIÓN'!$C$4:$C$131,$D19)</f>
        <v>7025</v>
      </c>
      <c r="F19" s="2">
        <f>SUMIFS('PUNTOS DE INYECCIÓN'!$E$4:$E$131,'PUNTOS DE INYECCIÓN'!$A$4:$A$131,'Consumos importantes'!F$2,'PUNTOS DE INYECCIÓN'!$C$4:$C$131,$D19)</f>
        <v>0</v>
      </c>
      <c r="G19" s="2">
        <f>SUMIFS('PUNTOS DE INYECCIÓN'!$E$4:$E$131,'PUNTOS DE INYECCIÓN'!$A$4:$A$131,'Consumos importantes'!G$2,'PUNTOS DE INYECCIÓN'!$C$4:$C$131,$D19)</f>
        <v>0</v>
      </c>
      <c r="H19" s="2">
        <f>SUMIFS('PUNTOS DE INYECCIÓN'!$E$4:$E$131,'PUNTOS DE INYECCIÓN'!$A$4:$A$131,'Consumos importantes'!H$2,'PUNTOS DE INYECCIÓN'!$C$4:$C$131,$D19)</f>
        <v>0</v>
      </c>
      <c r="I19" s="338">
        <f t="shared" si="0"/>
        <v>6.312790927553423E-2</v>
      </c>
      <c r="J19" s="338">
        <f t="shared" si="1"/>
        <v>0</v>
      </c>
      <c r="K19" s="338">
        <f t="shared" si="2"/>
        <v>0</v>
      </c>
      <c r="L19" s="338">
        <f t="shared" si="3"/>
        <v>0</v>
      </c>
      <c r="M19" s="341" t="str">
        <f t="shared" si="5"/>
        <v>Mejorador de flujo y de Parafinas</v>
      </c>
      <c r="O19" s="342" t="s">
        <v>306</v>
      </c>
      <c r="P19" s="343">
        <f>+SUM(P13:P18)</f>
        <v>0.77095456031382803</v>
      </c>
      <c r="R19" s="342" t="s">
        <v>306</v>
      </c>
      <c r="S19" s="343">
        <f>+SUM(S13:S18)</f>
        <v>0.95534924203960259</v>
      </c>
    </row>
    <row r="20" spans="4:19">
      <c r="D20" s="4" t="s">
        <v>215</v>
      </c>
      <c r="E20" s="2">
        <f>SUMIFS('PUNTOS DE INYECCIÓN'!$E$4:$E$131,'PUNTOS DE INYECCIÓN'!$A$4:$A$131,'Consumos importantes'!E$2,'PUNTOS DE INYECCIÓN'!$C$4:$C$131,$D20)</f>
        <v>0</v>
      </c>
      <c r="F20" s="2">
        <f>SUMIFS('PUNTOS DE INYECCIÓN'!$E$4:$E$131,'PUNTOS DE INYECCIÓN'!$A$4:$A$131,'Consumos importantes'!F$2,'PUNTOS DE INYECCIÓN'!$C$4:$C$131,$D20)</f>
        <v>0</v>
      </c>
      <c r="G20" s="2">
        <f>SUMIFS('PUNTOS DE INYECCIÓN'!$E$4:$E$131,'PUNTOS DE INYECCIÓN'!$A$4:$A$131,'Consumos importantes'!G$2,'PUNTOS DE INYECCIÓN'!$C$4:$C$131,$D20)</f>
        <v>0</v>
      </c>
      <c r="H20" s="2">
        <f>SUMIFS('PUNTOS DE INYECCIÓN'!$E$4:$E$131,'PUNTOS DE INYECCIÓN'!$A$4:$A$131,'Consumos importantes'!H$2,'PUNTOS DE INYECCIÓN'!$C$4:$C$131,$D20)</f>
        <v>0</v>
      </c>
      <c r="I20" s="338">
        <f t="shared" si="0"/>
        <v>0</v>
      </c>
      <c r="J20" s="338">
        <f t="shared" si="1"/>
        <v>0</v>
      </c>
      <c r="K20" s="338">
        <f t="shared" si="2"/>
        <v>0</v>
      </c>
      <c r="L20" s="338">
        <f t="shared" si="3"/>
        <v>0</v>
      </c>
      <c r="M20" s="341" t="str">
        <f t="shared" si="5"/>
        <v>OXIDANTE</v>
      </c>
    </row>
    <row r="21" spans="4:19">
      <c r="D21" s="4" t="s">
        <v>217</v>
      </c>
      <c r="E21" s="2">
        <f>SUMIFS('PUNTOS DE INYECCIÓN'!$E$4:$E$131,'PUNTOS DE INYECCIÓN'!$A$4:$A$131,'Consumos importantes'!E$2,'PUNTOS DE INYECCIÓN'!$C$4:$C$131,$D21)</f>
        <v>4782</v>
      </c>
      <c r="F21" s="2">
        <f>SUMIFS('PUNTOS DE INYECCIÓN'!$E$4:$E$131,'PUNTOS DE INYECCIÓN'!$A$4:$A$131,'Consumos importantes'!F$2,'PUNTOS DE INYECCIÓN'!$C$4:$C$131,$D21)</f>
        <v>0</v>
      </c>
      <c r="G21" s="2">
        <f>SUMIFS('PUNTOS DE INYECCIÓN'!$E$4:$E$131,'PUNTOS DE INYECCIÓN'!$A$4:$A$131,'Consumos importantes'!G$2,'PUNTOS DE INYECCIÓN'!$C$4:$C$131,$D21)</f>
        <v>0</v>
      </c>
      <c r="H21" s="2">
        <f>SUMIFS('PUNTOS DE INYECCIÓN'!$E$4:$E$131,'PUNTOS DE INYECCIÓN'!$A$4:$A$131,'Consumos importantes'!H$2,'PUNTOS DE INYECCIÓN'!$C$4:$C$131,$D21)</f>
        <v>0</v>
      </c>
      <c r="I21" s="338">
        <f t="shared" si="0"/>
        <v>4.2971909203644791E-2</v>
      </c>
      <c r="J21" s="338">
        <f t="shared" si="1"/>
        <v>0</v>
      </c>
      <c r="K21" s="338">
        <f t="shared" si="2"/>
        <v>0</v>
      </c>
      <c r="L21" s="338">
        <f t="shared" si="3"/>
        <v>0</v>
      </c>
      <c r="M21" s="341" t="str">
        <f t="shared" si="5"/>
        <v>Reductor de Viscocidad</v>
      </c>
    </row>
    <row r="22" spans="4:19">
      <c r="D22" s="4" t="s">
        <v>219</v>
      </c>
      <c r="E22" s="2">
        <f>SUMIFS('PUNTOS DE INYECCIÓN'!$E$4:$E$131,'PUNTOS DE INYECCIÓN'!$A$4:$A$131,'Consumos importantes'!E$2,'PUNTOS DE INYECCIÓN'!$C$4:$C$131,$D22)</f>
        <v>1130</v>
      </c>
      <c r="F22" s="2">
        <f>SUMIFS('PUNTOS DE INYECCIÓN'!$E$4:$E$131,'PUNTOS DE INYECCIÓN'!$A$4:$A$131,'Consumos importantes'!F$2,'PUNTOS DE INYECCIÓN'!$C$4:$C$131,$D22)</f>
        <v>0</v>
      </c>
      <c r="G22" s="2">
        <f>SUMIFS('PUNTOS DE INYECCIÓN'!$E$4:$E$131,'PUNTOS DE INYECCIÓN'!$A$4:$A$131,'Consumos importantes'!G$2,'PUNTOS DE INYECCIÓN'!$C$4:$C$131,$D22)</f>
        <v>970</v>
      </c>
      <c r="H22" s="2">
        <f>SUMIFS('PUNTOS DE INYECCIÓN'!$E$4:$E$131,'PUNTOS DE INYECCIÓN'!$A$4:$A$131,'Consumos importantes'!H$2,'PUNTOS DE INYECCIÓN'!$C$4:$C$131,$D22)</f>
        <v>250</v>
      </c>
      <c r="I22" s="338">
        <f t="shared" si="0"/>
        <v>1.0154382559623299E-2</v>
      </c>
      <c r="J22" s="338">
        <f t="shared" si="1"/>
        <v>0</v>
      </c>
      <c r="K22" s="338">
        <f t="shared" si="2"/>
        <v>1.5854854527623405E-2</v>
      </c>
      <c r="L22" s="338">
        <f t="shared" si="3"/>
        <v>3.6266047726118806E-3</v>
      </c>
      <c r="M22" s="341" t="str">
        <f t="shared" si="5"/>
        <v>Regulador de pH</v>
      </c>
    </row>
    <row r="23" spans="4:19">
      <c r="D23" s="4" t="s">
        <v>221</v>
      </c>
      <c r="E23" s="2">
        <f>SUMIFS('PUNTOS DE INYECCIÓN'!$E$4:$E$131,'PUNTOS DE INYECCIÓN'!$A$4:$A$131,'Consumos importantes'!E$2,'PUNTOS DE INYECCIÓN'!$C$4:$C$131,$D23)</f>
        <v>28500</v>
      </c>
      <c r="F23" s="2">
        <f>SUMIFS('PUNTOS DE INYECCIÓN'!$E$4:$E$131,'PUNTOS DE INYECCIÓN'!$A$4:$A$131,'Consumos importantes'!F$2,'PUNTOS DE INYECCIÓN'!$C$4:$C$131,$D23)</f>
        <v>0</v>
      </c>
      <c r="G23" s="2">
        <f>SUMIFS('PUNTOS DE INYECCIÓN'!$E$4:$E$131,'PUNTOS DE INYECCIÓN'!$A$4:$A$131,'Consumos importantes'!G$2,'PUNTOS DE INYECCIÓN'!$C$4:$C$131,$D23)</f>
        <v>0</v>
      </c>
      <c r="H23" s="2">
        <f>SUMIFS('PUNTOS DE INYECCIÓN'!$E$4:$E$131,'PUNTOS DE INYECCIÓN'!$A$4:$A$131,'Consumos importantes'!H$2,'PUNTOS DE INYECCIÓN'!$C$4:$C$131,$D23)</f>
        <v>0</v>
      </c>
      <c r="I23" s="338">
        <f t="shared" si="0"/>
        <v>0.25610610880465845</v>
      </c>
      <c r="J23" s="338">
        <f t="shared" si="1"/>
        <v>0</v>
      </c>
      <c r="K23" s="338">
        <f t="shared" si="2"/>
        <v>0</v>
      </c>
      <c r="L23" s="338">
        <f t="shared" si="3"/>
        <v>0</v>
      </c>
      <c r="M23" s="341" t="str">
        <f t="shared" si="5"/>
        <v xml:space="preserve">Sal </v>
      </c>
    </row>
    <row r="24" spans="4:19">
      <c r="D24" s="4" t="s">
        <v>224</v>
      </c>
      <c r="E24" s="2">
        <f>SUMIFS('PUNTOS DE INYECCIÓN'!$E$4:$E$131,'PUNTOS DE INYECCIÓN'!$A$4:$A$131,'Consumos importantes'!E$2,'PUNTOS DE INYECCIÓN'!$C$4:$C$131,$D24)</f>
        <v>2170</v>
      </c>
      <c r="F24" s="2">
        <f>SUMIFS('PUNTOS DE INYECCIÓN'!$E$4:$E$131,'PUNTOS DE INYECCIÓN'!$A$4:$A$131,'Consumos importantes'!F$2,'PUNTOS DE INYECCIÓN'!$C$4:$C$131,$D24)</f>
        <v>0</v>
      </c>
      <c r="G24" s="2">
        <f>SUMIFS('PUNTOS DE INYECCIÓN'!$E$4:$E$131,'PUNTOS DE INYECCIÓN'!$A$4:$A$131,'Consumos importantes'!G$2,'PUNTOS DE INYECCIÓN'!$C$4:$C$131,$D24)</f>
        <v>4760</v>
      </c>
      <c r="H24" s="2">
        <f>SUMIFS('PUNTOS DE INYECCIÓN'!$E$4:$E$131,'PUNTOS DE INYECCIÓN'!$A$4:$A$131,'Consumos importantes'!H$2,'PUNTOS DE INYECCIÓN'!$C$4:$C$131,$D24)</f>
        <v>3670</v>
      </c>
      <c r="I24" s="338">
        <f t="shared" si="0"/>
        <v>1.9500008986179256E-2</v>
      </c>
      <c r="J24" s="338">
        <f t="shared" si="1"/>
        <v>0</v>
      </c>
      <c r="K24" s="338">
        <f t="shared" si="2"/>
        <v>7.780320366132723E-2</v>
      </c>
      <c r="L24" s="338">
        <f t="shared" si="3"/>
        <v>5.3238558061942408E-2</v>
      </c>
      <c r="M24" s="341" t="str">
        <f t="shared" si="5"/>
        <v>Secuestrante de oxígeno</v>
      </c>
    </row>
    <row r="25" spans="4:19">
      <c r="D25" s="4" t="s">
        <v>227</v>
      </c>
      <c r="E25" s="2">
        <f>SUMIFS('PUNTOS DE INYECCIÓN'!$E$4:$E$131,'PUNTOS DE INYECCIÓN'!$A$4:$A$131,'Consumos importantes'!E$2,'PUNTOS DE INYECCIÓN'!$C$4:$C$131,$D25)</f>
        <v>790</v>
      </c>
      <c r="F25" s="2">
        <f>SUMIFS('PUNTOS DE INYECCIÓN'!$E$4:$E$131,'PUNTOS DE INYECCIÓN'!$A$4:$A$131,'Consumos importantes'!F$2,'PUNTOS DE INYECCIÓN'!$C$4:$C$131,$D25)</f>
        <v>5033.6000000000004</v>
      </c>
      <c r="G25" s="2">
        <f>SUMIFS('PUNTOS DE INYECCIÓN'!$E$4:$E$131,'PUNTOS DE INYECCIÓN'!$A$4:$A$131,'Consumos importantes'!G$2,'PUNTOS DE INYECCIÓN'!$C$4:$C$131,$D25)</f>
        <v>680</v>
      </c>
      <c r="H25" s="2">
        <f>SUMIFS('PUNTOS DE INYECCIÓN'!$E$4:$E$131,'PUNTOS DE INYECCIÓN'!$A$4:$A$131,'Consumos importantes'!H$2,'PUNTOS DE INYECCIÓN'!$C$4:$C$131,$D25)</f>
        <v>500</v>
      </c>
      <c r="I25" s="338">
        <f t="shared" si="0"/>
        <v>7.0990816124800061E-3</v>
      </c>
      <c r="J25" s="338">
        <f t="shared" si="1"/>
        <v>4.3596869956762568E-2</v>
      </c>
      <c r="K25" s="338">
        <f t="shared" si="2"/>
        <v>1.1114743380189604E-2</v>
      </c>
      <c r="L25" s="338">
        <f t="shared" si="3"/>
        <v>7.2532095452237611E-3</v>
      </c>
      <c r="M25" s="341" t="str">
        <f t="shared" si="5"/>
        <v>SECUESTRANTE DE SULFHÍDRICO</v>
      </c>
    </row>
    <row r="26" spans="4:19">
      <c r="D26" s="4" t="s">
        <v>231</v>
      </c>
      <c r="E26" s="2">
        <f>SUMIFS('PUNTOS DE INYECCIÓN'!$E$4:$E$131,'PUNTOS DE INYECCIÓN'!$A$4:$A$131,'Consumos importantes'!E$2,'PUNTOS DE INYECCIÓN'!$C$4:$C$131,$D26)</f>
        <v>0</v>
      </c>
      <c r="F26" s="2">
        <f>SUMIFS('PUNTOS DE INYECCIÓN'!$E$4:$E$131,'PUNTOS DE INYECCIÓN'!$A$4:$A$131,'Consumos importantes'!F$2,'PUNTOS DE INYECCIÓN'!$C$4:$C$131,$D26)</f>
        <v>3923.2599999999998</v>
      </c>
      <c r="G26" s="2">
        <f>SUMIFS('PUNTOS DE INYECCIÓN'!$E$4:$E$131,'PUNTOS DE INYECCIÓN'!$A$4:$A$131,'Consumos importantes'!G$2,'PUNTOS DE INYECCIÓN'!$C$4:$C$131,$D26)</f>
        <v>0</v>
      </c>
      <c r="H26" s="2">
        <f>SUMIFS('PUNTOS DE INYECCIÓN'!$E$4:$E$131,'PUNTOS DE INYECCIÓN'!$A$4:$A$131,'Consumos importantes'!H$2,'PUNTOS DE INYECCIÓN'!$C$4:$C$131,$D26)</f>
        <v>0</v>
      </c>
      <c r="I26" s="338">
        <f t="shared" si="0"/>
        <v>0</v>
      </c>
      <c r="J26" s="338">
        <f t="shared" si="1"/>
        <v>3.3980025434394524E-2</v>
      </c>
      <c r="K26" s="338">
        <f t="shared" si="2"/>
        <v>0</v>
      </c>
      <c r="L26" s="338">
        <f t="shared" si="3"/>
        <v>0</v>
      </c>
      <c r="M26" s="341" t="str">
        <f t="shared" si="5"/>
        <v>ANTIESPUMANTE</v>
      </c>
    </row>
    <row r="27" spans="4:19">
      <c r="D27" s="4" t="s">
        <v>239</v>
      </c>
      <c r="E27" s="2">
        <f>SUMIFS('PUNTOS DE INYECCIÓN'!$E$4:$E$131,'PUNTOS DE INYECCIÓN'!$A$4:$A$131,'Consumos importantes'!E$2,'PUNTOS DE INYECCIÓN'!$C$4:$C$131,$D27)</f>
        <v>0</v>
      </c>
      <c r="F27" s="2">
        <f>SUMIFS('PUNTOS DE INYECCIÓN'!$E$4:$E$131,'PUNTOS DE INYECCIÓN'!$A$4:$A$131,'Consumos importantes'!F$2,'PUNTOS DE INYECCIÓN'!$C$4:$C$131,$D27)</f>
        <v>26778.01</v>
      </c>
      <c r="G27" s="2">
        <f>SUMIFS('PUNTOS DE INYECCIÓN'!$E$4:$E$131,'PUNTOS DE INYECCIÓN'!$A$4:$A$131,'Consumos importantes'!G$2,'PUNTOS DE INYECCIÓN'!$C$4:$C$131,$D27)</f>
        <v>1226</v>
      </c>
      <c r="H27" s="2">
        <f>SUMIFS('PUNTOS DE INYECCIÓN'!$E$4:$E$131,'PUNTOS DE INYECCIÓN'!$A$4:$A$131,'Consumos importantes'!H$2,'PUNTOS DE INYECCIÓN'!$C$4:$C$131,$D27)</f>
        <v>0</v>
      </c>
      <c r="I27" s="338">
        <f t="shared" si="0"/>
        <v>0</v>
      </c>
      <c r="J27" s="338">
        <f t="shared" si="1"/>
        <v>0.23192892158115214</v>
      </c>
      <c r="K27" s="338">
        <f t="shared" si="2"/>
        <v>2.0039228506047727E-2</v>
      </c>
      <c r="L27" s="338">
        <f t="shared" si="3"/>
        <v>0</v>
      </c>
      <c r="M27" s="341" t="str">
        <f t="shared" si="5"/>
        <v>DESEMULSIONANTE</v>
      </c>
    </row>
    <row r="28" spans="4:19">
      <c r="D28" s="4" t="s">
        <v>244</v>
      </c>
      <c r="E28" s="2">
        <f>SUMIFS('PUNTOS DE INYECCIÓN'!$E$4:$E$131,'PUNTOS DE INYECCIÓN'!$A$4:$A$131,'Consumos importantes'!E$2,'PUNTOS DE INYECCIÓN'!$C$4:$C$131,$D28)</f>
        <v>0</v>
      </c>
      <c r="F28" s="2">
        <f>SUMIFS('PUNTOS DE INYECCIÓN'!$E$4:$E$131,'PUNTOS DE INYECCIÓN'!$A$4:$A$131,'Consumos importantes'!F$2,'PUNTOS DE INYECCIÓN'!$C$4:$C$131,$D28)</f>
        <v>0</v>
      </c>
      <c r="G28" s="2">
        <f>SUMIFS('PUNTOS DE INYECCIÓN'!$E$4:$E$131,'PUNTOS DE INYECCIÓN'!$A$4:$A$131,'Consumos importantes'!G$2,'PUNTOS DE INYECCIÓN'!$C$4:$C$131,$D28)</f>
        <v>2018</v>
      </c>
      <c r="H28" s="2">
        <f>SUMIFS('PUNTOS DE INYECCIÓN'!$E$4:$E$131,'PUNTOS DE INYECCIÓN'!$A$4:$A$131,'Consumos importantes'!H$2,'PUNTOS DE INYECCIÓN'!$C$4:$C$131,$D28)</f>
        <v>0</v>
      </c>
      <c r="I28" s="338">
        <f t="shared" si="0"/>
        <v>0</v>
      </c>
      <c r="J28" s="338">
        <f t="shared" si="1"/>
        <v>0</v>
      </c>
      <c r="K28" s="338">
        <f t="shared" si="2"/>
        <v>3.2984635501797976E-2</v>
      </c>
      <c r="L28" s="338">
        <f t="shared" si="3"/>
        <v>0</v>
      </c>
      <c r="M28" s="341" t="str">
        <f t="shared" si="5"/>
        <v>Dispersnate de Parafina/Asfaltenos</v>
      </c>
    </row>
    <row r="29" spans="4:19">
      <c r="D29" s="4" t="s">
        <v>247</v>
      </c>
      <c r="E29" s="2">
        <f>SUMIFS('PUNTOS DE INYECCIÓN'!$E$4:$E$131,'PUNTOS DE INYECCIÓN'!$A$4:$A$131,'Consumos importantes'!E$2,'PUNTOS DE INYECCIÓN'!$C$4:$C$131,$D29)</f>
        <v>0</v>
      </c>
      <c r="F29" s="2">
        <f>SUMIFS('PUNTOS DE INYECCIÓN'!$E$4:$E$131,'PUNTOS DE INYECCIÓN'!$A$4:$A$131,'Consumos importantes'!F$2,'PUNTOS DE INYECCIÓN'!$C$4:$C$131,$D29)</f>
        <v>0</v>
      </c>
      <c r="G29" s="2">
        <f>SUMIFS('PUNTOS DE INYECCIÓN'!$E$4:$E$131,'PUNTOS DE INYECCIÓN'!$A$4:$A$131,'Consumos importantes'!G$2,'PUNTOS DE INYECCIÓN'!$C$4:$C$131,$D29)</f>
        <v>7769</v>
      </c>
      <c r="H29" s="2">
        <f>SUMIFS('PUNTOS DE INYECCIÓN'!$E$4:$E$131,'PUNTOS DE INYECCIÓN'!$A$4:$A$131,'Consumos importantes'!H$2,'PUNTOS DE INYECCIÓN'!$C$4:$C$131,$D29)</f>
        <v>0</v>
      </c>
      <c r="I29" s="338">
        <f t="shared" si="0"/>
        <v>0</v>
      </c>
      <c r="J29" s="338">
        <f t="shared" si="1"/>
        <v>0</v>
      </c>
      <c r="K29" s="338">
        <f t="shared" si="2"/>
        <v>0.12698594311866623</v>
      </c>
      <c r="L29" s="338">
        <f t="shared" si="3"/>
        <v>0</v>
      </c>
      <c r="M29" s="341" t="str">
        <f t="shared" si="5"/>
        <v>Humectante/Secante</v>
      </c>
    </row>
    <row r="30" spans="4:19">
      <c r="D30" s="4" t="s">
        <v>248</v>
      </c>
      <c r="E30" s="2">
        <f>SUMIFS('PUNTOS DE INYECCIÓN'!$E$4:$E$131,'PUNTOS DE INYECCIÓN'!$A$4:$A$131,'Consumos importantes'!E$2,'PUNTOS DE INYECCIÓN'!$C$4:$C$131,$D30)</f>
        <v>0</v>
      </c>
      <c r="F30" s="2">
        <f>SUMIFS('PUNTOS DE INYECCIÓN'!$E$4:$E$131,'PUNTOS DE INYECCIÓN'!$A$4:$A$131,'Consumos importantes'!F$2,'PUNTOS DE INYECCIÓN'!$C$4:$C$131,$D30)</f>
        <v>0</v>
      </c>
      <c r="G30" s="2">
        <f>SUMIFS('PUNTOS DE INYECCIÓN'!$E$4:$E$131,'PUNTOS DE INYECCIÓN'!$A$4:$A$131,'Consumos importantes'!G$2,'PUNTOS DE INYECCIÓN'!$C$4:$C$131,$D30)</f>
        <v>0</v>
      </c>
      <c r="H30" s="2">
        <f>SUMIFS('PUNTOS DE INYECCIÓN'!$E$4:$E$131,'PUNTOS DE INYECCIÓN'!$A$4:$A$131,'Consumos importantes'!H$2,'PUNTOS DE INYECCIÓN'!$C$4:$C$131,$D30)</f>
        <v>0</v>
      </c>
      <c r="I30" s="338">
        <f t="shared" si="0"/>
        <v>0</v>
      </c>
      <c r="J30" s="338">
        <f t="shared" si="1"/>
        <v>0</v>
      </c>
      <c r="K30" s="338">
        <f t="shared" si="2"/>
        <v>0</v>
      </c>
      <c r="L30" s="338">
        <f t="shared" si="3"/>
        <v>0</v>
      </c>
      <c r="M30" s="341" t="str">
        <f t="shared" si="5"/>
        <v>INHIBIDOR DE HIDRATOS</v>
      </c>
    </row>
    <row r="31" spans="4:19">
      <c r="D31" s="4" t="s">
        <v>251</v>
      </c>
      <c r="E31" s="2">
        <f>SUMIFS('PUNTOS DE INYECCIÓN'!$E$4:$E$131,'PUNTOS DE INYECCIÓN'!$A$4:$A$131,'Consumos importantes'!E$2,'PUNTOS DE INYECCIÓN'!$C$4:$C$131,$D31)</f>
        <v>0</v>
      </c>
      <c r="F31" s="2">
        <f>SUMIFS('PUNTOS DE INYECCIÓN'!$E$4:$E$131,'PUNTOS DE INYECCIÓN'!$A$4:$A$131,'Consumos importantes'!F$2,'PUNTOS DE INYECCIÓN'!$C$4:$C$131,$D31)</f>
        <v>0</v>
      </c>
      <c r="G31" s="2">
        <f>SUMIFS('PUNTOS DE INYECCIÓN'!$E$4:$E$131,'PUNTOS DE INYECCIÓN'!$A$4:$A$131,'Consumos importantes'!G$2,'PUNTOS DE INYECCIÓN'!$C$4:$C$131,$D31)</f>
        <v>800</v>
      </c>
      <c r="H31" s="2">
        <f>SUMIFS('PUNTOS DE INYECCIÓN'!$E$4:$E$131,'PUNTOS DE INYECCIÓN'!$A$4:$A$131,'Consumos importantes'!H$2,'PUNTOS DE INYECCIÓN'!$C$4:$C$131,$D31)</f>
        <v>0</v>
      </c>
      <c r="I31" s="338">
        <f t="shared" si="0"/>
        <v>0</v>
      </c>
      <c r="J31" s="338">
        <f t="shared" si="1"/>
        <v>0</v>
      </c>
      <c r="K31" s="338">
        <f t="shared" si="2"/>
        <v>1.3076168682576005E-2</v>
      </c>
      <c r="L31" s="338">
        <f t="shared" si="3"/>
        <v>0</v>
      </c>
      <c r="M31" s="341" t="str">
        <f t="shared" si="5"/>
        <v xml:space="preserve">Oxidante de solidos </v>
      </c>
    </row>
    <row r="32" spans="4:19">
      <c r="D32" s="4" t="s">
        <v>256</v>
      </c>
      <c r="E32" s="2">
        <f>SUMIFS('PUNTOS DE INYECCIÓN'!$E$4:$E$131,'PUNTOS DE INYECCIÓN'!$A$4:$A$131,'Consumos importantes'!E$2,'PUNTOS DE INYECCIÓN'!$C$4:$C$131,$D32)</f>
        <v>0</v>
      </c>
      <c r="F32" s="2">
        <f>SUMIFS('PUNTOS DE INYECCIÓN'!$E$4:$E$131,'PUNTOS DE INYECCIÓN'!$A$4:$A$131,'Consumos importantes'!F$2,'PUNTOS DE INYECCIÓN'!$C$4:$C$131,$D32)</f>
        <v>15165.1</v>
      </c>
      <c r="G32" s="2">
        <f>SUMIFS('PUNTOS DE INYECCIÓN'!$E$4:$E$131,'PUNTOS DE INYECCIÓN'!$A$4:$A$131,'Consumos importantes'!G$2,'PUNTOS DE INYECCIÓN'!$C$4:$C$131,$D32)</f>
        <v>0</v>
      </c>
      <c r="H32" s="2">
        <f>SUMIFS('PUNTOS DE INYECCIÓN'!$E$4:$E$131,'PUNTOS DE INYECCIÓN'!$A$4:$A$131,'Consumos importantes'!H$2,'PUNTOS DE INYECCIÓN'!$C$4:$C$131,$D32)</f>
        <v>0</v>
      </c>
      <c r="I32" s="338">
        <f t="shared" si="0"/>
        <v>0</v>
      </c>
      <c r="J32" s="338">
        <f t="shared" si="1"/>
        <v>0.13134752316062062</v>
      </c>
      <c r="K32" s="338">
        <f t="shared" si="2"/>
        <v>0</v>
      </c>
      <c r="L32" s="338">
        <f t="shared" si="3"/>
        <v>0</v>
      </c>
      <c r="M32" s="341" t="str">
        <f t="shared" si="5"/>
        <v>BACTERICIDA</v>
      </c>
    </row>
    <row r="33" spans="4:13">
      <c r="D33" s="4" t="s">
        <v>264</v>
      </c>
      <c r="E33" s="2">
        <f>SUMIFS('PUNTOS DE INYECCIÓN'!$E$4:$E$131,'PUNTOS DE INYECCIÓN'!$A$4:$A$131,'Consumos importantes'!E$2,'PUNTOS DE INYECCIÓN'!$C$4:$C$131,$D33)</f>
        <v>0</v>
      </c>
      <c r="F33" s="2">
        <f>SUMIFS('PUNTOS DE INYECCIÓN'!$E$4:$E$131,'PUNTOS DE INYECCIÓN'!$A$4:$A$131,'Consumos importantes'!F$2,'PUNTOS DE INYECCIÓN'!$C$4:$C$131,$D33)</f>
        <v>11768.080000000002</v>
      </c>
      <c r="G33" s="2">
        <f>SUMIFS('PUNTOS DE INYECCIÓN'!$E$4:$E$131,'PUNTOS DE INYECCIÓN'!$A$4:$A$131,'Consumos importantes'!G$2,'PUNTOS DE INYECCIÓN'!$C$4:$C$131,$D33)</f>
        <v>0</v>
      </c>
      <c r="H33" s="2">
        <f>SUMIFS('PUNTOS DE INYECCIÓN'!$E$4:$E$131,'PUNTOS DE INYECCIÓN'!$A$4:$A$131,'Consumos importantes'!H$2,'PUNTOS DE INYECCIÓN'!$C$4:$C$131,$D33)</f>
        <v>0</v>
      </c>
      <c r="I33" s="338">
        <f t="shared" si="0"/>
        <v>0</v>
      </c>
      <c r="J33" s="338">
        <f t="shared" si="1"/>
        <v>0.10192535231261492</v>
      </c>
      <c r="K33" s="338">
        <f t="shared" si="2"/>
        <v>0</v>
      </c>
      <c r="L33" s="338">
        <f t="shared" si="3"/>
        <v>0</v>
      </c>
      <c r="M33" s="341" t="str">
        <f t="shared" si="5"/>
        <v>DISOLVENTE DE PARAFINAS Y ASFALTENOS</v>
      </c>
    </row>
    <row r="34" spans="4:13">
      <c r="D34" s="4" t="s">
        <v>267</v>
      </c>
      <c r="E34" s="2">
        <f>SUMIFS('PUNTOS DE INYECCIÓN'!$E$4:$E$131,'PUNTOS DE INYECCIÓN'!$A$4:$A$131,'Consumos importantes'!E$2,'PUNTOS DE INYECCIÓN'!$C$4:$C$131,$D34)</f>
        <v>0</v>
      </c>
      <c r="F34" s="2">
        <f>SUMIFS('PUNTOS DE INYECCIÓN'!$E$4:$E$131,'PUNTOS DE INYECCIÓN'!$A$4:$A$131,'Consumos importantes'!F$2,'PUNTOS DE INYECCIÓN'!$C$4:$C$131,$D34)</f>
        <v>647</v>
      </c>
      <c r="G34" s="2">
        <f>SUMIFS('PUNTOS DE INYECCIÓN'!$E$4:$E$131,'PUNTOS DE INYECCIÓN'!$A$4:$A$131,'Consumos importantes'!G$2,'PUNTOS DE INYECCIÓN'!$C$4:$C$131,$D34)</f>
        <v>0</v>
      </c>
      <c r="H34" s="2">
        <f>SUMIFS('PUNTOS DE INYECCIÓN'!$E$4:$E$131,'PUNTOS DE INYECCIÓN'!$A$4:$A$131,'Consumos importantes'!H$2,'PUNTOS DE INYECCIÓN'!$C$4:$C$131,$D34)</f>
        <v>0</v>
      </c>
      <c r="I34" s="338">
        <f t="shared" si="0"/>
        <v>0</v>
      </c>
      <c r="J34" s="338">
        <f t="shared" si="1"/>
        <v>5.6037775870202994E-3</v>
      </c>
      <c r="K34" s="338">
        <f t="shared" si="2"/>
        <v>0</v>
      </c>
      <c r="L34" s="338">
        <f t="shared" si="3"/>
        <v>0</v>
      </c>
      <c r="M34" s="341" t="str">
        <f t="shared" si="5"/>
        <v>Dispersante de Asfaltenos</v>
      </c>
    </row>
    <row r="35" spans="4:13">
      <c r="D35" s="4" t="s">
        <v>268</v>
      </c>
      <c r="E35" s="2">
        <f>SUMIFS('PUNTOS DE INYECCIÓN'!$E$4:$E$131,'PUNTOS DE INYECCIÓN'!$A$4:$A$131,'Consumos importantes'!E$2,'PUNTOS DE INYECCIÓN'!$C$4:$C$131,$D35)</f>
        <v>0</v>
      </c>
      <c r="F35" s="2">
        <f>SUMIFS('PUNTOS DE INYECCIÓN'!$E$4:$E$131,'PUNTOS DE INYECCIÓN'!$A$4:$A$131,'Consumos importantes'!F$2,'PUNTOS DE INYECCIÓN'!$C$4:$C$131,$D35)</f>
        <v>0</v>
      </c>
      <c r="G35" s="2">
        <f>SUMIFS('PUNTOS DE INYECCIÓN'!$E$4:$E$131,'PUNTOS DE INYECCIÓN'!$A$4:$A$131,'Consumos importantes'!G$2,'PUNTOS DE INYECCIÓN'!$C$4:$C$131,$D35)</f>
        <v>0</v>
      </c>
      <c r="H35" s="2">
        <f>SUMIFS('PUNTOS DE INYECCIÓN'!$E$4:$E$131,'PUNTOS DE INYECCIÓN'!$A$4:$A$131,'Consumos importantes'!H$2,'PUNTOS DE INYECCIÓN'!$C$4:$C$131,$D35)</f>
        <v>0</v>
      </c>
      <c r="I35" s="338">
        <f t="shared" si="0"/>
        <v>0</v>
      </c>
      <c r="J35" s="338">
        <f t="shared" si="1"/>
        <v>0</v>
      </c>
      <c r="K35" s="338">
        <f t="shared" si="2"/>
        <v>0</v>
      </c>
      <c r="L35" s="338">
        <f t="shared" si="3"/>
        <v>0</v>
      </c>
      <c r="M35" s="341" t="str">
        <f t="shared" si="5"/>
        <v>DISPERSANTE DE PARAFINAS Y ASFALTENOS</v>
      </c>
    </row>
    <row r="36" spans="4:13">
      <c r="D36" s="4" t="s">
        <v>270</v>
      </c>
      <c r="E36" s="2">
        <f>SUMIFS('PUNTOS DE INYECCIÓN'!$E$4:$E$131,'PUNTOS DE INYECCIÓN'!$A$4:$A$131,'Consumos importantes'!E$2,'PUNTOS DE INYECCIÓN'!$C$4:$C$131,$D36)</f>
        <v>0</v>
      </c>
      <c r="F36" s="2">
        <f>SUMIFS('PUNTOS DE INYECCIÓN'!$E$4:$E$131,'PUNTOS DE INYECCIÓN'!$A$4:$A$131,'Consumos importantes'!F$2,'PUNTOS DE INYECCIÓN'!$C$4:$C$131,$D36)</f>
        <v>15.159999999999997</v>
      </c>
      <c r="G36" s="2">
        <f>SUMIFS('PUNTOS DE INYECCIÓN'!$E$4:$E$131,'PUNTOS DE INYECCIÓN'!$A$4:$A$131,'Consumos importantes'!G$2,'PUNTOS DE INYECCIÓN'!$C$4:$C$131,$D36)</f>
        <v>0</v>
      </c>
      <c r="H36" s="2">
        <f>SUMIFS('PUNTOS DE INYECCIÓN'!$E$4:$E$131,'PUNTOS DE INYECCIÓN'!$A$4:$A$131,'Consumos importantes'!H$2,'PUNTOS DE INYECCIÓN'!$C$4:$C$131,$D36)</f>
        <v>0</v>
      </c>
      <c r="I36" s="338">
        <f t="shared" si="0"/>
        <v>0</v>
      </c>
      <c r="J36" s="338">
        <f t="shared" si="1"/>
        <v>1.3130335118891455E-4</v>
      </c>
      <c r="K36" s="338">
        <f t="shared" si="2"/>
        <v>0</v>
      </c>
      <c r="L36" s="338">
        <f t="shared" si="3"/>
        <v>0</v>
      </c>
      <c r="M36" s="341" t="str">
        <f t="shared" si="5"/>
        <v>Dispersante de sólidos orgánicos e inorgánicos</v>
      </c>
    </row>
    <row r="37" spans="4:13">
      <c r="D37" s="4" t="s">
        <v>272</v>
      </c>
      <c r="E37" s="2">
        <f>SUMIFS('PUNTOS DE INYECCIÓN'!$E$4:$E$131,'PUNTOS DE INYECCIÓN'!$A$4:$A$131,'Consumos importantes'!E$2,'PUNTOS DE INYECCIÓN'!$C$4:$C$131,$D37)</f>
        <v>0</v>
      </c>
      <c r="F37" s="2">
        <f>SUMIFS('PUNTOS DE INYECCIÓN'!$E$4:$E$131,'PUNTOS DE INYECCIÓN'!$A$4:$A$131,'Consumos importantes'!F$2,'PUNTOS DE INYECCIÓN'!$C$4:$C$131,$D37)</f>
        <v>0</v>
      </c>
      <c r="G37" s="2">
        <f>SUMIFS('PUNTOS DE INYECCIÓN'!$E$4:$E$131,'PUNTOS DE INYECCIÓN'!$A$4:$A$131,'Consumos importantes'!G$2,'PUNTOS DE INYECCIÓN'!$C$4:$C$131,$D37)</f>
        <v>0</v>
      </c>
      <c r="H37" s="2">
        <f>SUMIFS('PUNTOS DE INYECCIÓN'!$E$4:$E$131,'PUNTOS DE INYECCIÓN'!$A$4:$A$131,'Consumos importantes'!H$2,'PUNTOS DE INYECCIÓN'!$C$4:$C$131,$D37)</f>
        <v>0</v>
      </c>
      <c r="I37" s="338">
        <f t="shared" si="0"/>
        <v>0</v>
      </c>
      <c r="J37" s="338">
        <f t="shared" si="1"/>
        <v>0</v>
      </c>
      <c r="K37" s="338">
        <f t="shared" si="2"/>
        <v>0</v>
      </c>
      <c r="L37" s="338">
        <f t="shared" si="3"/>
        <v>0</v>
      </c>
      <c r="M37" s="341" t="str">
        <f t="shared" si="5"/>
        <v>Estabilizador de Arcillas</v>
      </c>
    </row>
    <row r="38" spans="4:13">
      <c r="D38" s="4" t="s">
        <v>274</v>
      </c>
      <c r="E38" s="2">
        <f>SUMIFS('PUNTOS DE INYECCIÓN'!$E$4:$E$131,'PUNTOS DE INYECCIÓN'!$A$4:$A$131,'Consumos importantes'!E$2,'PUNTOS DE INYECCIÓN'!$C$4:$C$131,$D38)</f>
        <v>0</v>
      </c>
      <c r="F38" s="2">
        <f>SUMIFS('PUNTOS DE INYECCIÓN'!$E$4:$E$131,'PUNTOS DE INYECCIÓN'!$A$4:$A$131,'Consumos importantes'!F$2,'PUNTOS DE INYECCIÓN'!$C$4:$C$131,$D38)</f>
        <v>3533.7999999999997</v>
      </c>
      <c r="G38" s="2">
        <f>SUMIFS('PUNTOS DE INYECCIÓN'!$E$4:$E$131,'PUNTOS DE INYECCIÓN'!$A$4:$A$131,'Consumos importantes'!G$2,'PUNTOS DE INYECCIÓN'!$C$4:$C$131,$D38)</f>
        <v>0</v>
      </c>
      <c r="H38" s="2">
        <f>SUMIFS('PUNTOS DE INYECCIÓN'!$E$4:$E$131,'PUNTOS DE INYECCIÓN'!$A$4:$A$131,'Consumos importantes'!H$2,'PUNTOS DE INYECCIÓN'!$C$4:$C$131,$D38)</f>
        <v>0</v>
      </c>
      <c r="I38" s="338">
        <f t="shared" si="0"/>
        <v>0</v>
      </c>
      <c r="J38" s="338">
        <f t="shared" si="1"/>
        <v>3.0606845806819678E-2</v>
      </c>
      <c r="K38" s="338">
        <f t="shared" si="2"/>
        <v>0</v>
      </c>
      <c r="L38" s="338">
        <f t="shared" si="3"/>
        <v>0</v>
      </c>
      <c r="M38" s="341" t="str">
        <f t="shared" si="5"/>
        <v>FLOCULANTE</v>
      </c>
    </row>
    <row r="39" spans="4:13">
      <c r="D39" s="4" t="s">
        <v>277</v>
      </c>
      <c r="E39" s="2">
        <f>SUMIFS('PUNTOS DE INYECCIÓN'!$E$4:$E$131,'PUNTOS DE INYECCIÓN'!$A$4:$A$131,'Consumos importantes'!E$2,'PUNTOS DE INYECCIÓN'!$C$4:$C$131,$D39)</f>
        <v>0</v>
      </c>
      <c r="F39" s="2">
        <f>SUMIFS('PUNTOS DE INYECCIÓN'!$E$4:$E$131,'PUNTOS DE INYECCIÓN'!$A$4:$A$131,'Consumos importantes'!F$2,'PUNTOS DE INYECCIÓN'!$C$4:$C$131,$D39)</f>
        <v>4082.5600000000004</v>
      </c>
      <c r="G39" s="2">
        <f>SUMIFS('PUNTOS DE INYECCIÓN'!$E$4:$E$131,'PUNTOS DE INYECCIÓN'!$A$4:$A$131,'Consumos importantes'!G$2,'PUNTOS DE INYECCIÓN'!$C$4:$C$131,$D39)</f>
        <v>0</v>
      </c>
      <c r="H39" s="2">
        <f>SUMIFS('PUNTOS DE INYECCIÓN'!$E$4:$E$131,'PUNTOS DE INYECCIÓN'!$A$4:$A$131,'Consumos importantes'!H$2,'PUNTOS DE INYECCIÓN'!$C$4:$C$131,$D39)</f>
        <v>0</v>
      </c>
      <c r="I39" s="338">
        <f t="shared" si="0"/>
        <v>0</v>
      </c>
      <c r="J39" s="338">
        <f t="shared" si="1"/>
        <v>3.5359749962388866E-2</v>
      </c>
      <c r="K39" s="338">
        <f t="shared" si="2"/>
        <v>0</v>
      </c>
      <c r="L39" s="338">
        <f t="shared" si="3"/>
        <v>0</v>
      </c>
      <c r="M39" s="341" t="str">
        <f t="shared" si="5"/>
        <v>HUMECTANTE DE SOLIDOS</v>
      </c>
    </row>
    <row r="40" spans="4:13">
      <c r="D40" s="4" t="s">
        <v>280</v>
      </c>
      <c r="E40" s="2">
        <f>SUMIFS('PUNTOS DE INYECCIÓN'!$E$4:$E$131,'PUNTOS DE INYECCIÓN'!$A$4:$A$131,'Consumos importantes'!E$2,'PUNTOS DE INYECCIÓN'!$C$4:$C$131,$D40)</f>
        <v>0</v>
      </c>
      <c r="F40" s="2">
        <f>SUMIFS('PUNTOS DE INYECCIÓN'!$E$4:$E$131,'PUNTOS DE INYECCIÓN'!$A$4:$A$131,'Consumos importantes'!F$2,'PUNTOS DE INYECCIÓN'!$C$4:$C$131,$D40)</f>
        <v>1831</v>
      </c>
      <c r="G40" s="2">
        <f>SUMIFS('PUNTOS DE INYECCIÓN'!$E$4:$E$131,'PUNTOS DE INYECCIÓN'!$A$4:$A$131,'Consumos importantes'!G$2,'PUNTOS DE INYECCIÓN'!$C$4:$C$131,$D40)</f>
        <v>0</v>
      </c>
      <c r="H40" s="2">
        <f>SUMIFS('PUNTOS DE INYECCIÓN'!$E$4:$E$131,'PUNTOS DE INYECCIÓN'!$A$4:$A$131,'Consumos importantes'!H$2,'PUNTOS DE INYECCIÓN'!$C$4:$C$131,$D40)</f>
        <v>0</v>
      </c>
      <c r="I40" s="338">
        <f t="shared" si="0"/>
        <v>0</v>
      </c>
      <c r="J40" s="338">
        <f t="shared" si="1"/>
        <v>1.585860395955822E-2</v>
      </c>
      <c r="K40" s="338">
        <f t="shared" si="2"/>
        <v>0</v>
      </c>
      <c r="L40" s="338">
        <f t="shared" si="3"/>
        <v>0</v>
      </c>
      <c r="M40" s="341" t="str">
        <f t="shared" si="5"/>
        <v>Inh Incrustaciones</v>
      </c>
    </row>
    <row r="41" spans="4:13">
      <c r="D41" s="4" t="s">
        <v>285</v>
      </c>
      <c r="E41" s="2">
        <f>SUMIFS('PUNTOS DE INYECCIÓN'!$E$4:$E$131,'PUNTOS DE INYECCIÓN'!$A$4:$A$131,'Consumos importantes'!E$2,'PUNTOS DE INYECCIÓN'!$C$4:$C$131,$D41)</f>
        <v>0</v>
      </c>
      <c r="F41" s="2">
        <f>SUMIFS('PUNTOS DE INYECCIÓN'!$E$4:$E$131,'PUNTOS DE INYECCIÓN'!$A$4:$A$131,'Consumos importantes'!F$2,'PUNTOS DE INYECCIÓN'!$C$4:$C$131,$D41)</f>
        <v>0</v>
      </c>
      <c r="G41" s="2">
        <f>SUMIFS('PUNTOS DE INYECCIÓN'!$E$4:$E$131,'PUNTOS DE INYECCIÓN'!$A$4:$A$131,'Consumos importantes'!G$2,'PUNTOS DE INYECCIÓN'!$C$4:$C$131,$D41)</f>
        <v>0</v>
      </c>
      <c r="H41" s="2">
        <f>SUMIFS('PUNTOS DE INYECCIÓN'!$E$4:$E$131,'PUNTOS DE INYECCIÓN'!$A$4:$A$131,'Consumos importantes'!H$2,'PUNTOS DE INYECCIÓN'!$C$4:$C$131,$D41)</f>
        <v>0</v>
      </c>
      <c r="I41" s="338">
        <f t="shared" si="0"/>
        <v>0</v>
      </c>
      <c r="J41" s="338">
        <f t="shared" si="1"/>
        <v>0</v>
      </c>
      <c r="K41" s="338">
        <f t="shared" si="2"/>
        <v>0</v>
      </c>
      <c r="L41" s="338">
        <f t="shared" si="3"/>
        <v>0</v>
      </c>
      <c r="M41" s="341" t="str">
        <f t="shared" si="5"/>
        <v>INHIBIDOR DE PARAFINAS</v>
      </c>
    </row>
    <row r="42" spans="4:13">
      <c r="D42" s="4" t="s">
        <v>286</v>
      </c>
      <c r="E42" s="2">
        <f>SUMIFS('PUNTOS DE INYECCIÓN'!$E$4:$E$131,'PUNTOS DE INYECCIÓN'!$A$4:$A$131,'Consumos importantes'!E$2,'PUNTOS DE INYECCIÓN'!$C$4:$C$131,$D42)</f>
        <v>0</v>
      </c>
      <c r="F42" s="2">
        <f>SUMIFS('PUNTOS DE INYECCIÓN'!$E$4:$E$131,'PUNTOS DE INYECCIÓN'!$A$4:$A$131,'Consumos importantes'!F$2,'PUNTOS DE INYECCIÓN'!$C$4:$C$131,$D42)</f>
        <v>1824.08</v>
      </c>
      <c r="G42" s="2">
        <f>SUMIFS('PUNTOS DE INYECCIÓN'!$E$4:$E$131,'PUNTOS DE INYECCIÓN'!$A$4:$A$131,'Consumos importantes'!G$2,'PUNTOS DE INYECCIÓN'!$C$4:$C$131,$D42)</f>
        <v>0</v>
      </c>
      <c r="H42" s="2">
        <f>SUMIFS('PUNTOS DE INYECCIÓN'!$E$4:$E$131,'PUNTOS DE INYECCIÓN'!$A$4:$A$131,'Consumos importantes'!H$2,'PUNTOS DE INYECCIÓN'!$C$4:$C$131,$D42)</f>
        <v>0</v>
      </c>
      <c r="I42" s="338">
        <f t="shared" si="0"/>
        <v>0</v>
      </c>
      <c r="J42" s="338">
        <f t="shared" si="1"/>
        <v>1.5798668656772777E-2</v>
      </c>
      <c r="K42" s="338">
        <f t="shared" si="2"/>
        <v>0</v>
      </c>
      <c r="L42" s="338">
        <f t="shared" si="3"/>
        <v>0</v>
      </c>
      <c r="M42" s="341" t="str">
        <f t="shared" si="5"/>
        <v>INHIBIDOR DE PARAFINAS Y ASFALTENOS</v>
      </c>
    </row>
    <row r="43" spans="4:13">
      <c r="D43" s="4" t="s">
        <v>288</v>
      </c>
      <c r="E43" s="2">
        <f>SUMIFS('PUNTOS DE INYECCIÓN'!$E$4:$E$131,'PUNTOS DE INYECCIÓN'!$A$4:$A$131,'Consumos importantes'!E$2,'PUNTOS DE INYECCIÓN'!$C$4:$C$131,$D43)</f>
        <v>0</v>
      </c>
      <c r="F43" s="2">
        <f>SUMIFS('PUNTOS DE INYECCIÓN'!$E$4:$E$131,'PUNTOS DE INYECCIÓN'!$A$4:$A$131,'Consumos importantes'!F$2,'PUNTOS DE INYECCIÓN'!$C$4:$C$131,$D43)</f>
        <v>0</v>
      </c>
      <c r="G43" s="2">
        <f>SUMIFS('PUNTOS DE INYECCIÓN'!$E$4:$E$131,'PUNTOS DE INYECCIÓN'!$A$4:$A$131,'Consumos importantes'!G$2,'PUNTOS DE INYECCIÓN'!$C$4:$C$131,$D43)</f>
        <v>0</v>
      </c>
      <c r="H43" s="2">
        <f>SUMIFS('PUNTOS DE INYECCIÓN'!$E$4:$E$131,'PUNTOS DE INYECCIÓN'!$A$4:$A$131,'Consumos importantes'!H$2,'PUNTOS DE INYECCIÓN'!$C$4:$C$131,$D43)</f>
        <v>0</v>
      </c>
      <c r="I43" s="338">
        <f t="shared" si="0"/>
        <v>0</v>
      </c>
      <c r="J43" s="338">
        <f t="shared" si="1"/>
        <v>0</v>
      </c>
      <c r="K43" s="338">
        <f t="shared" si="2"/>
        <v>0</v>
      </c>
      <c r="L43" s="338">
        <f t="shared" si="3"/>
        <v>0</v>
      </c>
      <c r="M43" s="341" t="str">
        <f t="shared" si="5"/>
        <v>Odorizante</v>
      </c>
    </row>
    <row r="44" spans="4:13">
      <c r="D44" s="4" t="s">
        <v>289</v>
      </c>
      <c r="E44" s="2">
        <f>SUMIFS('PUNTOS DE INYECCIÓN'!$E$4:$E$131,'PUNTOS DE INYECCIÓN'!$A$4:$A$131,'Consumos importantes'!E$2,'PUNTOS DE INYECCIÓN'!$C$4:$C$131,$D44)</f>
        <v>0</v>
      </c>
      <c r="F44" s="2">
        <f>SUMIFS('PUNTOS DE INYECCIÓN'!$E$4:$E$131,'PUNTOS DE INYECCIÓN'!$A$4:$A$131,'Consumos importantes'!F$2,'PUNTOS DE INYECCIÓN'!$C$4:$C$131,$D44)</f>
        <v>3379.06</v>
      </c>
      <c r="G44" s="2">
        <f>SUMIFS('PUNTOS DE INYECCIÓN'!$E$4:$E$131,'PUNTOS DE INYECCIÓN'!$A$4:$A$131,'Consumos importantes'!G$2,'PUNTOS DE INYECCIÓN'!$C$4:$C$131,$D44)</f>
        <v>0</v>
      </c>
      <c r="H44" s="2">
        <f>SUMIFS('PUNTOS DE INYECCIÓN'!$E$4:$E$131,'PUNTOS DE INYECCIÓN'!$A$4:$A$131,'Consumos importantes'!H$2,'PUNTOS DE INYECCIÓN'!$C$4:$C$131,$D44)</f>
        <v>0</v>
      </c>
      <c r="I44" s="338">
        <f t="shared" si="0"/>
        <v>0</v>
      </c>
      <c r="J44" s="338">
        <f t="shared" si="1"/>
        <v>2.9266616218233094E-2</v>
      </c>
      <c r="K44" s="338">
        <f t="shared" si="2"/>
        <v>0</v>
      </c>
      <c r="L44" s="338">
        <f t="shared" si="3"/>
        <v>0</v>
      </c>
      <c r="M44" s="341" t="str">
        <f t="shared" si="5"/>
        <v>REDUCTOR DE FRICCIÓN</v>
      </c>
    </row>
    <row r="45" spans="4:13">
      <c r="D45" s="4" t="s">
        <v>291</v>
      </c>
      <c r="E45" s="2">
        <f>SUMIFS('PUNTOS DE INYECCIÓN'!$E$4:$E$131,'PUNTOS DE INYECCIÓN'!$A$4:$A$131,'Consumos importantes'!E$2,'PUNTOS DE INYECCIÓN'!$C$4:$C$131,$D45)</f>
        <v>0</v>
      </c>
      <c r="F45" s="2">
        <f>SUMIFS('PUNTOS DE INYECCIÓN'!$E$4:$E$131,'PUNTOS DE INYECCIÓN'!$A$4:$A$131,'Consumos importantes'!F$2,'PUNTOS DE INYECCIÓN'!$C$4:$C$131,$D45)</f>
        <v>514</v>
      </c>
      <c r="G45" s="2">
        <f>SUMIFS('PUNTOS DE INYECCIÓN'!$E$4:$E$131,'PUNTOS DE INYECCIÓN'!$A$4:$A$131,'Consumos importantes'!G$2,'PUNTOS DE INYECCIÓN'!$C$4:$C$131,$D45)</f>
        <v>0</v>
      </c>
      <c r="H45" s="2">
        <f>SUMIFS('PUNTOS DE INYECCIÓN'!$E$4:$E$131,'PUNTOS DE INYECCIÓN'!$A$4:$A$131,'Consumos importantes'!H$2,'PUNTOS DE INYECCIÓN'!$C$4:$C$131,$D45)</f>
        <v>0</v>
      </c>
      <c r="I45" s="338">
        <f t="shared" si="0"/>
        <v>0</v>
      </c>
      <c r="J45" s="338">
        <f t="shared" si="1"/>
        <v>4.4518418542943338E-3</v>
      </c>
      <c r="K45" s="338">
        <f t="shared" si="2"/>
        <v>0</v>
      </c>
      <c r="L45" s="338">
        <f t="shared" si="3"/>
        <v>0</v>
      </c>
      <c r="M45" s="341" t="str">
        <f t="shared" si="5"/>
        <v>REDUCTOR DE VISCOSIDAD</v>
      </c>
    </row>
    <row r="46" spans="4:13">
      <c r="D46" s="4" t="s">
        <v>293</v>
      </c>
      <c r="E46" s="2">
        <f>SUMIFS('PUNTOS DE INYECCIÓN'!$E$4:$E$131,'PUNTOS DE INYECCIÓN'!$A$4:$A$131,'Consumos importantes'!E$2,'PUNTOS DE INYECCIÓN'!$C$4:$C$131,$D46)</f>
        <v>0</v>
      </c>
      <c r="F46" s="2">
        <f>SUMIFS('PUNTOS DE INYECCIÓN'!$E$4:$E$131,'PUNTOS DE INYECCIÓN'!$A$4:$A$131,'Consumos importantes'!F$2,'PUNTOS DE INYECCIÓN'!$C$4:$C$131,$D46)</f>
        <v>0</v>
      </c>
      <c r="G46" s="2">
        <f>SUMIFS('PUNTOS DE INYECCIÓN'!$E$4:$E$131,'PUNTOS DE INYECCIÓN'!$A$4:$A$131,'Consumos importantes'!G$2,'PUNTOS DE INYECCIÓN'!$C$4:$C$131,$D46)</f>
        <v>0</v>
      </c>
      <c r="H46" s="2">
        <f>SUMIFS('PUNTOS DE INYECCIÓN'!$E$4:$E$131,'PUNTOS DE INYECCIÓN'!$A$4:$A$131,'Consumos importantes'!H$2,'PUNTOS DE INYECCIÓN'!$C$4:$C$131,$D46)</f>
        <v>0</v>
      </c>
      <c r="I46" s="338">
        <f t="shared" si="0"/>
        <v>0</v>
      </c>
      <c r="J46" s="338">
        <f t="shared" si="1"/>
        <v>0</v>
      </c>
      <c r="K46" s="338">
        <f t="shared" si="2"/>
        <v>0</v>
      </c>
      <c r="L46" s="338">
        <f t="shared" si="3"/>
        <v>0</v>
      </c>
      <c r="M46" s="341" t="str">
        <f t="shared" si="5"/>
        <v>Removedor Incrustaciones</v>
      </c>
    </row>
    <row r="47" spans="4:13">
      <c r="D47" s="4" t="s">
        <v>295</v>
      </c>
      <c r="E47" s="2">
        <f>SUMIFS('PUNTOS DE INYECCIÓN'!$E$4:$E$131,'PUNTOS DE INYECCIÓN'!$A$4:$A$131,'Consumos importantes'!E$2,'PUNTOS DE INYECCIÓN'!$C$4:$C$131,$D47)</f>
        <v>0</v>
      </c>
      <c r="F47" s="2">
        <f>SUMIFS('PUNTOS DE INYECCIÓN'!$E$4:$E$131,'PUNTOS DE INYECCIÓN'!$A$4:$A$131,'Consumos importantes'!F$2,'PUNTOS DE INYECCIÓN'!$C$4:$C$131,$D47)</f>
        <v>3030.7999999999997</v>
      </c>
      <c r="G47" s="2">
        <f>SUMIFS('PUNTOS DE INYECCIÓN'!$E$4:$E$131,'PUNTOS DE INYECCIÓN'!$A$4:$A$131,'Consumos importantes'!G$2,'PUNTOS DE INYECCIÓN'!$C$4:$C$131,$D47)</f>
        <v>0</v>
      </c>
      <c r="H47" s="2">
        <f>SUMIFS('PUNTOS DE INYECCIÓN'!$E$4:$E$131,'PUNTOS DE INYECCIÓN'!$A$4:$A$131,'Consumos importantes'!H$2,'PUNTOS DE INYECCIÓN'!$C$4:$C$131,$D47)</f>
        <v>0</v>
      </c>
      <c r="I47" s="338">
        <f t="shared" si="0"/>
        <v>0</v>
      </c>
      <c r="J47" s="338">
        <f t="shared" si="1"/>
        <v>2.6250276832675612E-2</v>
      </c>
      <c r="K47" s="338">
        <f t="shared" si="2"/>
        <v>0</v>
      </c>
      <c r="L47" s="338">
        <f t="shared" si="3"/>
        <v>0</v>
      </c>
      <c r="M47" s="341" t="str">
        <f t="shared" si="5"/>
        <v>Ruptor total</v>
      </c>
    </row>
    <row r="48" spans="4:13">
      <c r="D48" s="4" t="s">
        <v>297</v>
      </c>
      <c r="E48" s="2">
        <f>SUMIFS('PUNTOS DE INYECCIÓN'!$E$4:$E$131,'PUNTOS DE INYECCIÓN'!$A$4:$A$131,'Consumos importantes'!E$2,'PUNTOS DE INYECCIÓN'!$C$4:$C$131,$D48)</f>
        <v>0</v>
      </c>
      <c r="F48" s="2">
        <f>SUMIFS('PUNTOS DE INYECCIÓN'!$E$4:$E$131,'PUNTOS DE INYECCIÓN'!$A$4:$A$131,'Consumos importantes'!F$2,'PUNTOS DE INYECCIÓN'!$C$4:$C$131,$D48)</f>
        <v>589</v>
      </c>
      <c r="G48" s="2">
        <f>SUMIFS('PUNTOS DE INYECCIÓN'!$E$4:$E$131,'PUNTOS DE INYECCIÓN'!$A$4:$A$131,'Consumos importantes'!G$2,'PUNTOS DE INYECCIÓN'!$C$4:$C$131,$D48)</f>
        <v>0</v>
      </c>
      <c r="H48" s="2">
        <f>SUMIFS('PUNTOS DE INYECCIÓN'!$E$4:$E$131,'PUNTOS DE INYECCIÓN'!$A$4:$A$131,'Consumos importantes'!H$2,'PUNTOS DE INYECCIÓN'!$C$4:$C$131,$D48)</f>
        <v>0</v>
      </c>
      <c r="I48" s="338">
        <f t="shared" si="0"/>
        <v>0</v>
      </c>
      <c r="J48" s="338">
        <f t="shared" si="1"/>
        <v>5.1014296735007051E-3</v>
      </c>
      <c r="K48" s="338">
        <f t="shared" si="2"/>
        <v>0</v>
      </c>
      <c r="L48" s="338">
        <f t="shared" si="3"/>
        <v>0</v>
      </c>
      <c r="M48" s="341" t="str">
        <f t="shared" si="5"/>
        <v>Sec Sulfhídrico</v>
      </c>
    </row>
    <row r="49" spans="4:13">
      <c r="D49" s="4" t="s">
        <v>299</v>
      </c>
      <c r="E49" s="2">
        <f>SUMIFS('PUNTOS DE INYECCIÓN'!$E$4:$E$131,'PUNTOS DE INYECCIÓN'!$A$4:$A$131,'Consumos importantes'!E$2,'PUNTOS DE INYECCIÓN'!$C$4:$C$131,$D49)</f>
        <v>0</v>
      </c>
      <c r="F49" s="2">
        <f>SUMIFS('PUNTOS DE INYECCIÓN'!$E$4:$E$131,'PUNTOS DE INYECCIÓN'!$A$4:$A$131,'Consumos importantes'!F$2,'PUNTOS DE INYECCIÓN'!$C$4:$C$131,$D49)</f>
        <v>89</v>
      </c>
      <c r="G49" s="2">
        <f>SUMIFS('PUNTOS DE INYECCIÓN'!$E$4:$E$131,'PUNTOS DE INYECCIÓN'!$A$4:$A$131,'Consumos importantes'!G$2,'PUNTOS DE INYECCIÓN'!$C$4:$C$131,$D49)</f>
        <v>0</v>
      </c>
      <c r="H49" s="2">
        <f>SUMIFS('PUNTOS DE INYECCIÓN'!$E$4:$E$131,'PUNTOS DE INYECCIÓN'!$A$4:$A$131,'Consumos importantes'!H$2,'PUNTOS DE INYECCIÓN'!$C$4:$C$131,$D49)</f>
        <v>0</v>
      </c>
      <c r="I49" s="338">
        <f t="shared" si="0"/>
        <v>0</v>
      </c>
      <c r="J49" s="338">
        <f t="shared" si="1"/>
        <v>7.7084421212489428E-4</v>
      </c>
      <c r="K49" s="338">
        <f t="shared" si="2"/>
        <v>0</v>
      </c>
      <c r="L49" s="338">
        <f t="shared" si="3"/>
        <v>0</v>
      </c>
      <c r="M49" s="341" t="str">
        <f t="shared" si="5"/>
        <v>Sec. Oxígeno</v>
      </c>
    </row>
    <row r="50" spans="4:13">
      <c r="D50" s="4" t="s">
        <v>300</v>
      </c>
      <c r="E50" s="2">
        <f>SUMIFS('PUNTOS DE INYECCIÓN'!$E$4:$E$131,'PUNTOS DE INYECCIÓN'!$A$4:$A$131,'Consumos importantes'!E$2,'PUNTOS DE INYECCIÓN'!$C$4:$C$131,$D50)</f>
        <v>0</v>
      </c>
      <c r="F50" s="2">
        <f>SUMIFS('PUNTOS DE INYECCIÓN'!$E$4:$E$131,'PUNTOS DE INYECCIÓN'!$A$4:$A$131,'Consumos importantes'!F$2,'PUNTOS DE INYECCIÓN'!$C$4:$C$131,$D50)</f>
        <v>169.1</v>
      </c>
      <c r="G50" s="2">
        <f>SUMIFS('PUNTOS DE INYECCIÓN'!$E$4:$E$131,'PUNTOS DE INYECCIÓN'!$A$4:$A$131,'Consumos importantes'!G$2,'PUNTOS DE INYECCIÓN'!$C$4:$C$131,$D50)</f>
        <v>0</v>
      </c>
      <c r="H50" s="2">
        <f>SUMIFS('PUNTOS DE INYECCIÓN'!$E$4:$E$131,'PUNTOS DE INYECCIÓN'!$A$4:$A$131,'Consumos importantes'!H$2,'PUNTOS DE INYECCIÓN'!$C$4:$C$131,$D50)</f>
        <v>0</v>
      </c>
      <c r="I50" s="338">
        <f t="shared" si="0"/>
        <v>0</v>
      </c>
      <c r="J50" s="338">
        <f t="shared" si="1"/>
        <v>1.4646040030372991E-3</v>
      </c>
      <c r="K50" s="338">
        <f t="shared" si="2"/>
        <v>0</v>
      </c>
      <c r="L50" s="338">
        <f t="shared" si="3"/>
        <v>0</v>
      </c>
      <c r="M50" s="341" t="str">
        <f t="shared" si="5"/>
        <v>SECUESTRANTE DE OXIGENO</v>
      </c>
    </row>
    <row r="51" spans="4:13">
      <c r="E51">
        <f>+SUM(E3:E50)</f>
        <v>111282</v>
      </c>
      <c r="F51">
        <f>+SUM(F3:F50)</f>
        <v>115457.83000000002</v>
      </c>
      <c r="G51">
        <f>+SUM(G3:G50)</f>
        <v>61180</v>
      </c>
      <c r="H51">
        <f>+SUM(H3:H50)</f>
        <v>68935</v>
      </c>
    </row>
  </sheetData>
  <mergeCells count="4">
    <mergeCell ref="O2:P2"/>
    <mergeCell ref="R2:S2"/>
    <mergeCell ref="O12:P12"/>
    <mergeCell ref="R12:S1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DB66D-F3B3-46AF-9A37-1C5B71003092}">
  <dimension ref="A1:S122"/>
  <sheetViews>
    <sheetView workbookViewId="0">
      <selection activeCell="P112" sqref="P112"/>
    </sheetView>
  </sheetViews>
  <sheetFormatPr baseColWidth="10" defaultColWidth="9.140625" defaultRowHeight="15"/>
  <cols>
    <col min="1" max="1" width="38.28515625" customWidth="1"/>
    <col min="7" max="7" width="4" customWidth="1"/>
    <col min="8" max="8" width="16.7109375" customWidth="1"/>
  </cols>
  <sheetData>
    <row r="1" spans="1:19" ht="64.5">
      <c r="A1" s="252" t="s">
        <v>150</v>
      </c>
      <c r="B1" s="252" t="s">
        <v>151</v>
      </c>
      <c r="C1" s="252" t="s">
        <v>152</v>
      </c>
      <c r="D1" s="252" t="s">
        <v>153</v>
      </c>
      <c r="E1" s="252" t="s">
        <v>154</v>
      </c>
      <c r="F1" s="253" t="s">
        <v>155</v>
      </c>
      <c r="G1" s="254" t="s">
        <v>307</v>
      </c>
      <c r="H1" s="255" t="s">
        <v>156</v>
      </c>
      <c r="I1" s="256" t="s">
        <v>157</v>
      </c>
      <c r="J1" s="256" t="s">
        <v>158</v>
      </c>
      <c r="K1" s="256" t="s">
        <v>159</v>
      </c>
      <c r="L1" s="257" t="s">
        <v>160</v>
      </c>
      <c r="M1" s="258" t="s">
        <v>307</v>
      </c>
      <c r="N1" s="259" t="s">
        <v>161</v>
      </c>
      <c r="O1" s="260" t="s">
        <v>162</v>
      </c>
      <c r="P1" s="259" t="s">
        <v>163</v>
      </c>
      <c r="Q1" s="261" t="s">
        <v>160</v>
      </c>
      <c r="R1" s="262" t="s">
        <v>164</v>
      </c>
      <c r="S1" s="263"/>
    </row>
    <row r="2" spans="1:19">
      <c r="A2" s="264" t="s">
        <v>97</v>
      </c>
      <c r="B2" s="264">
        <v>94609.25</v>
      </c>
      <c r="C2" s="265">
        <v>111305</v>
      </c>
      <c r="D2" s="265">
        <v>540</v>
      </c>
      <c r="E2" s="265">
        <v>178</v>
      </c>
      <c r="F2" s="265" t="s">
        <v>307</v>
      </c>
      <c r="G2" s="266" t="s">
        <v>307</v>
      </c>
      <c r="H2" s="325" t="s">
        <v>97</v>
      </c>
      <c r="I2" s="326"/>
      <c r="J2" s="326"/>
      <c r="K2" s="326"/>
      <c r="L2" s="326"/>
      <c r="M2" s="326"/>
      <c r="N2" s="326"/>
      <c r="O2" s="326"/>
      <c r="P2" s="326"/>
      <c r="Q2" s="326"/>
      <c r="R2" s="326"/>
      <c r="S2" s="263"/>
    </row>
    <row r="3" spans="1:19" hidden="1">
      <c r="A3" s="267" t="s">
        <v>166</v>
      </c>
      <c r="B3" s="267">
        <v>9350</v>
      </c>
      <c r="C3" s="267">
        <v>11000</v>
      </c>
      <c r="D3" s="267">
        <v>98</v>
      </c>
      <c r="E3" s="267">
        <v>54</v>
      </c>
      <c r="F3" s="267"/>
      <c r="G3" s="266" t="s">
        <v>307</v>
      </c>
      <c r="H3" s="268" t="s">
        <v>167</v>
      </c>
      <c r="I3" s="269" t="s">
        <v>168</v>
      </c>
      <c r="J3" s="269" t="s">
        <v>307</v>
      </c>
      <c r="K3" s="269">
        <v>8.08</v>
      </c>
      <c r="L3" s="269" t="s">
        <v>308</v>
      </c>
      <c r="M3" s="266" t="s">
        <v>307</v>
      </c>
      <c r="N3" s="270" t="s">
        <v>169</v>
      </c>
      <c r="O3" s="271">
        <v>4.72</v>
      </c>
      <c r="P3" s="270">
        <v>3.54</v>
      </c>
      <c r="Q3" s="272" t="s">
        <v>309</v>
      </c>
      <c r="R3" s="274">
        <v>-0.1</v>
      </c>
      <c r="S3" s="263"/>
    </row>
    <row r="4" spans="1:19" hidden="1">
      <c r="A4" s="275" t="s">
        <v>166</v>
      </c>
      <c r="B4" s="275">
        <v>5100</v>
      </c>
      <c r="C4" s="275">
        <v>6000</v>
      </c>
      <c r="D4" s="275" t="s">
        <v>307</v>
      </c>
      <c r="E4" s="275" t="s">
        <v>307</v>
      </c>
      <c r="F4" s="275" t="s">
        <v>307</v>
      </c>
      <c r="G4" s="266" t="s">
        <v>307</v>
      </c>
      <c r="H4" s="276" t="s">
        <v>171</v>
      </c>
      <c r="I4" s="277" t="s">
        <v>172</v>
      </c>
      <c r="J4" s="277" t="s">
        <v>307</v>
      </c>
      <c r="K4" s="277">
        <v>9.4700000000000006</v>
      </c>
      <c r="L4" s="278" t="s">
        <v>310</v>
      </c>
      <c r="M4" s="266" t="s">
        <v>307</v>
      </c>
      <c r="N4" s="276" t="s">
        <v>307</v>
      </c>
      <c r="O4" s="277" t="s">
        <v>307</v>
      </c>
      <c r="P4" s="277" t="s">
        <v>307</v>
      </c>
      <c r="Q4" s="277" t="s">
        <v>311</v>
      </c>
      <c r="R4" s="277" t="s">
        <v>307</v>
      </c>
      <c r="S4" s="263"/>
    </row>
    <row r="5" spans="1:19" hidden="1">
      <c r="A5" s="267" t="s">
        <v>173</v>
      </c>
      <c r="B5" s="267">
        <v>1309</v>
      </c>
      <c r="C5" s="267">
        <v>1540</v>
      </c>
      <c r="D5" s="267"/>
      <c r="E5" s="267">
        <v>6</v>
      </c>
      <c r="F5" s="267"/>
      <c r="G5" s="266" t="s">
        <v>307</v>
      </c>
      <c r="H5" s="279" t="s">
        <v>44</v>
      </c>
      <c r="I5" s="280" t="s">
        <v>168</v>
      </c>
      <c r="J5" s="280" t="s">
        <v>307</v>
      </c>
      <c r="K5" s="280">
        <v>10.11</v>
      </c>
      <c r="L5" s="278" t="s">
        <v>312</v>
      </c>
      <c r="M5" s="266" t="s">
        <v>307</v>
      </c>
      <c r="N5" s="279" t="s">
        <v>174</v>
      </c>
      <c r="O5" s="281">
        <v>4.57</v>
      </c>
      <c r="P5" s="282">
        <v>2.98</v>
      </c>
      <c r="Q5" s="283" t="s">
        <v>313</v>
      </c>
      <c r="R5" s="284">
        <v>-0.55000000000000004</v>
      </c>
      <c r="S5" s="263"/>
    </row>
    <row r="6" spans="1:19">
      <c r="A6" s="275" t="s">
        <v>175</v>
      </c>
      <c r="B6" s="275">
        <v>93.5</v>
      </c>
      <c r="C6" s="275">
        <v>110</v>
      </c>
      <c r="D6" s="275" t="s">
        <v>307</v>
      </c>
      <c r="E6" s="275">
        <v>2</v>
      </c>
      <c r="F6" s="275" t="s">
        <v>307</v>
      </c>
      <c r="G6" s="266" t="s">
        <v>307</v>
      </c>
      <c r="H6" s="276" t="s">
        <v>176</v>
      </c>
      <c r="I6" s="277" t="s">
        <v>172</v>
      </c>
      <c r="J6" s="277" t="s">
        <v>307</v>
      </c>
      <c r="K6" s="285">
        <v>4.5</v>
      </c>
      <c r="L6" s="278" t="s">
        <v>314</v>
      </c>
      <c r="M6" s="266" t="s">
        <v>307</v>
      </c>
      <c r="N6" s="276" t="s">
        <v>177</v>
      </c>
      <c r="O6" s="277">
        <v>3.25</v>
      </c>
      <c r="P6" s="277">
        <v>2.3434332649999998</v>
      </c>
      <c r="Q6" s="283" t="s">
        <v>315</v>
      </c>
      <c r="R6" s="284">
        <v>-0.28000000000000003</v>
      </c>
      <c r="S6" s="263"/>
    </row>
    <row r="7" spans="1:19" hidden="1">
      <c r="A7" s="267" t="s">
        <v>178</v>
      </c>
      <c r="B7" s="267">
        <v>2618</v>
      </c>
      <c r="C7" s="267">
        <v>3080</v>
      </c>
      <c r="D7" s="267"/>
      <c r="E7" s="267">
        <v>4</v>
      </c>
      <c r="F7" s="267"/>
      <c r="G7" s="266" t="s">
        <v>307</v>
      </c>
      <c r="H7" s="279" t="s">
        <v>52</v>
      </c>
      <c r="I7" s="280" t="s">
        <v>168</v>
      </c>
      <c r="J7" s="280" t="s">
        <v>307</v>
      </c>
      <c r="K7" s="280">
        <v>5.12</v>
      </c>
      <c r="L7" s="278" t="s">
        <v>316</v>
      </c>
      <c r="M7" s="266" t="s">
        <v>307</v>
      </c>
      <c r="N7" s="279" t="s">
        <v>179</v>
      </c>
      <c r="O7" s="281">
        <v>2.74</v>
      </c>
      <c r="P7" s="282">
        <v>1.5</v>
      </c>
      <c r="Q7" s="283" t="s">
        <v>317</v>
      </c>
      <c r="R7" s="284">
        <v>-0.46</v>
      </c>
      <c r="S7" s="263"/>
    </row>
    <row r="8" spans="1:19">
      <c r="A8" s="275" t="s">
        <v>180</v>
      </c>
      <c r="B8" s="275">
        <v>14489.1</v>
      </c>
      <c r="C8" s="275">
        <v>17046</v>
      </c>
      <c r="D8" s="275">
        <v>59</v>
      </c>
      <c r="E8" s="275">
        <v>22</v>
      </c>
      <c r="F8" s="275" t="s">
        <v>307</v>
      </c>
      <c r="G8" s="266" t="s">
        <v>307</v>
      </c>
      <c r="H8" s="276" t="s">
        <v>181</v>
      </c>
      <c r="I8" s="277" t="s">
        <v>172</v>
      </c>
      <c r="J8" s="277" t="s">
        <v>307</v>
      </c>
      <c r="K8" s="285">
        <v>4.5</v>
      </c>
      <c r="L8" s="278" t="s">
        <v>318</v>
      </c>
      <c r="M8" s="266" t="s">
        <v>307</v>
      </c>
      <c r="N8" s="276" t="s">
        <v>182</v>
      </c>
      <c r="O8" s="277">
        <v>6.82</v>
      </c>
      <c r="P8" s="277">
        <v>4.03</v>
      </c>
      <c r="Q8" s="283" t="s">
        <v>319</v>
      </c>
      <c r="R8" s="286">
        <v>0.52</v>
      </c>
      <c r="S8" s="263"/>
    </row>
    <row r="9" spans="1:19" hidden="1">
      <c r="A9" s="267" t="s">
        <v>185</v>
      </c>
      <c r="B9" s="267">
        <v>0</v>
      </c>
      <c r="C9" s="267">
        <v>0</v>
      </c>
      <c r="D9" s="267"/>
      <c r="E9" s="267"/>
      <c r="F9" s="267"/>
      <c r="G9" s="266" t="s">
        <v>307</v>
      </c>
      <c r="H9" s="279" t="s">
        <v>186</v>
      </c>
      <c r="I9" s="280" t="s">
        <v>168</v>
      </c>
      <c r="J9" s="280" t="s">
        <v>307</v>
      </c>
      <c r="K9" s="280">
        <v>4.71</v>
      </c>
      <c r="L9" s="278" t="s">
        <v>320</v>
      </c>
      <c r="M9" s="266" t="s">
        <v>307</v>
      </c>
      <c r="N9" s="279" t="s">
        <v>307</v>
      </c>
      <c r="O9" s="281" t="s">
        <v>307</v>
      </c>
      <c r="P9" s="282" t="s">
        <v>307</v>
      </c>
      <c r="Q9" s="283" t="s">
        <v>320</v>
      </c>
      <c r="R9" s="277" t="s">
        <v>307</v>
      </c>
      <c r="S9" s="263"/>
    </row>
    <row r="10" spans="1:19" hidden="1">
      <c r="A10" s="275" t="s">
        <v>187</v>
      </c>
      <c r="B10" s="275">
        <v>0</v>
      </c>
      <c r="C10" s="275">
        <v>0</v>
      </c>
      <c r="D10" s="275" t="s">
        <v>307</v>
      </c>
      <c r="E10" s="275">
        <v>2</v>
      </c>
      <c r="F10" s="275" t="s">
        <v>307</v>
      </c>
      <c r="G10" s="266" t="s">
        <v>307</v>
      </c>
      <c r="H10" s="276" t="s">
        <v>307</v>
      </c>
      <c r="I10" s="277" t="s">
        <v>307</v>
      </c>
      <c r="J10" s="277" t="s">
        <v>307</v>
      </c>
      <c r="K10" s="277" t="s">
        <v>307</v>
      </c>
      <c r="L10" s="278" t="s">
        <v>320</v>
      </c>
      <c r="M10" s="266" t="s">
        <v>307</v>
      </c>
      <c r="N10" s="276" t="s">
        <v>188</v>
      </c>
      <c r="O10" s="277">
        <v>1.51</v>
      </c>
      <c r="P10" s="277">
        <v>0.96794871800000004</v>
      </c>
      <c r="Q10" s="283" t="s">
        <v>320</v>
      </c>
      <c r="R10" s="277" t="s">
        <v>307</v>
      </c>
      <c r="S10" s="263"/>
    </row>
    <row r="11" spans="1:19">
      <c r="A11" s="267" t="s">
        <v>190</v>
      </c>
      <c r="B11" s="267">
        <v>603.5</v>
      </c>
      <c r="C11" s="267">
        <v>710</v>
      </c>
      <c r="D11" s="267">
        <v>1</v>
      </c>
      <c r="E11" s="267">
        <v>2</v>
      </c>
      <c r="F11" s="267" t="s">
        <v>191</v>
      </c>
      <c r="G11" s="266" t="s">
        <v>307</v>
      </c>
      <c r="H11" s="279" t="s">
        <v>192</v>
      </c>
      <c r="I11" s="280" t="s">
        <v>168</v>
      </c>
      <c r="J11" s="280" t="s">
        <v>307</v>
      </c>
      <c r="K11" s="285">
        <v>3</v>
      </c>
      <c r="L11" s="278" t="s">
        <v>321</v>
      </c>
      <c r="M11" s="266" t="s">
        <v>307</v>
      </c>
      <c r="N11" s="279" t="s">
        <v>191</v>
      </c>
      <c r="O11" s="281">
        <v>4.3899999999999997</v>
      </c>
      <c r="P11" s="282">
        <v>3.78</v>
      </c>
      <c r="Q11" s="283" t="s">
        <v>322</v>
      </c>
      <c r="R11" s="286">
        <v>0.46</v>
      </c>
      <c r="S11" s="263"/>
    </row>
    <row r="12" spans="1:19">
      <c r="A12" s="275" t="s">
        <v>193</v>
      </c>
      <c r="B12" s="275">
        <v>382.5</v>
      </c>
      <c r="C12" s="275">
        <v>450</v>
      </c>
      <c r="D12" s="275" t="s">
        <v>307</v>
      </c>
      <c r="E12" s="275">
        <v>4</v>
      </c>
      <c r="F12" s="275" t="s">
        <v>307</v>
      </c>
      <c r="G12" s="266" t="s">
        <v>307</v>
      </c>
      <c r="H12" s="276" t="s">
        <v>192</v>
      </c>
      <c r="I12" s="277" t="s">
        <v>168</v>
      </c>
      <c r="J12" s="277" t="s">
        <v>307</v>
      </c>
      <c r="K12" s="285">
        <v>3</v>
      </c>
      <c r="L12" s="278" t="s">
        <v>323</v>
      </c>
      <c r="M12" s="266" t="s">
        <v>307</v>
      </c>
      <c r="N12" s="276" t="s">
        <v>194</v>
      </c>
      <c r="O12" s="277">
        <v>5.07</v>
      </c>
      <c r="P12" s="277">
        <v>2.670088153</v>
      </c>
      <c r="Q12" s="283" t="s">
        <v>324</v>
      </c>
      <c r="R12" s="286">
        <v>0.69</v>
      </c>
      <c r="S12" s="263"/>
    </row>
    <row r="13" spans="1:19">
      <c r="A13" s="267" t="s">
        <v>195</v>
      </c>
      <c r="B13" s="267">
        <v>3792.7</v>
      </c>
      <c r="C13" s="267">
        <v>4462</v>
      </c>
      <c r="D13" s="267">
        <v>40</v>
      </c>
      <c r="E13" s="267">
        <v>14</v>
      </c>
      <c r="F13" s="267"/>
      <c r="G13" s="266" t="s">
        <v>307</v>
      </c>
      <c r="H13" s="279" t="s">
        <v>196</v>
      </c>
      <c r="I13" s="280" t="s">
        <v>172</v>
      </c>
      <c r="J13" s="280" t="s">
        <v>307</v>
      </c>
      <c r="K13" s="285">
        <v>4.5</v>
      </c>
      <c r="L13" s="278" t="s">
        <v>325</v>
      </c>
      <c r="M13" s="266" t="s">
        <v>307</v>
      </c>
      <c r="N13" s="279" t="s">
        <v>197</v>
      </c>
      <c r="O13" s="281">
        <v>7.32</v>
      </c>
      <c r="P13" s="287" t="s">
        <v>307</v>
      </c>
      <c r="Q13" s="283" t="s">
        <v>326</v>
      </c>
      <c r="R13" s="286">
        <v>0.63</v>
      </c>
      <c r="S13" s="263"/>
    </row>
    <row r="14" spans="1:19" hidden="1">
      <c r="A14" s="275" t="s">
        <v>198</v>
      </c>
      <c r="B14" s="275">
        <v>0</v>
      </c>
      <c r="C14" s="275">
        <v>0</v>
      </c>
      <c r="D14" s="275" t="s">
        <v>307</v>
      </c>
      <c r="E14" s="275" t="s">
        <v>307</v>
      </c>
      <c r="F14" s="275" t="s">
        <v>307</v>
      </c>
      <c r="G14" s="266" t="s">
        <v>307</v>
      </c>
      <c r="H14" s="276" t="s">
        <v>307</v>
      </c>
      <c r="I14" s="277" t="s">
        <v>307</v>
      </c>
      <c r="J14" s="277" t="s">
        <v>307</v>
      </c>
      <c r="K14" s="277" t="s">
        <v>307</v>
      </c>
      <c r="L14" s="278" t="s">
        <v>320</v>
      </c>
      <c r="M14" s="266" t="s">
        <v>307</v>
      </c>
      <c r="N14" s="276" t="s">
        <v>170</v>
      </c>
      <c r="O14" s="277">
        <v>3.89</v>
      </c>
      <c r="P14" s="277">
        <v>3.1358174609999998</v>
      </c>
      <c r="Q14" s="283" t="s">
        <v>320</v>
      </c>
      <c r="R14" s="277" t="s">
        <v>307</v>
      </c>
      <c r="S14" s="263"/>
    </row>
    <row r="15" spans="1:19" hidden="1">
      <c r="A15" s="267" t="s">
        <v>200</v>
      </c>
      <c r="B15" s="267">
        <v>118.15</v>
      </c>
      <c r="C15" s="267">
        <v>139</v>
      </c>
      <c r="D15" s="267"/>
      <c r="E15" s="267">
        <v>1</v>
      </c>
      <c r="F15" s="267"/>
      <c r="G15" s="266" t="s">
        <v>307</v>
      </c>
      <c r="H15" s="279" t="s">
        <v>32</v>
      </c>
      <c r="I15" s="280" t="s">
        <v>168</v>
      </c>
      <c r="J15" s="280" t="s">
        <v>307</v>
      </c>
      <c r="K15" s="280">
        <v>7.84</v>
      </c>
      <c r="L15" s="278" t="s">
        <v>327</v>
      </c>
      <c r="M15" s="266" t="s">
        <v>307</v>
      </c>
      <c r="N15" s="279" t="s">
        <v>201</v>
      </c>
      <c r="O15" s="281">
        <v>3.48</v>
      </c>
      <c r="P15" s="282">
        <v>1.79</v>
      </c>
      <c r="Q15" s="283" t="s">
        <v>328</v>
      </c>
      <c r="R15" s="284">
        <v>-0.56000000000000005</v>
      </c>
      <c r="S15" s="263"/>
    </row>
    <row r="16" spans="1:19" hidden="1">
      <c r="A16" s="275" t="s">
        <v>202</v>
      </c>
      <c r="B16" s="275">
        <v>12874.95</v>
      </c>
      <c r="C16" s="275">
        <v>15147</v>
      </c>
      <c r="D16" s="275">
        <v>130</v>
      </c>
      <c r="E16" s="275">
        <v>20</v>
      </c>
      <c r="F16" s="275" t="s">
        <v>307</v>
      </c>
      <c r="G16" s="266" t="s">
        <v>307</v>
      </c>
      <c r="H16" s="276" t="s">
        <v>203</v>
      </c>
      <c r="I16" s="277" t="s">
        <v>172</v>
      </c>
      <c r="J16" s="277" t="s">
        <v>307</v>
      </c>
      <c r="K16" s="277">
        <v>2.97</v>
      </c>
      <c r="L16" s="278" t="s">
        <v>329</v>
      </c>
      <c r="M16" s="266" t="s">
        <v>307</v>
      </c>
      <c r="N16" s="276" t="s">
        <v>204</v>
      </c>
      <c r="O16" s="277">
        <v>4.2</v>
      </c>
      <c r="P16" s="277">
        <v>3.0560383249999998</v>
      </c>
      <c r="Q16" s="283" t="s">
        <v>330</v>
      </c>
      <c r="R16" s="286">
        <v>0.41</v>
      </c>
      <c r="S16" s="263"/>
    </row>
    <row r="17" spans="1:19" hidden="1">
      <c r="A17" s="267" t="s">
        <v>205</v>
      </c>
      <c r="B17" s="267">
        <v>5662.7</v>
      </c>
      <c r="C17" s="267">
        <v>6662</v>
      </c>
      <c r="D17" s="267">
        <v>9</v>
      </c>
      <c r="E17" s="267">
        <v>14</v>
      </c>
      <c r="F17" s="267" t="s">
        <v>206</v>
      </c>
      <c r="G17" s="266" t="s">
        <v>307</v>
      </c>
      <c r="H17" s="279" t="s">
        <v>207</v>
      </c>
      <c r="I17" s="280" t="s">
        <v>172</v>
      </c>
      <c r="J17" s="280" t="s">
        <v>307</v>
      </c>
      <c r="K17" s="280">
        <v>5.31</v>
      </c>
      <c r="L17" s="278" t="s">
        <v>331</v>
      </c>
      <c r="M17" s="266" t="s">
        <v>307</v>
      </c>
      <c r="N17" s="279" t="s">
        <v>208</v>
      </c>
      <c r="O17" s="281">
        <v>4.0199999999999996</v>
      </c>
      <c r="P17" s="282">
        <v>1.9</v>
      </c>
      <c r="Q17" s="283" t="s">
        <v>332</v>
      </c>
      <c r="R17" s="284">
        <v>-0.24</v>
      </c>
      <c r="S17" s="263"/>
    </row>
    <row r="18" spans="1:19" hidden="1">
      <c r="A18" s="275" t="s">
        <v>209</v>
      </c>
      <c r="B18" s="275">
        <v>0</v>
      </c>
      <c r="C18" s="275">
        <v>0</v>
      </c>
      <c r="D18" s="275" t="s">
        <v>307</v>
      </c>
      <c r="E18" s="275" t="s">
        <v>307</v>
      </c>
      <c r="F18" s="275" t="s">
        <v>307</v>
      </c>
      <c r="G18" s="266" t="s">
        <v>307</v>
      </c>
      <c r="H18" s="276" t="s">
        <v>307</v>
      </c>
      <c r="I18" s="277" t="s">
        <v>307</v>
      </c>
      <c r="J18" s="277" t="s">
        <v>307</v>
      </c>
      <c r="K18" s="277" t="s">
        <v>307</v>
      </c>
      <c r="L18" s="278" t="s">
        <v>320</v>
      </c>
      <c r="M18" s="266" t="s">
        <v>307</v>
      </c>
      <c r="N18" s="276" t="s">
        <v>307</v>
      </c>
      <c r="O18" s="277" t="s">
        <v>307</v>
      </c>
      <c r="P18" s="277" t="s">
        <v>307</v>
      </c>
      <c r="Q18" s="283" t="s">
        <v>320</v>
      </c>
      <c r="R18" s="277" t="s">
        <v>307</v>
      </c>
      <c r="S18" s="263"/>
    </row>
    <row r="19" spans="1:19">
      <c r="A19" s="267" t="s">
        <v>210</v>
      </c>
      <c r="B19" s="267">
        <v>458.15</v>
      </c>
      <c r="C19" s="267">
        <v>539</v>
      </c>
      <c r="D19" s="267"/>
      <c r="E19" s="267">
        <v>3</v>
      </c>
      <c r="F19" s="267"/>
      <c r="G19" s="266" t="s">
        <v>307</v>
      </c>
      <c r="H19" s="279" t="s">
        <v>211</v>
      </c>
      <c r="I19" s="280" t="s">
        <v>172</v>
      </c>
      <c r="J19" s="280" t="s">
        <v>307</v>
      </c>
      <c r="K19" s="285">
        <v>3</v>
      </c>
      <c r="L19" s="278" t="s">
        <v>333</v>
      </c>
      <c r="M19" s="266" t="s">
        <v>307</v>
      </c>
      <c r="N19" s="279" t="s">
        <v>212</v>
      </c>
      <c r="O19" s="281">
        <v>3.45</v>
      </c>
      <c r="P19" s="282">
        <v>2.21</v>
      </c>
      <c r="Q19" s="283" t="s">
        <v>334</v>
      </c>
      <c r="R19" s="286">
        <v>0.15</v>
      </c>
      <c r="S19" s="263"/>
    </row>
    <row r="20" spans="1:19">
      <c r="A20" s="275" t="s">
        <v>213</v>
      </c>
      <c r="B20" s="275">
        <v>5971.25</v>
      </c>
      <c r="C20" s="275">
        <v>7025</v>
      </c>
      <c r="D20" s="275">
        <v>156</v>
      </c>
      <c r="E20" s="275">
        <v>1</v>
      </c>
      <c r="F20" s="275" t="s">
        <v>214</v>
      </c>
      <c r="G20" s="266" t="s">
        <v>307</v>
      </c>
      <c r="H20" s="276" t="s">
        <v>196</v>
      </c>
      <c r="I20" s="277" t="s">
        <v>172</v>
      </c>
      <c r="J20" s="277" t="s">
        <v>307</v>
      </c>
      <c r="K20" s="285">
        <v>3.5</v>
      </c>
      <c r="L20" s="278" t="s">
        <v>335</v>
      </c>
      <c r="M20" s="266" t="s">
        <v>307</v>
      </c>
      <c r="N20" s="276" t="s">
        <v>177</v>
      </c>
      <c r="O20" s="277">
        <v>3.25</v>
      </c>
      <c r="P20" s="277">
        <v>2.3434332649999998</v>
      </c>
      <c r="Q20" s="283" t="s">
        <v>336</v>
      </c>
      <c r="R20" s="284">
        <v>-7.0000000000000007E-2</v>
      </c>
      <c r="S20" s="263"/>
    </row>
    <row r="21" spans="1:19" hidden="1">
      <c r="A21" s="267" t="s">
        <v>215</v>
      </c>
      <c r="B21" s="267">
        <v>0</v>
      </c>
      <c r="C21" s="267">
        <v>0</v>
      </c>
      <c r="D21" s="267">
        <v>2</v>
      </c>
      <c r="E21" s="267"/>
      <c r="F21" s="267" t="s">
        <v>216</v>
      </c>
      <c r="G21" s="266" t="s">
        <v>307</v>
      </c>
      <c r="H21" s="279" t="s">
        <v>307</v>
      </c>
      <c r="I21" s="280" t="s">
        <v>307</v>
      </c>
      <c r="J21" s="280" t="s">
        <v>307</v>
      </c>
      <c r="K21" s="280" t="s">
        <v>307</v>
      </c>
      <c r="L21" s="278" t="s">
        <v>320</v>
      </c>
      <c r="M21" s="266" t="s">
        <v>307</v>
      </c>
      <c r="N21" s="279" t="s">
        <v>216</v>
      </c>
      <c r="O21" s="281">
        <v>3.77</v>
      </c>
      <c r="P21" s="282">
        <v>1.56</v>
      </c>
      <c r="Q21" s="283" t="s">
        <v>320</v>
      </c>
      <c r="R21" s="277" t="s">
        <v>307</v>
      </c>
      <c r="S21" s="263"/>
    </row>
    <row r="22" spans="1:19">
      <c r="A22" s="275" t="s">
        <v>217</v>
      </c>
      <c r="B22" s="275">
        <v>4064.7</v>
      </c>
      <c r="C22" s="275">
        <v>4782</v>
      </c>
      <c r="D22" s="275">
        <v>44</v>
      </c>
      <c r="E22" s="275">
        <v>7</v>
      </c>
      <c r="F22" s="275" t="s">
        <v>307</v>
      </c>
      <c r="G22" s="266" t="s">
        <v>307</v>
      </c>
      <c r="H22" s="276" t="s">
        <v>211</v>
      </c>
      <c r="I22" s="277" t="s">
        <v>172</v>
      </c>
      <c r="J22" s="277" t="s">
        <v>307</v>
      </c>
      <c r="K22" s="285">
        <v>4.5</v>
      </c>
      <c r="L22" s="278" t="s">
        <v>337</v>
      </c>
      <c r="M22" s="266" t="s">
        <v>307</v>
      </c>
      <c r="N22" s="276" t="s">
        <v>218</v>
      </c>
      <c r="O22" s="277">
        <v>7.88</v>
      </c>
      <c r="P22" s="277">
        <v>4.1445284490000001</v>
      </c>
      <c r="Q22" s="283" t="s">
        <v>338</v>
      </c>
      <c r="R22" s="286">
        <v>0.75</v>
      </c>
      <c r="S22" s="263"/>
    </row>
    <row r="23" spans="1:19" hidden="1">
      <c r="A23" s="267" t="s">
        <v>219</v>
      </c>
      <c r="B23" s="267">
        <v>960.5</v>
      </c>
      <c r="C23" s="267">
        <v>1130</v>
      </c>
      <c r="D23" s="267"/>
      <c r="E23" s="267">
        <v>4</v>
      </c>
      <c r="F23" s="267" t="s">
        <v>220</v>
      </c>
      <c r="G23" s="266" t="s">
        <v>307</v>
      </c>
      <c r="H23" s="279" t="s">
        <v>307</v>
      </c>
      <c r="I23" s="280" t="s">
        <v>307</v>
      </c>
      <c r="J23" s="280" t="s">
        <v>307</v>
      </c>
      <c r="K23" s="280" t="s">
        <v>307</v>
      </c>
      <c r="L23" s="278" t="s">
        <v>320</v>
      </c>
      <c r="M23" s="266" t="s">
        <v>307</v>
      </c>
      <c r="N23" s="279" t="s">
        <v>307</v>
      </c>
      <c r="O23" s="281" t="s">
        <v>307</v>
      </c>
      <c r="P23" s="282" t="s">
        <v>307</v>
      </c>
      <c r="Q23" s="283" t="s">
        <v>320</v>
      </c>
      <c r="R23" s="277" t="s">
        <v>307</v>
      </c>
      <c r="S23" s="263"/>
    </row>
    <row r="24" spans="1:19" hidden="1">
      <c r="A24" s="275" t="s">
        <v>221</v>
      </c>
      <c r="B24" s="275">
        <v>24225</v>
      </c>
      <c r="C24" s="275">
        <v>28500</v>
      </c>
      <c r="D24" s="275" t="s">
        <v>307</v>
      </c>
      <c r="E24" s="275">
        <v>2</v>
      </c>
      <c r="F24" s="275" t="s">
        <v>222</v>
      </c>
      <c r="G24" s="266" t="s">
        <v>307</v>
      </c>
      <c r="H24" s="276" t="s">
        <v>307</v>
      </c>
      <c r="I24" s="277" t="s">
        <v>307</v>
      </c>
      <c r="J24" s="277" t="s">
        <v>307</v>
      </c>
      <c r="K24" s="277" t="s">
        <v>307</v>
      </c>
      <c r="L24" s="278" t="s">
        <v>320</v>
      </c>
      <c r="M24" s="266" t="s">
        <v>307</v>
      </c>
      <c r="N24" s="276" t="s">
        <v>307</v>
      </c>
      <c r="O24" s="277" t="s">
        <v>307</v>
      </c>
      <c r="P24" s="277" t="s">
        <v>307</v>
      </c>
      <c r="Q24" s="283" t="s">
        <v>320</v>
      </c>
      <c r="R24" s="277" t="s">
        <v>307</v>
      </c>
      <c r="S24" s="263"/>
    </row>
    <row r="25" spans="1:19" hidden="1">
      <c r="A25" s="267" t="s">
        <v>224</v>
      </c>
      <c r="B25" s="267">
        <v>1844.5</v>
      </c>
      <c r="C25" s="267">
        <v>2170</v>
      </c>
      <c r="D25" s="267">
        <v>1</v>
      </c>
      <c r="E25" s="267">
        <v>8</v>
      </c>
      <c r="F25" s="267" t="s">
        <v>225</v>
      </c>
      <c r="G25" s="266" t="s">
        <v>307</v>
      </c>
      <c r="H25" s="279" t="s">
        <v>51</v>
      </c>
      <c r="I25" s="280" t="s">
        <v>168</v>
      </c>
      <c r="J25" s="280" t="s">
        <v>307</v>
      </c>
      <c r="K25" s="280">
        <v>1.77</v>
      </c>
      <c r="L25" s="278" t="s">
        <v>339</v>
      </c>
      <c r="M25" s="266" t="s">
        <v>307</v>
      </c>
      <c r="N25" s="279" t="s">
        <v>226</v>
      </c>
      <c r="O25" s="281">
        <v>2.31</v>
      </c>
      <c r="P25" s="282">
        <v>1.83</v>
      </c>
      <c r="Q25" s="283" t="s">
        <v>340</v>
      </c>
      <c r="R25" s="286">
        <v>0.31</v>
      </c>
      <c r="S25" s="263"/>
    </row>
    <row r="26" spans="1:19" hidden="1">
      <c r="A26" s="275" t="s">
        <v>227</v>
      </c>
      <c r="B26" s="275">
        <v>671.5</v>
      </c>
      <c r="C26" s="275">
        <v>790</v>
      </c>
      <c r="D26" s="275" t="s">
        <v>307</v>
      </c>
      <c r="E26" s="275">
        <v>8</v>
      </c>
      <c r="F26" s="275" t="s">
        <v>228</v>
      </c>
      <c r="G26" s="266" t="s">
        <v>307</v>
      </c>
      <c r="H26" s="276" t="s">
        <v>229</v>
      </c>
      <c r="I26" s="277" t="s">
        <v>168</v>
      </c>
      <c r="J26" s="277" t="s">
        <v>307</v>
      </c>
      <c r="K26" s="277">
        <v>2.64</v>
      </c>
      <c r="L26" s="278" t="s">
        <v>341</v>
      </c>
      <c r="M26" s="266" t="s">
        <v>307</v>
      </c>
      <c r="N26" s="276" t="s">
        <v>230</v>
      </c>
      <c r="O26" s="277">
        <v>4.1100000000000003</v>
      </c>
      <c r="P26" s="277">
        <v>2.183346427</v>
      </c>
      <c r="Q26" s="283" t="s">
        <v>342</v>
      </c>
      <c r="R26" s="286">
        <v>0.56000000000000005</v>
      </c>
      <c r="S26" s="263"/>
    </row>
    <row r="27" spans="1:19" hidden="1">
      <c r="A27" s="288" t="s">
        <v>231</v>
      </c>
      <c r="B27" s="288">
        <v>0</v>
      </c>
      <c r="C27" s="288" t="s">
        <v>307</v>
      </c>
      <c r="D27" s="288" t="s">
        <v>307</v>
      </c>
      <c r="E27" s="288" t="s">
        <v>307</v>
      </c>
      <c r="F27" s="288" t="s">
        <v>307</v>
      </c>
      <c r="G27" s="266" t="s">
        <v>307</v>
      </c>
      <c r="H27" s="279" t="s">
        <v>232</v>
      </c>
      <c r="I27" s="280" t="s">
        <v>172</v>
      </c>
      <c r="J27" s="280" t="s">
        <v>307</v>
      </c>
      <c r="K27" s="280">
        <v>0</v>
      </c>
      <c r="L27" s="278" t="s">
        <v>320</v>
      </c>
      <c r="M27" s="266" t="s">
        <v>307</v>
      </c>
      <c r="N27" s="289" t="s">
        <v>233</v>
      </c>
      <c r="O27" s="290">
        <v>4.09</v>
      </c>
      <c r="P27" s="291">
        <v>2.78</v>
      </c>
      <c r="Q27" s="292" t="s">
        <v>343</v>
      </c>
      <c r="R27" s="277" t="s">
        <v>307</v>
      </c>
      <c r="S27" s="263"/>
    </row>
    <row r="28" spans="1:19" hidden="1">
      <c r="A28" s="293" t="s">
        <v>307</v>
      </c>
      <c r="B28" s="293" t="s">
        <v>307</v>
      </c>
      <c r="C28" s="293" t="s">
        <v>307</v>
      </c>
      <c r="D28" s="293" t="s">
        <v>307</v>
      </c>
      <c r="E28" s="293" t="s">
        <v>307</v>
      </c>
      <c r="F28" s="293" t="s">
        <v>307</v>
      </c>
      <c r="G28" s="267"/>
      <c r="H28" s="267"/>
      <c r="I28" s="267"/>
      <c r="J28" s="267"/>
      <c r="K28" s="294" t="s">
        <v>234</v>
      </c>
      <c r="L28" s="295" t="s">
        <v>344</v>
      </c>
      <c r="M28" s="267"/>
      <c r="N28" s="267"/>
      <c r="O28" s="267"/>
      <c r="P28" s="294" t="s">
        <v>234</v>
      </c>
      <c r="Q28" s="296" t="s">
        <v>345</v>
      </c>
      <c r="R28" s="297">
        <v>-2.3999999999999998E-3</v>
      </c>
      <c r="S28" s="298"/>
    </row>
    <row r="29" spans="1:19" hidden="1">
      <c r="A29" s="263"/>
      <c r="B29" s="263"/>
      <c r="C29" s="263"/>
      <c r="D29" s="263"/>
      <c r="E29" s="263"/>
      <c r="F29" s="263"/>
      <c r="G29" s="263"/>
      <c r="H29" s="263"/>
      <c r="I29" s="263"/>
      <c r="J29" s="263"/>
      <c r="K29" s="263"/>
      <c r="L29" s="263"/>
      <c r="M29" s="263"/>
      <c r="N29" s="263"/>
      <c r="O29" s="263"/>
      <c r="P29" s="263"/>
      <c r="Q29" s="263"/>
      <c r="R29" s="263"/>
      <c r="S29" s="263"/>
    </row>
    <row r="30" spans="1:19" hidden="1">
      <c r="A30" s="263"/>
      <c r="B30" s="263"/>
      <c r="C30" s="263"/>
      <c r="D30" s="263"/>
      <c r="E30" s="263"/>
      <c r="F30" s="263"/>
      <c r="G30" s="263"/>
      <c r="H30" s="263"/>
      <c r="I30" s="263"/>
      <c r="J30" s="263"/>
      <c r="K30" s="263"/>
      <c r="L30" s="263"/>
      <c r="M30" s="263"/>
      <c r="N30" s="263"/>
      <c r="O30" s="263"/>
      <c r="P30" s="263"/>
      <c r="Q30" s="263"/>
      <c r="R30" s="263"/>
      <c r="S30" s="263"/>
    </row>
    <row r="31" spans="1:19" hidden="1">
      <c r="A31" s="263"/>
      <c r="B31" s="263"/>
      <c r="C31" s="263"/>
      <c r="D31" s="263"/>
      <c r="E31" s="263"/>
      <c r="F31" s="263"/>
      <c r="G31" s="263"/>
      <c r="H31" s="263"/>
      <c r="I31" s="263"/>
      <c r="J31" s="263"/>
      <c r="K31" s="263"/>
      <c r="L31" s="263"/>
      <c r="M31" s="263"/>
      <c r="N31" s="263"/>
      <c r="O31" s="263"/>
      <c r="P31" s="263"/>
      <c r="Q31" s="263"/>
      <c r="R31" s="263"/>
      <c r="S31" s="263"/>
    </row>
    <row r="32" spans="1:19" hidden="1">
      <c r="A32" s="263"/>
      <c r="B32" s="263"/>
      <c r="C32" s="263"/>
      <c r="D32" s="263"/>
      <c r="E32" s="263"/>
      <c r="F32" s="263"/>
      <c r="G32" s="263"/>
      <c r="H32" s="263"/>
      <c r="I32" s="263"/>
      <c r="J32" s="263"/>
      <c r="K32" s="263"/>
      <c r="L32" s="263"/>
      <c r="M32" s="263"/>
      <c r="N32" s="263"/>
      <c r="O32" s="263"/>
      <c r="P32" s="263"/>
      <c r="Q32" s="263"/>
      <c r="R32" s="263"/>
      <c r="S32" s="263"/>
    </row>
    <row r="33" spans="1:19" hidden="1">
      <c r="A33" s="299" t="s">
        <v>99</v>
      </c>
      <c r="B33" s="299">
        <v>89479.355500000005</v>
      </c>
      <c r="C33" s="300">
        <v>105269.83</v>
      </c>
      <c r="D33" s="300">
        <v>195</v>
      </c>
      <c r="E33" s="300">
        <v>154</v>
      </c>
      <c r="F33" s="300" t="s">
        <v>307</v>
      </c>
      <c r="G33" s="266" t="s">
        <v>307</v>
      </c>
      <c r="H33" s="325" t="s">
        <v>252</v>
      </c>
      <c r="I33" s="326"/>
      <c r="J33" s="326"/>
      <c r="K33" s="326"/>
      <c r="L33" s="326"/>
      <c r="M33" s="326"/>
      <c r="N33" s="326"/>
      <c r="O33" s="326"/>
      <c r="P33" s="326"/>
      <c r="Q33" s="326"/>
      <c r="R33" s="326"/>
      <c r="S33" s="263"/>
    </row>
    <row r="34" spans="1:19" hidden="1">
      <c r="A34" s="275" t="s">
        <v>231</v>
      </c>
      <c r="B34" s="275">
        <v>3334.7710000000002</v>
      </c>
      <c r="C34" s="275">
        <v>3923.26</v>
      </c>
      <c r="D34" s="275" t="s">
        <v>307</v>
      </c>
      <c r="E34" s="275">
        <v>11</v>
      </c>
      <c r="F34" s="275" t="s">
        <v>254</v>
      </c>
      <c r="G34" s="266" t="s">
        <v>307</v>
      </c>
      <c r="H34" s="301" t="s">
        <v>255</v>
      </c>
      <c r="I34" s="273" t="s">
        <v>168</v>
      </c>
      <c r="J34" s="273">
        <v>1000277510</v>
      </c>
      <c r="K34" s="273">
        <v>4.37</v>
      </c>
      <c r="L34" s="273" t="s">
        <v>346</v>
      </c>
      <c r="M34" s="266" t="s">
        <v>307</v>
      </c>
      <c r="N34" s="301" t="s">
        <v>233</v>
      </c>
      <c r="O34" s="302">
        <v>4.09</v>
      </c>
      <c r="P34" s="268">
        <v>2.78</v>
      </c>
      <c r="Q34" s="273" t="s">
        <v>347</v>
      </c>
      <c r="R34" s="274">
        <v>-0.06</v>
      </c>
      <c r="S34" s="263"/>
    </row>
    <row r="35" spans="1:19" hidden="1">
      <c r="A35" s="267" t="s">
        <v>256</v>
      </c>
      <c r="B35" s="267">
        <v>12890.334999999999</v>
      </c>
      <c r="C35" s="267">
        <v>15165.1</v>
      </c>
      <c r="D35" s="267">
        <v>129</v>
      </c>
      <c r="E35" s="267">
        <v>4</v>
      </c>
      <c r="F35" s="267"/>
      <c r="G35" s="266" t="s">
        <v>307</v>
      </c>
      <c r="H35" s="287" t="s">
        <v>257</v>
      </c>
      <c r="I35" s="278" t="s">
        <v>168</v>
      </c>
      <c r="J35" s="278">
        <v>1000568098</v>
      </c>
      <c r="K35" s="278">
        <v>8.8000000000000007</v>
      </c>
      <c r="L35" s="278" t="s">
        <v>348</v>
      </c>
      <c r="M35" s="266" t="s">
        <v>307</v>
      </c>
      <c r="N35" s="287" t="s">
        <v>237</v>
      </c>
      <c r="O35" s="303">
        <v>4.5</v>
      </c>
      <c r="P35" s="287">
        <v>2.31</v>
      </c>
      <c r="Q35" s="277" t="s">
        <v>349</v>
      </c>
      <c r="R35" s="284">
        <v>-0.49</v>
      </c>
      <c r="S35" s="263"/>
    </row>
    <row r="36" spans="1:19" hidden="1">
      <c r="A36" s="275" t="s">
        <v>307</v>
      </c>
      <c r="B36" s="275">
        <v>0</v>
      </c>
      <c r="C36" s="275" t="s">
        <v>307</v>
      </c>
      <c r="D36" s="275" t="s">
        <v>307</v>
      </c>
      <c r="E36" s="275" t="s">
        <v>307</v>
      </c>
      <c r="F36" s="275" t="s">
        <v>307</v>
      </c>
      <c r="G36" s="266" t="s">
        <v>307</v>
      </c>
      <c r="H36" s="276" t="s">
        <v>307</v>
      </c>
      <c r="I36" s="277" t="s">
        <v>307</v>
      </c>
      <c r="J36" s="277" t="s">
        <v>307</v>
      </c>
      <c r="K36" s="277" t="s">
        <v>307</v>
      </c>
      <c r="L36" s="277" t="s">
        <v>320</v>
      </c>
      <c r="M36" s="266" t="s">
        <v>307</v>
      </c>
      <c r="N36" s="276" t="s">
        <v>307</v>
      </c>
      <c r="O36" s="304" t="s">
        <v>307</v>
      </c>
      <c r="P36" s="287" t="s">
        <v>307</v>
      </c>
      <c r="Q36" s="277" t="s">
        <v>320</v>
      </c>
      <c r="R36" s="277" t="s">
        <v>307</v>
      </c>
      <c r="S36" s="263"/>
    </row>
    <row r="37" spans="1:19" hidden="1">
      <c r="A37" s="267" t="s">
        <v>173</v>
      </c>
      <c r="B37" s="267">
        <v>1568.675</v>
      </c>
      <c r="C37" s="267">
        <v>1845.5</v>
      </c>
      <c r="D37" s="267"/>
      <c r="E37" s="267">
        <v>3</v>
      </c>
      <c r="F37" s="267"/>
      <c r="G37" s="266" t="s">
        <v>307</v>
      </c>
      <c r="H37" s="287" t="s">
        <v>44</v>
      </c>
      <c r="I37" s="278" t="s">
        <v>168</v>
      </c>
      <c r="J37" s="278" t="s">
        <v>307</v>
      </c>
      <c r="K37" s="278">
        <v>10.1</v>
      </c>
      <c r="L37" s="278" t="s">
        <v>350</v>
      </c>
      <c r="M37" s="266" t="s">
        <v>307</v>
      </c>
      <c r="N37" s="287" t="s">
        <v>174</v>
      </c>
      <c r="O37" s="303">
        <v>4.57</v>
      </c>
      <c r="P37" s="287">
        <v>2.98</v>
      </c>
      <c r="Q37" s="277" t="s">
        <v>351</v>
      </c>
      <c r="R37" s="284">
        <v>-0.55000000000000004</v>
      </c>
      <c r="S37" s="263"/>
    </row>
    <row r="38" spans="1:19">
      <c r="A38" s="275" t="s">
        <v>239</v>
      </c>
      <c r="B38" s="327">
        <v>11070.9</v>
      </c>
      <c r="C38" s="327">
        <v>11070.9</v>
      </c>
      <c r="D38" s="275">
        <v>2</v>
      </c>
      <c r="E38" s="275">
        <v>37</v>
      </c>
      <c r="F38" s="275" t="s">
        <v>307</v>
      </c>
      <c r="G38" s="266" t="s">
        <v>307</v>
      </c>
      <c r="H38" s="329" t="s">
        <v>259</v>
      </c>
      <c r="I38" s="307" t="s">
        <v>168</v>
      </c>
      <c r="J38" s="277" t="s">
        <v>307</v>
      </c>
      <c r="K38" s="277">
        <v>5.44</v>
      </c>
      <c r="L38" s="277" t="s">
        <v>352</v>
      </c>
      <c r="M38" s="266" t="s">
        <v>307</v>
      </c>
      <c r="N38" s="276" t="s">
        <v>260</v>
      </c>
      <c r="O38" s="304">
        <v>7.22</v>
      </c>
      <c r="P38" s="305">
        <v>4.63</v>
      </c>
      <c r="Q38" s="277" t="s">
        <v>353</v>
      </c>
      <c r="R38" s="284">
        <v>-7.0000000000000007E-2</v>
      </c>
      <c r="S38" s="263"/>
    </row>
    <row r="39" spans="1:19">
      <c r="A39" s="267"/>
      <c r="B39" s="328">
        <v>2792.38</v>
      </c>
      <c r="C39" s="328">
        <v>2792.38</v>
      </c>
      <c r="D39" s="267"/>
      <c r="E39" s="267"/>
      <c r="F39" s="267"/>
      <c r="G39" s="266" t="s">
        <v>307</v>
      </c>
      <c r="H39" s="330" t="s">
        <v>307</v>
      </c>
      <c r="I39" s="331" t="s">
        <v>307</v>
      </c>
      <c r="J39" s="278" t="s">
        <v>307</v>
      </c>
      <c r="K39" s="278" t="s">
        <v>307</v>
      </c>
      <c r="L39" s="278" t="s">
        <v>320</v>
      </c>
      <c r="M39" s="266" t="s">
        <v>307</v>
      </c>
      <c r="N39" s="287" t="s">
        <v>262</v>
      </c>
      <c r="O39" s="303">
        <v>5</v>
      </c>
      <c r="P39" s="306">
        <v>4</v>
      </c>
      <c r="Q39" s="277" t="s">
        <v>354</v>
      </c>
      <c r="R39" s="277" t="s">
        <v>307</v>
      </c>
      <c r="S39" s="263"/>
    </row>
    <row r="40" spans="1:19">
      <c r="A40" s="275" t="s">
        <v>307</v>
      </c>
      <c r="B40" s="327">
        <v>12914.08</v>
      </c>
      <c r="C40" s="327">
        <v>12914.08</v>
      </c>
      <c r="D40" s="275" t="s">
        <v>307</v>
      </c>
      <c r="E40" s="275" t="s">
        <v>307</v>
      </c>
      <c r="F40" s="275" t="s">
        <v>307</v>
      </c>
      <c r="G40" s="266" t="s">
        <v>307</v>
      </c>
      <c r="H40" s="329" t="s">
        <v>307</v>
      </c>
      <c r="I40" s="307" t="s">
        <v>307</v>
      </c>
      <c r="J40" s="277" t="s">
        <v>307</v>
      </c>
      <c r="K40" s="277" t="s">
        <v>307</v>
      </c>
      <c r="L40" s="277" t="s">
        <v>320</v>
      </c>
      <c r="M40" s="266" t="s">
        <v>307</v>
      </c>
      <c r="N40" s="276" t="s">
        <v>184</v>
      </c>
      <c r="O40" s="304">
        <v>3.25</v>
      </c>
      <c r="P40" s="305">
        <v>2.34</v>
      </c>
      <c r="Q40" s="277" t="s">
        <v>355</v>
      </c>
      <c r="R40" s="277" t="s">
        <v>307</v>
      </c>
      <c r="S40" s="263"/>
    </row>
    <row r="41" spans="1:19">
      <c r="A41" s="267" t="s">
        <v>187</v>
      </c>
      <c r="B41" s="267">
        <v>1020</v>
      </c>
      <c r="C41" s="267">
        <v>1200</v>
      </c>
      <c r="D41" s="267">
        <v>5</v>
      </c>
      <c r="E41" s="267"/>
      <c r="F41" s="267"/>
      <c r="G41" s="266" t="s">
        <v>307</v>
      </c>
      <c r="H41" s="287" t="s">
        <v>307</v>
      </c>
      <c r="I41" s="278" t="s">
        <v>307</v>
      </c>
      <c r="J41" s="278" t="s">
        <v>307</v>
      </c>
      <c r="K41" s="307">
        <v>1.5</v>
      </c>
      <c r="L41" s="278" t="s">
        <v>356</v>
      </c>
      <c r="M41" s="266" t="s">
        <v>307</v>
      </c>
      <c r="N41" s="287" t="s">
        <v>263</v>
      </c>
      <c r="O41" s="303">
        <v>1.51</v>
      </c>
      <c r="P41" s="287" t="s">
        <v>307</v>
      </c>
      <c r="Q41" s="277" t="s">
        <v>357</v>
      </c>
      <c r="R41" s="286">
        <v>0.01</v>
      </c>
      <c r="S41" s="263"/>
    </row>
    <row r="42" spans="1:19" hidden="1">
      <c r="A42" s="275" t="s">
        <v>264</v>
      </c>
      <c r="B42" s="275">
        <v>10002.868</v>
      </c>
      <c r="C42" s="275">
        <v>11768.08</v>
      </c>
      <c r="D42" s="275">
        <v>19</v>
      </c>
      <c r="E42" s="275">
        <v>20</v>
      </c>
      <c r="F42" s="275" t="s">
        <v>307</v>
      </c>
      <c r="G42" s="266" t="s">
        <v>307</v>
      </c>
      <c r="H42" s="276" t="s">
        <v>13</v>
      </c>
      <c r="I42" s="283" t="s">
        <v>168</v>
      </c>
      <c r="J42" s="277">
        <v>1000568151</v>
      </c>
      <c r="K42" s="277">
        <v>6.08</v>
      </c>
      <c r="L42" s="277" t="s">
        <v>358</v>
      </c>
      <c r="M42" s="266" t="s">
        <v>307</v>
      </c>
      <c r="N42" s="276" t="s">
        <v>265</v>
      </c>
      <c r="O42" s="304">
        <v>4.7</v>
      </c>
      <c r="P42" s="287">
        <v>2.5299999999999998</v>
      </c>
      <c r="Q42" s="277" t="s">
        <v>359</v>
      </c>
      <c r="R42" s="284">
        <v>-0.23</v>
      </c>
      <c r="S42" s="263"/>
    </row>
    <row r="43" spans="1:19" hidden="1">
      <c r="A43" s="267" t="s">
        <v>267</v>
      </c>
      <c r="B43" s="267">
        <v>549.95000000000005</v>
      </c>
      <c r="C43" s="267">
        <v>647</v>
      </c>
      <c r="D43" s="267"/>
      <c r="E43" s="267">
        <v>2</v>
      </c>
      <c r="F43" s="267"/>
      <c r="G43" s="266" t="s">
        <v>307</v>
      </c>
      <c r="H43" s="287" t="s">
        <v>19</v>
      </c>
      <c r="I43" s="278" t="s">
        <v>307</v>
      </c>
      <c r="J43" s="278" t="s">
        <v>307</v>
      </c>
      <c r="K43" s="278">
        <v>6.7</v>
      </c>
      <c r="L43" s="278" t="s">
        <v>360</v>
      </c>
      <c r="M43" s="266" t="s">
        <v>307</v>
      </c>
      <c r="N43" s="287" t="s">
        <v>265</v>
      </c>
      <c r="O43" s="303">
        <v>4.7</v>
      </c>
      <c r="P43" s="287">
        <v>2.5299999999999998</v>
      </c>
      <c r="Q43" s="277" t="s">
        <v>361</v>
      </c>
      <c r="R43" s="284">
        <v>-0.3</v>
      </c>
      <c r="S43" s="263"/>
    </row>
    <row r="44" spans="1:19" hidden="1">
      <c r="A44" s="275" t="s">
        <v>268</v>
      </c>
      <c r="B44" s="275">
        <v>0</v>
      </c>
      <c r="C44" s="275">
        <v>0</v>
      </c>
      <c r="D44" s="275" t="s">
        <v>307</v>
      </c>
      <c r="E44" s="275" t="s">
        <v>307</v>
      </c>
      <c r="F44" s="275" t="s">
        <v>307</v>
      </c>
      <c r="G44" s="266" t="s">
        <v>307</v>
      </c>
      <c r="H44" s="276" t="s">
        <v>19</v>
      </c>
      <c r="I44" s="283" t="s">
        <v>307</v>
      </c>
      <c r="J44" s="277" t="s">
        <v>307</v>
      </c>
      <c r="K44" s="277">
        <v>6.67</v>
      </c>
      <c r="L44" s="277" t="s">
        <v>320</v>
      </c>
      <c r="M44" s="266" t="s">
        <v>307</v>
      </c>
      <c r="N44" s="276" t="s">
        <v>265</v>
      </c>
      <c r="O44" s="304">
        <v>4.7</v>
      </c>
      <c r="P44" s="287">
        <v>2.5299999999999998</v>
      </c>
      <c r="Q44" s="277" t="s">
        <v>320</v>
      </c>
      <c r="R44" s="277" t="s">
        <v>307</v>
      </c>
      <c r="S44" s="263"/>
    </row>
    <row r="45" spans="1:19" hidden="1">
      <c r="A45" s="267" t="s">
        <v>270</v>
      </c>
      <c r="B45" s="267">
        <v>12.885999999999999</v>
      </c>
      <c r="C45" s="267">
        <v>15.16</v>
      </c>
      <c r="D45" s="267"/>
      <c r="E45" s="267">
        <v>1</v>
      </c>
      <c r="F45" s="267"/>
      <c r="G45" s="266" t="s">
        <v>307</v>
      </c>
      <c r="H45" s="287" t="s">
        <v>13</v>
      </c>
      <c r="I45" s="278" t="s">
        <v>307</v>
      </c>
      <c r="J45" s="278" t="s">
        <v>307</v>
      </c>
      <c r="K45" s="278">
        <v>6.1</v>
      </c>
      <c r="L45" s="278" t="s">
        <v>362</v>
      </c>
      <c r="M45" s="266" t="s">
        <v>307</v>
      </c>
      <c r="N45" s="287" t="s">
        <v>265</v>
      </c>
      <c r="O45" s="303">
        <v>4.7</v>
      </c>
      <c r="P45" s="287">
        <v>2.5299999999999998</v>
      </c>
      <c r="Q45" s="277" t="s">
        <v>363</v>
      </c>
      <c r="R45" s="284">
        <v>-0.23</v>
      </c>
      <c r="S45" s="263"/>
    </row>
    <row r="46" spans="1:19" hidden="1">
      <c r="A46" s="275" t="s">
        <v>272</v>
      </c>
      <c r="B46" s="275">
        <v>0</v>
      </c>
      <c r="C46" s="275">
        <v>0</v>
      </c>
      <c r="D46" s="275" t="s">
        <v>307</v>
      </c>
      <c r="E46" s="275" t="s">
        <v>307</v>
      </c>
      <c r="F46" s="275" t="s">
        <v>307</v>
      </c>
      <c r="G46" s="266" t="s">
        <v>307</v>
      </c>
      <c r="H46" s="276" t="s">
        <v>273</v>
      </c>
      <c r="I46" s="283" t="s">
        <v>168</v>
      </c>
      <c r="J46" s="277">
        <v>1000568109</v>
      </c>
      <c r="K46" s="277">
        <v>9.15</v>
      </c>
      <c r="L46" s="277" t="s">
        <v>320</v>
      </c>
      <c r="M46" s="266" t="s">
        <v>307</v>
      </c>
      <c r="N46" s="276" t="s">
        <v>307</v>
      </c>
      <c r="O46" s="304" t="s">
        <v>307</v>
      </c>
      <c r="P46" s="287" t="s">
        <v>307</v>
      </c>
      <c r="Q46" s="277" t="s">
        <v>320</v>
      </c>
      <c r="R46" s="277" t="s">
        <v>307</v>
      </c>
      <c r="S46" s="263"/>
    </row>
    <row r="47" spans="1:19" hidden="1">
      <c r="A47" s="267" t="s">
        <v>274</v>
      </c>
      <c r="B47" s="267">
        <v>3003.73</v>
      </c>
      <c r="C47" s="267">
        <v>3533.8</v>
      </c>
      <c r="D47" s="267"/>
      <c r="E47" s="267">
        <v>4</v>
      </c>
      <c r="F47" s="267"/>
      <c r="G47" s="266" t="s">
        <v>307</v>
      </c>
      <c r="H47" s="287" t="s">
        <v>44</v>
      </c>
      <c r="I47" s="278" t="s">
        <v>168</v>
      </c>
      <c r="J47" s="278" t="s">
        <v>307</v>
      </c>
      <c r="K47" s="278">
        <v>10.1</v>
      </c>
      <c r="L47" s="278" t="s">
        <v>364</v>
      </c>
      <c r="M47" s="266" t="s">
        <v>307</v>
      </c>
      <c r="N47" s="287" t="s">
        <v>365</v>
      </c>
      <c r="O47" s="303">
        <v>9.17</v>
      </c>
      <c r="P47" s="305">
        <v>5.88</v>
      </c>
      <c r="Q47" s="277" t="s">
        <v>366</v>
      </c>
      <c r="R47" s="284">
        <v>-0.09</v>
      </c>
      <c r="S47" s="263"/>
    </row>
    <row r="48" spans="1:19" hidden="1">
      <c r="A48" s="275" t="s">
        <v>173</v>
      </c>
      <c r="B48" s="275">
        <v>0</v>
      </c>
      <c r="C48" s="275" t="s">
        <v>307</v>
      </c>
      <c r="D48" s="275" t="s">
        <v>307</v>
      </c>
      <c r="E48" s="275" t="s">
        <v>307</v>
      </c>
      <c r="F48" s="275" t="s">
        <v>307</v>
      </c>
      <c r="G48" s="266" t="s">
        <v>307</v>
      </c>
      <c r="H48" s="276" t="s">
        <v>276</v>
      </c>
      <c r="I48" s="283" t="s">
        <v>168</v>
      </c>
      <c r="J48" s="277" t="s">
        <v>307</v>
      </c>
      <c r="K48" s="277">
        <v>4.13</v>
      </c>
      <c r="L48" s="277" t="s">
        <v>320</v>
      </c>
      <c r="M48" s="266" t="s">
        <v>307</v>
      </c>
      <c r="N48" s="276" t="s">
        <v>179</v>
      </c>
      <c r="O48" s="304">
        <v>2.74</v>
      </c>
      <c r="P48" s="287">
        <v>1.5</v>
      </c>
      <c r="Q48" s="277" t="s">
        <v>320</v>
      </c>
      <c r="R48" s="277" t="s">
        <v>307</v>
      </c>
      <c r="S48" s="263"/>
    </row>
    <row r="49" spans="1:19" hidden="1">
      <c r="A49" s="267" t="s">
        <v>277</v>
      </c>
      <c r="B49" s="267">
        <v>3470.1759999999999</v>
      </c>
      <c r="C49" s="267">
        <v>4082.56</v>
      </c>
      <c r="D49" s="267"/>
      <c r="E49" s="267">
        <v>8</v>
      </c>
      <c r="F49" s="267"/>
      <c r="G49" s="266" t="s">
        <v>307</v>
      </c>
      <c r="H49" s="287" t="s">
        <v>43</v>
      </c>
      <c r="I49" s="278" t="s">
        <v>168</v>
      </c>
      <c r="J49" s="278">
        <v>1000283292</v>
      </c>
      <c r="K49" s="278">
        <v>6.2</v>
      </c>
      <c r="L49" s="278" t="s">
        <v>367</v>
      </c>
      <c r="M49" s="266" t="s">
        <v>307</v>
      </c>
      <c r="N49" s="287" t="s">
        <v>170</v>
      </c>
      <c r="O49" s="278">
        <v>3.89</v>
      </c>
      <c r="P49" s="277">
        <v>3.1358174609999998</v>
      </c>
      <c r="Q49" s="277" t="s">
        <v>368</v>
      </c>
      <c r="R49" s="284">
        <v>-0.37</v>
      </c>
      <c r="S49" s="263"/>
    </row>
    <row r="50" spans="1:19" hidden="1">
      <c r="A50" s="275" t="s">
        <v>280</v>
      </c>
      <c r="B50" s="275">
        <v>1556.35</v>
      </c>
      <c r="C50" s="275">
        <v>1831</v>
      </c>
      <c r="D50" s="275" t="s">
        <v>307</v>
      </c>
      <c r="E50" s="275">
        <v>5</v>
      </c>
      <c r="F50" s="275" t="s">
        <v>307</v>
      </c>
      <c r="G50" s="266" t="s">
        <v>307</v>
      </c>
      <c r="H50" s="276" t="s">
        <v>281</v>
      </c>
      <c r="I50" s="283" t="s">
        <v>168</v>
      </c>
      <c r="J50" s="277">
        <v>1000577491</v>
      </c>
      <c r="K50" s="277">
        <v>5.13</v>
      </c>
      <c r="L50" s="277" t="s">
        <v>369</v>
      </c>
      <c r="M50" s="266" t="s">
        <v>307</v>
      </c>
      <c r="N50" s="276" t="s">
        <v>282</v>
      </c>
      <c r="O50" s="304">
        <v>4.5999999999999996</v>
      </c>
      <c r="P50" s="287">
        <v>2.0299999999999998</v>
      </c>
      <c r="Q50" s="277" t="s">
        <v>370</v>
      </c>
      <c r="R50" s="284">
        <v>-0.1</v>
      </c>
      <c r="S50" s="263"/>
    </row>
    <row r="51" spans="1:19" hidden="1">
      <c r="A51" s="267" t="s">
        <v>202</v>
      </c>
      <c r="B51" s="267">
        <v>7282.1710000000003</v>
      </c>
      <c r="C51" s="267">
        <v>8567.26</v>
      </c>
      <c r="D51" s="267">
        <v>37</v>
      </c>
      <c r="E51" s="267">
        <v>11</v>
      </c>
      <c r="F51" s="267"/>
      <c r="G51" s="266" t="s">
        <v>307</v>
      </c>
      <c r="H51" s="287" t="s">
        <v>28</v>
      </c>
      <c r="I51" s="278" t="s">
        <v>168</v>
      </c>
      <c r="J51" s="278">
        <v>1000276464</v>
      </c>
      <c r="K51" s="278">
        <v>2.9</v>
      </c>
      <c r="L51" s="278" t="s">
        <v>371</v>
      </c>
      <c r="M51" s="266" t="s">
        <v>307</v>
      </c>
      <c r="N51" s="287" t="s">
        <v>204</v>
      </c>
      <c r="O51" s="303">
        <v>4.2</v>
      </c>
      <c r="P51" s="287">
        <v>3.06</v>
      </c>
      <c r="Q51" s="277" t="s">
        <v>372</v>
      </c>
      <c r="R51" s="286">
        <v>0.45</v>
      </c>
      <c r="S51" s="263"/>
    </row>
    <row r="52" spans="1:19" hidden="1">
      <c r="A52" s="275" t="s">
        <v>248</v>
      </c>
      <c r="B52" s="275">
        <v>0</v>
      </c>
      <c r="C52" s="275">
        <v>0</v>
      </c>
      <c r="D52" s="275" t="s">
        <v>307</v>
      </c>
      <c r="E52" s="275" t="s">
        <v>307</v>
      </c>
      <c r="F52" s="275" t="s">
        <v>307</v>
      </c>
      <c r="G52" s="266" t="s">
        <v>307</v>
      </c>
      <c r="H52" s="276" t="s">
        <v>307</v>
      </c>
      <c r="I52" s="283" t="s">
        <v>307</v>
      </c>
      <c r="J52" s="277" t="s">
        <v>307</v>
      </c>
      <c r="K52" s="277" t="s">
        <v>307</v>
      </c>
      <c r="L52" s="277" t="s">
        <v>320</v>
      </c>
      <c r="M52" s="266" t="s">
        <v>307</v>
      </c>
      <c r="N52" s="276" t="s">
        <v>249</v>
      </c>
      <c r="O52" s="304">
        <v>1.41</v>
      </c>
      <c r="P52" s="287">
        <v>1.22</v>
      </c>
      <c r="Q52" s="277" t="s">
        <v>320</v>
      </c>
      <c r="R52" s="277" t="s">
        <v>307</v>
      </c>
      <c r="S52" s="263"/>
    </row>
    <row r="53" spans="1:19" hidden="1">
      <c r="A53" s="267" t="s">
        <v>205</v>
      </c>
      <c r="B53" s="267">
        <v>9591.7909999999993</v>
      </c>
      <c r="C53" s="267">
        <v>11284.46</v>
      </c>
      <c r="D53" s="267"/>
      <c r="E53" s="267">
        <v>23</v>
      </c>
      <c r="F53" s="267"/>
      <c r="G53" s="266" t="s">
        <v>307</v>
      </c>
      <c r="H53" s="287" t="s">
        <v>284</v>
      </c>
      <c r="I53" s="278" t="s">
        <v>168</v>
      </c>
      <c r="J53" s="278">
        <v>1000577491</v>
      </c>
      <c r="K53" s="278">
        <v>3.1</v>
      </c>
      <c r="L53" s="278" t="s">
        <v>373</v>
      </c>
      <c r="M53" s="266" t="s">
        <v>307</v>
      </c>
      <c r="N53" s="287" t="s">
        <v>201</v>
      </c>
      <c r="O53" s="303">
        <v>3.48</v>
      </c>
      <c r="P53" s="287">
        <v>1.79</v>
      </c>
      <c r="Q53" s="277" t="s">
        <v>374</v>
      </c>
      <c r="R53" s="286">
        <v>0.12</v>
      </c>
      <c r="S53" s="263"/>
    </row>
    <row r="54" spans="1:19" hidden="1">
      <c r="A54" s="275" t="s">
        <v>285</v>
      </c>
      <c r="B54" s="275">
        <v>0</v>
      </c>
      <c r="C54" s="275">
        <v>0</v>
      </c>
      <c r="D54" s="275" t="s">
        <v>307</v>
      </c>
      <c r="E54" s="275" t="s">
        <v>307</v>
      </c>
      <c r="F54" s="275" t="s">
        <v>307</v>
      </c>
      <c r="G54" s="266" t="s">
        <v>307</v>
      </c>
      <c r="H54" s="276" t="s">
        <v>19</v>
      </c>
      <c r="I54" s="283" t="s">
        <v>307</v>
      </c>
      <c r="J54" s="277" t="s">
        <v>307</v>
      </c>
      <c r="K54" s="277">
        <v>6.67</v>
      </c>
      <c r="L54" s="277" t="s">
        <v>320</v>
      </c>
      <c r="M54" s="266" t="s">
        <v>307</v>
      </c>
      <c r="N54" s="276" t="s">
        <v>307</v>
      </c>
      <c r="O54" s="304" t="s">
        <v>307</v>
      </c>
      <c r="P54" s="287" t="s">
        <v>307</v>
      </c>
      <c r="Q54" s="277" t="s">
        <v>320</v>
      </c>
      <c r="R54" s="277" t="s">
        <v>307</v>
      </c>
      <c r="S54" s="263"/>
    </row>
    <row r="55" spans="1:19" hidden="1">
      <c r="A55" s="267" t="s">
        <v>286</v>
      </c>
      <c r="B55" s="267">
        <v>1550.4680000000001</v>
      </c>
      <c r="C55" s="267">
        <v>1824.08</v>
      </c>
      <c r="D55" s="267"/>
      <c r="E55" s="267">
        <v>4</v>
      </c>
      <c r="F55" s="267"/>
      <c r="G55" s="266" t="s">
        <v>307</v>
      </c>
      <c r="H55" s="287" t="s">
        <v>32</v>
      </c>
      <c r="I55" s="278" t="s">
        <v>168</v>
      </c>
      <c r="J55" s="278" t="s">
        <v>307</v>
      </c>
      <c r="K55" s="278">
        <v>7.8</v>
      </c>
      <c r="L55" s="278" t="s">
        <v>375</v>
      </c>
      <c r="M55" s="266" t="s">
        <v>307</v>
      </c>
      <c r="N55" s="287" t="s">
        <v>287</v>
      </c>
      <c r="O55" s="303">
        <v>7.2</v>
      </c>
      <c r="P55" s="287">
        <v>4.47</v>
      </c>
      <c r="Q55" s="277" t="s">
        <v>376</v>
      </c>
      <c r="R55" s="284">
        <v>-0.08</v>
      </c>
      <c r="S55" s="263"/>
    </row>
    <row r="56" spans="1:19" hidden="1">
      <c r="A56" s="275" t="s">
        <v>288</v>
      </c>
      <c r="B56" s="275">
        <v>0</v>
      </c>
      <c r="C56" s="275">
        <v>0</v>
      </c>
      <c r="D56" s="275" t="s">
        <v>307</v>
      </c>
      <c r="E56" s="275" t="s">
        <v>307</v>
      </c>
      <c r="F56" s="275" t="s">
        <v>307</v>
      </c>
      <c r="G56" s="266" t="s">
        <v>307</v>
      </c>
      <c r="H56" s="276" t="s">
        <v>307</v>
      </c>
      <c r="I56" s="283" t="s">
        <v>307</v>
      </c>
      <c r="J56" s="277" t="s">
        <v>307</v>
      </c>
      <c r="K56" s="277" t="s">
        <v>307</v>
      </c>
      <c r="L56" s="277" t="s">
        <v>320</v>
      </c>
      <c r="M56" s="266" t="s">
        <v>307</v>
      </c>
      <c r="N56" s="276" t="s">
        <v>307</v>
      </c>
      <c r="O56" s="304" t="s">
        <v>307</v>
      </c>
      <c r="P56" s="287" t="s">
        <v>307</v>
      </c>
      <c r="Q56" s="277" t="s">
        <v>320</v>
      </c>
      <c r="R56" s="277" t="s">
        <v>307</v>
      </c>
      <c r="S56" s="263"/>
    </row>
    <row r="57" spans="1:19" hidden="1">
      <c r="A57" s="267" t="s">
        <v>289</v>
      </c>
      <c r="B57" s="267">
        <v>2872.201</v>
      </c>
      <c r="C57" s="267">
        <v>3379.06</v>
      </c>
      <c r="D57" s="267"/>
      <c r="E57" s="267">
        <v>10</v>
      </c>
      <c r="F57" s="267"/>
      <c r="G57" s="266" t="s">
        <v>307</v>
      </c>
      <c r="H57" s="287" t="s">
        <v>290</v>
      </c>
      <c r="I57" s="278" t="s">
        <v>168</v>
      </c>
      <c r="J57" s="278">
        <v>10000276573</v>
      </c>
      <c r="K57" s="278">
        <v>5.8</v>
      </c>
      <c r="L57" s="278" t="s">
        <v>377</v>
      </c>
      <c r="M57" s="266" t="s">
        <v>307</v>
      </c>
      <c r="N57" s="287" t="s">
        <v>177</v>
      </c>
      <c r="O57" s="303">
        <v>3.25</v>
      </c>
      <c r="P57" s="287">
        <v>2.34</v>
      </c>
      <c r="Q57" s="277" t="s">
        <v>378</v>
      </c>
      <c r="R57" s="284">
        <v>-0.44</v>
      </c>
      <c r="S57" s="263"/>
    </row>
    <row r="58" spans="1:19" hidden="1">
      <c r="A58" s="275" t="s">
        <v>291</v>
      </c>
      <c r="B58" s="275">
        <v>436.9</v>
      </c>
      <c r="C58" s="275">
        <v>514</v>
      </c>
      <c r="D58" s="275" t="s">
        <v>307</v>
      </c>
      <c r="E58" s="275">
        <v>1</v>
      </c>
      <c r="F58" s="275" t="s">
        <v>307</v>
      </c>
      <c r="G58" s="266" t="s">
        <v>307</v>
      </c>
      <c r="H58" s="276" t="s">
        <v>292</v>
      </c>
      <c r="I58" s="283" t="s">
        <v>168</v>
      </c>
      <c r="J58" s="277">
        <v>1000568148</v>
      </c>
      <c r="K58" s="277">
        <v>11.22</v>
      </c>
      <c r="L58" s="277" t="s">
        <v>379</v>
      </c>
      <c r="M58" s="266" t="s">
        <v>307</v>
      </c>
      <c r="N58" s="276" t="s">
        <v>246</v>
      </c>
      <c r="O58" s="304">
        <v>6.61</v>
      </c>
      <c r="P58" s="287">
        <v>5.05</v>
      </c>
      <c r="Q58" s="277" t="s">
        <v>380</v>
      </c>
      <c r="R58" s="284">
        <v>-0.41</v>
      </c>
      <c r="S58" s="263"/>
    </row>
    <row r="59" spans="1:19" hidden="1">
      <c r="A59" s="267" t="s">
        <v>293</v>
      </c>
      <c r="B59" s="267">
        <v>0</v>
      </c>
      <c r="C59" s="267">
        <v>0</v>
      </c>
      <c r="D59" s="267"/>
      <c r="E59" s="267"/>
      <c r="F59" s="267"/>
      <c r="G59" s="266" t="s">
        <v>307</v>
      </c>
      <c r="H59" s="287" t="s">
        <v>294</v>
      </c>
      <c r="I59" s="278" t="s">
        <v>168</v>
      </c>
      <c r="J59" s="278">
        <v>1000556376</v>
      </c>
      <c r="K59" s="278">
        <v>2.7</v>
      </c>
      <c r="L59" s="278" t="s">
        <v>320</v>
      </c>
      <c r="M59" s="266" t="s">
        <v>307</v>
      </c>
      <c r="N59" s="287" t="s">
        <v>307</v>
      </c>
      <c r="O59" s="303" t="s">
        <v>307</v>
      </c>
      <c r="P59" s="287" t="s">
        <v>307</v>
      </c>
      <c r="Q59" s="277" t="s">
        <v>320</v>
      </c>
      <c r="R59" s="277" t="s">
        <v>307</v>
      </c>
      <c r="S59" s="263"/>
    </row>
    <row r="60" spans="1:19" hidden="1">
      <c r="A60" s="275" t="s">
        <v>295</v>
      </c>
      <c r="B60" s="275">
        <v>2576.1799999999998</v>
      </c>
      <c r="C60" s="275">
        <v>3030.8</v>
      </c>
      <c r="D60" s="275">
        <v>1</v>
      </c>
      <c r="E60" s="275">
        <v>2</v>
      </c>
      <c r="F60" s="275" t="s">
        <v>307</v>
      </c>
      <c r="G60" s="266" t="s">
        <v>307</v>
      </c>
      <c r="H60" s="276" t="s">
        <v>43</v>
      </c>
      <c r="I60" s="283" t="s">
        <v>307</v>
      </c>
      <c r="J60" s="277" t="s">
        <v>307</v>
      </c>
      <c r="K60" s="277">
        <v>6.19</v>
      </c>
      <c r="L60" s="277" t="s">
        <v>381</v>
      </c>
      <c r="M60" s="266" t="s">
        <v>307</v>
      </c>
      <c r="N60" s="276" t="s">
        <v>296</v>
      </c>
      <c r="O60" s="304">
        <v>6.82</v>
      </c>
      <c r="P60" s="287" t="s">
        <v>307</v>
      </c>
      <c r="Q60" s="277" t="s">
        <v>382</v>
      </c>
      <c r="R60" s="286">
        <v>0.1</v>
      </c>
      <c r="S60" s="263"/>
    </row>
    <row r="61" spans="1:19" hidden="1">
      <c r="A61" s="267" t="s">
        <v>297</v>
      </c>
      <c r="B61" s="267">
        <v>500.65</v>
      </c>
      <c r="C61" s="267">
        <v>589</v>
      </c>
      <c r="D61" s="267"/>
      <c r="E61" s="267">
        <v>3</v>
      </c>
      <c r="F61" s="267"/>
      <c r="G61" s="266" t="s">
        <v>307</v>
      </c>
      <c r="H61" s="287" t="s">
        <v>39</v>
      </c>
      <c r="I61" s="278" t="s">
        <v>168</v>
      </c>
      <c r="J61" s="278">
        <v>1000276487</v>
      </c>
      <c r="K61" s="278">
        <v>2.6</v>
      </c>
      <c r="L61" s="278" t="s">
        <v>383</v>
      </c>
      <c r="M61" s="266" t="s">
        <v>307</v>
      </c>
      <c r="N61" s="287" t="s">
        <v>298</v>
      </c>
      <c r="O61" s="303">
        <v>4.1100000000000003</v>
      </c>
      <c r="P61" s="287">
        <v>2.1800000000000002</v>
      </c>
      <c r="Q61" s="277" t="s">
        <v>384</v>
      </c>
      <c r="R61" s="286">
        <v>0.57999999999999996</v>
      </c>
      <c r="S61" s="263"/>
    </row>
    <row r="62" spans="1:19" hidden="1">
      <c r="A62" s="275" t="s">
        <v>299</v>
      </c>
      <c r="B62" s="275">
        <v>75.650000000000006</v>
      </c>
      <c r="C62" s="275">
        <v>89</v>
      </c>
      <c r="D62" s="275" t="s">
        <v>307</v>
      </c>
      <c r="E62" s="275">
        <v>1</v>
      </c>
      <c r="F62" s="275" t="s">
        <v>307</v>
      </c>
      <c r="G62" s="266" t="s">
        <v>307</v>
      </c>
      <c r="H62" s="276" t="s">
        <v>51</v>
      </c>
      <c r="I62" s="283" t="s">
        <v>168</v>
      </c>
      <c r="J62" s="277">
        <v>10000276486</v>
      </c>
      <c r="K62" s="277">
        <v>1.77</v>
      </c>
      <c r="L62" s="277" t="s">
        <v>385</v>
      </c>
      <c r="M62" s="266" t="s">
        <v>307</v>
      </c>
      <c r="N62" s="276" t="s">
        <v>226</v>
      </c>
      <c r="O62" s="304">
        <v>2.31</v>
      </c>
      <c r="P62" s="287">
        <v>1.83</v>
      </c>
      <c r="Q62" s="277" t="s">
        <v>386</v>
      </c>
      <c r="R62" s="286">
        <v>0.31</v>
      </c>
      <c r="S62" s="263"/>
    </row>
    <row r="63" spans="1:19" hidden="1">
      <c r="A63" s="267" t="s">
        <v>300</v>
      </c>
      <c r="B63" s="267">
        <v>143.73500000000001</v>
      </c>
      <c r="C63" s="267">
        <v>169.1</v>
      </c>
      <c r="D63" s="267"/>
      <c r="E63" s="267">
        <v>1</v>
      </c>
      <c r="F63" s="267"/>
      <c r="G63" s="266" t="s">
        <v>307</v>
      </c>
      <c r="H63" s="287" t="s">
        <v>51</v>
      </c>
      <c r="I63" s="278" t="s">
        <v>168</v>
      </c>
      <c r="J63" s="278">
        <v>10000276486</v>
      </c>
      <c r="K63" s="278">
        <v>1.8</v>
      </c>
      <c r="L63" s="278" t="s">
        <v>387</v>
      </c>
      <c r="M63" s="266" t="s">
        <v>307</v>
      </c>
      <c r="N63" s="287" t="s">
        <v>226</v>
      </c>
      <c r="O63" s="303">
        <v>2.31</v>
      </c>
      <c r="P63" s="287">
        <v>1.83</v>
      </c>
      <c r="Q63" s="277" t="s">
        <v>388</v>
      </c>
      <c r="R63" s="286">
        <v>0.28000000000000003</v>
      </c>
      <c r="S63" s="263"/>
    </row>
    <row r="64" spans="1:19" hidden="1">
      <c r="A64" s="275" t="s">
        <v>227</v>
      </c>
      <c r="B64" s="275">
        <v>4278.5600000000004</v>
      </c>
      <c r="C64" s="275">
        <v>5033.6000000000004</v>
      </c>
      <c r="D64" s="275">
        <v>2</v>
      </c>
      <c r="E64" s="275">
        <v>3</v>
      </c>
      <c r="F64" s="275" t="s">
        <v>307</v>
      </c>
      <c r="G64" s="266" t="s">
        <v>307</v>
      </c>
      <c r="H64" s="276" t="s">
        <v>229</v>
      </c>
      <c r="I64" s="283" t="s">
        <v>168</v>
      </c>
      <c r="J64" s="277">
        <v>1000276487</v>
      </c>
      <c r="K64" s="277">
        <v>2.64</v>
      </c>
      <c r="L64" s="277" t="s">
        <v>389</v>
      </c>
      <c r="M64" s="266" t="s">
        <v>307</v>
      </c>
      <c r="N64" s="276" t="s">
        <v>230</v>
      </c>
      <c r="O64" s="304">
        <v>4.1100000000000003</v>
      </c>
      <c r="P64" s="287">
        <v>2.1800000000000002</v>
      </c>
      <c r="Q64" s="277" t="s">
        <v>390</v>
      </c>
      <c r="R64" s="286">
        <v>0.56000000000000005</v>
      </c>
      <c r="S64" s="263"/>
    </row>
    <row r="65" spans="1:19" hidden="1">
      <c r="A65" s="293" t="s">
        <v>307</v>
      </c>
      <c r="B65" s="293" t="s">
        <v>307</v>
      </c>
      <c r="C65" s="293" t="s">
        <v>307</v>
      </c>
      <c r="D65" s="293" t="s">
        <v>307</v>
      </c>
      <c r="E65" s="293" t="s">
        <v>307</v>
      </c>
      <c r="F65" s="293" t="s">
        <v>307</v>
      </c>
      <c r="G65" s="266" t="s">
        <v>307</v>
      </c>
      <c r="H65" s="279" t="s">
        <v>307</v>
      </c>
      <c r="I65" s="308" t="s">
        <v>307</v>
      </c>
      <c r="J65" s="280" t="s">
        <v>307</v>
      </c>
      <c r="K65" s="294" t="s">
        <v>234</v>
      </c>
      <c r="L65" s="296" t="s">
        <v>391</v>
      </c>
      <c r="M65" s="309" t="s">
        <v>307</v>
      </c>
      <c r="N65" s="279" t="s">
        <v>307</v>
      </c>
      <c r="O65" s="281" t="s">
        <v>307</v>
      </c>
      <c r="P65" s="276" t="s">
        <v>234</v>
      </c>
      <c r="Q65" s="296" t="s">
        <v>392</v>
      </c>
      <c r="R65" s="310">
        <v>-0.17</v>
      </c>
      <c r="S65" s="263"/>
    </row>
    <row r="66" spans="1:19" hidden="1">
      <c r="A66" s="263"/>
      <c r="B66" s="263"/>
      <c r="C66" s="263"/>
      <c r="D66" s="263"/>
      <c r="E66" s="263"/>
      <c r="F66" s="263"/>
      <c r="G66" s="263"/>
      <c r="H66" s="263"/>
      <c r="I66" s="263"/>
      <c r="J66" s="263"/>
      <c r="K66" s="263"/>
      <c r="L66" s="263"/>
      <c r="M66" s="263"/>
      <c r="N66" s="263"/>
      <c r="O66" s="263"/>
      <c r="P66" s="263"/>
      <c r="Q66" s="263"/>
      <c r="R66" s="263"/>
      <c r="S66" s="263"/>
    </row>
    <row r="67" spans="1:19" hidden="1">
      <c r="A67" s="263"/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263"/>
      <c r="S67" s="263"/>
    </row>
    <row r="68" spans="1:19" hidden="1">
      <c r="A68" s="299" t="s">
        <v>98</v>
      </c>
      <c r="B68" s="299">
        <v>52003.85</v>
      </c>
      <c r="C68" s="300">
        <v>61181</v>
      </c>
      <c r="D68" s="300">
        <v>148</v>
      </c>
      <c r="E68" s="300">
        <v>157</v>
      </c>
      <c r="F68" s="300" t="s">
        <v>307</v>
      </c>
      <c r="G68" s="266" t="s">
        <v>307</v>
      </c>
      <c r="H68" s="325" t="s">
        <v>98</v>
      </c>
      <c r="I68" s="326"/>
      <c r="J68" s="326"/>
      <c r="K68" s="326"/>
      <c r="L68" s="326"/>
      <c r="M68" s="326"/>
      <c r="N68" s="326"/>
      <c r="O68" s="326"/>
      <c r="P68" s="326"/>
      <c r="Q68" s="326"/>
      <c r="R68" s="326"/>
      <c r="S68" s="263"/>
    </row>
    <row r="69" spans="1:19" hidden="1">
      <c r="A69" s="267" t="s">
        <v>166</v>
      </c>
      <c r="B69" s="267">
        <v>4250</v>
      </c>
      <c r="C69" s="293">
        <v>5000</v>
      </c>
      <c r="D69" s="293" t="s">
        <v>307</v>
      </c>
      <c r="E69" s="293" t="s">
        <v>307</v>
      </c>
      <c r="F69" s="293" t="s">
        <v>307</v>
      </c>
      <c r="G69" s="266" t="s">
        <v>307</v>
      </c>
      <c r="H69" s="270" t="s">
        <v>167</v>
      </c>
      <c r="I69" s="311" t="s">
        <v>168</v>
      </c>
      <c r="J69" s="311" t="s">
        <v>307</v>
      </c>
      <c r="K69" s="269">
        <v>8.08</v>
      </c>
      <c r="L69" s="269" t="s">
        <v>393</v>
      </c>
      <c r="M69" s="266" t="s">
        <v>307</v>
      </c>
      <c r="N69" s="270" t="s">
        <v>307</v>
      </c>
      <c r="O69" s="311" t="s">
        <v>307</v>
      </c>
      <c r="P69" s="311" t="s">
        <v>307</v>
      </c>
      <c r="Q69" s="273" t="s">
        <v>311</v>
      </c>
      <c r="R69" s="274">
        <v>-1</v>
      </c>
      <c r="S69" s="263"/>
    </row>
    <row r="70" spans="1:19" hidden="1">
      <c r="A70" s="275" t="s">
        <v>166</v>
      </c>
      <c r="B70" s="275">
        <v>2550</v>
      </c>
      <c r="C70" s="275">
        <v>3000</v>
      </c>
      <c r="D70" s="275">
        <v>53</v>
      </c>
      <c r="E70" s="275">
        <v>12</v>
      </c>
      <c r="F70" s="275" t="s">
        <v>307</v>
      </c>
      <c r="G70" s="266" t="s">
        <v>307</v>
      </c>
      <c r="H70" s="276" t="s">
        <v>236</v>
      </c>
      <c r="I70" s="277" t="s">
        <v>172</v>
      </c>
      <c r="J70" s="277" t="s">
        <v>307</v>
      </c>
      <c r="K70" s="277">
        <v>9.4700000000000006</v>
      </c>
      <c r="L70" s="278" t="s">
        <v>394</v>
      </c>
      <c r="M70" s="266" t="s">
        <v>307</v>
      </c>
      <c r="N70" s="276" t="s">
        <v>237</v>
      </c>
      <c r="O70" s="277">
        <v>4.5</v>
      </c>
      <c r="P70" s="278">
        <v>2.31</v>
      </c>
      <c r="Q70" s="277" t="s">
        <v>395</v>
      </c>
      <c r="R70" s="312">
        <v>-0.6</v>
      </c>
      <c r="S70" s="263"/>
    </row>
    <row r="71" spans="1:19" hidden="1">
      <c r="A71" s="267" t="s">
        <v>173</v>
      </c>
      <c r="B71" s="267">
        <v>1113.5</v>
      </c>
      <c r="C71" s="267">
        <v>1310</v>
      </c>
      <c r="D71" s="267"/>
      <c r="E71" s="267">
        <v>2</v>
      </c>
      <c r="F71" s="267"/>
      <c r="G71" s="266" t="s">
        <v>307</v>
      </c>
      <c r="H71" s="287" t="s">
        <v>44</v>
      </c>
      <c r="I71" s="278" t="s">
        <v>168</v>
      </c>
      <c r="J71" s="278" t="s">
        <v>307</v>
      </c>
      <c r="K71" s="278">
        <v>10.11</v>
      </c>
      <c r="L71" s="278" t="s">
        <v>396</v>
      </c>
      <c r="M71" s="266" t="s">
        <v>307</v>
      </c>
      <c r="N71" s="287" t="s">
        <v>238</v>
      </c>
      <c r="O71" s="278">
        <v>9.25</v>
      </c>
      <c r="P71" s="278">
        <v>5.07</v>
      </c>
      <c r="Q71" s="283" t="s">
        <v>397</v>
      </c>
      <c r="R71" s="312">
        <v>-0.09</v>
      </c>
      <c r="S71" s="263"/>
    </row>
    <row r="72" spans="1:19" hidden="1">
      <c r="A72" s="275" t="s">
        <v>239</v>
      </c>
      <c r="B72" s="275">
        <v>1042.0999999999999</v>
      </c>
      <c r="C72" s="275">
        <v>1226</v>
      </c>
      <c r="D72" s="275" t="s">
        <v>307</v>
      </c>
      <c r="E72" s="275">
        <v>2</v>
      </c>
      <c r="F72" s="275" t="s">
        <v>307</v>
      </c>
      <c r="G72" s="266" t="s">
        <v>307</v>
      </c>
      <c r="H72" s="276" t="s">
        <v>240</v>
      </c>
      <c r="I72" s="277" t="s">
        <v>172</v>
      </c>
      <c r="J72" s="277" t="s">
        <v>307</v>
      </c>
      <c r="K72" s="277">
        <v>6.46</v>
      </c>
      <c r="L72" s="278" t="s">
        <v>398</v>
      </c>
      <c r="M72" s="266" t="s">
        <v>307</v>
      </c>
      <c r="N72" s="276" t="s">
        <v>177</v>
      </c>
      <c r="O72" s="277">
        <v>3.25</v>
      </c>
      <c r="P72" s="278">
        <v>2.34</v>
      </c>
      <c r="Q72" s="283" t="s">
        <v>399</v>
      </c>
      <c r="R72" s="312">
        <v>-0.5</v>
      </c>
      <c r="S72" s="263"/>
    </row>
    <row r="73" spans="1:19">
      <c r="A73" s="267" t="s">
        <v>175</v>
      </c>
      <c r="B73" s="267">
        <v>68</v>
      </c>
      <c r="C73" s="267">
        <v>80</v>
      </c>
      <c r="D73" s="267"/>
      <c r="E73" s="267">
        <v>2</v>
      </c>
      <c r="F73" s="267"/>
      <c r="G73" s="266" t="s">
        <v>307</v>
      </c>
      <c r="H73" s="287" t="s">
        <v>176</v>
      </c>
      <c r="I73" s="278" t="s">
        <v>172</v>
      </c>
      <c r="J73" s="278" t="s">
        <v>307</v>
      </c>
      <c r="K73" s="307">
        <v>4</v>
      </c>
      <c r="L73" s="278" t="s">
        <v>400</v>
      </c>
      <c r="M73" s="266" t="s">
        <v>307</v>
      </c>
      <c r="N73" s="287" t="s">
        <v>241</v>
      </c>
      <c r="O73" s="278">
        <v>6.61</v>
      </c>
      <c r="P73" s="278">
        <v>4.0999999999999996</v>
      </c>
      <c r="Q73" s="283" t="s">
        <v>401</v>
      </c>
      <c r="R73" s="313">
        <v>0.65</v>
      </c>
      <c r="S73" s="263"/>
    </row>
    <row r="74" spans="1:19" hidden="1">
      <c r="A74" s="275" t="s">
        <v>178</v>
      </c>
      <c r="B74" s="275">
        <v>2618</v>
      </c>
      <c r="C74" s="275">
        <v>3080</v>
      </c>
      <c r="D74" s="275" t="s">
        <v>307</v>
      </c>
      <c r="E74" s="275">
        <v>4</v>
      </c>
      <c r="F74" s="275" t="s">
        <v>307</v>
      </c>
      <c r="G74" s="266" t="s">
        <v>307</v>
      </c>
      <c r="H74" s="276" t="s">
        <v>52</v>
      </c>
      <c r="I74" s="277" t="s">
        <v>168</v>
      </c>
      <c r="J74" s="277" t="s">
        <v>307</v>
      </c>
      <c r="K74" s="277">
        <v>5.12</v>
      </c>
      <c r="L74" s="278" t="s">
        <v>316</v>
      </c>
      <c r="M74" s="266" t="s">
        <v>307</v>
      </c>
      <c r="N74" s="276" t="s">
        <v>179</v>
      </c>
      <c r="O74" s="277">
        <v>2.74</v>
      </c>
      <c r="P74" s="278">
        <v>1.5</v>
      </c>
      <c r="Q74" s="283" t="s">
        <v>317</v>
      </c>
      <c r="R74" s="312">
        <v>-0.46</v>
      </c>
      <c r="S74" s="263"/>
    </row>
    <row r="75" spans="1:19" hidden="1">
      <c r="A75" s="267" t="s">
        <v>180</v>
      </c>
      <c r="B75" s="267">
        <v>1970.3</v>
      </c>
      <c r="C75" s="267">
        <v>2318</v>
      </c>
      <c r="D75" s="267">
        <v>7</v>
      </c>
      <c r="E75" s="267">
        <v>15</v>
      </c>
      <c r="F75" s="267"/>
      <c r="G75" s="266" t="s">
        <v>307</v>
      </c>
      <c r="H75" s="287" t="s">
        <v>240</v>
      </c>
      <c r="I75" s="278" t="s">
        <v>172</v>
      </c>
      <c r="J75" s="278" t="s">
        <v>307</v>
      </c>
      <c r="K75" s="278">
        <v>6.46</v>
      </c>
      <c r="L75" s="278" t="s">
        <v>402</v>
      </c>
      <c r="M75" s="266" t="s">
        <v>307</v>
      </c>
      <c r="N75" s="287" t="s">
        <v>241</v>
      </c>
      <c r="O75" s="278">
        <v>6.61</v>
      </c>
      <c r="P75" s="278">
        <v>4.0999999999999996</v>
      </c>
      <c r="Q75" s="283" t="s">
        <v>403</v>
      </c>
      <c r="R75" s="313">
        <v>0.02</v>
      </c>
      <c r="S75" s="263"/>
    </row>
    <row r="76" spans="1:19">
      <c r="A76" s="275" t="s">
        <v>187</v>
      </c>
      <c r="B76" s="275">
        <v>680</v>
      </c>
      <c r="C76" s="275">
        <v>800</v>
      </c>
      <c r="D76" s="275">
        <v>1</v>
      </c>
      <c r="E76" s="275">
        <v>2</v>
      </c>
      <c r="F76" s="275" t="s">
        <v>307</v>
      </c>
      <c r="G76" s="266" t="s">
        <v>307</v>
      </c>
      <c r="H76" s="276" t="s">
        <v>307</v>
      </c>
      <c r="I76" s="277" t="s">
        <v>307</v>
      </c>
      <c r="J76" s="277" t="s">
        <v>307</v>
      </c>
      <c r="K76" s="285">
        <v>1.5</v>
      </c>
      <c r="L76" s="278" t="s">
        <v>404</v>
      </c>
      <c r="M76" s="266" t="s">
        <v>307</v>
      </c>
      <c r="N76" s="276" t="s">
        <v>188</v>
      </c>
      <c r="O76" s="277">
        <v>1.51</v>
      </c>
      <c r="P76" s="307">
        <v>0.97</v>
      </c>
      <c r="Q76" s="283" t="s">
        <v>405</v>
      </c>
      <c r="R76" s="313">
        <v>0.01</v>
      </c>
      <c r="S76" s="263"/>
    </row>
    <row r="77" spans="1:19" hidden="1">
      <c r="A77" s="267" t="s">
        <v>190</v>
      </c>
      <c r="B77" s="267">
        <v>0</v>
      </c>
      <c r="C77" s="267">
        <v>0</v>
      </c>
      <c r="D77" s="267"/>
      <c r="E77" s="267">
        <v>4</v>
      </c>
      <c r="F77" s="267"/>
      <c r="G77" s="266" t="s">
        <v>307</v>
      </c>
      <c r="H77" s="287" t="s">
        <v>307</v>
      </c>
      <c r="I77" s="278" t="s">
        <v>307</v>
      </c>
      <c r="J77" s="278" t="s">
        <v>307</v>
      </c>
      <c r="K77" s="278" t="s">
        <v>307</v>
      </c>
      <c r="L77" s="278" t="s">
        <v>320</v>
      </c>
      <c r="M77" s="266" t="s">
        <v>307</v>
      </c>
      <c r="N77" s="287" t="s">
        <v>307</v>
      </c>
      <c r="O77" s="278" t="s">
        <v>307</v>
      </c>
      <c r="P77" s="278" t="s">
        <v>307</v>
      </c>
      <c r="Q77" s="283" t="s">
        <v>320</v>
      </c>
      <c r="R77" s="283" t="s">
        <v>307</v>
      </c>
      <c r="S77" s="263"/>
    </row>
    <row r="78" spans="1:19">
      <c r="A78" s="275" t="s">
        <v>193</v>
      </c>
      <c r="B78" s="275">
        <v>267.75</v>
      </c>
      <c r="C78" s="275">
        <v>315</v>
      </c>
      <c r="D78" s="275">
        <v>1</v>
      </c>
      <c r="E78" s="275">
        <v>4</v>
      </c>
      <c r="F78" s="275" t="s">
        <v>191</v>
      </c>
      <c r="G78" s="266" t="s">
        <v>307</v>
      </c>
      <c r="H78" s="276" t="s">
        <v>192</v>
      </c>
      <c r="I78" s="277" t="s">
        <v>168</v>
      </c>
      <c r="J78" s="277" t="s">
        <v>307</v>
      </c>
      <c r="K78" s="285">
        <v>3</v>
      </c>
      <c r="L78" s="278" t="s">
        <v>406</v>
      </c>
      <c r="M78" s="266" t="s">
        <v>307</v>
      </c>
      <c r="N78" s="276" t="s">
        <v>191</v>
      </c>
      <c r="O78" s="277">
        <v>4.3899999999999997</v>
      </c>
      <c r="P78" s="278">
        <v>3.78</v>
      </c>
      <c r="Q78" s="283" t="s">
        <v>407</v>
      </c>
      <c r="R78" s="313">
        <v>0.46</v>
      </c>
      <c r="S78" s="263"/>
    </row>
    <row r="79" spans="1:19">
      <c r="A79" s="267" t="s">
        <v>195</v>
      </c>
      <c r="B79" s="267">
        <v>775.2</v>
      </c>
      <c r="C79" s="267">
        <v>912</v>
      </c>
      <c r="D79" s="267">
        <v>8</v>
      </c>
      <c r="E79" s="267">
        <v>15</v>
      </c>
      <c r="F79" s="267"/>
      <c r="G79" s="266" t="s">
        <v>307</v>
      </c>
      <c r="H79" s="287" t="s">
        <v>196</v>
      </c>
      <c r="I79" s="278" t="s">
        <v>172</v>
      </c>
      <c r="J79" s="278" t="s">
        <v>307</v>
      </c>
      <c r="K79" s="307">
        <v>3</v>
      </c>
      <c r="L79" s="278" t="s">
        <v>408</v>
      </c>
      <c r="M79" s="266" t="s">
        <v>307</v>
      </c>
      <c r="N79" s="287" t="s">
        <v>243</v>
      </c>
      <c r="O79" s="278">
        <v>5.07</v>
      </c>
      <c r="P79" s="278">
        <v>2.67</v>
      </c>
      <c r="Q79" s="283" t="s">
        <v>409</v>
      </c>
      <c r="R79" s="313">
        <v>0.69</v>
      </c>
      <c r="S79" s="263"/>
    </row>
    <row r="80" spans="1:19">
      <c r="A80" s="275" t="s">
        <v>244</v>
      </c>
      <c r="B80" s="275">
        <v>1715.3</v>
      </c>
      <c r="C80" s="275">
        <v>2018</v>
      </c>
      <c r="D80" s="275">
        <v>2</v>
      </c>
      <c r="E80" s="275">
        <v>3</v>
      </c>
      <c r="F80" s="275" t="s">
        <v>245</v>
      </c>
      <c r="G80" s="266" t="s">
        <v>307</v>
      </c>
      <c r="H80" s="276" t="s">
        <v>196</v>
      </c>
      <c r="I80" s="277" t="s">
        <v>172</v>
      </c>
      <c r="J80" s="277" t="s">
        <v>307</v>
      </c>
      <c r="K80" s="285">
        <v>4.5</v>
      </c>
      <c r="L80" s="278" t="s">
        <v>410</v>
      </c>
      <c r="M80" s="266" t="s">
        <v>307</v>
      </c>
      <c r="N80" s="276" t="s">
        <v>246</v>
      </c>
      <c r="O80" s="277">
        <v>6.61</v>
      </c>
      <c r="P80" s="278">
        <v>5.05</v>
      </c>
      <c r="Q80" s="283" t="s">
        <v>411</v>
      </c>
      <c r="R80" s="313">
        <v>0.47</v>
      </c>
      <c r="S80" s="263"/>
    </row>
    <row r="81" spans="1:19">
      <c r="A81" s="267" t="s">
        <v>247</v>
      </c>
      <c r="B81" s="267">
        <v>6603.65</v>
      </c>
      <c r="C81" s="267">
        <v>7769</v>
      </c>
      <c r="D81" s="267">
        <v>2</v>
      </c>
      <c r="E81" s="267">
        <v>10</v>
      </c>
      <c r="F81" s="267"/>
      <c r="G81" s="266" t="s">
        <v>307</v>
      </c>
      <c r="H81" s="287" t="s">
        <v>171</v>
      </c>
      <c r="I81" s="278" t="s">
        <v>172</v>
      </c>
      <c r="J81" s="278" t="s">
        <v>307</v>
      </c>
      <c r="K81" s="307">
        <v>3</v>
      </c>
      <c r="L81" s="278" t="s">
        <v>412</v>
      </c>
      <c r="M81" s="266" t="s">
        <v>307</v>
      </c>
      <c r="N81" s="287" t="s">
        <v>170</v>
      </c>
      <c r="O81" s="278">
        <v>3.89</v>
      </c>
      <c r="P81" s="278">
        <v>3.14</v>
      </c>
      <c r="Q81" s="283" t="s">
        <v>413</v>
      </c>
      <c r="R81" s="313">
        <v>0.3</v>
      </c>
      <c r="S81" s="263"/>
    </row>
    <row r="82" spans="1:19" hidden="1">
      <c r="A82" s="275" t="s">
        <v>200</v>
      </c>
      <c r="B82" s="275">
        <v>2196.4</v>
      </c>
      <c r="C82" s="275">
        <v>2584</v>
      </c>
      <c r="D82" s="275" t="s">
        <v>307</v>
      </c>
      <c r="E82" s="275">
        <v>7</v>
      </c>
      <c r="F82" s="275" t="s">
        <v>307</v>
      </c>
      <c r="G82" s="266" t="s">
        <v>307</v>
      </c>
      <c r="H82" s="276" t="s">
        <v>207</v>
      </c>
      <c r="I82" s="277" t="s">
        <v>172</v>
      </c>
      <c r="J82" s="277" t="s">
        <v>307</v>
      </c>
      <c r="K82" s="277">
        <v>5.31</v>
      </c>
      <c r="L82" s="278" t="s">
        <v>414</v>
      </c>
      <c r="M82" s="266" t="s">
        <v>307</v>
      </c>
      <c r="N82" s="276" t="s">
        <v>208</v>
      </c>
      <c r="O82" s="277">
        <v>4.0199999999999996</v>
      </c>
      <c r="P82" s="278">
        <v>1.9</v>
      </c>
      <c r="Q82" s="283" t="s">
        <v>415</v>
      </c>
      <c r="R82" s="312">
        <v>-0.24</v>
      </c>
      <c r="S82" s="263"/>
    </row>
    <row r="83" spans="1:19" hidden="1">
      <c r="A83" s="267" t="s">
        <v>202</v>
      </c>
      <c r="B83" s="267">
        <v>15476.8</v>
      </c>
      <c r="C83" s="267">
        <v>18208</v>
      </c>
      <c r="D83" s="267">
        <v>70</v>
      </c>
      <c r="E83" s="267">
        <v>35</v>
      </c>
      <c r="F83" s="267" t="s">
        <v>204</v>
      </c>
      <c r="G83" s="266" t="s">
        <v>307</v>
      </c>
      <c r="H83" s="287" t="s">
        <v>203</v>
      </c>
      <c r="I83" s="278" t="s">
        <v>307</v>
      </c>
      <c r="J83" s="278" t="s">
        <v>307</v>
      </c>
      <c r="K83" s="278">
        <v>2.97</v>
      </c>
      <c r="L83" s="278" t="s">
        <v>416</v>
      </c>
      <c r="M83" s="266" t="s">
        <v>307</v>
      </c>
      <c r="N83" s="287" t="s">
        <v>204</v>
      </c>
      <c r="O83" s="278">
        <v>4.2</v>
      </c>
      <c r="P83" s="278">
        <v>3.06</v>
      </c>
      <c r="Q83" s="283" t="s">
        <v>417</v>
      </c>
      <c r="R83" s="312">
        <v>0.41</v>
      </c>
      <c r="S83" s="263"/>
    </row>
    <row r="84" spans="1:19" hidden="1">
      <c r="A84" s="275" t="s">
        <v>248</v>
      </c>
      <c r="B84" s="275">
        <v>0</v>
      </c>
      <c r="C84" s="275">
        <v>0</v>
      </c>
      <c r="D84" s="275" t="s">
        <v>307</v>
      </c>
      <c r="E84" s="275">
        <v>4</v>
      </c>
      <c r="F84" s="275" t="s">
        <v>307</v>
      </c>
      <c r="G84" s="266" t="s">
        <v>307</v>
      </c>
      <c r="H84" s="276" t="s">
        <v>307</v>
      </c>
      <c r="I84" s="277" t="s">
        <v>307</v>
      </c>
      <c r="J84" s="277" t="s">
        <v>307</v>
      </c>
      <c r="K84" s="277" t="s">
        <v>307</v>
      </c>
      <c r="L84" s="278" t="s">
        <v>320</v>
      </c>
      <c r="M84" s="266" t="s">
        <v>307</v>
      </c>
      <c r="N84" s="276" t="s">
        <v>249</v>
      </c>
      <c r="O84" s="277">
        <v>1.41</v>
      </c>
      <c r="P84" s="278">
        <v>1.22</v>
      </c>
      <c r="Q84" s="283" t="s">
        <v>320</v>
      </c>
      <c r="R84" s="283" t="s">
        <v>307</v>
      </c>
      <c r="S84" s="263"/>
    </row>
    <row r="85" spans="1:19" hidden="1">
      <c r="A85" s="267" t="s">
        <v>205</v>
      </c>
      <c r="B85" s="267">
        <v>4547.5</v>
      </c>
      <c r="C85" s="267">
        <v>5350</v>
      </c>
      <c r="D85" s="267">
        <v>3</v>
      </c>
      <c r="E85" s="267">
        <v>9</v>
      </c>
      <c r="F85" s="267"/>
      <c r="G85" s="266" t="s">
        <v>307</v>
      </c>
      <c r="H85" s="287" t="s">
        <v>250</v>
      </c>
      <c r="I85" s="278" t="s">
        <v>172</v>
      </c>
      <c r="J85" s="278" t="s">
        <v>307</v>
      </c>
      <c r="K85" s="278">
        <v>5.58</v>
      </c>
      <c r="L85" s="278" t="s">
        <v>418</v>
      </c>
      <c r="M85" s="266" t="s">
        <v>307</v>
      </c>
      <c r="N85" s="287" t="s">
        <v>208</v>
      </c>
      <c r="O85" s="278">
        <v>4.0199999999999996</v>
      </c>
      <c r="P85" s="278">
        <v>1.9</v>
      </c>
      <c r="Q85" s="283" t="s">
        <v>419</v>
      </c>
      <c r="R85" s="312">
        <v>-0.28000000000000003</v>
      </c>
      <c r="S85" s="263"/>
    </row>
    <row r="86" spans="1:19">
      <c r="A86" s="275" t="s">
        <v>251</v>
      </c>
      <c r="B86" s="275">
        <v>680</v>
      </c>
      <c r="C86" s="275">
        <v>800</v>
      </c>
      <c r="D86" s="275" t="s">
        <v>307</v>
      </c>
      <c r="E86" s="275">
        <v>1</v>
      </c>
      <c r="F86" s="275" t="s">
        <v>216</v>
      </c>
      <c r="G86" s="266" t="s">
        <v>307</v>
      </c>
      <c r="H86" s="276" t="s">
        <v>307</v>
      </c>
      <c r="I86" s="277" t="s">
        <v>307</v>
      </c>
      <c r="J86" s="277" t="s">
        <v>307</v>
      </c>
      <c r="K86" s="285">
        <v>2.5</v>
      </c>
      <c r="L86" s="278" t="s">
        <v>420</v>
      </c>
      <c r="M86" s="266" t="s">
        <v>307</v>
      </c>
      <c r="N86" s="276" t="s">
        <v>216</v>
      </c>
      <c r="O86" s="277">
        <v>3.77</v>
      </c>
      <c r="P86" s="278">
        <v>1.56</v>
      </c>
      <c r="Q86" s="283" t="s">
        <v>421</v>
      </c>
      <c r="R86" s="313">
        <v>0.51</v>
      </c>
      <c r="S86" s="263"/>
    </row>
    <row r="87" spans="1:19" hidden="1">
      <c r="A87" s="267" t="s">
        <v>219</v>
      </c>
      <c r="B87" s="267">
        <v>824.5</v>
      </c>
      <c r="C87" s="267">
        <v>970</v>
      </c>
      <c r="D87" s="267">
        <v>1</v>
      </c>
      <c r="E87" s="267">
        <v>4</v>
      </c>
      <c r="F87" s="267" t="s">
        <v>220</v>
      </c>
      <c r="G87" s="266" t="s">
        <v>307</v>
      </c>
      <c r="H87" s="287" t="s">
        <v>307</v>
      </c>
      <c r="I87" s="278" t="s">
        <v>307</v>
      </c>
      <c r="J87" s="278" t="s">
        <v>307</v>
      </c>
      <c r="K87" s="278" t="s">
        <v>307</v>
      </c>
      <c r="L87" s="278" t="s">
        <v>320</v>
      </c>
      <c r="M87" s="266" t="s">
        <v>307</v>
      </c>
      <c r="N87" s="287" t="s">
        <v>307</v>
      </c>
      <c r="O87" s="278" t="s">
        <v>307</v>
      </c>
      <c r="P87" s="278" t="s">
        <v>307</v>
      </c>
      <c r="Q87" s="283" t="s">
        <v>320</v>
      </c>
      <c r="R87" s="283" t="s">
        <v>307</v>
      </c>
      <c r="S87" s="263"/>
    </row>
    <row r="88" spans="1:19" hidden="1">
      <c r="A88" s="275" t="s">
        <v>221</v>
      </c>
      <c r="B88" s="275">
        <v>0</v>
      </c>
      <c r="C88" s="275">
        <v>0</v>
      </c>
      <c r="D88" s="275" t="s">
        <v>307</v>
      </c>
      <c r="E88" s="275">
        <v>4</v>
      </c>
      <c r="F88" s="275" t="s">
        <v>307</v>
      </c>
      <c r="G88" s="266" t="s">
        <v>307</v>
      </c>
      <c r="H88" s="276" t="s">
        <v>307</v>
      </c>
      <c r="I88" s="277" t="s">
        <v>307</v>
      </c>
      <c r="J88" s="277" t="s">
        <v>307</v>
      </c>
      <c r="K88" s="277" t="s">
        <v>307</v>
      </c>
      <c r="L88" s="278" t="s">
        <v>320</v>
      </c>
      <c r="M88" s="266" t="s">
        <v>307</v>
      </c>
      <c r="N88" s="276" t="s">
        <v>307</v>
      </c>
      <c r="O88" s="277" t="s">
        <v>307</v>
      </c>
      <c r="P88" s="278" t="s">
        <v>307</v>
      </c>
      <c r="Q88" s="283" t="s">
        <v>320</v>
      </c>
      <c r="R88" s="283" t="s">
        <v>307</v>
      </c>
      <c r="S88" s="263"/>
    </row>
    <row r="89" spans="1:19" hidden="1">
      <c r="A89" s="267" t="s">
        <v>224</v>
      </c>
      <c r="B89" s="267">
        <v>4046</v>
      </c>
      <c r="C89" s="267">
        <v>4760</v>
      </c>
      <c r="D89" s="267"/>
      <c r="E89" s="267">
        <v>12</v>
      </c>
      <c r="F89" s="267" t="s">
        <v>225</v>
      </c>
      <c r="G89" s="266" t="s">
        <v>307</v>
      </c>
      <c r="H89" s="276" t="s">
        <v>51</v>
      </c>
      <c r="I89" s="278" t="s">
        <v>168</v>
      </c>
      <c r="J89" s="278" t="s">
        <v>307</v>
      </c>
      <c r="K89" s="278">
        <v>1.77</v>
      </c>
      <c r="L89" s="278" t="s">
        <v>422</v>
      </c>
      <c r="M89" s="266" t="s">
        <v>307</v>
      </c>
      <c r="N89" s="287" t="s">
        <v>226</v>
      </c>
      <c r="O89" s="278">
        <v>2.31</v>
      </c>
      <c r="P89" s="278">
        <v>1.83</v>
      </c>
      <c r="Q89" s="283" t="s">
        <v>423</v>
      </c>
      <c r="R89" s="313">
        <v>0.31</v>
      </c>
      <c r="S89" s="263"/>
    </row>
    <row r="90" spans="1:19" hidden="1">
      <c r="A90" s="314" t="s">
        <v>227</v>
      </c>
      <c r="B90" s="314">
        <v>578</v>
      </c>
      <c r="C90" s="314">
        <v>680</v>
      </c>
      <c r="D90" s="314" t="s">
        <v>307</v>
      </c>
      <c r="E90" s="314">
        <v>6</v>
      </c>
      <c r="F90" s="314" t="s">
        <v>228</v>
      </c>
      <c r="G90" s="266" t="s">
        <v>307</v>
      </c>
      <c r="H90" s="287" t="s">
        <v>229</v>
      </c>
      <c r="I90" s="277" t="s">
        <v>168</v>
      </c>
      <c r="J90" s="277" t="s">
        <v>307</v>
      </c>
      <c r="K90" s="277">
        <v>2.64</v>
      </c>
      <c r="L90" s="278" t="s">
        <v>424</v>
      </c>
      <c r="M90" s="266" t="s">
        <v>307</v>
      </c>
      <c r="N90" s="276" t="s">
        <v>230</v>
      </c>
      <c r="O90" s="277">
        <v>4.1100000000000003</v>
      </c>
      <c r="P90" s="278">
        <v>2.1800000000000002</v>
      </c>
      <c r="Q90" s="283" t="s">
        <v>425</v>
      </c>
      <c r="R90" s="313">
        <v>0.56000000000000005</v>
      </c>
      <c r="S90" s="263"/>
    </row>
    <row r="91" spans="1:19" hidden="1">
      <c r="A91" s="267"/>
      <c r="B91" s="267">
        <v>0</v>
      </c>
      <c r="C91" s="267"/>
      <c r="D91" s="267"/>
      <c r="E91" s="267"/>
      <c r="F91" s="267"/>
      <c r="G91" s="267"/>
      <c r="H91" s="267"/>
      <c r="I91" s="275" t="s">
        <v>307</v>
      </c>
      <c r="J91" s="275" t="s">
        <v>307</v>
      </c>
      <c r="K91" s="294" t="s">
        <v>234</v>
      </c>
      <c r="L91" s="295" t="s">
        <v>426</v>
      </c>
      <c r="M91" s="267"/>
      <c r="N91" s="275" t="s">
        <v>307</v>
      </c>
      <c r="O91" s="275" t="s">
        <v>307</v>
      </c>
      <c r="P91" s="294" t="s">
        <v>234</v>
      </c>
      <c r="Q91" s="296" t="s">
        <v>427</v>
      </c>
      <c r="R91" s="315">
        <v>-0.06</v>
      </c>
      <c r="S91" s="263"/>
    </row>
    <row r="92" spans="1:19" hidden="1">
      <c r="A92" s="314" t="s">
        <v>307</v>
      </c>
      <c r="B92" s="314">
        <v>0</v>
      </c>
      <c r="C92" s="314" t="s">
        <v>307</v>
      </c>
      <c r="D92" s="314" t="s">
        <v>307</v>
      </c>
      <c r="E92" s="314" t="s">
        <v>307</v>
      </c>
      <c r="F92" s="314" t="s">
        <v>307</v>
      </c>
      <c r="G92" s="267"/>
      <c r="H92" s="316" t="s">
        <v>307</v>
      </c>
      <c r="I92" s="316" t="s">
        <v>307</v>
      </c>
      <c r="J92" s="316" t="s">
        <v>307</v>
      </c>
      <c r="K92" s="267"/>
      <c r="L92" s="267"/>
      <c r="M92" s="267"/>
      <c r="N92" s="316" t="s">
        <v>307</v>
      </c>
      <c r="O92" s="316" t="s">
        <v>307</v>
      </c>
      <c r="P92" s="316" t="s">
        <v>307</v>
      </c>
      <c r="Q92" s="267"/>
      <c r="R92" s="267"/>
      <c r="S92" s="263"/>
    </row>
    <row r="93" spans="1:19" hidden="1">
      <c r="A93" s="267"/>
      <c r="B93" s="267"/>
      <c r="C93" s="267"/>
      <c r="D93" s="267"/>
      <c r="E93" s="267"/>
      <c r="F93" s="267"/>
      <c r="G93" s="267"/>
      <c r="H93" s="267"/>
      <c r="I93" s="267"/>
      <c r="J93" s="267"/>
      <c r="K93" s="267"/>
      <c r="L93" s="267"/>
      <c r="M93" s="267"/>
      <c r="N93" s="267"/>
      <c r="O93" s="267"/>
      <c r="P93" s="267"/>
      <c r="Q93" s="267"/>
      <c r="R93" s="267"/>
      <c r="S93" s="263"/>
    </row>
    <row r="94" spans="1:19" hidden="1">
      <c r="A94" s="264" t="s">
        <v>100</v>
      </c>
      <c r="B94" s="264">
        <v>8659.7999999999993</v>
      </c>
      <c r="C94" s="265">
        <v>10188</v>
      </c>
      <c r="D94" s="265">
        <v>52</v>
      </c>
      <c r="E94" s="265">
        <v>41</v>
      </c>
      <c r="F94" s="265" t="s">
        <v>307</v>
      </c>
      <c r="G94" s="266" t="s">
        <v>307</v>
      </c>
      <c r="H94" s="325" t="s">
        <v>100</v>
      </c>
      <c r="I94" s="326"/>
      <c r="J94" s="326"/>
      <c r="K94" s="326"/>
      <c r="L94" s="326"/>
      <c r="M94" s="326"/>
      <c r="N94" s="326"/>
      <c r="O94" s="326"/>
      <c r="P94" s="326"/>
      <c r="Q94" s="326"/>
      <c r="R94" s="326"/>
      <c r="S94" s="263"/>
    </row>
    <row r="95" spans="1:19">
      <c r="A95" s="275" t="s">
        <v>166</v>
      </c>
      <c r="B95" s="275">
        <v>1857.25</v>
      </c>
      <c r="C95" s="275">
        <v>2185</v>
      </c>
      <c r="D95" s="275">
        <v>21</v>
      </c>
      <c r="E95" s="275">
        <v>8</v>
      </c>
      <c r="F95" s="275" t="s">
        <v>307</v>
      </c>
      <c r="G95" s="266" t="s">
        <v>307</v>
      </c>
      <c r="H95" s="268" t="s">
        <v>171</v>
      </c>
      <c r="I95" s="269" t="s">
        <v>172</v>
      </c>
      <c r="J95" s="269" t="s">
        <v>307</v>
      </c>
      <c r="K95" s="317">
        <v>9.4700000000000006</v>
      </c>
      <c r="L95" s="269" t="s">
        <v>428</v>
      </c>
      <c r="M95" s="266" t="s">
        <v>307</v>
      </c>
      <c r="N95" s="268" t="s">
        <v>301</v>
      </c>
      <c r="O95" s="269">
        <v>2.84</v>
      </c>
      <c r="P95" s="269">
        <v>1.88</v>
      </c>
      <c r="Q95" s="269" t="s">
        <v>429</v>
      </c>
      <c r="R95" s="318">
        <v>-0.7</v>
      </c>
      <c r="S95" s="263"/>
    </row>
    <row r="96" spans="1:19" hidden="1">
      <c r="A96" s="267" t="s">
        <v>173</v>
      </c>
      <c r="B96" s="267">
        <v>0</v>
      </c>
      <c r="C96" s="267">
        <v>0</v>
      </c>
      <c r="D96" s="267"/>
      <c r="E96" s="267">
        <v>2</v>
      </c>
      <c r="F96" s="267"/>
      <c r="G96" s="266" t="s">
        <v>307</v>
      </c>
      <c r="H96" s="276" t="s">
        <v>307</v>
      </c>
      <c r="I96" s="277" t="s">
        <v>307</v>
      </c>
      <c r="J96" s="277" t="s">
        <v>307</v>
      </c>
      <c r="K96" s="277" t="s">
        <v>307</v>
      </c>
      <c r="L96" s="277" t="s">
        <v>307</v>
      </c>
      <c r="M96" s="266" t="s">
        <v>307</v>
      </c>
      <c r="N96" s="276" t="s">
        <v>307</v>
      </c>
      <c r="O96" s="277" t="s">
        <v>307</v>
      </c>
      <c r="P96" s="278" t="s">
        <v>307</v>
      </c>
      <c r="Q96" s="278" t="s">
        <v>307</v>
      </c>
      <c r="R96" s="278" t="s">
        <v>307</v>
      </c>
      <c r="S96" s="263"/>
    </row>
    <row r="97" spans="1:19" hidden="1">
      <c r="A97" s="275" t="s">
        <v>178</v>
      </c>
      <c r="B97" s="275">
        <v>102</v>
      </c>
      <c r="C97" s="275">
        <v>120</v>
      </c>
      <c r="D97" s="275" t="s">
        <v>307</v>
      </c>
      <c r="E97" s="275">
        <v>4</v>
      </c>
      <c r="F97" s="275" t="s">
        <v>307</v>
      </c>
      <c r="G97" s="266" t="s">
        <v>307</v>
      </c>
      <c r="H97" s="287" t="s">
        <v>52</v>
      </c>
      <c r="I97" s="278" t="s">
        <v>168</v>
      </c>
      <c r="J97" s="278" t="s">
        <v>307</v>
      </c>
      <c r="K97" s="278">
        <v>5.12</v>
      </c>
      <c r="L97" s="278" t="s">
        <v>430</v>
      </c>
      <c r="M97" s="266" t="s">
        <v>307</v>
      </c>
      <c r="N97" s="287" t="s">
        <v>179</v>
      </c>
      <c r="O97" s="278">
        <v>2.74</v>
      </c>
      <c r="P97" s="278">
        <v>1.5</v>
      </c>
      <c r="Q97" s="278" t="s">
        <v>431</v>
      </c>
      <c r="R97" s="319">
        <v>-0.46</v>
      </c>
      <c r="S97" s="263"/>
    </row>
    <row r="98" spans="1:19" hidden="1">
      <c r="A98" s="267" t="s">
        <v>180</v>
      </c>
      <c r="B98" s="267">
        <v>4230.45</v>
      </c>
      <c r="C98" s="267">
        <v>4977</v>
      </c>
      <c r="D98" s="267">
        <v>9</v>
      </c>
      <c r="E98" s="267">
        <v>8</v>
      </c>
      <c r="F98" s="267"/>
      <c r="G98" s="266" t="s">
        <v>307</v>
      </c>
      <c r="H98" s="276" t="s">
        <v>240</v>
      </c>
      <c r="I98" s="277" t="s">
        <v>172</v>
      </c>
      <c r="J98" s="277" t="s">
        <v>307</v>
      </c>
      <c r="K98" s="277">
        <v>6.46</v>
      </c>
      <c r="L98" s="277" t="s">
        <v>432</v>
      </c>
      <c r="M98" s="266" t="s">
        <v>307</v>
      </c>
      <c r="N98" s="276" t="s">
        <v>182</v>
      </c>
      <c r="O98" s="277">
        <v>6.82</v>
      </c>
      <c r="P98" s="278">
        <v>4.03</v>
      </c>
      <c r="Q98" s="278" t="s">
        <v>433</v>
      </c>
      <c r="R98" s="320">
        <v>0.06</v>
      </c>
      <c r="S98" s="263"/>
    </row>
    <row r="99" spans="1:19">
      <c r="A99" s="275" t="s">
        <v>195</v>
      </c>
      <c r="B99" s="275">
        <v>999.6</v>
      </c>
      <c r="C99" s="275">
        <v>1176</v>
      </c>
      <c r="D99" s="275">
        <v>7</v>
      </c>
      <c r="E99" s="275">
        <v>4</v>
      </c>
      <c r="F99" s="275" t="s">
        <v>307</v>
      </c>
      <c r="G99" s="266" t="s">
        <v>307</v>
      </c>
      <c r="H99" s="287" t="s">
        <v>196</v>
      </c>
      <c r="I99" s="278" t="s">
        <v>172</v>
      </c>
      <c r="J99" s="278" t="s">
        <v>307</v>
      </c>
      <c r="K99" s="307">
        <v>4.5</v>
      </c>
      <c r="L99" s="278" t="s">
        <v>434</v>
      </c>
      <c r="M99" s="266" t="s">
        <v>307</v>
      </c>
      <c r="N99" s="287" t="s">
        <v>287</v>
      </c>
      <c r="O99" s="278">
        <v>7.2</v>
      </c>
      <c r="P99" s="278">
        <v>4.47</v>
      </c>
      <c r="Q99" s="278" t="s">
        <v>435</v>
      </c>
      <c r="R99" s="320">
        <v>0.6</v>
      </c>
      <c r="S99" s="263"/>
    </row>
    <row r="100" spans="1:19" hidden="1">
      <c r="A100" s="267" t="s">
        <v>202</v>
      </c>
      <c r="B100" s="267">
        <v>1017.45</v>
      </c>
      <c r="C100" s="267">
        <v>1197</v>
      </c>
      <c r="D100" s="267">
        <v>13</v>
      </c>
      <c r="E100" s="267">
        <v>6</v>
      </c>
      <c r="F100" s="267"/>
      <c r="G100" s="266" t="s">
        <v>307</v>
      </c>
      <c r="H100" s="276" t="s">
        <v>203</v>
      </c>
      <c r="I100" s="277" t="s">
        <v>172</v>
      </c>
      <c r="J100" s="277" t="s">
        <v>307</v>
      </c>
      <c r="K100" s="277">
        <v>2.97</v>
      </c>
      <c r="L100" s="277" t="s">
        <v>436</v>
      </c>
      <c r="M100" s="266" t="s">
        <v>307</v>
      </c>
      <c r="N100" s="276" t="s">
        <v>204</v>
      </c>
      <c r="O100" s="277">
        <v>4.2</v>
      </c>
      <c r="P100" s="278">
        <v>3.06</v>
      </c>
      <c r="Q100" s="278" t="s">
        <v>437</v>
      </c>
      <c r="R100" s="320">
        <v>0.41</v>
      </c>
      <c r="S100" s="263"/>
    </row>
    <row r="101" spans="1:19" hidden="1">
      <c r="A101" s="275" t="s">
        <v>205</v>
      </c>
      <c r="B101" s="275">
        <v>453.05</v>
      </c>
      <c r="C101" s="275">
        <v>533</v>
      </c>
      <c r="D101" s="275">
        <v>1</v>
      </c>
      <c r="E101" s="275">
        <v>7</v>
      </c>
      <c r="F101" s="275" t="s">
        <v>307</v>
      </c>
      <c r="G101" s="266" t="s">
        <v>307</v>
      </c>
      <c r="H101" s="287" t="s">
        <v>207</v>
      </c>
      <c r="I101" s="278" t="s">
        <v>172</v>
      </c>
      <c r="J101" s="278" t="s">
        <v>307</v>
      </c>
      <c r="K101" s="278">
        <v>5.31</v>
      </c>
      <c r="L101" s="278" t="s">
        <v>438</v>
      </c>
      <c r="M101" s="266" t="s">
        <v>307</v>
      </c>
      <c r="N101" s="287" t="s">
        <v>208</v>
      </c>
      <c r="O101" s="278">
        <v>4.0199999999999996</v>
      </c>
      <c r="P101" s="278">
        <v>1.9</v>
      </c>
      <c r="Q101" s="278" t="s">
        <v>439</v>
      </c>
      <c r="R101" s="319">
        <v>-0.24</v>
      </c>
      <c r="S101" s="263"/>
    </row>
    <row r="102" spans="1:19" hidden="1">
      <c r="A102" s="267" t="s">
        <v>289</v>
      </c>
      <c r="B102" s="267">
        <v>0</v>
      </c>
      <c r="C102" s="267">
        <v>0</v>
      </c>
      <c r="D102" s="267"/>
      <c r="E102" s="267">
        <v>2</v>
      </c>
      <c r="F102" s="267"/>
      <c r="G102" s="266" t="s">
        <v>307</v>
      </c>
      <c r="H102" s="276" t="s">
        <v>307</v>
      </c>
      <c r="I102" s="277" t="s">
        <v>307</v>
      </c>
      <c r="J102" s="277" t="s">
        <v>307</v>
      </c>
      <c r="K102" s="277" t="s">
        <v>307</v>
      </c>
      <c r="L102" s="321" t="s">
        <v>307</v>
      </c>
      <c r="M102" s="309" t="s">
        <v>307</v>
      </c>
      <c r="N102" s="276" t="s">
        <v>307</v>
      </c>
      <c r="O102" s="277" t="s">
        <v>307</v>
      </c>
      <c r="P102" s="278" t="s">
        <v>307</v>
      </c>
      <c r="Q102" s="278" t="s">
        <v>307</v>
      </c>
      <c r="R102" s="278" t="s">
        <v>307</v>
      </c>
      <c r="S102" s="263"/>
    </row>
    <row r="103" spans="1:19" hidden="1">
      <c r="A103" s="275" t="s">
        <v>224</v>
      </c>
      <c r="B103" s="275">
        <v>0</v>
      </c>
      <c r="C103" s="275">
        <v>0</v>
      </c>
      <c r="D103" s="275">
        <v>1</v>
      </c>
      <c r="E103" s="275" t="s">
        <v>307</v>
      </c>
      <c r="F103" s="275" t="s">
        <v>307</v>
      </c>
      <c r="G103" s="266" t="s">
        <v>307</v>
      </c>
      <c r="H103" s="287" t="s">
        <v>307</v>
      </c>
      <c r="I103" s="278" t="s">
        <v>307</v>
      </c>
      <c r="J103" s="278" t="s">
        <v>307</v>
      </c>
      <c r="K103" s="278" t="s">
        <v>307</v>
      </c>
      <c r="L103" s="266" t="s">
        <v>307</v>
      </c>
      <c r="M103" s="309" t="s">
        <v>307</v>
      </c>
      <c r="N103" s="287" t="s">
        <v>226</v>
      </c>
      <c r="O103" s="278">
        <v>2.31</v>
      </c>
      <c r="P103" s="278">
        <v>1.83</v>
      </c>
      <c r="Q103" s="278" t="s">
        <v>343</v>
      </c>
      <c r="R103" s="278" t="s">
        <v>307</v>
      </c>
      <c r="S103" s="263"/>
    </row>
    <row r="104" spans="1:19" hidden="1">
      <c r="A104" s="267"/>
      <c r="B104" s="267">
        <v>0</v>
      </c>
      <c r="C104" s="267"/>
      <c r="D104" s="267"/>
      <c r="E104" s="267"/>
      <c r="F104" s="267"/>
      <c r="G104" s="266" t="s">
        <v>307</v>
      </c>
      <c r="H104" s="287" t="s">
        <v>307</v>
      </c>
      <c r="I104" s="278" t="s">
        <v>307</v>
      </c>
      <c r="J104" s="278" t="s">
        <v>307</v>
      </c>
      <c r="K104" s="294" t="s">
        <v>234</v>
      </c>
      <c r="L104" s="296" t="s">
        <v>440</v>
      </c>
      <c r="M104" s="309" t="s">
        <v>307</v>
      </c>
      <c r="N104" s="278" t="s">
        <v>307</v>
      </c>
      <c r="O104" s="322" t="s">
        <v>307</v>
      </c>
      <c r="P104" s="294" t="s">
        <v>234</v>
      </c>
      <c r="Q104" s="296" t="s">
        <v>441</v>
      </c>
      <c r="R104" s="315">
        <v>-0.14000000000000001</v>
      </c>
      <c r="S104" s="263"/>
    </row>
    <row r="105" spans="1:19" hidden="1">
      <c r="A105" s="275" t="s">
        <v>307</v>
      </c>
      <c r="B105" s="275">
        <v>0</v>
      </c>
      <c r="C105" s="275" t="s">
        <v>307</v>
      </c>
      <c r="D105" s="275" t="s">
        <v>307</v>
      </c>
      <c r="E105" s="275" t="s">
        <v>307</v>
      </c>
      <c r="F105" s="275" t="s">
        <v>307</v>
      </c>
      <c r="G105" s="266" t="s">
        <v>307</v>
      </c>
      <c r="H105" s="287" t="s">
        <v>307</v>
      </c>
      <c r="I105" s="278" t="s">
        <v>307</v>
      </c>
      <c r="J105" s="278" t="s">
        <v>307</v>
      </c>
      <c r="K105" s="269" t="s">
        <v>307</v>
      </c>
      <c r="L105" s="266" t="s">
        <v>307</v>
      </c>
      <c r="M105" s="309" t="s">
        <v>307</v>
      </c>
      <c r="N105" s="268" t="s">
        <v>307</v>
      </c>
      <c r="O105" s="303" t="s">
        <v>307</v>
      </c>
      <c r="P105" s="268" t="s">
        <v>307</v>
      </c>
      <c r="Q105" s="267"/>
      <c r="R105" s="267"/>
      <c r="S105" s="263"/>
    </row>
    <row r="106" spans="1:19" hidden="1">
      <c r="A106" s="264" t="s">
        <v>101</v>
      </c>
      <c r="B106" s="264">
        <v>67094.75</v>
      </c>
      <c r="C106" s="265">
        <v>78935</v>
      </c>
      <c r="D106" s="265">
        <v>210</v>
      </c>
      <c r="E106" s="265">
        <v>165</v>
      </c>
      <c r="F106" s="265" t="s">
        <v>307</v>
      </c>
      <c r="G106" s="266" t="s">
        <v>307</v>
      </c>
      <c r="H106" s="325" t="s">
        <v>101</v>
      </c>
      <c r="I106" s="326"/>
      <c r="J106" s="326"/>
      <c r="K106" s="326"/>
      <c r="L106" s="326"/>
      <c r="M106" s="326"/>
      <c r="N106" s="326"/>
      <c r="O106" s="326"/>
      <c r="P106" s="326"/>
      <c r="Q106" s="326"/>
      <c r="R106" s="326"/>
      <c r="S106" s="263"/>
    </row>
    <row r="107" spans="1:19" hidden="1">
      <c r="A107" s="265" t="s">
        <v>307</v>
      </c>
      <c r="B107" s="265">
        <v>8500</v>
      </c>
      <c r="C107" s="265">
        <v>10000</v>
      </c>
      <c r="D107" s="265" t="s">
        <v>307</v>
      </c>
      <c r="E107" s="265" t="s">
        <v>307</v>
      </c>
      <c r="F107" s="265" t="s">
        <v>307</v>
      </c>
      <c r="G107" s="266" t="s">
        <v>307</v>
      </c>
      <c r="H107" s="301" t="s">
        <v>167</v>
      </c>
      <c r="I107" s="273" t="s">
        <v>168</v>
      </c>
      <c r="J107" s="273" t="s">
        <v>307</v>
      </c>
      <c r="K107" s="273">
        <v>8.08</v>
      </c>
      <c r="L107" s="273" t="s">
        <v>442</v>
      </c>
      <c r="M107" s="266" t="s">
        <v>307</v>
      </c>
      <c r="N107" s="301" t="s">
        <v>307</v>
      </c>
      <c r="O107" s="273" t="s">
        <v>307</v>
      </c>
      <c r="P107" s="273" t="s">
        <v>307</v>
      </c>
      <c r="Q107" s="273" t="s">
        <v>307</v>
      </c>
      <c r="R107" s="273" t="s">
        <v>307</v>
      </c>
      <c r="S107" s="263"/>
    </row>
    <row r="108" spans="1:19">
      <c r="A108" s="267" t="s">
        <v>166</v>
      </c>
      <c r="B108" s="267">
        <v>4408.95</v>
      </c>
      <c r="C108" s="267">
        <v>5187</v>
      </c>
      <c r="D108" s="267">
        <v>10</v>
      </c>
      <c r="E108" s="267">
        <v>28</v>
      </c>
      <c r="F108" s="267"/>
      <c r="G108" s="266" t="s">
        <v>307</v>
      </c>
      <c r="H108" s="287" t="s">
        <v>171</v>
      </c>
      <c r="I108" s="278" t="s">
        <v>172</v>
      </c>
      <c r="J108" s="278" t="s">
        <v>307</v>
      </c>
      <c r="K108" s="307">
        <v>9.4700000000000006</v>
      </c>
      <c r="L108" s="278" t="s">
        <v>443</v>
      </c>
      <c r="M108" s="266" t="s">
        <v>307</v>
      </c>
      <c r="N108" s="287" t="s">
        <v>301</v>
      </c>
      <c r="O108" s="278">
        <v>2.84</v>
      </c>
      <c r="P108" s="278">
        <v>1.88</v>
      </c>
      <c r="Q108" s="283" t="s">
        <v>444</v>
      </c>
      <c r="R108" s="312">
        <v>-0.12</v>
      </c>
      <c r="S108" s="263"/>
    </row>
    <row r="109" spans="1:19" hidden="1">
      <c r="A109" s="275" t="s">
        <v>175</v>
      </c>
      <c r="B109" s="275">
        <v>51</v>
      </c>
      <c r="C109" s="275">
        <v>60</v>
      </c>
      <c r="D109" s="275" t="s">
        <v>307</v>
      </c>
      <c r="E109" s="275">
        <v>2</v>
      </c>
      <c r="F109" s="275" t="s">
        <v>307</v>
      </c>
      <c r="G109" s="266" t="s">
        <v>307</v>
      </c>
      <c r="H109" s="276" t="s">
        <v>240</v>
      </c>
      <c r="I109" s="277" t="s">
        <v>172</v>
      </c>
      <c r="J109" s="277" t="s">
        <v>307</v>
      </c>
      <c r="K109" s="277">
        <v>6.46</v>
      </c>
      <c r="L109" s="278" t="s">
        <v>445</v>
      </c>
      <c r="M109" s="266" t="s">
        <v>307</v>
      </c>
      <c r="N109" s="276" t="s">
        <v>303</v>
      </c>
      <c r="O109" s="277">
        <v>6.62</v>
      </c>
      <c r="P109" s="278" t="s">
        <v>307</v>
      </c>
      <c r="Q109" s="283" t="s">
        <v>446</v>
      </c>
      <c r="R109" s="313">
        <v>0.02</v>
      </c>
      <c r="S109" s="263"/>
    </row>
    <row r="110" spans="1:19" hidden="1">
      <c r="A110" s="267" t="s">
        <v>178</v>
      </c>
      <c r="B110" s="267">
        <v>1598</v>
      </c>
      <c r="C110" s="267">
        <v>1880</v>
      </c>
      <c r="D110" s="267"/>
      <c r="E110" s="267">
        <v>2</v>
      </c>
      <c r="F110" s="267"/>
      <c r="G110" s="266" t="s">
        <v>307</v>
      </c>
      <c r="H110" s="287" t="s">
        <v>52</v>
      </c>
      <c r="I110" s="278" t="s">
        <v>168</v>
      </c>
      <c r="J110" s="278" t="s">
        <v>307</v>
      </c>
      <c r="K110" s="278">
        <v>5.12</v>
      </c>
      <c r="L110" s="278" t="s">
        <v>447</v>
      </c>
      <c r="M110" s="266" t="s">
        <v>307</v>
      </c>
      <c r="N110" s="287" t="s">
        <v>179</v>
      </c>
      <c r="O110" s="278">
        <v>2.74</v>
      </c>
      <c r="P110" s="278">
        <v>1.5</v>
      </c>
      <c r="Q110" s="283" t="s">
        <v>448</v>
      </c>
      <c r="R110" s="312">
        <v>-0.46</v>
      </c>
      <c r="S110" s="263"/>
    </row>
    <row r="111" spans="1:19" hidden="1">
      <c r="A111" s="275" t="s">
        <v>180</v>
      </c>
      <c r="B111" s="275">
        <v>8901.2000000000007</v>
      </c>
      <c r="C111" s="275">
        <v>10472</v>
      </c>
      <c r="D111" s="275">
        <v>5</v>
      </c>
      <c r="E111" s="275">
        <v>26</v>
      </c>
      <c r="F111" s="275" t="s">
        <v>307</v>
      </c>
      <c r="G111" s="266" t="s">
        <v>307</v>
      </c>
      <c r="H111" s="292" t="s">
        <v>240</v>
      </c>
      <c r="I111" s="277" t="s">
        <v>172</v>
      </c>
      <c r="J111" s="277" t="s">
        <v>307</v>
      </c>
      <c r="K111" s="277">
        <v>6.46</v>
      </c>
      <c r="L111" s="278" t="s">
        <v>449</v>
      </c>
      <c r="M111" s="266" t="s">
        <v>307</v>
      </c>
      <c r="N111" s="276" t="s">
        <v>303</v>
      </c>
      <c r="O111" s="277">
        <v>6.62</v>
      </c>
      <c r="P111" s="278" t="s">
        <v>307</v>
      </c>
      <c r="Q111" s="283" t="s">
        <v>450</v>
      </c>
      <c r="R111" s="313">
        <v>0.02</v>
      </c>
      <c r="S111" s="263"/>
    </row>
    <row r="112" spans="1:19">
      <c r="A112" s="267" t="s">
        <v>187</v>
      </c>
      <c r="B112" s="267">
        <v>280.5</v>
      </c>
      <c r="C112" s="267">
        <v>330</v>
      </c>
      <c r="D112" s="267"/>
      <c r="E112" s="267">
        <v>2</v>
      </c>
      <c r="F112" s="267"/>
      <c r="G112" s="266" t="s">
        <v>307</v>
      </c>
      <c r="H112" s="287" t="s">
        <v>307</v>
      </c>
      <c r="I112" s="278" t="s">
        <v>307</v>
      </c>
      <c r="J112" s="278" t="s">
        <v>307</v>
      </c>
      <c r="K112" s="307">
        <v>3</v>
      </c>
      <c r="L112" s="278" t="s">
        <v>451</v>
      </c>
      <c r="M112" s="266" t="s">
        <v>307</v>
      </c>
      <c r="N112" s="287" t="s">
        <v>188</v>
      </c>
      <c r="O112" s="278">
        <v>1.51</v>
      </c>
      <c r="P112" s="307">
        <v>0.97</v>
      </c>
      <c r="Q112" s="283" t="s">
        <v>452</v>
      </c>
      <c r="R112" s="312">
        <v>-0.5</v>
      </c>
      <c r="S112" s="263"/>
    </row>
    <row r="113" spans="1:19">
      <c r="A113" s="275" t="s">
        <v>195</v>
      </c>
      <c r="B113" s="275">
        <v>557.6</v>
      </c>
      <c r="C113" s="275">
        <v>656</v>
      </c>
      <c r="D113" s="275">
        <v>3</v>
      </c>
      <c r="E113" s="275">
        <v>2</v>
      </c>
      <c r="F113" s="275" t="s">
        <v>307</v>
      </c>
      <c r="G113" s="266" t="s">
        <v>307</v>
      </c>
      <c r="H113" s="292" t="s">
        <v>196</v>
      </c>
      <c r="I113" s="277" t="s">
        <v>172</v>
      </c>
      <c r="J113" s="277" t="s">
        <v>307</v>
      </c>
      <c r="K113" s="285">
        <v>4.5</v>
      </c>
      <c r="L113" s="278" t="s">
        <v>453</v>
      </c>
      <c r="M113" s="266" t="s">
        <v>307</v>
      </c>
      <c r="N113" s="276" t="s">
        <v>246</v>
      </c>
      <c r="O113" s="277">
        <v>6.61</v>
      </c>
      <c r="P113" s="278">
        <v>5.05</v>
      </c>
      <c r="Q113" s="283" t="s">
        <v>454</v>
      </c>
      <c r="R113" s="313">
        <v>0.47</v>
      </c>
      <c r="S113" s="263"/>
    </row>
    <row r="114" spans="1:19" hidden="1">
      <c r="A114" s="267" t="s">
        <v>200</v>
      </c>
      <c r="B114" s="267">
        <v>1089.7</v>
      </c>
      <c r="C114" s="267">
        <v>1282</v>
      </c>
      <c r="D114" s="267"/>
      <c r="E114" s="267">
        <v>2</v>
      </c>
      <c r="F114" s="267"/>
      <c r="G114" s="266" t="s">
        <v>307</v>
      </c>
      <c r="H114" s="287" t="s">
        <v>207</v>
      </c>
      <c r="I114" s="278" t="s">
        <v>172</v>
      </c>
      <c r="J114" s="278" t="s">
        <v>307</v>
      </c>
      <c r="K114" s="278">
        <v>5.31</v>
      </c>
      <c r="L114" s="278" t="s">
        <v>455</v>
      </c>
      <c r="M114" s="266" t="s">
        <v>307</v>
      </c>
      <c r="N114" s="287" t="s">
        <v>282</v>
      </c>
      <c r="O114" s="278">
        <v>4.5999999999999996</v>
      </c>
      <c r="P114" s="278">
        <v>2.0299999999999998</v>
      </c>
      <c r="Q114" s="283" t="s">
        <v>456</v>
      </c>
      <c r="R114" s="312">
        <v>-0.13</v>
      </c>
      <c r="S114" s="263"/>
    </row>
    <row r="115" spans="1:19" hidden="1">
      <c r="A115" s="275" t="s">
        <v>202</v>
      </c>
      <c r="B115" s="275">
        <v>28196.2</v>
      </c>
      <c r="C115" s="275">
        <v>33172</v>
      </c>
      <c r="D115" s="275">
        <v>190</v>
      </c>
      <c r="E115" s="275">
        <v>43</v>
      </c>
      <c r="F115" s="275" t="s">
        <v>307</v>
      </c>
      <c r="G115" s="266" t="s">
        <v>307</v>
      </c>
      <c r="H115" s="276" t="s">
        <v>203</v>
      </c>
      <c r="I115" s="277" t="s">
        <v>172</v>
      </c>
      <c r="J115" s="277" t="s">
        <v>307</v>
      </c>
      <c r="K115" s="277">
        <v>2.97</v>
      </c>
      <c r="L115" s="278" t="s">
        <v>457</v>
      </c>
      <c r="M115" s="266" t="s">
        <v>307</v>
      </c>
      <c r="N115" s="276" t="s">
        <v>204</v>
      </c>
      <c r="O115" s="277">
        <v>4.2</v>
      </c>
      <c r="P115" s="278">
        <v>3.06</v>
      </c>
      <c r="Q115" s="283" t="s">
        <v>458</v>
      </c>
      <c r="R115" s="313">
        <v>0.41</v>
      </c>
      <c r="S115" s="263"/>
    </row>
    <row r="116" spans="1:19" hidden="1">
      <c r="A116" s="267" t="s">
        <v>248</v>
      </c>
      <c r="B116" s="267">
        <v>0</v>
      </c>
      <c r="C116" s="267">
        <v>0</v>
      </c>
      <c r="D116" s="267"/>
      <c r="E116" s="267">
        <v>6</v>
      </c>
      <c r="F116" s="267"/>
      <c r="G116" s="266" t="s">
        <v>307</v>
      </c>
      <c r="H116" s="287" t="s">
        <v>307</v>
      </c>
      <c r="I116" s="278" t="s">
        <v>307</v>
      </c>
      <c r="J116" s="278" t="s">
        <v>307</v>
      </c>
      <c r="K116" s="278" t="s">
        <v>307</v>
      </c>
      <c r="L116" s="278" t="s">
        <v>320</v>
      </c>
      <c r="M116" s="266" t="s">
        <v>307</v>
      </c>
      <c r="N116" s="287" t="s">
        <v>307</v>
      </c>
      <c r="O116" s="278" t="s">
        <v>307</v>
      </c>
      <c r="P116" s="278" t="s">
        <v>307</v>
      </c>
      <c r="Q116" s="283">
        <v>0</v>
      </c>
      <c r="R116" s="283" t="s">
        <v>307</v>
      </c>
      <c r="S116" s="263"/>
    </row>
    <row r="117" spans="1:19" hidden="1">
      <c r="A117" s="275" t="s">
        <v>205</v>
      </c>
      <c r="B117" s="275">
        <v>9754.6</v>
      </c>
      <c r="C117" s="275">
        <v>11476</v>
      </c>
      <c r="D117" s="275">
        <v>2</v>
      </c>
      <c r="E117" s="275">
        <v>34</v>
      </c>
      <c r="F117" s="275" t="s">
        <v>307</v>
      </c>
      <c r="G117" s="266" t="s">
        <v>307</v>
      </c>
      <c r="H117" s="276" t="s">
        <v>250</v>
      </c>
      <c r="I117" s="277" t="s">
        <v>172</v>
      </c>
      <c r="J117" s="277" t="s">
        <v>307</v>
      </c>
      <c r="K117" s="277">
        <v>5.58</v>
      </c>
      <c r="L117" s="278" t="s">
        <v>459</v>
      </c>
      <c r="M117" s="266" t="s">
        <v>307</v>
      </c>
      <c r="N117" s="276" t="s">
        <v>208</v>
      </c>
      <c r="O117" s="277">
        <v>4.0199999999999996</v>
      </c>
      <c r="P117" s="278">
        <v>1.9</v>
      </c>
      <c r="Q117" s="283" t="s">
        <v>460</v>
      </c>
      <c r="R117" s="312">
        <v>-0.28000000000000003</v>
      </c>
      <c r="S117" s="263"/>
    </row>
    <row r="118" spans="1:19" hidden="1">
      <c r="A118" s="267" t="s">
        <v>219</v>
      </c>
      <c r="B118" s="267">
        <v>212.5</v>
      </c>
      <c r="C118" s="267">
        <v>250</v>
      </c>
      <c r="D118" s="267"/>
      <c r="E118" s="267">
        <v>2</v>
      </c>
      <c r="F118" s="267"/>
      <c r="G118" s="266" t="s">
        <v>307</v>
      </c>
      <c r="H118" s="287" t="s">
        <v>307</v>
      </c>
      <c r="I118" s="278" t="s">
        <v>307</v>
      </c>
      <c r="J118" s="278" t="s">
        <v>307</v>
      </c>
      <c r="K118" s="278" t="s">
        <v>307</v>
      </c>
      <c r="L118" s="278" t="s">
        <v>320</v>
      </c>
      <c r="M118" s="266" t="s">
        <v>307</v>
      </c>
      <c r="N118" s="287" t="s">
        <v>307</v>
      </c>
      <c r="O118" s="278" t="s">
        <v>307</v>
      </c>
      <c r="P118" s="278" t="s">
        <v>307</v>
      </c>
      <c r="Q118" s="283">
        <v>0</v>
      </c>
      <c r="R118" s="283" t="s">
        <v>307</v>
      </c>
      <c r="S118" s="263"/>
    </row>
    <row r="119" spans="1:19" hidden="1">
      <c r="A119" s="275" t="s">
        <v>221</v>
      </c>
      <c r="B119" s="275">
        <v>0</v>
      </c>
      <c r="C119" s="275">
        <v>0</v>
      </c>
      <c r="D119" s="275" t="s">
        <v>307</v>
      </c>
      <c r="E119" s="275">
        <v>2</v>
      </c>
      <c r="F119" s="275" t="s">
        <v>307</v>
      </c>
      <c r="G119" s="266" t="s">
        <v>307</v>
      </c>
      <c r="H119" s="276" t="s">
        <v>307</v>
      </c>
      <c r="I119" s="277" t="s">
        <v>307</v>
      </c>
      <c r="J119" s="277" t="s">
        <v>307</v>
      </c>
      <c r="K119" s="277" t="s">
        <v>307</v>
      </c>
      <c r="L119" s="278" t="s">
        <v>320</v>
      </c>
      <c r="M119" s="266" t="s">
        <v>307</v>
      </c>
      <c r="N119" s="276" t="s">
        <v>307</v>
      </c>
      <c r="O119" s="277" t="s">
        <v>307</v>
      </c>
      <c r="P119" s="278" t="s">
        <v>307</v>
      </c>
      <c r="Q119" s="283">
        <v>0</v>
      </c>
      <c r="R119" s="283" t="s">
        <v>307</v>
      </c>
      <c r="S119" s="263"/>
    </row>
    <row r="120" spans="1:19" hidden="1">
      <c r="A120" s="267" t="s">
        <v>224</v>
      </c>
      <c r="B120" s="267">
        <v>3119.5</v>
      </c>
      <c r="C120" s="267">
        <v>3670</v>
      </c>
      <c r="D120" s="267"/>
      <c r="E120" s="267">
        <v>12</v>
      </c>
      <c r="F120" s="267"/>
      <c r="G120" s="266" t="s">
        <v>307</v>
      </c>
      <c r="H120" s="287" t="s">
        <v>51</v>
      </c>
      <c r="I120" s="278" t="s">
        <v>168</v>
      </c>
      <c r="J120" s="278" t="s">
        <v>307</v>
      </c>
      <c r="K120" s="278">
        <v>1.77</v>
      </c>
      <c r="L120" s="278" t="s">
        <v>461</v>
      </c>
      <c r="M120" s="266" t="s">
        <v>307</v>
      </c>
      <c r="N120" s="287" t="s">
        <v>226</v>
      </c>
      <c r="O120" s="278">
        <v>2.31</v>
      </c>
      <c r="P120" s="278">
        <v>1.83</v>
      </c>
      <c r="Q120" s="283" t="s">
        <v>462</v>
      </c>
      <c r="R120" s="313">
        <v>0.31</v>
      </c>
      <c r="S120" s="263"/>
    </row>
    <row r="121" spans="1:19" hidden="1">
      <c r="A121" s="275" t="s">
        <v>227</v>
      </c>
      <c r="B121" s="275">
        <v>425</v>
      </c>
      <c r="C121" s="275">
        <v>500</v>
      </c>
      <c r="D121" s="275" t="s">
        <v>307</v>
      </c>
      <c r="E121" s="275">
        <v>2</v>
      </c>
      <c r="F121" s="275" t="s">
        <v>307</v>
      </c>
      <c r="G121" s="266" t="s">
        <v>307</v>
      </c>
      <c r="H121" s="276" t="s">
        <v>229</v>
      </c>
      <c r="I121" s="277" t="s">
        <v>168</v>
      </c>
      <c r="J121" s="277" t="s">
        <v>307</v>
      </c>
      <c r="K121" s="277">
        <v>2.64</v>
      </c>
      <c r="L121" s="278" t="s">
        <v>463</v>
      </c>
      <c r="M121" s="266" t="s">
        <v>307</v>
      </c>
      <c r="N121" s="276" t="s">
        <v>298</v>
      </c>
      <c r="O121" s="277">
        <v>4.1100000000000003</v>
      </c>
      <c r="P121" s="278">
        <v>2.1800000000000002</v>
      </c>
      <c r="Q121" s="283" t="s">
        <v>464</v>
      </c>
      <c r="R121" s="313">
        <v>0.56000000000000005</v>
      </c>
      <c r="S121" s="263"/>
    </row>
    <row r="122" spans="1:19" hidden="1">
      <c r="A122" s="267"/>
      <c r="B122" s="267">
        <v>0</v>
      </c>
      <c r="C122" s="267"/>
      <c r="D122" s="267"/>
      <c r="E122" s="267"/>
      <c r="F122" s="267"/>
      <c r="G122" s="266" t="s">
        <v>307</v>
      </c>
      <c r="H122" s="276" t="s">
        <v>307</v>
      </c>
      <c r="I122" s="277" t="s">
        <v>307</v>
      </c>
      <c r="J122" s="277" t="s">
        <v>307</v>
      </c>
      <c r="K122" s="294" t="s">
        <v>234</v>
      </c>
      <c r="L122" s="296" t="s">
        <v>465</v>
      </c>
      <c r="M122" s="309" t="s">
        <v>307</v>
      </c>
      <c r="N122" s="277" t="s">
        <v>307</v>
      </c>
      <c r="O122" s="323" t="s">
        <v>307</v>
      </c>
      <c r="P122" s="294" t="s">
        <v>234</v>
      </c>
      <c r="Q122" s="294" t="s">
        <v>466</v>
      </c>
      <c r="R122" s="324">
        <v>-0.16</v>
      </c>
      <c r="S122" s="263"/>
    </row>
  </sheetData>
  <autoFilter ref="A1:S1" xr:uid="{7CCDB66D-F3B3-46AF-9A37-1C5B71003092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3973-4C51-4DE2-AEAB-F263ABB8F81B}">
  <dimension ref="C2:K40"/>
  <sheetViews>
    <sheetView showGridLines="0" topLeftCell="A5" workbookViewId="0">
      <selection activeCell="D11" sqref="D11"/>
    </sheetView>
  </sheetViews>
  <sheetFormatPr baseColWidth="10" defaultColWidth="11.42578125" defaultRowHeight="15"/>
  <sheetData>
    <row r="2" spans="3:6" ht="45">
      <c r="C2" s="142" t="s">
        <v>467</v>
      </c>
      <c r="D2" s="139" t="s">
        <v>0</v>
      </c>
      <c r="E2" s="139" t="s">
        <v>163</v>
      </c>
      <c r="F2" s="138" t="s">
        <v>468</v>
      </c>
    </row>
    <row r="3" spans="3:6">
      <c r="C3" s="139"/>
      <c r="D3" s="141" t="s">
        <v>233</v>
      </c>
      <c r="E3" s="139">
        <v>2.5563208494675704</v>
      </c>
      <c r="F3" s="10">
        <f t="shared" ref="F3:F23" si="0">+E3+0.22</f>
        <v>2.7763208494675706</v>
      </c>
    </row>
    <row r="4" spans="3:6">
      <c r="C4" s="139"/>
      <c r="D4" s="141" t="s">
        <v>298</v>
      </c>
      <c r="E4" s="139">
        <v>1.9633464266698937</v>
      </c>
      <c r="F4" s="10">
        <f t="shared" si="0"/>
        <v>2.1833464266698939</v>
      </c>
    </row>
    <row r="5" spans="3:6">
      <c r="C5" s="141" t="s">
        <v>298</v>
      </c>
      <c r="D5" s="141" t="s">
        <v>230</v>
      </c>
      <c r="E5" s="139">
        <v>1.9633464266698937</v>
      </c>
      <c r="F5" s="10">
        <f t="shared" si="0"/>
        <v>2.1833464266698939</v>
      </c>
    </row>
    <row r="6" spans="3:6">
      <c r="C6" s="139"/>
      <c r="D6" s="141" t="s">
        <v>216</v>
      </c>
      <c r="E6" s="139">
        <v>1.3404308196088428</v>
      </c>
      <c r="F6" s="10">
        <f t="shared" si="0"/>
        <v>1.5604308196088428</v>
      </c>
    </row>
    <row r="7" spans="3:6">
      <c r="C7" s="139" t="s">
        <v>169</v>
      </c>
      <c r="D7" s="141" t="s">
        <v>169</v>
      </c>
      <c r="E7" s="139">
        <v>3.316599597685471</v>
      </c>
      <c r="F7" s="10">
        <f t="shared" si="0"/>
        <v>3.5365995976854712</v>
      </c>
    </row>
    <row r="8" spans="3:6">
      <c r="C8" s="139"/>
      <c r="D8" s="141" t="s">
        <v>170</v>
      </c>
      <c r="E8" s="139">
        <v>2.9158174612778316</v>
      </c>
      <c r="F8" s="10">
        <f t="shared" si="0"/>
        <v>3.1358174612778318</v>
      </c>
    </row>
    <row r="9" spans="3:6">
      <c r="C9" s="139"/>
      <c r="D9" s="141" t="s">
        <v>258</v>
      </c>
      <c r="E9" s="139">
        <v>2.99</v>
      </c>
      <c r="F9" s="10">
        <f t="shared" si="0"/>
        <v>3.2100000000000004</v>
      </c>
    </row>
    <row r="10" spans="3:6">
      <c r="C10" s="139"/>
      <c r="D10" s="141" t="s">
        <v>237</v>
      </c>
      <c r="E10" s="139">
        <v>2.0852506105945188</v>
      </c>
      <c r="F10" s="10">
        <f t="shared" si="0"/>
        <v>2.305250610594519</v>
      </c>
    </row>
    <row r="11" spans="3:6">
      <c r="C11" s="139"/>
      <c r="D11" s="141" t="s">
        <v>301</v>
      </c>
      <c r="E11" s="139">
        <v>1.6597532066795742</v>
      </c>
      <c r="F11" s="10">
        <f t="shared" si="0"/>
        <v>1.8797532066795741</v>
      </c>
    </row>
    <row r="12" spans="3:6">
      <c r="C12" s="139"/>
      <c r="D12" s="141" t="s">
        <v>204</v>
      </c>
      <c r="E12" s="139">
        <v>2.8360383251386412</v>
      </c>
      <c r="F12" s="10">
        <f t="shared" si="0"/>
        <v>3.0560383251386414</v>
      </c>
    </row>
    <row r="13" spans="3:6">
      <c r="C13" s="139"/>
      <c r="D13" s="141" t="s">
        <v>260</v>
      </c>
      <c r="E13" s="139">
        <v>4.24</v>
      </c>
      <c r="F13" s="10">
        <f t="shared" si="0"/>
        <v>4.46</v>
      </c>
    </row>
    <row r="14" spans="3:6">
      <c r="C14" s="139"/>
      <c r="D14" s="141" t="s">
        <v>262</v>
      </c>
      <c r="E14" s="139">
        <v>3.89</v>
      </c>
      <c r="F14" s="10">
        <f t="shared" si="0"/>
        <v>4.1100000000000003</v>
      </c>
    </row>
    <row r="15" spans="3:6">
      <c r="C15" s="139"/>
      <c r="D15" s="141" t="s">
        <v>303</v>
      </c>
      <c r="E15" s="139">
        <v>3.55</v>
      </c>
      <c r="F15" s="10">
        <f t="shared" si="0"/>
        <v>3.77</v>
      </c>
    </row>
    <row r="16" spans="3:6">
      <c r="C16" s="139" t="s">
        <v>184</v>
      </c>
      <c r="D16" s="141" t="s">
        <v>177</v>
      </c>
      <c r="E16" s="139">
        <v>2.1234332647628271</v>
      </c>
      <c r="F16" s="10">
        <f t="shared" si="0"/>
        <v>2.3434332647628273</v>
      </c>
    </row>
    <row r="17" spans="3:11">
      <c r="C17" s="139"/>
      <c r="D17" s="141" t="s">
        <v>191</v>
      </c>
      <c r="E17" s="139">
        <v>3.5627244302954337</v>
      </c>
      <c r="F17" s="10">
        <f t="shared" si="0"/>
        <v>3.7827244302954339</v>
      </c>
    </row>
    <row r="18" spans="3:11">
      <c r="C18" s="139"/>
      <c r="D18" s="141" t="s">
        <v>194</v>
      </c>
      <c r="E18" s="139">
        <v>2.4500881534365924</v>
      </c>
      <c r="F18" s="10">
        <f t="shared" si="0"/>
        <v>2.6700881534365926</v>
      </c>
    </row>
    <row r="19" spans="3:11">
      <c r="C19" s="141" t="s">
        <v>194</v>
      </c>
      <c r="D19" s="141" t="s">
        <v>243</v>
      </c>
      <c r="E19" s="139">
        <v>2.4500881534365924</v>
      </c>
      <c r="F19" s="10">
        <f t="shared" si="0"/>
        <v>2.6700881534365926</v>
      </c>
    </row>
    <row r="20" spans="3:11">
      <c r="C20" s="139"/>
      <c r="D20" s="141" t="s">
        <v>188</v>
      </c>
      <c r="E20" s="139">
        <v>0.75</v>
      </c>
      <c r="F20" s="10">
        <f t="shared" si="0"/>
        <v>0.97</v>
      </c>
    </row>
    <row r="21" spans="3:11">
      <c r="C21" s="141" t="s">
        <v>188</v>
      </c>
      <c r="D21" s="141" t="s">
        <v>263</v>
      </c>
      <c r="E21" s="139">
        <v>0.75</v>
      </c>
      <c r="F21" s="10">
        <f t="shared" si="0"/>
        <v>0.97</v>
      </c>
    </row>
    <row r="22" spans="3:11">
      <c r="C22" s="139"/>
      <c r="D22" s="141" t="s">
        <v>275</v>
      </c>
      <c r="E22" s="139">
        <v>5.0599999999999996</v>
      </c>
      <c r="F22" s="10">
        <f t="shared" si="0"/>
        <v>5.2799999999999994</v>
      </c>
    </row>
    <row r="23" spans="3:11">
      <c r="C23" s="139"/>
      <c r="D23" s="141" t="s">
        <v>174</v>
      </c>
      <c r="E23" s="139">
        <v>2.7592596308615684</v>
      </c>
      <c r="F23" s="10">
        <f t="shared" si="0"/>
        <v>2.9792596308615686</v>
      </c>
    </row>
    <row r="24" spans="3:11">
      <c r="C24" s="139" t="s">
        <v>469</v>
      </c>
      <c r="D24" s="141" t="s">
        <v>179</v>
      </c>
      <c r="E24" s="139" t="e">
        <v>#N/A</v>
      </c>
      <c r="F24" s="140">
        <v>1.504731491417457</v>
      </c>
    </row>
    <row r="25" spans="3:11">
      <c r="C25" s="139" t="s">
        <v>470</v>
      </c>
      <c r="D25" s="141" t="s">
        <v>365</v>
      </c>
      <c r="E25" s="139">
        <v>3.36</v>
      </c>
      <c r="F25" s="10">
        <f t="shared" ref="F25:F40" si="1">+E25+0.22</f>
        <v>3.58</v>
      </c>
    </row>
    <row r="26" spans="3:11">
      <c r="C26" s="139"/>
      <c r="D26" s="141" t="s">
        <v>238</v>
      </c>
      <c r="E26" s="139">
        <v>4.8547919288480159</v>
      </c>
      <c r="F26" s="10">
        <f t="shared" si="1"/>
        <v>5.0747919288480157</v>
      </c>
    </row>
    <row r="27" spans="3:11">
      <c r="C27" s="139"/>
      <c r="D27" s="141" t="s">
        <v>282</v>
      </c>
      <c r="E27" s="139">
        <v>1.8117230175231258</v>
      </c>
      <c r="F27" s="10">
        <f t="shared" si="1"/>
        <v>2.031723017523126</v>
      </c>
    </row>
    <row r="28" spans="3:11">
      <c r="C28" s="139"/>
      <c r="D28" s="141" t="s">
        <v>208</v>
      </c>
      <c r="E28" s="139">
        <v>1.6769840434471943</v>
      </c>
      <c r="F28" s="10">
        <f t="shared" si="1"/>
        <v>1.8969840434471943</v>
      </c>
    </row>
    <row r="29" spans="3:11">
      <c r="C29" s="139"/>
      <c r="D29" s="141" t="s">
        <v>201</v>
      </c>
      <c r="E29" s="139">
        <v>1.5664625248587429</v>
      </c>
      <c r="F29" s="10">
        <f t="shared" si="1"/>
        <v>1.7864625248587429</v>
      </c>
    </row>
    <row r="30" spans="3:11">
      <c r="C30" s="139"/>
      <c r="D30" s="141" t="s">
        <v>246</v>
      </c>
      <c r="E30" s="139">
        <v>4.834152607453662</v>
      </c>
      <c r="F30" s="10">
        <f t="shared" si="1"/>
        <v>5.0541526074536618</v>
      </c>
    </row>
    <row r="31" spans="3:11">
      <c r="C31" s="139"/>
      <c r="D31" s="141" t="s">
        <v>197</v>
      </c>
      <c r="E31" s="139">
        <v>4.25</v>
      </c>
      <c r="F31" s="10">
        <f t="shared" si="1"/>
        <v>4.47</v>
      </c>
      <c r="I31" s="95" t="s">
        <v>303</v>
      </c>
      <c r="J31" s="95"/>
      <c r="K31" s="207" t="s">
        <v>471</v>
      </c>
    </row>
    <row r="32" spans="3:11">
      <c r="C32" s="139"/>
      <c r="D32" s="141" t="s">
        <v>287</v>
      </c>
      <c r="E32" s="139">
        <v>4.2478609027105518</v>
      </c>
      <c r="F32" s="10">
        <f t="shared" si="1"/>
        <v>4.4678609027105516</v>
      </c>
    </row>
    <row r="33" spans="3:6">
      <c r="C33" s="139"/>
      <c r="D33" s="141" t="s">
        <v>472</v>
      </c>
      <c r="E33" s="139">
        <v>3.9245284493029238</v>
      </c>
      <c r="F33" s="10">
        <f t="shared" si="1"/>
        <v>4.144528449302924</v>
      </c>
    </row>
    <row r="34" spans="3:6">
      <c r="C34" s="139" t="s">
        <v>472</v>
      </c>
      <c r="D34" s="141" t="s">
        <v>218</v>
      </c>
      <c r="E34" s="139">
        <v>3.9245284493029238</v>
      </c>
      <c r="F34" s="10">
        <f t="shared" si="1"/>
        <v>4.144528449302924</v>
      </c>
    </row>
    <row r="35" spans="3:6">
      <c r="C35" s="139"/>
      <c r="D35" s="141" t="s">
        <v>212</v>
      </c>
      <c r="E35" s="139">
        <v>2.15</v>
      </c>
      <c r="F35" s="10">
        <f t="shared" si="1"/>
        <v>2.37</v>
      </c>
    </row>
    <row r="36" spans="3:6">
      <c r="C36" s="139" t="s">
        <v>473</v>
      </c>
      <c r="D36" s="141" t="s">
        <v>473</v>
      </c>
      <c r="E36" s="139">
        <v>2.8237743828654409</v>
      </c>
      <c r="F36" s="10">
        <f t="shared" si="1"/>
        <v>3.0437743828654411</v>
      </c>
    </row>
    <row r="37" spans="3:6">
      <c r="C37" s="139"/>
      <c r="D37" s="141" t="s">
        <v>296</v>
      </c>
      <c r="E37" s="139">
        <v>3.83</v>
      </c>
      <c r="F37" s="10">
        <f t="shared" si="1"/>
        <v>4.05</v>
      </c>
    </row>
    <row r="38" spans="3:6">
      <c r="C38" s="139" t="s">
        <v>474</v>
      </c>
      <c r="D38" s="141" t="s">
        <v>249</v>
      </c>
      <c r="E38" s="139">
        <v>1.0006960051174867</v>
      </c>
      <c r="F38" s="10">
        <f t="shared" si="1"/>
        <v>1.2206960051174867</v>
      </c>
    </row>
    <row r="39" spans="3:6">
      <c r="C39" s="139" t="s">
        <v>225</v>
      </c>
      <c r="D39" s="141" t="s">
        <v>226</v>
      </c>
      <c r="E39" s="139">
        <v>1.6066571757018397</v>
      </c>
      <c r="F39" s="10">
        <f t="shared" si="1"/>
        <v>1.8266571757018397</v>
      </c>
    </row>
    <row r="40" spans="3:6">
      <c r="C40" s="139"/>
      <c r="D40" s="141" t="s">
        <v>265</v>
      </c>
      <c r="E40" s="139">
        <v>2.3075605638915779</v>
      </c>
      <c r="F40" s="10">
        <f t="shared" si="1"/>
        <v>2.5275605638915781</v>
      </c>
    </row>
  </sheetData>
  <autoFilter ref="C2:F40" xr:uid="{A6F63973-4C51-4DE2-AEAB-F263ABB8F81B}">
    <sortState xmlns:xlrd2="http://schemas.microsoft.com/office/spreadsheetml/2017/richdata2" ref="C3:F40">
      <sortCondition ref="D2:D40"/>
    </sortState>
  </autoFilter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A67F18-E257-4005-B88E-36B0AB7C31E3}">
          <x14:formula1>
            <xm:f>'Lista PQ PECOM'!$I$3:$I$290</xm:f>
          </x14:formula1>
          <xm:sqref>I31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5CA42-F64F-425B-8EA5-608F95660DB5}">
  <dimension ref="A3:I194"/>
  <sheetViews>
    <sheetView showGridLines="0" topLeftCell="A42" workbookViewId="0">
      <selection activeCell="F3" sqref="F3"/>
    </sheetView>
  </sheetViews>
  <sheetFormatPr baseColWidth="10" defaultColWidth="11.42578125" defaultRowHeight="15"/>
  <cols>
    <col min="1" max="1" width="11.42578125" style="7"/>
    <col min="2" max="2" width="16.140625" style="7" customWidth="1"/>
    <col min="3" max="3" width="11.42578125" style="7"/>
    <col min="4" max="4" width="17" style="7" bestFit="1" customWidth="1"/>
    <col min="5" max="5" width="29.7109375" style="7" bestFit="1" customWidth="1"/>
    <col min="6" max="8" width="11.42578125" style="7"/>
    <col min="9" max="9" width="17.42578125" style="7" customWidth="1"/>
    <col min="10" max="16384" width="11.42578125" style="7"/>
  </cols>
  <sheetData>
    <row r="3" spans="1:6">
      <c r="A3" s="7" t="s">
        <v>475</v>
      </c>
      <c r="B3" s="72" t="s">
        <v>476</v>
      </c>
      <c r="C3" s="72" t="s">
        <v>477</v>
      </c>
      <c r="D3" s="72" t="s">
        <v>478</v>
      </c>
      <c r="E3" s="72" t="s">
        <v>1</v>
      </c>
      <c r="F3" s="72" t="s">
        <v>479</v>
      </c>
    </row>
    <row r="4" spans="1:6">
      <c r="A4" s="7">
        <v>1</v>
      </c>
      <c r="B4" s="10" t="s">
        <v>480</v>
      </c>
      <c r="C4" s="10" t="s">
        <v>481</v>
      </c>
      <c r="D4" s="10" t="s">
        <v>167</v>
      </c>
      <c r="E4" s="10" t="s">
        <v>166</v>
      </c>
      <c r="F4" s="10"/>
    </row>
    <row r="5" spans="1:6">
      <c r="A5" s="7">
        <v>17</v>
      </c>
      <c r="B5" s="10" t="s">
        <v>480</v>
      </c>
      <c r="C5" s="10" t="s">
        <v>481</v>
      </c>
      <c r="D5" s="10" t="s">
        <v>482</v>
      </c>
      <c r="E5" s="10" t="s">
        <v>166</v>
      </c>
      <c r="F5" s="10"/>
    </row>
    <row r="6" spans="1:6">
      <c r="A6" s="7">
        <v>18</v>
      </c>
      <c r="B6" s="10" t="s">
        <v>480</v>
      </c>
      <c r="C6" s="10" t="s">
        <v>481</v>
      </c>
      <c r="D6" s="10" t="s">
        <v>483</v>
      </c>
      <c r="E6" s="10" t="s">
        <v>166</v>
      </c>
      <c r="F6" s="10"/>
    </row>
    <row r="7" spans="1:6">
      <c r="A7" s="7">
        <v>6</v>
      </c>
      <c r="B7" s="10" t="s">
        <v>480</v>
      </c>
      <c r="C7" s="10" t="s">
        <v>481</v>
      </c>
      <c r="D7" s="10" t="s">
        <v>484</v>
      </c>
      <c r="E7" s="10" t="s">
        <v>485</v>
      </c>
      <c r="F7" s="10"/>
    </row>
    <row r="8" spans="1:6">
      <c r="A8" s="7">
        <v>16</v>
      </c>
      <c r="B8" s="10" t="s">
        <v>480</v>
      </c>
      <c r="C8" s="10" t="s">
        <v>481</v>
      </c>
      <c r="D8" s="10" t="s">
        <v>486</v>
      </c>
      <c r="E8" s="10" t="s">
        <v>487</v>
      </c>
      <c r="F8" s="10"/>
    </row>
    <row r="9" spans="1:6">
      <c r="A9" s="7">
        <v>9</v>
      </c>
      <c r="B9" s="10" t="s">
        <v>480</v>
      </c>
      <c r="C9" s="10" t="s">
        <v>481</v>
      </c>
      <c r="D9" s="10" t="s">
        <v>488</v>
      </c>
      <c r="E9" s="10" t="s">
        <v>489</v>
      </c>
      <c r="F9" s="10"/>
    </row>
    <row r="10" spans="1:6">
      <c r="A10" s="7">
        <v>10</v>
      </c>
      <c r="B10" s="10" t="s">
        <v>480</v>
      </c>
      <c r="C10" s="10" t="s">
        <v>481</v>
      </c>
      <c r="D10" s="10" t="s">
        <v>490</v>
      </c>
      <c r="E10" s="10" t="s">
        <v>489</v>
      </c>
      <c r="F10" s="10"/>
    </row>
    <row r="11" spans="1:6">
      <c r="A11" s="7">
        <v>3</v>
      </c>
      <c r="B11" s="10" t="s">
        <v>480</v>
      </c>
      <c r="C11" s="10" t="s">
        <v>481</v>
      </c>
      <c r="D11" s="10" t="s">
        <v>491</v>
      </c>
      <c r="E11" s="10" t="s">
        <v>489</v>
      </c>
      <c r="F11" s="10"/>
    </row>
    <row r="12" spans="1:6">
      <c r="A12" s="7">
        <v>11</v>
      </c>
      <c r="B12" s="10" t="s">
        <v>480</v>
      </c>
      <c r="C12" s="10" t="s">
        <v>481</v>
      </c>
      <c r="D12" s="10" t="s">
        <v>13</v>
      </c>
      <c r="E12" s="10" t="s">
        <v>492</v>
      </c>
      <c r="F12" s="10"/>
    </row>
    <row r="13" spans="1:6">
      <c r="A13" s="7">
        <v>20</v>
      </c>
      <c r="B13" s="10" t="s">
        <v>480</v>
      </c>
      <c r="C13" s="10" t="s">
        <v>481</v>
      </c>
      <c r="D13" s="10" t="s">
        <v>493</v>
      </c>
      <c r="E13" s="10" t="s">
        <v>494</v>
      </c>
      <c r="F13" s="10"/>
    </row>
    <row r="14" spans="1:6">
      <c r="A14" s="7">
        <v>13</v>
      </c>
      <c r="B14" s="10" t="s">
        <v>480</v>
      </c>
      <c r="C14" s="10" t="s">
        <v>481</v>
      </c>
      <c r="D14" s="10" t="s">
        <v>495</v>
      </c>
      <c r="E14" s="10" t="s">
        <v>496</v>
      </c>
      <c r="F14" s="10"/>
    </row>
    <row r="15" spans="1:6">
      <c r="A15" s="7">
        <v>8</v>
      </c>
      <c r="B15" s="10" t="s">
        <v>480</v>
      </c>
      <c r="C15" s="10" t="s">
        <v>481</v>
      </c>
      <c r="D15" s="10" t="s">
        <v>497</v>
      </c>
      <c r="E15" s="10" t="s">
        <v>498</v>
      </c>
      <c r="F15" s="10"/>
    </row>
    <row r="16" spans="1:6">
      <c r="A16" s="7">
        <v>5</v>
      </c>
      <c r="B16" s="10" t="s">
        <v>480</v>
      </c>
      <c r="C16" s="10" t="s">
        <v>481</v>
      </c>
      <c r="D16" s="10" t="s">
        <v>499</v>
      </c>
      <c r="E16" s="10"/>
      <c r="F16" s="10"/>
    </row>
    <row r="17" spans="1:6">
      <c r="A17" s="7">
        <v>14</v>
      </c>
      <c r="B17" s="10" t="s">
        <v>480</v>
      </c>
      <c r="C17" s="10" t="s">
        <v>481</v>
      </c>
      <c r="D17" s="10" t="s">
        <v>500</v>
      </c>
      <c r="E17" s="10" t="s">
        <v>494</v>
      </c>
      <c r="F17" s="10"/>
    </row>
    <row r="18" spans="1:6">
      <c r="A18" s="7">
        <v>15</v>
      </c>
      <c r="B18" s="10" t="s">
        <v>480</v>
      </c>
      <c r="C18" s="10" t="s">
        <v>481</v>
      </c>
      <c r="D18" s="10" t="s">
        <v>501</v>
      </c>
      <c r="E18" s="10" t="s">
        <v>494</v>
      </c>
      <c r="F18" s="10"/>
    </row>
    <row r="19" spans="1:6">
      <c r="A19" s="7">
        <v>12</v>
      </c>
      <c r="B19" s="10" t="s">
        <v>480</v>
      </c>
      <c r="C19" s="10" t="s">
        <v>481</v>
      </c>
      <c r="D19" s="10" t="s">
        <v>229</v>
      </c>
      <c r="E19" s="10" t="s">
        <v>502</v>
      </c>
      <c r="F19" s="10"/>
    </row>
    <row r="20" spans="1:6">
      <c r="A20" s="7">
        <v>19</v>
      </c>
      <c r="B20" s="10" t="s">
        <v>480</v>
      </c>
      <c r="C20" s="10" t="s">
        <v>481</v>
      </c>
      <c r="D20" s="10" t="s">
        <v>284</v>
      </c>
      <c r="E20" s="10" t="s">
        <v>498</v>
      </c>
      <c r="F20" s="10"/>
    </row>
    <row r="21" spans="1:6">
      <c r="A21" s="7">
        <v>2</v>
      </c>
      <c r="B21" s="10" t="s">
        <v>480</v>
      </c>
      <c r="C21" s="10" t="s">
        <v>481</v>
      </c>
      <c r="D21" s="10" t="s">
        <v>503</v>
      </c>
      <c r="E21" s="10" t="s">
        <v>504</v>
      </c>
      <c r="F21" s="10"/>
    </row>
    <row r="22" spans="1:6">
      <c r="A22" s="7">
        <v>7</v>
      </c>
      <c r="B22" s="10" t="s">
        <v>480</v>
      </c>
      <c r="C22" s="10" t="s">
        <v>481</v>
      </c>
      <c r="D22" s="10" t="s">
        <v>505</v>
      </c>
      <c r="E22" s="10" t="s">
        <v>494</v>
      </c>
      <c r="F22" s="10"/>
    </row>
    <row r="23" spans="1:6">
      <c r="A23" s="7">
        <v>4</v>
      </c>
      <c r="B23" s="10" t="s">
        <v>480</v>
      </c>
      <c r="C23" s="10" t="s">
        <v>481</v>
      </c>
      <c r="D23" s="10" t="s">
        <v>506</v>
      </c>
      <c r="E23" s="10" t="s">
        <v>507</v>
      </c>
      <c r="F23" s="10"/>
    </row>
    <row r="24" spans="1:6">
      <c r="A24" s="7">
        <v>75</v>
      </c>
      <c r="B24" s="10" t="s">
        <v>253</v>
      </c>
      <c r="C24" s="10" t="s">
        <v>481</v>
      </c>
      <c r="D24" s="10" t="s">
        <v>49</v>
      </c>
      <c r="E24" s="10" t="s">
        <v>489</v>
      </c>
      <c r="F24" s="10">
        <v>10</v>
      </c>
    </row>
    <row r="25" spans="1:6">
      <c r="A25" s="7">
        <v>67</v>
      </c>
      <c r="B25" s="10" t="s">
        <v>253</v>
      </c>
      <c r="C25" s="10" t="s">
        <v>481</v>
      </c>
      <c r="D25" s="10" t="s">
        <v>167</v>
      </c>
      <c r="E25" s="10" t="s">
        <v>508</v>
      </c>
      <c r="F25" s="10">
        <v>20</v>
      </c>
    </row>
    <row r="26" spans="1:6">
      <c r="A26" s="7">
        <v>100</v>
      </c>
      <c r="B26" s="10" t="s">
        <v>253</v>
      </c>
      <c r="C26" s="10" t="s">
        <v>481</v>
      </c>
      <c r="D26" s="10" t="s">
        <v>167</v>
      </c>
      <c r="E26" s="10" t="s">
        <v>508</v>
      </c>
      <c r="F26" s="10">
        <v>3.9</v>
      </c>
    </row>
    <row r="27" spans="1:6">
      <c r="A27" s="7">
        <v>118</v>
      </c>
      <c r="B27" s="10" t="s">
        <v>253</v>
      </c>
      <c r="C27" s="10" t="s">
        <v>481</v>
      </c>
      <c r="D27" s="10" t="s">
        <v>167</v>
      </c>
      <c r="E27" s="10" t="s">
        <v>508</v>
      </c>
      <c r="F27" s="10">
        <v>2.6</v>
      </c>
    </row>
    <row r="28" spans="1:6">
      <c r="A28" s="7">
        <v>135</v>
      </c>
      <c r="B28" s="10" t="s">
        <v>253</v>
      </c>
      <c r="C28" s="10" t="s">
        <v>481</v>
      </c>
      <c r="D28" s="10" t="s">
        <v>167</v>
      </c>
      <c r="E28" s="10" t="s">
        <v>508</v>
      </c>
      <c r="F28" s="10">
        <v>5</v>
      </c>
    </row>
    <row r="29" spans="1:6">
      <c r="A29" s="7">
        <v>23</v>
      </c>
      <c r="B29" s="10" t="s">
        <v>253</v>
      </c>
      <c r="C29" s="10" t="s">
        <v>481</v>
      </c>
      <c r="D29" s="10" t="s">
        <v>13</v>
      </c>
      <c r="E29" s="10" t="s">
        <v>509</v>
      </c>
      <c r="F29" s="10">
        <v>40</v>
      </c>
    </row>
    <row r="30" spans="1:6">
      <c r="A30" s="7">
        <v>37</v>
      </c>
      <c r="B30" s="10" t="s">
        <v>253</v>
      </c>
      <c r="C30" s="10" t="s">
        <v>481</v>
      </c>
      <c r="D30" s="10" t="s">
        <v>13</v>
      </c>
      <c r="E30" s="10" t="s">
        <v>509</v>
      </c>
      <c r="F30" s="10">
        <v>10</v>
      </c>
    </row>
    <row r="31" spans="1:6">
      <c r="A31" s="7">
        <v>39</v>
      </c>
      <c r="B31" s="10" t="s">
        <v>253</v>
      </c>
      <c r="C31" s="10" t="s">
        <v>481</v>
      </c>
      <c r="D31" s="10" t="s">
        <v>13</v>
      </c>
      <c r="E31" s="10" t="s">
        <v>509</v>
      </c>
      <c r="F31" s="10">
        <v>12</v>
      </c>
    </row>
    <row r="32" spans="1:6">
      <c r="A32" s="7">
        <v>40</v>
      </c>
      <c r="B32" s="10" t="s">
        <v>253</v>
      </c>
      <c r="C32" s="10" t="s">
        <v>481</v>
      </c>
      <c r="D32" s="10" t="s">
        <v>13</v>
      </c>
      <c r="E32" s="10" t="s">
        <v>509</v>
      </c>
      <c r="F32" s="10">
        <v>12</v>
      </c>
    </row>
    <row r="33" spans="1:6">
      <c r="A33" s="7">
        <v>42</v>
      </c>
      <c r="B33" s="10" t="s">
        <v>253</v>
      </c>
      <c r="C33" s="10" t="s">
        <v>481</v>
      </c>
      <c r="D33" s="10" t="s">
        <v>13</v>
      </c>
      <c r="E33" s="10" t="s">
        <v>509</v>
      </c>
      <c r="F33" s="10">
        <v>10</v>
      </c>
    </row>
    <row r="34" spans="1:6">
      <c r="A34" s="7">
        <v>43</v>
      </c>
      <c r="B34" s="10" t="s">
        <v>253</v>
      </c>
      <c r="C34" s="10" t="s">
        <v>481</v>
      </c>
      <c r="D34" s="10" t="s">
        <v>13</v>
      </c>
      <c r="E34" s="10" t="s">
        <v>509</v>
      </c>
      <c r="F34" s="10">
        <v>12</v>
      </c>
    </row>
    <row r="35" spans="1:6">
      <c r="A35" s="7">
        <v>45</v>
      </c>
      <c r="B35" s="10" t="s">
        <v>253</v>
      </c>
      <c r="C35" s="10" t="s">
        <v>481</v>
      </c>
      <c r="D35" s="10" t="s">
        <v>13</v>
      </c>
      <c r="E35" s="10" t="s">
        <v>509</v>
      </c>
      <c r="F35" s="10">
        <v>8</v>
      </c>
    </row>
    <row r="36" spans="1:6">
      <c r="A36" s="7">
        <v>46</v>
      </c>
      <c r="B36" s="10" t="s">
        <v>253</v>
      </c>
      <c r="C36" s="10" t="s">
        <v>481</v>
      </c>
      <c r="D36" s="10" t="s">
        <v>13</v>
      </c>
      <c r="E36" s="10" t="s">
        <v>509</v>
      </c>
      <c r="F36" s="10">
        <v>15</v>
      </c>
    </row>
    <row r="37" spans="1:6">
      <c r="A37" s="7">
        <v>47</v>
      </c>
      <c r="B37" s="10" t="s">
        <v>253</v>
      </c>
      <c r="C37" s="10" t="s">
        <v>481</v>
      </c>
      <c r="D37" s="10" t="s">
        <v>13</v>
      </c>
      <c r="E37" s="10" t="s">
        <v>509</v>
      </c>
      <c r="F37" s="10">
        <v>10</v>
      </c>
    </row>
    <row r="38" spans="1:6">
      <c r="A38" s="7">
        <v>82</v>
      </c>
      <c r="B38" s="10" t="s">
        <v>253</v>
      </c>
      <c r="C38" s="10" t="s">
        <v>481</v>
      </c>
      <c r="D38" s="10" t="s">
        <v>13</v>
      </c>
      <c r="E38" s="10" t="s">
        <v>509</v>
      </c>
      <c r="F38" s="10">
        <v>25</v>
      </c>
    </row>
    <row r="39" spans="1:6">
      <c r="A39" s="7">
        <v>83</v>
      </c>
      <c r="B39" s="10" t="s">
        <v>253</v>
      </c>
      <c r="C39" s="10" t="s">
        <v>481</v>
      </c>
      <c r="D39" s="10" t="s">
        <v>13</v>
      </c>
      <c r="E39" s="10" t="s">
        <v>509</v>
      </c>
      <c r="F39" s="10">
        <v>10</v>
      </c>
    </row>
    <row r="40" spans="1:6">
      <c r="A40" s="7">
        <v>92</v>
      </c>
      <c r="B40" s="10" t="s">
        <v>253</v>
      </c>
      <c r="C40" s="10" t="s">
        <v>481</v>
      </c>
      <c r="D40" s="10" t="s">
        <v>13</v>
      </c>
      <c r="E40" s="10" t="s">
        <v>509</v>
      </c>
      <c r="F40" s="10">
        <v>16</v>
      </c>
    </row>
    <row r="41" spans="1:6">
      <c r="A41" s="7">
        <v>97</v>
      </c>
      <c r="B41" s="10" t="s">
        <v>253</v>
      </c>
      <c r="C41" s="10" t="s">
        <v>481</v>
      </c>
      <c r="D41" s="10" t="s">
        <v>13</v>
      </c>
      <c r="E41" s="10" t="s">
        <v>509</v>
      </c>
      <c r="F41" s="10">
        <v>20</v>
      </c>
    </row>
    <row r="42" spans="1:6">
      <c r="A42" s="7">
        <v>105</v>
      </c>
      <c r="B42" s="10" t="s">
        <v>253</v>
      </c>
      <c r="C42" s="10" t="s">
        <v>481</v>
      </c>
      <c r="D42" s="10" t="s">
        <v>13</v>
      </c>
      <c r="E42" s="10" t="s">
        <v>509</v>
      </c>
      <c r="F42" s="10">
        <v>15</v>
      </c>
    </row>
    <row r="43" spans="1:6">
      <c r="A43" s="7">
        <v>123</v>
      </c>
      <c r="B43" s="10" t="s">
        <v>253</v>
      </c>
      <c r="C43" s="10" t="s">
        <v>481</v>
      </c>
      <c r="D43" s="10" t="s">
        <v>13</v>
      </c>
      <c r="E43" s="10" t="s">
        <v>509</v>
      </c>
      <c r="F43" s="10">
        <v>15</v>
      </c>
    </row>
    <row r="44" spans="1:6">
      <c r="A44" s="7">
        <v>129</v>
      </c>
      <c r="B44" s="10" t="s">
        <v>253</v>
      </c>
      <c r="C44" s="10" t="s">
        <v>481</v>
      </c>
      <c r="D44" s="10" t="s">
        <v>13</v>
      </c>
      <c r="E44" s="10" t="s">
        <v>509</v>
      </c>
      <c r="F44" s="10">
        <v>15</v>
      </c>
    </row>
    <row r="45" spans="1:6">
      <c r="A45" s="7">
        <v>131</v>
      </c>
      <c r="B45" s="10" t="s">
        <v>253</v>
      </c>
      <c r="C45" s="10" t="s">
        <v>481</v>
      </c>
      <c r="D45" s="10" t="s">
        <v>13</v>
      </c>
      <c r="E45" s="10" t="s">
        <v>509</v>
      </c>
      <c r="F45" s="10">
        <v>15</v>
      </c>
    </row>
    <row r="46" spans="1:6">
      <c r="A46" s="7">
        <v>139</v>
      </c>
      <c r="B46" s="10" t="s">
        <v>253</v>
      </c>
      <c r="C46" s="10" t="s">
        <v>481</v>
      </c>
      <c r="D46" s="10" t="s">
        <v>13</v>
      </c>
      <c r="E46" s="10" t="s">
        <v>509</v>
      </c>
      <c r="F46" s="10">
        <v>20</v>
      </c>
    </row>
    <row r="47" spans="1:6">
      <c r="A47" s="7">
        <v>153</v>
      </c>
      <c r="B47" s="10" t="s">
        <v>253</v>
      </c>
      <c r="C47" s="10" t="s">
        <v>481</v>
      </c>
      <c r="D47" s="10" t="s">
        <v>13</v>
      </c>
      <c r="E47" s="10" t="s">
        <v>509</v>
      </c>
      <c r="F47" s="10">
        <v>9</v>
      </c>
    </row>
    <row r="48" spans="1:6">
      <c r="A48" s="7">
        <v>154</v>
      </c>
      <c r="B48" s="10" t="s">
        <v>253</v>
      </c>
      <c r="C48" s="10" t="s">
        <v>481</v>
      </c>
      <c r="D48" s="10" t="s">
        <v>13</v>
      </c>
      <c r="E48" s="10" t="s">
        <v>509</v>
      </c>
      <c r="F48" s="10">
        <v>14</v>
      </c>
    </row>
    <row r="49" spans="1:9">
      <c r="A49" s="7">
        <v>155</v>
      </c>
      <c r="B49" s="10" t="s">
        <v>253</v>
      </c>
      <c r="C49" s="10" t="s">
        <v>481</v>
      </c>
      <c r="D49" s="10" t="s">
        <v>13</v>
      </c>
      <c r="E49" s="10" t="s">
        <v>509</v>
      </c>
      <c r="F49" s="10">
        <v>8</v>
      </c>
    </row>
    <row r="50" spans="1:9">
      <c r="A50" s="7">
        <v>156</v>
      </c>
      <c r="B50" s="10" t="s">
        <v>253</v>
      </c>
      <c r="C50" s="10" t="s">
        <v>481</v>
      </c>
      <c r="D50" s="10" t="s">
        <v>13</v>
      </c>
      <c r="E50" s="10" t="s">
        <v>509</v>
      </c>
      <c r="F50" s="10">
        <v>10</v>
      </c>
    </row>
    <row r="51" spans="1:9">
      <c r="A51" s="7">
        <v>157</v>
      </c>
      <c r="B51" s="10" t="s">
        <v>253</v>
      </c>
      <c r="C51" s="10" t="s">
        <v>481</v>
      </c>
      <c r="D51" s="10" t="s">
        <v>13</v>
      </c>
      <c r="E51" s="10" t="s">
        <v>509</v>
      </c>
      <c r="F51" s="10">
        <v>10</v>
      </c>
      <c r="I51"/>
    </row>
    <row r="52" spans="1:9">
      <c r="A52" s="7">
        <v>183</v>
      </c>
      <c r="B52" s="10" t="s">
        <v>253</v>
      </c>
      <c r="C52" s="10" t="s">
        <v>481</v>
      </c>
      <c r="D52" s="10" t="s">
        <v>13</v>
      </c>
      <c r="E52" s="10" t="s">
        <v>509</v>
      </c>
      <c r="F52" s="10">
        <v>15</v>
      </c>
      <c r="I52"/>
    </row>
    <row r="53" spans="1:9">
      <c r="A53" s="7">
        <v>52</v>
      </c>
      <c r="B53" s="10" t="s">
        <v>253</v>
      </c>
      <c r="C53" s="10" t="s">
        <v>481</v>
      </c>
      <c r="D53" s="10" t="s">
        <v>493</v>
      </c>
      <c r="E53" s="10" t="s">
        <v>494</v>
      </c>
      <c r="F53" s="10">
        <v>8</v>
      </c>
      <c r="I53"/>
    </row>
    <row r="54" spans="1:9">
      <c r="A54" s="7">
        <v>69</v>
      </c>
      <c r="B54" s="10" t="s">
        <v>253</v>
      </c>
      <c r="C54" s="10" t="s">
        <v>481</v>
      </c>
      <c r="D54" s="10" t="s">
        <v>493</v>
      </c>
      <c r="E54" s="10" t="s">
        <v>494</v>
      </c>
      <c r="F54" s="10">
        <v>9</v>
      </c>
      <c r="I54"/>
    </row>
    <row r="55" spans="1:9">
      <c r="A55" s="7">
        <v>104</v>
      </c>
      <c r="B55" s="10" t="s">
        <v>253</v>
      </c>
      <c r="C55" s="10" t="s">
        <v>481</v>
      </c>
      <c r="D55" s="10" t="s">
        <v>493</v>
      </c>
      <c r="E55" s="10" t="s">
        <v>494</v>
      </c>
      <c r="F55" s="10">
        <v>6</v>
      </c>
      <c r="I55"/>
    </row>
    <row r="56" spans="1:9">
      <c r="A56" s="7">
        <v>116</v>
      </c>
      <c r="B56" s="10" t="s">
        <v>253</v>
      </c>
      <c r="C56" s="10" t="s">
        <v>481</v>
      </c>
      <c r="D56" s="10" t="s">
        <v>493</v>
      </c>
      <c r="E56" s="10" t="s">
        <v>494</v>
      </c>
      <c r="F56" s="10">
        <v>7</v>
      </c>
      <c r="I56"/>
    </row>
    <row r="57" spans="1:9">
      <c r="A57" s="7">
        <v>136</v>
      </c>
      <c r="B57" s="10" t="s">
        <v>253</v>
      </c>
      <c r="C57" s="10" t="s">
        <v>481</v>
      </c>
      <c r="D57" s="10" t="s">
        <v>493</v>
      </c>
      <c r="E57" s="10" t="s">
        <v>494</v>
      </c>
      <c r="F57" s="10">
        <v>6</v>
      </c>
      <c r="I57"/>
    </row>
    <row r="58" spans="1:9">
      <c r="A58" s="7">
        <v>149</v>
      </c>
      <c r="B58" s="10" t="s">
        <v>253</v>
      </c>
      <c r="C58" s="10" t="s">
        <v>481</v>
      </c>
      <c r="D58" s="10" t="s">
        <v>493</v>
      </c>
      <c r="E58" s="10" t="s">
        <v>494</v>
      </c>
      <c r="F58" s="10">
        <v>8</v>
      </c>
      <c r="I58"/>
    </row>
    <row r="59" spans="1:9">
      <c r="A59" s="7">
        <v>140</v>
      </c>
      <c r="B59" s="10" t="s">
        <v>253</v>
      </c>
      <c r="C59" s="10" t="s">
        <v>481</v>
      </c>
      <c r="D59" s="10" t="s">
        <v>51</v>
      </c>
      <c r="E59" s="10" t="s">
        <v>494</v>
      </c>
      <c r="F59" s="10">
        <v>6</v>
      </c>
      <c r="I59"/>
    </row>
    <row r="60" spans="1:9">
      <c r="A60" s="7">
        <v>24</v>
      </c>
      <c r="B60" s="10" t="s">
        <v>253</v>
      </c>
      <c r="C60" s="10" t="s">
        <v>481</v>
      </c>
      <c r="D60" s="10" t="s">
        <v>255</v>
      </c>
      <c r="E60" s="10" t="s">
        <v>510</v>
      </c>
      <c r="F60" s="10">
        <v>25</v>
      </c>
      <c r="I60"/>
    </row>
    <row r="61" spans="1:9">
      <c r="A61" s="7">
        <v>32</v>
      </c>
      <c r="B61" s="10" t="s">
        <v>253</v>
      </c>
      <c r="C61" s="10" t="s">
        <v>481</v>
      </c>
      <c r="D61" s="10" t="s">
        <v>255</v>
      </c>
      <c r="E61" s="10" t="s">
        <v>510</v>
      </c>
      <c r="F61" s="10">
        <v>30</v>
      </c>
      <c r="I61"/>
    </row>
    <row r="62" spans="1:9">
      <c r="A62" s="7">
        <v>33</v>
      </c>
      <c r="B62" s="10" t="s">
        <v>253</v>
      </c>
      <c r="C62" s="10" t="s">
        <v>481</v>
      </c>
      <c r="D62" s="10" t="s">
        <v>255</v>
      </c>
      <c r="E62" s="10" t="s">
        <v>510</v>
      </c>
      <c r="F62" s="10">
        <v>30</v>
      </c>
      <c r="I62"/>
    </row>
    <row r="63" spans="1:9">
      <c r="A63" s="7">
        <v>35</v>
      </c>
      <c r="B63" s="10" t="s">
        <v>253</v>
      </c>
      <c r="C63" s="10" t="s">
        <v>481</v>
      </c>
      <c r="D63" s="10" t="s">
        <v>255</v>
      </c>
      <c r="E63" s="10" t="s">
        <v>510</v>
      </c>
      <c r="F63" s="10">
        <v>30</v>
      </c>
      <c r="I63"/>
    </row>
    <row r="64" spans="1:9">
      <c r="A64" s="7">
        <v>50</v>
      </c>
      <c r="B64" s="10" t="s">
        <v>253</v>
      </c>
      <c r="C64" s="10" t="s">
        <v>481</v>
      </c>
      <c r="D64" s="10" t="s">
        <v>255</v>
      </c>
      <c r="E64" s="10" t="s">
        <v>510</v>
      </c>
      <c r="F64" s="10">
        <v>10</v>
      </c>
      <c r="I64"/>
    </row>
    <row r="65" spans="1:9">
      <c r="A65" s="7">
        <v>73</v>
      </c>
      <c r="B65" s="10" t="s">
        <v>253</v>
      </c>
      <c r="C65" s="10" t="s">
        <v>481</v>
      </c>
      <c r="D65" s="10" t="s">
        <v>255</v>
      </c>
      <c r="E65" s="10" t="s">
        <v>510</v>
      </c>
      <c r="F65" s="10">
        <v>15</v>
      </c>
      <c r="I65"/>
    </row>
    <row r="66" spans="1:9">
      <c r="A66" s="7">
        <v>78</v>
      </c>
      <c r="B66" s="10" t="s">
        <v>253</v>
      </c>
      <c r="C66" s="10" t="s">
        <v>481</v>
      </c>
      <c r="D66" s="10" t="s">
        <v>255</v>
      </c>
      <c r="E66" s="10" t="s">
        <v>510</v>
      </c>
      <c r="F66" s="10">
        <v>10</v>
      </c>
      <c r="I66"/>
    </row>
    <row r="67" spans="1:9">
      <c r="A67" s="7">
        <v>81</v>
      </c>
      <c r="B67" s="10" t="s">
        <v>253</v>
      </c>
      <c r="C67" s="10" t="s">
        <v>481</v>
      </c>
      <c r="D67" s="10" t="s">
        <v>255</v>
      </c>
      <c r="E67" s="10" t="s">
        <v>510</v>
      </c>
      <c r="F67" s="10">
        <v>10</v>
      </c>
      <c r="I67"/>
    </row>
    <row r="68" spans="1:9">
      <c r="A68" s="7">
        <v>110</v>
      </c>
      <c r="B68" s="10" t="s">
        <v>253</v>
      </c>
      <c r="C68" s="10" t="s">
        <v>481</v>
      </c>
      <c r="D68" s="10" t="s">
        <v>255</v>
      </c>
      <c r="E68" s="10" t="s">
        <v>510</v>
      </c>
      <c r="F68" s="10">
        <v>10</v>
      </c>
      <c r="I68"/>
    </row>
    <row r="69" spans="1:9">
      <c r="A69" s="7">
        <v>120</v>
      </c>
      <c r="B69" s="10" t="s">
        <v>253</v>
      </c>
      <c r="C69" s="10" t="s">
        <v>481</v>
      </c>
      <c r="D69" s="10" t="s">
        <v>255</v>
      </c>
      <c r="E69" s="10" t="s">
        <v>510</v>
      </c>
      <c r="F69" s="10">
        <v>15</v>
      </c>
      <c r="I69"/>
    </row>
    <row r="70" spans="1:9">
      <c r="A70" s="7">
        <v>145</v>
      </c>
      <c r="B70" s="10" t="s">
        <v>253</v>
      </c>
      <c r="C70" s="10" t="s">
        <v>481</v>
      </c>
      <c r="D70" s="10" t="s">
        <v>255</v>
      </c>
      <c r="E70" s="10" t="s">
        <v>510</v>
      </c>
      <c r="F70" s="10">
        <v>8</v>
      </c>
      <c r="I70"/>
    </row>
    <row r="71" spans="1:9">
      <c r="A71" s="7">
        <v>164</v>
      </c>
      <c r="B71" s="10" t="s">
        <v>253</v>
      </c>
      <c r="C71" s="10" t="s">
        <v>481</v>
      </c>
      <c r="D71" s="10" t="s">
        <v>255</v>
      </c>
      <c r="E71" s="10" t="s">
        <v>510</v>
      </c>
      <c r="F71" s="10">
        <v>10</v>
      </c>
      <c r="I71"/>
    </row>
    <row r="72" spans="1:9">
      <c r="A72" s="7">
        <v>171</v>
      </c>
      <c r="B72" s="10" t="s">
        <v>253</v>
      </c>
      <c r="C72" s="10" t="s">
        <v>481</v>
      </c>
      <c r="D72" s="10" t="s">
        <v>255</v>
      </c>
      <c r="E72" s="10" t="s">
        <v>510</v>
      </c>
      <c r="F72" s="10">
        <v>15</v>
      </c>
      <c r="I72"/>
    </row>
    <row r="73" spans="1:9">
      <c r="A73" s="7">
        <v>51</v>
      </c>
      <c r="B73" s="10" t="s">
        <v>253</v>
      </c>
      <c r="C73" s="10" t="s">
        <v>481</v>
      </c>
      <c r="D73" s="10" t="s">
        <v>40</v>
      </c>
      <c r="E73" s="10" t="s">
        <v>508</v>
      </c>
      <c r="F73" s="10">
        <v>12</v>
      </c>
      <c r="I73"/>
    </row>
    <row r="74" spans="1:9">
      <c r="A74" s="7">
        <v>68</v>
      </c>
      <c r="B74" s="10" t="s">
        <v>253</v>
      </c>
      <c r="C74" s="10" t="s">
        <v>481</v>
      </c>
      <c r="D74" s="10" t="s">
        <v>40</v>
      </c>
      <c r="E74" s="10" t="s">
        <v>508</v>
      </c>
      <c r="F74" s="10">
        <v>11</v>
      </c>
      <c r="I74"/>
    </row>
    <row r="75" spans="1:9">
      <c r="A75" s="7">
        <v>77</v>
      </c>
      <c r="B75" s="10" t="s">
        <v>253</v>
      </c>
      <c r="C75" s="10" t="s">
        <v>481</v>
      </c>
      <c r="D75" s="10" t="s">
        <v>40</v>
      </c>
      <c r="E75" s="10" t="s">
        <v>508</v>
      </c>
      <c r="F75" s="10">
        <v>15</v>
      </c>
      <c r="I75"/>
    </row>
    <row r="76" spans="1:9">
      <c r="A76" s="7">
        <v>95</v>
      </c>
      <c r="B76" s="10" t="s">
        <v>253</v>
      </c>
      <c r="C76" s="10" t="s">
        <v>481</v>
      </c>
      <c r="D76" s="10" t="s">
        <v>40</v>
      </c>
      <c r="E76" s="10" t="s">
        <v>508</v>
      </c>
      <c r="F76" s="10">
        <v>15</v>
      </c>
      <c r="I76"/>
    </row>
    <row r="77" spans="1:9">
      <c r="A77" s="7">
        <v>96</v>
      </c>
      <c r="B77" s="10" t="s">
        <v>253</v>
      </c>
      <c r="C77" s="10" t="s">
        <v>481</v>
      </c>
      <c r="D77" s="10" t="s">
        <v>40</v>
      </c>
      <c r="E77" s="10" t="s">
        <v>508</v>
      </c>
      <c r="F77" s="10">
        <v>15</v>
      </c>
      <c r="I77"/>
    </row>
    <row r="78" spans="1:9">
      <c r="A78" s="7">
        <v>102</v>
      </c>
      <c r="B78" s="10" t="s">
        <v>253</v>
      </c>
      <c r="C78" s="10" t="s">
        <v>481</v>
      </c>
      <c r="D78" s="10" t="s">
        <v>40</v>
      </c>
      <c r="E78" s="10" t="s">
        <v>508</v>
      </c>
      <c r="F78" s="10">
        <v>2.6</v>
      </c>
      <c r="I78"/>
    </row>
    <row r="79" spans="1:9">
      <c r="A79" s="7">
        <v>117</v>
      </c>
      <c r="B79" s="10" t="s">
        <v>253</v>
      </c>
      <c r="C79" s="10" t="s">
        <v>481</v>
      </c>
      <c r="D79" s="10" t="s">
        <v>40</v>
      </c>
      <c r="E79" s="10" t="s">
        <v>508</v>
      </c>
      <c r="F79" s="10">
        <v>3.9</v>
      </c>
      <c r="I79"/>
    </row>
    <row r="80" spans="1:9">
      <c r="A80" s="7">
        <v>137</v>
      </c>
      <c r="B80" s="10" t="s">
        <v>253</v>
      </c>
      <c r="C80" s="10" t="s">
        <v>481</v>
      </c>
      <c r="D80" s="10" t="s">
        <v>40</v>
      </c>
      <c r="E80" s="10" t="s">
        <v>508</v>
      </c>
      <c r="F80" s="10">
        <v>2.6</v>
      </c>
      <c r="I80"/>
    </row>
    <row r="81" spans="1:9">
      <c r="A81" s="7">
        <v>147</v>
      </c>
      <c r="B81" s="10" t="s">
        <v>253</v>
      </c>
      <c r="C81" s="10" t="s">
        <v>481</v>
      </c>
      <c r="D81" s="10" t="s">
        <v>40</v>
      </c>
      <c r="E81" s="10" t="s">
        <v>508</v>
      </c>
      <c r="F81" s="10">
        <v>3</v>
      </c>
      <c r="I81"/>
    </row>
    <row r="82" spans="1:9">
      <c r="A82" s="7">
        <v>151</v>
      </c>
      <c r="B82" s="10" t="s">
        <v>253</v>
      </c>
      <c r="C82" s="10" t="s">
        <v>481</v>
      </c>
      <c r="D82" s="10" t="s">
        <v>40</v>
      </c>
      <c r="E82" s="10" t="s">
        <v>508</v>
      </c>
      <c r="F82" s="10">
        <v>3</v>
      </c>
      <c r="I82"/>
    </row>
    <row r="83" spans="1:9">
      <c r="A83" s="7">
        <v>121</v>
      </c>
      <c r="B83" s="10" t="s">
        <v>253</v>
      </c>
      <c r="C83" s="10" t="s">
        <v>481</v>
      </c>
      <c r="D83" s="10" t="s">
        <v>511</v>
      </c>
      <c r="E83" s="10"/>
      <c r="F83" s="10">
        <v>15</v>
      </c>
      <c r="I83"/>
    </row>
    <row r="84" spans="1:9">
      <c r="A84" s="7">
        <v>122</v>
      </c>
      <c r="B84" s="10" t="s">
        <v>253</v>
      </c>
      <c r="C84" s="10" t="s">
        <v>481</v>
      </c>
      <c r="D84" s="10" t="s">
        <v>511</v>
      </c>
      <c r="E84" s="10"/>
      <c r="F84" s="10">
        <v>15</v>
      </c>
      <c r="I84"/>
    </row>
    <row r="85" spans="1:9">
      <c r="A85" s="7">
        <v>127</v>
      </c>
      <c r="B85" s="10" t="s">
        <v>253</v>
      </c>
      <c r="C85" s="10" t="s">
        <v>481</v>
      </c>
      <c r="D85" s="10" t="s">
        <v>511</v>
      </c>
      <c r="E85" s="10"/>
      <c r="F85" s="10">
        <v>20</v>
      </c>
      <c r="I85"/>
    </row>
    <row r="86" spans="1:9">
      <c r="A86" s="7">
        <v>170</v>
      </c>
      <c r="B86" s="10" t="s">
        <v>253</v>
      </c>
      <c r="C86" s="10" t="s">
        <v>481</v>
      </c>
      <c r="D86" s="10" t="s">
        <v>512</v>
      </c>
      <c r="E86" s="10" t="s">
        <v>485</v>
      </c>
      <c r="F86" s="10">
        <v>10</v>
      </c>
      <c r="I86"/>
    </row>
    <row r="87" spans="1:9">
      <c r="A87" s="7">
        <v>65</v>
      </c>
      <c r="B87" s="10" t="s">
        <v>253</v>
      </c>
      <c r="C87" s="10" t="s">
        <v>481</v>
      </c>
      <c r="D87" s="10" t="s">
        <v>43</v>
      </c>
      <c r="E87" s="10" t="s">
        <v>485</v>
      </c>
      <c r="F87" s="10">
        <v>10</v>
      </c>
      <c r="I87"/>
    </row>
    <row r="88" spans="1:9">
      <c r="A88" s="7">
        <v>99</v>
      </c>
      <c r="B88" s="10" t="s">
        <v>253</v>
      </c>
      <c r="C88" s="10" t="s">
        <v>481</v>
      </c>
      <c r="D88" s="10" t="s">
        <v>43</v>
      </c>
      <c r="E88" s="10" t="s">
        <v>485</v>
      </c>
      <c r="F88" s="10">
        <v>15</v>
      </c>
      <c r="I88"/>
    </row>
    <row r="89" spans="1:9">
      <c r="A89" s="7">
        <v>119</v>
      </c>
      <c r="B89" s="10" t="s">
        <v>253</v>
      </c>
      <c r="C89" s="10" t="s">
        <v>481</v>
      </c>
      <c r="D89" s="10" t="s">
        <v>43</v>
      </c>
      <c r="E89" s="10" t="s">
        <v>485</v>
      </c>
      <c r="F89" s="10">
        <v>12</v>
      </c>
      <c r="I89"/>
    </row>
    <row r="90" spans="1:9">
      <c r="A90" s="7">
        <v>128</v>
      </c>
      <c r="B90" s="10" t="s">
        <v>253</v>
      </c>
      <c r="C90" s="10" t="s">
        <v>481</v>
      </c>
      <c r="D90" s="10" t="s">
        <v>43</v>
      </c>
      <c r="E90" s="10" t="s">
        <v>485</v>
      </c>
      <c r="F90" s="10">
        <v>18</v>
      </c>
      <c r="I90"/>
    </row>
    <row r="91" spans="1:9">
      <c r="A91" s="7">
        <v>133</v>
      </c>
      <c r="B91" s="10" t="s">
        <v>253</v>
      </c>
      <c r="C91" s="10" t="s">
        <v>481</v>
      </c>
      <c r="D91" s="10" t="s">
        <v>43</v>
      </c>
      <c r="E91" s="10" t="s">
        <v>485</v>
      </c>
      <c r="F91" s="10">
        <v>25</v>
      </c>
      <c r="I91"/>
    </row>
    <row r="92" spans="1:9">
      <c r="A92" s="7">
        <v>138</v>
      </c>
      <c r="B92" s="10" t="s">
        <v>253</v>
      </c>
      <c r="C92" s="10" t="s">
        <v>481</v>
      </c>
      <c r="D92" s="10" t="s">
        <v>43</v>
      </c>
      <c r="E92" s="10" t="s">
        <v>485</v>
      </c>
      <c r="F92" s="10">
        <v>25</v>
      </c>
      <c r="I92"/>
    </row>
    <row r="93" spans="1:9">
      <c r="A93" s="7">
        <v>144</v>
      </c>
      <c r="B93" s="10" t="s">
        <v>253</v>
      </c>
      <c r="C93" s="10" t="s">
        <v>481</v>
      </c>
      <c r="D93" s="10" t="s">
        <v>43</v>
      </c>
      <c r="E93" s="10" t="s">
        <v>485</v>
      </c>
      <c r="F93" s="10">
        <v>15</v>
      </c>
      <c r="I93"/>
    </row>
    <row r="94" spans="1:9">
      <c r="A94" s="7">
        <v>74</v>
      </c>
      <c r="B94" s="10" t="s">
        <v>253</v>
      </c>
      <c r="C94" s="10" t="s">
        <v>481</v>
      </c>
      <c r="D94" s="10" t="s">
        <v>44</v>
      </c>
      <c r="E94" s="10" t="s">
        <v>513</v>
      </c>
      <c r="F94" s="10">
        <v>12</v>
      </c>
      <c r="I94"/>
    </row>
    <row r="95" spans="1:9">
      <c r="A95" s="7">
        <v>176</v>
      </c>
      <c r="B95" s="10" t="s">
        <v>253</v>
      </c>
      <c r="C95" s="10" t="s">
        <v>481</v>
      </c>
      <c r="D95" s="10" t="s">
        <v>44</v>
      </c>
      <c r="E95" s="10" t="s">
        <v>513</v>
      </c>
      <c r="F95" s="10">
        <v>20</v>
      </c>
      <c r="I95"/>
    </row>
    <row r="96" spans="1:9">
      <c r="A96" s="7">
        <v>177</v>
      </c>
      <c r="B96" s="10" t="s">
        <v>253</v>
      </c>
      <c r="C96" s="10" t="s">
        <v>481</v>
      </c>
      <c r="D96" s="10" t="s">
        <v>44</v>
      </c>
      <c r="E96" s="10" t="s">
        <v>513</v>
      </c>
      <c r="F96" s="10">
        <v>35</v>
      </c>
      <c r="I96"/>
    </row>
    <row r="97" spans="1:9">
      <c r="A97" s="7">
        <v>178</v>
      </c>
      <c r="B97" s="10" t="s">
        <v>253</v>
      </c>
      <c r="C97" s="10" t="s">
        <v>481</v>
      </c>
      <c r="D97" s="10" t="s">
        <v>44</v>
      </c>
      <c r="E97" s="10" t="s">
        <v>513</v>
      </c>
      <c r="F97" s="10">
        <v>35</v>
      </c>
      <c r="I97"/>
    </row>
    <row r="98" spans="1:9">
      <c r="A98" s="7">
        <v>172</v>
      </c>
      <c r="B98" s="10" t="s">
        <v>253</v>
      </c>
      <c r="C98" s="10" t="s">
        <v>481</v>
      </c>
      <c r="D98" s="10" t="s">
        <v>52</v>
      </c>
      <c r="E98" s="10" t="s">
        <v>513</v>
      </c>
      <c r="F98" s="10">
        <v>20</v>
      </c>
      <c r="I98"/>
    </row>
    <row r="99" spans="1:9">
      <c r="A99" s="7">
        <v>175</v>
      </c>
      <c r="B99" s="10" t="s">
        <v>253</v>
      </c>
      <c r="C99" s="10" t="s">
        <v>481</v>
      </c>
      <c r="D99" s="10" t="s">
        <v>52</v>
      </c>
      <c r="E99" s="10" t="s">
        <v>513</v>
      </c>
      <c r="F99" s="10">
        <v>16</v>
      </c>
      <c r="I99"/>
    </row>
    <row r="100" spans="1:9">
      <c r="A100" s="7">
        <v>103</v>
      </c>
      <c r="B100" s="10" t="s">
        <v>253</v>
      </c>
      <c r="C100" s="10" t="s">
        <v>481</v>
      </c>
      <c r="D100" s="10" t="s">
        <v>514</v>
      </c>
      <c r="E100" s="10" t="s">
        <v>498</v>
      </c>
      <c r="F100" s="10">
        <v>12</v>
      </c>
      <c r="I100"/>
    </row>
    <row r="101" spans="1:9">
      <c r="A101" s="7">
        <v>106</v>
      </c>
      <c r="B101" s="10" t="s">
        <v>253</v>
      </c>
      <c r="C101" s="10" t="s">
        <v>481</v>
      </c>
      <c r="D101" s="10" t="s">
        <v>514</v>
      </c>
      <c r="E101" s="10" t="s">
        <v>498</v>
      </c>
      <c r="F101" s="10">
        <v>12</v>
      </c>
      <c r="I101"/>
    </row>
    <row r="102" spans="1:9">
      <c r="A102" s="7">
        <v>108</v>
      </c>
      <c r="B102" s="10" t="s">
        <v>253</v>
      </c>
      <c r="C102" s="10" t="s">
        <v>481</v>
      </c>
      <c r="D102" s="10" t="s">
        <v>514</v>
      </c>
      <c r="E102" s="10" t="s">
        <v>498</v>
      </c>
      <c r="F102" s="10">
        <v>12</v>
      </c>
      <c r="I102"/>
    </row>
    <row r="103" spans="1:9">
      <c r="A103" s="7">
        <v>143</v>
      </c>
      <c r="B103" s="10" t="s">
        <v>253</v>
      </c>
      <c r="C103" s="10" t="s">
        <v>481</v>
      </c>
      <c r="D103" s="10" t="s">
        <v>514</v>
      </c>
      <c r="E103" s="10" t="s">
        <v>498</v>
      </c>
      <c r="F103" s="10">
        <v>12</v>
      </c>
      <c r="I103"/>
    </row>
    <row r="104" spans="1:9">
      <c r="A104" s="7">
        <v>152</v>
      </c>
      <c r="B104" s="10" t="s">
        <v>253</v>
      </c>
      <c r="C104" s="10" t="s">
        <v>481</v>
      </c>
      <c r="D104" s="10" t="s">
        <v>514</v>
      </c>
      <c r="E104" s="10" t="s">
        <v>498</v>
      </c>
      <c r="F104" s="10">
        <v>9</v>
      </c>
      <c r="I104"/>
    </row>
    <row r="105" spans="1:9">
      <c r="A105" s="7">
        <v>162</v>
      </c>
      <c r="B105" s="10" t="s">
        <v>253</v>
      </c>
      <c r="C105" s="10" t="s">
        <v>481</v>
      </c>
      <c r="D105" s="10" t="s">
        <v>514</v>
      </c>
      <c r="E105" s="10" t="s">
        <v>498</v>
      </c>
      <c r="F105" s="10">
        <v>25</v>
      </c>
      <c r="I105"/>
    </row>
    <row r="106" spans="1:9">
      <c r="A106" s="7">
        <v>168</v>
      </c>
      <c r="B106" s="10" t="s">
        <v>253</v>
      </c>
      <c r="C106" s="10" t="s">
        <v>481</v>
      </c>
      <c r="D106" s="10" t="s">
        <v>514</v>
      </c>
      <c r="E106" s="10" t="s">
        <v>498</v>
      </c>
      <c r="F106" s="10">
        <v>60</v>
      </c>
      <c r="I106"/>
    </row>
    <row r="107" spans="1:9">
      <c r="A107" s="7">
        <v>71</v>
      </c>
      <c r="B107" s="10" t="s">
        <v>253</v>
      </c>
      <c r="C107" s="10" t="s">
        <v>481</v>
      </c>
      <c r="D107" s="10" t="s">
        <v>19</v>
      </c>
      <c r="E107" s="10" t="s">
        <v>515</v>
      </c>
      <c r="F107" s="10">
        <v>50</v>
      </c>
      <c r="I107"/>
    </row>
    <row r="108" spans="1:9">
      <c r="A108" s="7">
        <v>72</v>
      </c>
      <c r="B108" s="10" t="s">
        <v>253</v>
      </c>
      <c r="C108" s="10" t="s">
        <v>481</v>
      </c>
      <c r="D108" s="10" t="s">
        <v>19</v>
      </c>
      <c r="E108" s="10" t="s">
        <v>515</v>
      </c>
      <c r="F108" s="10">
        <v>9</v>
      </c>
      <c r="I108"/>
    </row>
    <row r="109" spans="1:9">
      <c r="A109" s="7">
        <v>84</v>
      </c>
      <c r="B109" s="10" t="s">
        <v>253</v>
      </c>
      <c r="C109" s="10" t="s">
        <v>481</v>
      </c>
      <c r="D109" s="10" t="s">
        <v>19</v>
      </c>
      <c r="E109" s="10" t="s">
        <v>515</v>
      </c>
      <c r="F109" s="10">
        <v>15</v>
      </c>
      <c r="I109"/>
    </row>
    <row r="110" spans="1:9">
      <c r="A110" s="7">
        <v>85</v>
      </c>
      <c r="B110" s="10" t="s">
        <v>253</v>
      </c>
      <c r="C110" s="10" t="s">
        <v>481</v>
      </c>
      <c r="D110" s="10" t="s">
        <v>19</v>
      </c>
      <c r="E110" s="10" t="s">
        <v>515</v>
      </c>
      <c r="F110" s="10">
        <v>20</v>
      </c>
      <c r="I110"/>
    </row>
    <row r="111" spans="1:9">
      <c r="A111" s="7">
        <v>86</v>
      </c>
      <c r="B111" s="10" t="s">
        <v>253</v>
      </c>
      <c r="C111" s="10" t="s">
        <v>481</v>
      </c>
      <c r="D111" s="10" t="s">
        <v>19</v>
      </c>
      <c r="E111" s="10" t="s">
        <v>515</v>
      </c>
      <c r="F111" s="10">
        <v>18</v>
      </c>
      <c r="I111"/>
    </row>
    <row r="112" spans="1:9">
      <c r="A112" s="7">
        <v>87</v>
      </c>
      <c r="B112" s="10" t="s">
        <v>253</v>
      </c>
      <c r="C112" s="10" t="s">
        <v>481</v>
      </c>
      <c r="D112" s="10" t="s">
        <v>19</v>
      </c>
      <c r="E112" s="10" t="s">
        <v>515</v>
      </c>
      <c r="F112" s="10">
        <v>18</v>
      </c>
      <c r="I112"/>
    </row>
    <row r="113" spans="1:9">
      <c r="A113" s="7">
        <v>88</v>
      </c>
      <c r="B113" s="10" t="s">
        <v>253</v>
      </c>
      <c r="C113" s="10" t="s">
        <v>481</v>
      </c>
      <c r="D113" s="10" t="s">
        <v>19</v>
      </c>
      <c r="E113" s="10" t="s">
        <v>515</v>
      </c>
      <c r="F113" s="10">
        <v>15</v>
      </c>
      <c r="I113"/>
    </row>
    <row r="114" spans="1:9">
      <c r="A114" s="7">
        <v>89</v>
      </c>
      <c r="B114" s="10" t="s">
        <v>253</v>
      </c>
      <c r="C114" s="10" t="s">
        <v>481</v>
      </c>
      <c r="D114" s="10" t="s">
        <v>19</v>
      </c>
      <c r="E114" s="10" t="s">
        <v>515</v>
      </c>
      <c r="F114" s="10">
        <v>12</v>
      </c>
      <c r="I114"/>
    </row>
    <row r="115" spans="1:9">
      <c r="A115" s="7">
        <v>90</v>
      </c>
      <c r="B115" s="10" t="s">
        <v>253</v>
      </c>
      <c r="C115" s="10" t="s">
        <v>481</v>
      </c>
      <c r="D115" s="10" t="s">
        <v>19</v>
      </c>
      <c r="E115" s="10" t="s">
        <v>515</v>
      </c>
      <c r="F115" s="10">
        <v>12</v>
      </c>
      <c r="I115"/>
    </row>
    <row r="116" spans="1:9">
      <c r="A116" s="7">
        <v>91</v>
      </c>
      <c r="B116" s="10" t="s">
        <v>253</v>
      </c>
      <c r="C116" s="10" t="s">
        <v>481</v>
      </c>
      <c r="D116" s="10" t="s">
        <v>19</v>
      </c>
      <c r="E116" s="10" t="s">
        <v>515</v>
      </c>
      <c r="F116" s="10">
        <v>10</v>
      </c>
      <c r="I116"/>
    </row>
    <row r="117" spans="1:9">
      <c r="A117" s="7">
        <v>115</v>
      </c>
      <c r="B117" s="10" t="s">
        <v>253</v>
      </c>
      <c r="C117" s="10" t="s">
        <v>481</v>
      </c>
      <c r="D117" s="10" t="s">
        <v>19</v>
      </c>
      <c r="E117" s="10" t="s">
        <v>515</v>
      </c>
      <c r="F117" s="10">
        <v>9</v>
      </c>
      <c r="I117"/>
    </row>
    <row r="118" spans="1:9">
      <c r="A118" s="7">
        <v>186</v>
      </c>
      <c r="B118" s="10" t="s">
        <v>253</v>
      </c>
      <c r="C118" s="10" t="s">
        <v>481</v>
      </c>
      <c r="D118" s="10" t="s">
        <v>19</v>
      </c>
      <c r="E118" s="10" t="s">
        <v>515</v>
      </c>
      <c r="F118" s="10">
        <v>6</v>
      </c>
      <c r="I118"/>
    </row>
    <row r="119" spans="1:9">
      <c r="A119" s="7">
        <v>189</v>
      </c>
      <c r="B119" s="10" t="s">
        <v>253</v>
      </c>
      <c r="C119" s="10" t="s">
        <v>481</v>
      </c>
      <c r="D119" s="10" t="s">
        <v>19</v>
      </c>
      <c r="E119" s="10" t="s">
        <v>515</v>
      </c>
      <c r="F119" s="10">
        <v>12</v>
      </c>
      <c r="I119"/>
    </row>
    <row r="120" spans="1:9">
      <c r="A120" s="7">
        <v>53</v>
      </c>
      <c r="B120" s="10" t="s">
        <v>253</v>
      </c>
      <c r="C120" s="10" t="s">
        <v>481</v>
      </c>
      <c r="D120" s="10" t="s">
        <v>32</v>
      </c>
      <c r="E120" s="10" t="s">
        <v>515</v>
      </c>
      <c r="F120" s="10">
        <v>15</v>
      </c>
      <c r="I120"/>
    </row>
    <row r="121" spans="1:9">
      <c r="A121" s="7">
        <v>61</v>
      </c>
      <c r="B121" s="10" t="s">
        <v>253</v>
      </c>
      <c r="C121" s="10" t="s">
        <v>481</v>
      </c>
      <c r="D121" s="10" t="s">
        <v>32</v>
      </c>
      <c r="E121" s="10" t="s">
        <v>515</v>
      </c>
      <c r="F121" s="10">
        <v>20</v>
      </c>
      <c r="I121"/>
    </row>
    <row r="122" spans="1:9">
      <c r="A122" s="7">
        <v>80</v>
      </c>
      <c r="B122" s="10" t="s">
        <v>253</v>
      </c>
      <c r="C122" s="10" t="s">
        <v>481</v>
      </c>
      <c r="D122" s="10" t="s">
        <v>32</v>
      </c>
      <c r="E122" s="10" t="s">
        <v>515</v>
      </c>
      <c r="F122" s="10">
        <v>15</v>
      </c>
      <c r="I122"/>
    </row>
    <row r="123" spans="1:9">
      <c r="A123" s="7">
        <v>98</v>
      </c>
      <c r="B123" s="10" t="s">
        <v>253</v>
      </c>
      <c r="C123" s="10" t="s">
        <v>481</v>
      </c>
      <c r="D123" s="10" t="s">
        <v>32</v>
      </c>
      <c r="E123" s="10" t="s">
        <v>515</v>
      </c>
      <c r="F123" s="10">
        <v>20</v>
      </c>
      <c r="I123"/>
    </row>
    <row r="124" spans="1:9">
      <c r="A124" s="7">
        <v>181</v>
      </c>
      <c r="B124" s="10" t="s">
        <v>253</v>
      </c>
      <c r="C124" s="10" t="s">
        <v>481</v>
      </c>
      <c r="D124" s="10" t="s">
        <v>32</v>
      </c>
      <c r="E124" s="10" t="s">
        <v>515</v>
      </c>
      <c r="F124" s="10">
        <v>22</v>
      </c>
      <c r="I124"/>
    </row>
    <row r="125" spans="1:9">
      <c r="A125" s="7">
        <v>28</v>
      </c>
      <c r="B125" s="10" t="s">
        <v>253</v>
      </c>
      <c r="C125" s="10" t="s">
        <v>481</v>
      </c>
      <c r="D125" s="10" t="s">
        <v>57</v>
      </c>
      <c r="E125" s="10" t="s">
        <v>516</v>
      </c>
      <c r="F125" s="10">
        <v>15</v>
      </c>
      <c r="I125"/>
    </row>
    <row r="126" spans="1:9">
      <c r="A126" s="7">
        <v>34</v>
      </c>
      <c r="B126" s="10" t="s">
        <v>253</v>
      </c>
      <c r="C126" s="10" t="s">
        <v>481</v>
      </c>
      <c r="D126" s="10" t="s">
        <v>57</v>
      </c>
      <c r="E126" s="10" t="s">
        <v>516</v>
      </c>
      <c r="F126" s="10">
        <v>16</v>
      </c>
      <c r="I126"/>
    </row>
    <row r="127" spans="1:9">
      <c r="A127" s="7">
        <v>41</v>
      </c>
      <c r="B127" s="10" t="s">
        <v>253</v>
      </c>
      <c r="C127" s="10" t="s">
        <v>481</v>
      </c>
      <c r="D127" s="10" t="s">
        <v>57</v>
      </c>
      <c r="E127" s="10" t="s">
        <v>516</v>
      </c>
      <c r="F127" s="10">
        <v>10</v>
      </c>
      <c r="I127"/>
    </row>
    <row r="128" spans="1:9">
      <c r="A128" s="7">
        <v>179</v>
      </c>
      <c r="B128" s="10" t="s">
        <v>253</v>
      </c>
      <c r="C128" s="10" t="s">
        <v>481</v>
      </c>
      <c r="D128" s="10" t="s">
        <v>192</v>
      </c>
      <c r="E128" s="10"/>
      <c r="F128" s="10">
        <v>3</v>
      </c>
      <c r="I128"/>
    </row>
    <row r="129" spans="1:9">
      <c r="A129" s="7">
        <v>158</v>
      </c>
      <c r="B129" s="10" t="s">
        <v>253</v>
      </c>
      <c r="C129" s="10" t="s">
        <v>481</v>
      </c>
      <c r="D129" s="10" t="s">
        <v>517</v>
      </c>
      <c r="E129" s="10" t="s">
        <v>518</v>
      </c>
      <c r="F129" s="10">
        <v>12</v>
      </c>
      <c r="I129"/>
    </row>
    <row r="130" spans="1:9">
      <c r="A130" s="7">
        <v>112</v>
      </c>
      <c r="B130" s="10" t="s">
        <v>253</v>
      </c>
      <c r="C130" s="10" t="s">
        <v>481</v>
      </c>
      <c r="D130" s="10" t="s">
        <v>519</v>
      </c>
      <c r="E130" s="10" t="s">
        <v>518</v>
      </c>
      <c r="F130" s="10">
        <v>45</v>
      </c>
      <c r="I130"/>
    </row>
    <row r="131" spans="1:9">
      <c r="A131" s="7">
        <v>62</v>
      </c>
      <c r="B131" s="10" t="s">
        <v>253</v>
      </c>
      <c r="C131" s="10" t="s">
        <v>481</v>
      </c>
      <c r="D131" s="10" t="s">
        <v>186</v>
      </c>
      <c r="E131" s="10" t="s">
        <v>518</v>
      </c>
      <c r="F131" s="10">
        <v>25</v>
      </c>
      <c r="I131"/>
    </row>
    <row r="132" spans="1:9">
      <c r="A132" s="7">
        <v>64</v>
      </c>
      <c r="B132" s="10" t="s">
        <v>253</v>
      </c>
      <c r="C132" s="10" t="s">
        <v>481</v>
      </c>
      <c r="D132" s="10" t="s">
        <v>186</v>
      </c>
      <c r="E132" s="10" t="s">
        <v>518</v>
      </c>
      <c r="F132" s="10">
        <v>15</v>
      </c>
      <c r="I132"/>
    </row>
    <row r="133" spans="1:9">
      <c r="A133" s="7">
        <v>70</v>
      </c>
      <c r="B133" s="10" t="s">
        <v>253</v>
      </c>
      <c r="C133" s="10" t="s">
        <v>481</v>
      </c>
      <c r="D133" s="10" t="s">
        <v>186</v>
      </c>
      <c r="E133" s="10" t="s">
        <v>518</v>
      </c>
      <c r="F133" s="10">
        <v>30</v>
      </c>
      <c r="I133"/>
    </row>
    <row r="134" spans="1:9">
      <c r="A134" s="7">
        <v>76</v>
      </c>
      <c r="B134" s="10" t="s">
        <v>253</v>
      </c>
      <c r="C134" s="10" t="s">
        <v>481</v>
      </c>
      <c r="D134" s="10" t="s">
        <v>186</v>
      </c>
      <c r="E134" s="10" t="s">
        <v>518</v>
      </c>
      <c r="F134" s="10">
        <v>15</v>
      </c>
      <c r="I134"/>
    </row>
    <row r="135" spans="1:9">
      <c r="A135" s="7">
        <v>107</v>
      </c>
      <c r="B135" s="10" t="s">
        <v>253</v>
      </c>
      <c r="C135" s="10" t="s">
        <v>481</v>
      </c>
      <c r="D135" s="10" t="s">
        <v>186</v>
      </c>
      <c r="E135" s="10" t="s">
        <v>518</v>
      </c>
      <c r="F135" s="10">
        <v>12</v>
      </c>
      <c r="I135"/>
    </row>
    <row r="136" spans="1:9">
      <c r="A136" s="7">
        <v>111</v>
      </c>
      <c r="B136" s="10" t="s">
        <v>253</v>
      </c>
      <c r="C136" s="10" t="s">
        <v>481</v>
      </c>
      <c r="D136" s="10" t="s">
        <v>186</v>
      </c>
      <c r="E136" s="10" t="s">
        <v>518</v>
      </c>
      <c r="F136" s="10">
        <v>35</v>
      </c>
      <c r="I136"/>
    </row>
    <row r="137" spans="1:9">
      <c r="A137" s="7">
        <v>113</v>
      </c>
      <c r="B137" s="10" t="s">
        <v>253</v>
      </c>
      <c r="C137" s="10" t="s">
        <v>481</v>
      </c>
      <c r="D137" s="10" t="s">
        <v>520</v>
      </c>
      <c r="E137" s="10" t="s">
        <v>518</v>
      </c>
      <c r="F137" s="10">
        <v>6</v>
      </c>
      <c r="I137"/>
    </row>
    <row r="138" spans="1:9">
      <c r="A138" s="7">
        <v>114</v>
      </c>
      <c r="B138" s="10" t="s">
        <v>253</v>
      </c>
      <c r="C138" s="10" t="s">
        <v>481</v>
      </c>
      <c r="D138" s="10" t="s">
        <v>520</v>
      </c>
      <c r="E138" s="10" t="s">
        <v>518</v>
      </c>
      <c r="F138" s="10">
        <v>9</v>
      </c>
      <c r="I138"/>
    </row>
    <row r="139" spans="1:9">
      <c r="A139" s="7">
        <v>125</v>
      </c>
      <c r="B139" s="10" t="s">
        <v>253</v>
      </c>
      <c r="C139" s="10" t="s">
        <v>481</v>
      </c>
      <c r="D139" s="10" t="s">
        <v>520</v>
      </c>
      <c r="E139" s="10" t="s">
        <v>518</v>
      </c>
      <c r="F139" s="10">
        <v>12</v>
      </c>
      <c r="I139"/>
    </row>
    <row r="140" spans="1:9">
      <c r="A140" s="7">
        <v>126</v>
      </c>
      <c r="B140" s="10" t="s">
        <v>253</v>
      </c>
      <c r="C140" s="10" t="s">
        <v>481</v>
      </c>
      <c r="D140" s="10" t="s">
        <v>520</v>
      </c>
      <c r="E140" s="10" t="s">
        <v>518</v>
      </c>
      <c r="F140" s="10">
        <v>15</v>
      </c>
      <c r="I140"/>
    </row>
    <row r="141" spans="1:9">
      <c r="A141" s="7">
        <v>132</v>
      </c>
      <c r="B141" s="10" t="s">
        <v>253</v>
      </c>
      <c r="C141" s="10" t="s">
        <v>481</v>
      </c>
      <c r="D141" s="10" t="s">
        <v>520</v>
      </c>
      <c r="E141" s="10" t="s">
        <v>518</v>
      </c>
      <c r="F141" s="10">
        <v>30</v>
      </c>
      <c r="I141"/>
    </row>
    <row r="142" spans="1:9">
      <c r="A142" s="7">
        <v>141</v>
      </c>
      <c r="B142" s="10" t="s">
        <v>253</v>
      </c>
      <c r="C142" s="10" t="s">
        <v>481</v>
      </c>
      <c r="D142" s="10" t="s">
        <v>520</v>
      </c>
      <c r="E142" s="10" t="s">
        <v>518</v>
      </c>
      <c r="F142" s="10">
        <v>8</v>
      </c>
      <c r="I142"/>
    </row>
    <row r="143" spans="1:9">
      <c r="A143" s="7">
        <v>182</v>
      </c>
      <c r="B143" s="10" t="s">
        <v>253</v>
      </c>
      <c r="C143" s="10" t="s">
        <v>481</v>
      </c>
      <c r="D143" s="10" t="s">
        <v>521</v>
      </c>
      <c r="E143" s="10" t="s">
        <v>518</v>
      </c>
      <c r="F143" s="10">
        <v>30</v>
      </c>
      <c r="I143"/>
    </row>
    <row r="144" spans="1:9">
      <c r="A144" s="7">
        <v>161</v>
      </c>
      <c r="B144" s="10" t="s">
        <v>253</v>
      </c>
      <c r="C144" s="10" t="s">
        <v>481</v>
      </c>
      <c r="D144" s="10" t="s">
        <v>522</v>
      </c>
      <c r="E144" s="10" t="s">
        <v>518</v>
      </c>
      <c r="F144" s="10">
        <v>20</v>
      </c>
      <c r="I144"/>
    </row>
    <row r="145" spans="1:9">
      <c r="A145" s="7">
        <v>163</v>
      </c>
      <c r="B145" s="10" t="s">
        <v>253</v>
      </c>
      <c r="C145" s="10" t="s">
        <v>481</v>
      </c>
      <c r="D145" s="10" t="s">
        <v>523</v>
      </c>
      <c r="E145" s="10" t="s">
        <v>518</v>
      </c>
      <c r="F145" s="10">
        <v>8</v>
      </c>
      <c r="I145"/>
    </row>
    <row r="146" spans="1:9">
      <c r="A146" s="7">
        <v>165</v>
      </c>
      <c r="B146" s="10" t="s">
        <v>253</v>
      </c>
      <c r="C146" s="10" t="s">
        <v>481</v>
      </c>
      <c r="D146" s="10" t="s">
        <v>30</v>
      </c>
      <c r="E146" s="10" t="s">
        <v>518</v>
      </c>
      <c r="F146" s="10">
        <v>5</v>
      </c>
      <c r="I146"/>
    </row>
    <row r="147" spans="1:9">
      <c r="A147" s="7">
        <v>166</v>
      </c>
      <c r="B147" s="10" t="s">
        <v>253</v>
      </c>
      <c r="C147" s="10" t="s">
        <v>481</v>
      </c>
      <c r="D147" s="10" t="s">
        <v>30</v>
      </c>
      <c r="E147" s="10" t="s">
        <v>518</v>
      </c>
      <c r="F147" s="10">
        <v>5</v>
      </c>
      <c r="I147"/>
    </row>
    <row r="148" spans="1:9">
      <c r="A148" s="7">
        <v>167</v>
      </c>
      <c r="B148" s="10" t="s">
        <v>253</v>
      </c>
      <c r="C148" s="10" t="s">
        <v>481</v>
      </c>
      <c r="D148" s="10" t="s">
        <v>30</v>
      </c>
      <c r="E148" s="10" t="s">
        <v>518</v>
      </c>
      <c r="F148" s="10">
        <v>10</v>
      </c>
      <c r="I148"/>
    </row>
    <row r="149" spans="1:9">
      <c r="A149" s="7">
        <v>169</v>
      </c>
      <c r="B149" s="10" t="s">
        <v>253</v>
      </c>
      <c r="C149" s="10" t="s">
        <v>481</v>
      </c>
      <c r="D149" s="10" t="s">
        <v>30</v>
      </c>
      <c r="E149" s="10" t="s">
        <v>518</v>
      </c>
      <c r="F149" s="10">
        <v>30</v>
      </c>
      <c r="I149"/>
    </row>
    <row r="150" spans="1:9">
      <c r="A150" s="7">
        <v>174</v>
      </c>
      <c r="B150" s="10" t="s">
        <v>253</v>
      </c>
      <c r="C150" s="10" t="s">
        <v>481</v>
      </c>
      <c r="D150" s="10" t="s">
        <v>30</v>
      </c>
      <c r="E150" s="10" t="s">
        <v>518</v>
      </c>
      <c r="F150" s="10">
        <v>15</v>
      </c>
      <c r="I150"/>
    </row>
    <row r="151" spans="1:9">
      <c r="A151" s="7">
        <v>48</v>
      </c>
      <c r="B151" s="10" t="s">
        <v>253</v>
      </c>
      <c r="C151" s="10" t="s">
        <v>481</v>
      </c>
      <c r="D151" s="10" t="s">
        <v>25</v>
      </c>
      <c r="E151" s="10" t="s">
        <v>518</v>
      </c>
      <c r="F151" s="10">
        <v>25</v>
      </c>
      <c r="I151"/>
    </row>
    <row r="152" spans="1:9">
      <c r="A152" s="7">
        <v>58</v>
      </c>
      <c r="B152" s="10" t="s">
        <v>253</v>
      </c>
      <c r="C152" s="10" t="s">
        <v>481</v>
      </c>
      <c r="D152" s="10" t="s">
        <v>25</v>
      </c>
      <c r="E152" s="10" t="s">
        <v>518</v>
      </c>
      <c r="F152" s="10">
        <v>10</v>
      </c>
      <c r="I152"/>
    </row>
    <row r="153" spans="1:9">
      <c r="A153" s="7">
        <v>59</v>
      </c>
      <c r="B153" s="10" t="s">
        <v>253</v>
      </c>
      <c r="C153" s="10" t="s">
        <v>481</v>
      </c>
      <c r="D153" s="10" t="s">
        <v>25</v>
      </c>
      <c r="E153" s="10" t="s">
        <v>518</v>
      </c>
      <c r="F153" s="10">
        <v>6</v>
      </c>
      <c r="I153"/>
    </row>
    <row r="154" spans="1:9">
      <c r="A154" s="7">
        <v>60</v>
      </c>
      <c r="B154" s="10" t="s">
        <v>253</v>
      </c>
      <c r="C154" s="10" t="s">
        <v>481</v>
      </c>
      <c r="D154" s="10" t="s">
        <v>25</v>
      </c>
      <c r="E154" s="10" t="s">
        <v>518</v>
      </c>
      <c r="F154" s="10">
        <v>15</v>
      </c>
      <c r="I154"/>
    </row>
    <row r="155" spans="1:9">
      <c r="A155" s="7">
        <v>109</v>
      </c>
      <c r="B155" s="10" t="s">
        <v>253</v>
      </c>
      <c r="C155" s="10" t="s">
        <v>481</v>
      </c>
      <c r="D155" s="10" t="s">
        <v>25</v>
      </c>
      <c r="E155" s="10" t="s">
        <v>518</v>
      </c>
      <c r="F155" s="10">
        <v>8</v>
      </c>
      <c r="I155"/>
    </row>
    <row r="156" spans="1:9">
      <c r="A156" s="7">
        <v>180</v>
      </c>
      <c r="B156" s="10" t="s">
        <v>253</v>
      </c>
      <c r="C156" s="10" t="s">
        <v>481</v>
      </c>
      <c r="D156" s="10" t="s">
        <v>25</v>
      </c>
      <c r="E156" s="10" t="s">
        <v>518</v>
      </c>
      <c r="F156" s="10">
        <v>40</v>
      </c>
      <c r="I156"/>
    </row>
    <row r="157" spans="1:9">
      <c r="A157" s="7">
        <v>184</v>
      </c>
      <c r="B157" s="10" t="s">
        <v>253</v>
      </c>
      <c r="C157" s="10" t="s">
        <v>481</v>
      </c>
      <c r="D157" s="10" t="s">
        <v>25</v>
      </c>
      <c r="E157" s="10" t="s">
        <v>518</v>
      </c>
      <c r="F157" s="10">
        <v>40</v>
      </c>
      <c r="I157"/>
    </row>
    <row r="158" spans="1:9">
      <c r="A158" s="7">
        <v>185</v>
      </c>
      <c r="B158" s="10" t="s">
        <v>253</v>
      </c>
      <c r="C158" s="10" t="s">
        <v>481</v>
      </c>
      <c r="D158" s="10" t="s">
        <v>25</v>
      </c>
      <c r="E158" s="10" t="s">
        <v>518</v>
      </c>
      <c r="F158" s="10">
        <v>40</v>
      </c>
      <c r="I158"/>
    </row>
    <row r="159" spans="1:9">
      <c r="A159" s="7">
        <v>44</v>
      </c>
      <c r="B159" s="10" t="s">
        <v>253</v>
      </c>
      <c r="C159" s="10" t="s">
        <v>481</v>
      </c>
      <c r="D159" s="10" t="s">
        <v>524</v>
      </c>
      <c r="E159" s="10" t="s">
        <v>518</v>
      </c>
      <c r="F159" s="10">
        <v>12</v>
      </c>
      <c r="I159"/>
    </row>
    <row r="160" spans="1:9">
      <c r="A160" s="7">
        <v>134</v>
      </c>
      <c r="B160" s="10" t="s">
        <v>253</v>
      </c>
      <c r="C160" s="10" t="s">
        <v>481</v>
      </c>
      <c r="D160" s="10" t="s">
        <v>525</v>
      </c>
      <c r="E160" s="10" t="s">
        <v>518</v>
      </c>
      <c r="F160" s="10">
        <v>15</v>
      </c>
      <c r="I160"/>
    </row>
    <row r="161" spans="1:9">
      <c r="A161" s="7">
        <v>29</v>
      </c>
      <c r="B161" s="10" t="s">
        <v>253</v>
      </c>
      <c r="C161" s="10" t="s">
        <v>481</v>
      </c>
      <c r="D161" s="10" t="s">
        <v>526</v>
      </c>
      <c r="E161" s="10" t="s">
        <v>502</v>
      </c>
      <c r="F161" s="10">
        <v>40</v>
      </c>
      <c r="I161"/>
    </row>
    <row r="162" spans="1:9">
      <c r="A162" s="7">
        <v>30</v>
      </c>
      <c r="B162" s="10" t="s">
        <v>253</v>
      </c>
      <c r="C162" s="10" t="s">
        <v>481</v>
      </c>
      <c r="D162" s="10" t="s">
        <v>526</v>
      </c>
      <c r="E162" s="10" t="s">
        <v>502</v>
      </c>
      <c r="F162" s="10">
        <v>45</v>
      </c>
      <c r="I162"/>
    </row>
    <row r="163" spans="1:9">
      <c r="A163" s="7">
        <v>31</v>
      </c>
      <c r="B163" s="10" t="s">
        <v>253</v>
      </c>
      <c r="C163" s="10" t="s">
        <v>481</v>
      </c>
      <c r="D163" s="10" t="s">
        <v>526</v>
      </c>
      <c r="E163" s="10" t="s">
        <v>502</v>
      </c>
      <c r="F163" s="10">
        <v>45</v>
      </c>
      <c r="I163"/>
    </row>
    <row r="164" spans="1:9">
      <c r="A164" s="7">
        <v>173</v>
      </c>
      <c r="B164" s="10" t="s">
        <v>253</v>
      </c>
      <c r="C164" s="10" t="s">
        <v>481</v>
      </c>
      <c r="D164" s="10" t="s">
        <v>527</v>
      </c>
      <c r="E164" s="10" t="s">
        <v>502</v>
      </c>
      <c r="F164" s="10">
        <v>55</v>
      </c>
      <c r="I164"/>
    </row>
    <row r="165" spans="1:9">
      <c r="A165" s="7">
        <v>190</v>
      </c>
      <c r="B165" s="10" t="s">
        <v>253</v>
      </c>
      <c r="C165" s="10" t="s">
        <v>481</v>
      </c>
      <c r="D165" s="10" t="s">
        <v>527</v>
      </c>
      <c r="E165" s="10" t="s">
        <v>502</v>
      </c>
      <c r="F165" s="10">
        <v>15</v>
      </c>
      <c r="I165"/>
    </row>
    <row r="166" spans="1:9">
      <c r="A166" s="7">
        <v>49</v>
      </c>
      <c r="B166" s="10" t="s">
        <v>253</v>
      </c>
      <c r="C166" s="10" t="s">
        <v>481</v>
      </c>
      <c r="D166" s="10" t="s">
        <v>284</v>
      </c>
      <c r="E166" s="10" t="s">
        <v>498</v>
      </c>
      <c r="F166" s="10">
        <v>6</v>
      </c>
      <c r="I166"/>
    </row>
    <row r="167" spans="1:9">
      <c r="A167" s="7">
        <v>63</v>
      </c>
      <c r="B167" s="10" t="s">
        <v>253</v>
      </c>
      <c r="C167" s="10" t="s">
        <v>481</v>
      </c>
      <c r="D167" s="10" t="s">
        <v>284</v>
      </c>
      <c r="E167" s="10" t="s">
        <v>498</v>
      </c>
      <c r="F167" s="10">
        <v>8</v>
      </c>
      <c r="I167"/>
    </row>
    <row r="168" spans="1:9">
      <c r="A168" s="7">
        <v>79</v>
      </c>
      <c r="B168" s="10" t="s">
        <v>253</v>
      </c>
      <c r="C168" s="10" t="s">
        <v>481</v>
      </c>
      <c r="D168" s="10" t="s">
        <v>284</v>
      </c>
      <c r="E168" s="10" t="s">
        <v>498</v>
      </c>
      <c r="F168" s="10">
        <v>10</v>
      </c>
      <c r="I168"/>
    </row>
    <row r="169" spans="1:9">
      <c r="A169" s="7">
        <v>94</v>
      </c>
      <c r="B169" s="10" t="s">
        <v>253</v>
      </c>
      <c r="C169" s="10" t="s">
        <v>481</v>
      </c>
      <c r="D169" s="10" t="s">
        <v>284</v>
      </c>
      <c r="E169" s="10" t="s">
        <v>498</v>
      </c>
      <c r="F169" s="10">
        <v>6</v>
      </c>
      <c r="I169"/>
    </row>
    <row r="170" spans="1:9">
      <c r="A170" s="7">
        <v>101</v>
      </c>
      <c r="B170" s="10" t="s">
        <v>253</v>
      </c>
      <c r="C170" s="10" t="s">
        <v>481</v>
      </c>
      <c r="D170" s="10" t="s">
        <v>284</v>
      </c>
      <c r="E170" s="10" t="s">
        <v>498</v>
      </c>
      <c r="F170" s="10">
        <v>6</v>
      </c>
      <c r="I170"/>
    </row>
    <row r="171" spans="1:9">
      <c r="A171" s="7">
        <v>130</v>
      </c>
      <c r="B171" s="10" t="s">
        <v>253</v>
      </c>
      <c r="C171" s="10" t="s">
        <v>481</v>
      </c>
      <c r="D171" s="10" t="s">
        <v>284</v>
      </c>
      <c r="E171" s="10" t="s">
        <v>498</v>
      </c>
      <c r="F171" s="10"/>
      <c r="I171"/>
    </row>
    <row r="172" spans="1:9">
      <c r="A172" s="7">
        <v>187</v>
      </c>
      <c r="B172" s="10" t="s">
        <v>253</v>
      </c>
      <c r="C172" s="10" t="s">
        <v>481</v>
      </c>
      <c r="D172" s="10" t="s">
        <v>284</v>
      </c>
      <c r="E172" s="10" t="s">
        <v>498</v>
      </c>
      <c r="F172" s="10">
        <v>5</v>
      </c>
      <c r="I172"/>
    </row>
    <row r="173" spans="1:9">
      <c r="A173" s="7">
        <v>38</v>
      </c>
      <c r="B173" s="10" t="s">
        <v>253</v>
      </c>
      <c r="C173" s="10" t="s">
        <v>481</v>
      </c>
      <c r="D173" s="10" t="s">
        <v>290</v>
      </c>
      <c r="E173" s="10" t="s">
        <v>528</v>
      </c>
      <c r="F173" s="10">
        <v>10</v>
      </c>
      <c r="I173"/>
    </row>
    <row r="174" spans="1:9">
      <c r="A174" s="7">
        <v>54</v>
      </c>
      <c r="B174" s="10" t="s">
        <v>253</v>
      </c>
      <c r="C174" s="10" t="s">
        <v>481</v>
      </c>
      <c r="D174" s="10" t="s">
        <v>290</v>
      </c>
      <c r="E174" s="10" t="s">
        <v>528</v>
      </c>
      <c r="F174" s="10">
        <v>8</v>
      </c>
      <c r="I174"/>
    </row>
    <row r="175" spans="1:9">
      <c r="A175" s="7">
        <v>55</v>
      </c>
      <c r="B175" s="10" t="s">
        <v>253</v>
      </c>
      <c r="C175" s="10" t="s">
        <v>481</v>
      </c>
      <c r="D175" s="10" t="s">
        <v>290</v>
      </c>
      <c r="E175" s="10" t="s">
        <v>528</v>
      </c>
      <c r="F175" s="10">
        <v>10</v>
      </c>
      <c r="I175"/>
    </row>
    <row r="176" spans="1:9">
      <c r="A176" s="7">
        <v>56</v>
      </c>
      <c r="B176" s="10" t="s">
        <v>253</v>
      </c>
      <c r="C176" s="10" t="s">
        <v>481</v>
      </c>
      <c r="D176" s="10" t="s">
        <v>290</v>
      </c>
      <c r="E176" s="10" t="s">
        <v>528</v>
      </c>
      <c r="F176" s="10">
        <v>10</v>
      </c>
      <c r="I176"/>
    </row>
    <row r="177" spans="1:9">
      <c r="A177" s="7">
        <v>57</v>
      </c>
      <c r="B177" s="10" t="s">
        <v>253</v>
      </c>
      <c r="C177" s="10" t="s">
        <v>481</v>
      </c>
      <c r="D177" s="10" t="s">
        <v>290</v>
      </c>
      <c r="E177" s="10" t="s">
        <v>528</v>
      </c>
      <c r="F177" s="10">
        <v>15</v>
      </c>
      <c r="I177"/>
    </row>
    <row r="178" spans="1:9">
      <c r="A178" s="7">
        <v>66</v>
      </c>
      <c r="B178" s="10" t="s">
        <v>253</v>
      </c>
      <c r="C178" s="10" t="s">
        <v>481</v>
      </c>
      <c r="D178" s="10" t="s">
        <v>290</v>
      </c>
      <c r="E178" s="10" t="s">
        <v>528</v>
      </c>
      <c r="F178" s="10">
        <v>30</v>
      </c>
      <c r="I178"/>
    </row>
    <row r="179" spans="1:9">
      <c r="A179" s="7">
        <v>93</v>
      </c>
      <c r="B179" s="10" t="s">
        <v>253</v>
      </c>
      <c r="C179" s="10" t="s">
        <v>481</v>
      </c>
      <c r="D179" s="10" t="s">
        <v>290</v>
      </c>
      <c r="E179" s="10" t="s">
        <v>528</v>
      </c>
      <c r="F179" s="10">
        <v>8</v>
      </c>
      <c r="I179"/>
    </row>
    <row r="180" spans="1:9">
      <c r="A180" s="7">
        <v>124</v>
      </c>
      <c r="B180" s="10" t="s">
        <v>253</v>
      </c>
      <c r="C180" s="10" t="s">
        <v>481</v>
      </c>
      <c r="D180" s="10" t="s">
        <v>290</v>
      </c>
      <c r="E180" s="10" t="s">
        <v>528</v>
      </c>
      <c r="F180" s="10">
        <v>9</v>
      </c>
      <c r="I180"/>
    </row>
    <row r="181" spans="1:9">
      <c r="A181" s="7">
        <v>142</v>
      </c>
      <c r="B181" s="10" t="s">
        <v>253</v>
      </c>
      <c r="C181" s="10" t="s">
        <v>481</v>
      </c>
      <c r="D181" s="10" t="s">
        <v>290</v>
      </c>
      <c r="E181" s="10" t="s">
        <v>528</v>
      </c>
      <c r="F181" s="10">
        <v>8</v>
      </c>
      <c r="I181"/>
    </row>
    <row r="182" spans="1:9">
      <c r="A182" s="7">
        <v>148</v>
      </c>
      <c r="B182" s="10" t="s">
        <v>253</v>
      </c>
      <c r="C182" s="10" t="s">
        <v>481</v>
      </c>
      <c r="D182" s="10" t="s">
        <v>290</v>
      </c>
      <c r="E182" s="10" t="s">
        <v>528</v>
      </c>
      <c r="F182" s="10">
        <v>10</v>
      </c>
      <c r="I182"/>
    </row>
    <row r="183" spans="1:9">
      <c r="A183" s="7">
        <v>159</v>
      </c>
      <c r="B183" s="10" t="s">
        <v>253</v>
      </c>
      <c r="C183" s="10" t="s">
        <v>481</v>
      </c>
      <c r="D183" s="10" t="s">
        <v>290</v>
      </c>
      <c r="E183" s="10" t="s">
        <v>528</v>
      </c>
      <c r="F183" s="10">
        <v>10</v>
      </c>
      <c r="I183"/>
    </row>
    <row r="184" spans="1:9">
      <c r="A184" s="7">
        <v>160</v>
      </c>
      <c r="B184" s="10" t="s">
        <v>253</v>
      </c>
      <c r="C184" s="10" t="s">
        <v>481</v>
      </c>
      <c r="D184" s="10" t="s">
        <v>290</v>
      </c>
      <c r="E184" s="10" t="s">
        <v>528</v>
      </c>
      <c r="F184" s="10">
        <v>10</v>
      </c>
      <c r="I184"/>
    </row>
    <row r="185" spans="1:9">
      <c r="A185" s="7">
        <v>188</v>
      </c>
      <c r="B185" s="10" t="s">
        <v>253</v>
      </c>
      <c r="C185" s="10" t="s">
        <v>481</v>
      </c>
      <c r="D185" s="10" t="s">
        <v>290</v>
      </c>
      <c r="E185" s="10" t="s">
        <v>528</v>
      </c>
      <c r="F185" s="10">
        <v>10</v>
      </c>
      <c r="I185"/>
    </row>
    <row r="186" spans="1:9">
      <c r="A186" s="7">
        <v>21</v>
      </c>
      <c r="B186" s="10" t="s">
        <v>253</v>
      </c>
      <c r="C186" s="10" t="s">
        <v>481</v>
      </c>
      <c r="D186" s="10" t="s">
        <v>529</v>
      </c>
      <c r="E186" s="10" t="s">
        <v>528</v>
      </c>
      <c r="F186" s="10">
        <v>30</v>
      </c>
      <c r="I186"/>
    </row>
    <row r="187" spans="1:9">
      <c r="A187" s="7">
        <v>22</v>
      </c>
      <c r="B187" s="10" t="s">
        <v>253</v>
      </c>
      <c r="C187" s="10" t="s">
        <v>481</v>
      </c>
      <c r="D187" s="10" t="s">
        <v>529</v>
      </c>
      <c r="E187" s="10" t="s">
        <v>528</v>
      </c>
      <c r="F187" s="10">
        <v>30</v>
      </c>
      <c r="I187"/>
    </row>
    <row r="188" spans="1:9">
      <c r="A188" s="7">
        <v>25</v>
      </c>
      <c r="B188" s="10" t="s">
        <v>253</v>
      </c>
      <c r="C188" s="10" t="s">
        <v>481</v>
      </c>
      <c r="D188" s="10" t="s">
        <v>529</v>
      </c>
      <c r="E188" s="10" t="s">
        <v>528</v>
      </c>
      <c r="F188" s="10">
        <v>50</v>
      </c>
      <c r="I188"/>
    </row>
    <row r="189" spans="1:9">
      <c r="A189" s="7">
        <v>26</v>
      </c>
      <c r="B189" s="10" t="s">
        <v>253</v>
      </c>
      <c r="C189" s="10" t="s">
        <v>481</v>
      </c>
      <c r="D189" s="10" t="s">
        <v>529</v>
      </c>
      <c r="E189" s="10" t="s">
        <v>528</v>
      </c>
      <c r="F189" s="10">
        <v>20</v>
      </c>
      <c r="I189"/>
    </row>
    <row r="190" spans="1:9">
      <c r="A190" s="7">
        <v>27</v>
      </c>
      <c r="B190" s="10" t="s">
        <v>253</v>
      </c>
      <c r="C190" s="10" t="s">
        <v>481</v>
      </c>
      <c r="D190" s="10" t="s">
        <v>529</v>
      </c>
      <c r="E190" s="10" t="s">
        <v>528</v>
      </c>
      <c r="F190" s="10">
        <v>40</v>
      </c>
      <c r="I190"/>
    </row>
    <row r="191" spans="1:9">
      <c r="A191" s="7">
        <v>36</v>
      </c>
      <c r="B191" s="10" t="s">
        <v>253</v>
      </c>
      <c r="C191" s="10" t="s">
        <v>481</v>
      </c>
      <c r="D191" s="10" t="s">
        <v>529</v>
      </c>
      <c r="E191" s="10" t="s">
        <v>528</v>
      </c>
      <c r="F191" s="10">
        <v>25</v>
      </c>
      <c r="I191"/>
    </row>
    <row r="192" spans="1:9">
      <c r="A192" s="7">
        <v>146</v>
      </c>
      <c r="B192" s="10" t="s">
        <v>253</v>
      </c>
      <c r="C192" s="10" t="s">
        <v>481</v>
      </c>
      <c r="D192" s="10" t="s">
        <v>529</v>
      </c>
      <c r="E192" s="10" t="s">
        <v>528</v>
      </c>
      <c r="F192" s="10">
        <v>30</v>
      </c>
      <c r="I192"/>
    </row>
    <row r="193" spans="1:9">
      <c r="A193" s="7">
        <v>150</v>
      </c>
      <c r="B193" s="10" t="s">
        <v>253</v>
      </c>
      <c r="C193" s="10" t="s">
        <v>481</v>
      </c>
      <c r="D193" s="10" t="s">
        <v>529</v>
      </c>
      <c r="E193" s="10" t="s">
        <v>528</v>
      </c>
      <c r="F193" s="10">
        <v>20</v>
      </c>
      <c r="I193"/>
    </row>
    <row r="194" spans="1:9">
      <c r="F194" s="7">
        <f>+SUM(F24:F193)*30.5</f>
        <v>84716.800000000003</v>
      </c>
    </row>
  </sheetData>
  <autoFilter ref="A3:F193" xr:uid="{8A75CA42-F64F-425B-8EA5-608F95660DB5}">
    <sortState xmlns:xlrd2="http://schemas.microsoft.com/office/spreadsheetml/2017/richdata2" ref="A4:F193">
      <sortCondition ref="B3:B193"/>
    </sortState>
  </autoFilter>
  <sortState xmlns:xlrd2="http://schemas.microsoft.com/office/spreadsheetml/2017/richdata2" ref="I4:I54">
    <sortCondition ref="I4:I54"/>
  </sortState>
  <phoneticPr fontId="1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CF2E9-5032-4F8C-AE97-A33647AFD2AD}">
  <dimension ref="A3:B50"/>
  <sheetViews>
    <sheetView workbookViewId="0"/>
  </sheetViews>
  <sheetFormatPr baseColWidth="10" defaultColWidth="11.42578125" defaultRowHeight="15"/>
  <cols>
    <col min="1" max="1" width="36.28515625" bestFit="1" customWidth="1"/>
    <col min="2" max="2" width="13.7109375" bestFit="1" customWidth="1"/>
    <col min="3" max="3" width="12.7109375" bestFit="1" customWidth="1"/>
    <col min="4" max="4" width="10.85546875" bestFit="1" customWidth="1"/>
    <col min="5" max="5" width="13.7109375" bestFit="1" customWidth="1"/>
    <col min="6" max="6" width="15.7109375" bestFit="1" customWidth="1"/>
    <col min="7" max="7" width="16.42578125" bestFit="1" customWidth="1"/>
    <col min="8" max="8" width="9.7109375" bestFit="1" customWidth="1"/>
    <col min="9" max="10" width="7.140625" bestFit="1" customWidth="1"/>
    <col min="11" max="13" width="8.42578125" bestFit="1" customWidth="1"/>
    <col min="14" max="14" width="7.140625" bestFit="1" customWidth="1"/>
    <col min="15" max="16" width="8.42578125" bestFit="1" customWidth="1"/>
    <col min="17" max="18" width="7.140625" bestFit="1" customWidth="1"/>
    <col min="19" max="20" width="10" bestFit="1" customWidth="1"/>
    <col min="21" max="22" width="11.28515625" bestFit="1" customWidth="1"/>
    <col min="23" max="24" width="11.140625" bestFit="1" customWidth="1"/>
    <col min="25" max="25" width="12.140625" bestFit="1" customWidth="1"/>
    <col min="26" max="26" width="12.42578125" bestFit="1" customWidth="1"/>
    <col min="27" max="27" width="11.140625" bestFit="1" customWidth="1"/>
    <col min="28" max="28" width="12.140625" bestFit="1" customWidth="1"/>
    <col min="29" max="29" width="9" bestFit="1" customWidth="1"/>
    <col min="30" max="30" width="12.42578125" bestFit="1" customWidth="1"/>
    <col min="31" max="31" width="14.28515625" bestFit="1" customWidth="1"/>
    <col min="32" max="32" width="15" bestFit="1" customWidth="1"/>
    <col min="33" max="33" width="6.85546875" bestFit="1" customWidth="1"/>
    <col min="34" max="34" width="12.5703125" bestFit="1" customWidth="1"/>
  </cols>
  <sheetData>
    <row r="3" spans="1:2">
      <c r="A3" s="103" t="s">
        <v>150</v>
      </c>
      <c r="B3" t="s">
        <v>530</v>
      </c>
    </row>
    <row r="4" spans="1:2">
      <c r="A4" s="104" t="s">
        <v>510</v>
      </c>
      <c r="B4">
        <v>218</v>
      </c>
    </row>
    <row r="5" spans="1:2">
      <c r="A5" s="105" t="s">
        <v>255</v>
      </c>
      <c r="B5">
        <v>218</v>
      </c>
    </row>
    <row r="6" spans="1:2">
      <c r="A6" s="104" t="s">
        <v>508</v>
      </c>
      <c r="B6">
        <v>114.6</v>
      </c>
    </row>
    <row r="7" spans="1:2">
      <c r="A7" s="105" t="s">
        <v>167</v>
      </c>
      <c r="B7">
        <v>31.5</v>
      </c>
    </row>
    <row r="8" spans="1:2">
      <c r="A8" s="105" t="s">
        <v>40</v>
      </c>
      <c r="B8">
        <v>83.1</v>
      </c>
    </row>
    <row r="9" spans="1:2">
      <c r="A9" s="104" t="s">
        <v>489</v>
      </c>
      <c r="B9">
        <v>10</v>
      </c>
    </row>
    <row r="10" spans="1:2">
      <c r="A10" s="105" t="s">
        <v>49</v>
      </c>
      <c r="B10">
        <v>10</v>
      </c>
    </row>
    <row r="11" spans="1:2">
      <c r="A11" s="104" t="s">
        <v>518</v>
      </c>
      <c r="B11">
        <v>603</v>
      </c>
    </row>
    <row r="12" spans="1:2">
      <c r="A12" s="105" t="s">
        <v>517</v>
      </c>
      <c r="B12">
        <v>12</v>
      </c>
    </row>
    <row r="13" spans="1:2">
      <c r="A13" s="105" t="s">
        <v>519</v>
      </c>
      <c r="B13">
        <v>45</v>
      </c>
    </row>
    <row r="14" spans="1:2">
      <c r="A14" s="105" t="s">
        <v>186</v>
      </c>
      <c r="B14">
        <v>132</v>
      </c>
    </row>
    <row r="15" spans="1:2">
      <c r="A15" s="105" t="s">
        <v>520</v>
      </c>
      <c r="B15">
        <v>80</v>
      </c>
    </row>
    <row r="16" spans="1:2">
      <c r="A16" s="105" t="s">
        <v>521</v>
      </c>
      <c r="B16">
        <v>30</v>
      </c>
    </row>
    <row r="17" spans="1:2">
      <c r="A17" s="105" t="s">
        <v>522</v>
      </c>
      <c r="B17">
        <v>20</v>
      </c>
    </row>
    <row r="18" spans="1:2">
      <c r="A18" s="105" t="s">
        <v>523</v>
      </c>
      <c r="B18">
        <v>73</v>
      </c>
    </row>
    <row r="19" spans="1:2">
      <c r="A19" s="105" t="s">
        <v>25</v>
      </c>
      <c r="B19">
        <v>184</v>
      </c>
    </row>
    <row r="20" spans="1:2">
      <c r="A20" s="105" t="s">
        <v>524</v>
      </c>
      <c r="B20">
        <v>12</v>
      </c>
    </row>
    <row r="21" spans="1:2">
      <c r="A21" s="105" t="s">
        <v>525</v>
      </c>
      <c r="B21">
        <v>15</v>
      </c>
    </row>
    <row r="22" spans="1:2">
      <c r="A22" s="104" t="s">
        <v>509</v>
      </c>
      <c r="B22">
        <v>346</v>
      </c>
    </row>
    <row r="23" spans="1:2">
      <c r="A23" s="105" t="s">
        <v>13</v>
      </c>
      <c r="B23">
        <v>346</v>
      </c>
    </row>
    <row r="24" spans="1:2">
      <c r="A24" s="104" t="s">
        <v>513</v>
      </c>
      <c r="B24">
        <v>138</v>
      </c>
    </row>
    <row r="25" spans="1:2">
      <c r="A25" s="105" t="s">
        <v>44</v>
      </c>
      <c r="B25">
        <v>102</v>
      </c>
    </row>
    <row r="26" spans="1:2">
      <c r="A26" s="105" t="s">
        <v>52</v>
      </c>
      <c r="B26">
        <v>36</v>
      </c>
    </row>
    <row r="27" spans="1:2">
      <c r="A27" s="104" t="s">
        <v>494</v>
      </c>
      <c r="B27">
        <v>50</v>
      </c>
    </row>
    <row r="28" spans="1:2">
      <c r="A28" s="105" t="s">
        <v>493</v>
      </c>
      <c r="B28">
        <v>44</v>
      </c>
    </row>
    <row r="29" spans="1:2">
      <c r="A29" s="105" t="s">
        <v>51</v>
      </c>
      <c r="B29">
        <v>6</v>
      </c>
    </row>
    <row r="30" spans="1:2">
      <c r="A30" s="104" t="s">
        <v>498</v>
      </c>
      <c r="B30">
        <v>183</v>
      </c>
    </row>
    <row r="31" spans="1:2">
      <c r="A31" s="105" t="s">
        <v>514</v>
      </c>
      <c r="B31">
        <v>142</v>
      </c>
    </row>
    <row r="32" spans="1:2">
      <c r="A32" s="105" t="s">
        <v>284</v>
      </c>
      <c r="B32">
        <v>41</v>
      </c>
    </row>
    <row r="33" spans="1:2">
      <c r="A33" s="104" t="s">
        <v>515</v>
      </c>
      <c r="B33">
        <v>298</v>
      </c>
    </row>
    <row r="34" spans="1:2">
      <c r="A34" s="105" t="s">
        <v>19</v>
      </c>
      <c r="B34">
        <v>206</v>
      </c>
    </row>
    <row r="35" spans="1:2">
      <c r="A35" s="105" t="s">
        <v>32</v>
      </c>
      <c r="B35">
        <v>92</v>
      </c>
    </row>
    <row r="36" spans="1:2">
      <c r="A36" s="104" t="s">
        <v>516</v>
      </c>
      <c r="B36">
        <v>41</v>
      </c>
    </row>
    <row r="37" spans="1:2">
      <c r="A37" s="105" t="s">
        <v>57</v>
      </c>
      <c r="B37">
        <v>41</v>
      </c>
    </row>
    <row r="38" spans="1:2">
      <c r="A38" s="104" t="s">
        <v>528</v>
      </c>
      <c r="B38">
        <v>393</v>
      </c>
    </row>
    <row r="39" spans="1:2">
      <c r="A39" s="105" t="s">
        <v>290</v>
      </c>
      <c r="B39">
        <v>148</v>
      </c>
    </row>
    <row r="40" spans="1:2">
      <c r="A40" s="105" t="s">
        <v>529</v>
      </c>
      <c r="B40">
        <v>245</v>
      </c>
    </row>
    <row r="41" spans="1:2">
      <c r="A41" s="104" t="s">
        <v>485</v>
      </c>
      <c r="B41">
        <v>130</v>
      </c>
    </row>
    <row r="42" spans="1:2">
      <c r="A42" s="105" t="s">
        <v>512</v>
      </c>
      <c r="B42">
        <v>10</v>
      </c>
    </row>
    <row r="43" spans="1:2">
      <c r="A43" s="105" t="s">
        <v>43</v>
      </c>
      <c r="B43">
        <v>120</v>
      </c>
    </row>
    <row r="44" spans="1:2">
      <c r="A44" s="104" t="s">
        <v>502</v>
      </c>
      <c r="B44">
        <v>200</v>
      </c>
    </row>
    <row r="45" spans="1:2">
      <c r="A45" s="105" t="s">
        <v>526</v>
      </c>
      <c r="B45">
        <v>130</v>
      </c>
    </row>
    <row r="46" spans="1:2">
      <c r="A46" s="105" t="s">
        <v>527</v>
      </c>
      <c r="B46">
        <v>70</v>
      </c>
    </row>
    <row r="47" spans="1:2">
      <c r="A47" s="104" t="s">
        <v>531</v>
      </c>
      <c r="B47">
        <v>53</v>
      </c>
    </row>
    <row r="48" spans="1:2">
      <c r="A48" s="105" t="s">
        <v>511</v>
      </c>
      <c r="B48">
        <v>50</v>
      </c>
    </row>
    <row r="49" spans="1:2">
      <c r="A49" s="105" t="s">
        <v>192</v>
      </c>
      <c r="B49">
        <v>3</v>
      </c>
    </row>
    <row r="50" spans="1:2">
      <c r="A50" s="104" t="s">
        <v>305</v>
      </c>
      <c r="B50">
        <v>2777.6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F81EF-738E-4D8A-A148-A3BF76DCC3FE}">
  <dimension ref="B2:K49"/>
  <sheetViews>
    <sheetView topLeftCell="A2" workbookViewId="0">
      <selection activeCell="K13" sqref="K13:K15"/>
    </sheetView>
  </sheetViews>
  <sheetFormatPr baseColWidth="10" defaultColWidth="11.42578125" defaultRowHeight="15"/>
  <cols>
    <col min="1" max="1" width="4.42578125" customWidth="1"/>
    <col min="2" max="2" width="22.85546875" customWidth="1"/>
    <col min="3" max="3" width="49.7109375" customWidth="1"/>
    <col min="4" max="4" width="11.42578125" style="113"/>
    <col min="5" max="5" width="7.42578125" customWidth="1"/>
    <col min="6" max="6" width="2.7109375" customWidth="1"/>
    <col min="7" max="7" width="13.7109375" customWidth="1"/>
    <col min="8" max="8" width="5" bestFit="1" customWidth="1"/>
    <col min="9" max="10" width="4.5703125" bestFit="1" customWidth="1"/>
  </cols>
  <sheetData>
    <row r="2" spans="2:11" ht="15.75" thickBot="1">
      <c r="B2" t="s">
        <v>150</v>
      </c>
      <c r="C2" t="s">
        <v>530</v>
      </c>
    </row>
    <row r="3" spans="2:11">
      <c r="B3" s="106" t="s">
        <v>510</v>
      </c>
      <c r="C3" s="107">
        <v>218</v>
      </c>
    </row>
    <row r="4" spans="2:11" ht="15.75" thickBot="1">
      <c r="B4" s="110" t="s">
        <v>255</v>
      </c>
      <c r="C4" s="111">
        <v>218</v>
      </c>
    </row>
    <row r="5" spans="2:11">
      <c r="B5" s="112" t="s">
        <v>508</v>
      </c>
      <c r="C5" s="109">
        <v>114.6</v>
      </c>
    </row>
    <row r="6" spans="2:11">
      <c r="B6" s="108" t="s">
        <v>167</v>
      </c>
      <c r="C6" s="109">
        <v>31.5</v>
      </c>
    </row>
    <row r="7" spans="2:11" ht="15.75" thickBot="1">
      <c r="B7" s="108" t="s">
        <v>40</v>
      </c>
      <c r="C7" s="109">
        <v>83.1</v>
      </c>
    </row>
    <row r="8" spans="2:11">
      <c r="B8" s="106" t="s">
        <v>489</v>
      </c>
      <c r="C8" s="107">
        <v>10</v>
      </c>
    </row>
    <row r="9" spans="2:11" ht="15.75" thickBot="1">
      <c r="B9" s="108" t="s">
        <v>49</v>
      </c>
      <c r="C9" s="109">
        <v>10</v>
      </c>
    </row>
    <row r="10" spans="2:11">
      <c r="B10" s="106" t="s">
        <v>518</v>
      </c>
      <c r="C10" s="107">
        <v>603</v>
      </c>
    </row>
    <row r="11" spans="2:11">
      <c r="B11" s="108" t="s">
        <v>517</v>
      </c>
      <c r="C11" s="109">
        <v>12</v>
      </c>
      <c r="D11" s="113">
        <f t="shared" ref="D11:D15" si="0">+C11/$C$10</f>
        <v>1.9900497512437811E-2</v>
      </c>
    </row>
    <row r="12" spans="2:11">
      <c r="B12" s="108" t="s">
        <v>519</v>
      </c>
      <c r="C12" s="109">
        <v>45</v>
      </c>
      <c r="D12" s="113">
        <f>+C12/$C$10</f>
        <v>7.4626865671641784E-2</v>
      </c>
    </row>
    <row r="13" spans="2:11">
      <c r="B13" s="108" t="s">
        <v>186</v>
      </c>
      <c r="C13" s="109">
        <v>132</v>
      </c>
      <c r="D13" s="113">
        <f>+C13/$C$10</f>
        <v>0.21890547263681592</v>
      </c>
      <c r="E13">
        <v>4.71</v>
      </c>
      <c r="G13" s="250" t="s">
        <v>186</v>
      </c>
      <c r="H13" s="2">
        <v>4.71</v>
      </c>
      <c r="I13" s="251">
        <f>+D13+D18</f>
        <v>0.52404643449419575</v>
      </c>
      <c r="J13" s="249">
        <f>+I13/SUM($I$13:$I$15)</f>
        <v>0.59848484848484851</v>
      </c>
      <c r="K13" s="454">
        <f>+H13*J13+H14*J14+H15*J15</f>
        <v>5.4388068181818188</v>
      </c>
    </row>
    <row r="14" spans="2:11">
      <c r="B14" s="108" t="s">
        <v>520</v>
      </c>
      <c r="C14" s="109">
        <v>80</v>
      </c>
      <c r="D14" s="113">
        <f>+C14/$C$10</f>
        <v>0.13266998341625208</v>
      </c>
      <c r="E14">
        <v>5.49</v>
      </c>
      <c r="G14" s="250" t="s">
        <v>520</v>
      </c>
      <c r="H14" s="2">
        <v>5.49</v>
      </c>
      <c r="I14" s="251">
        <f>+D14+D19+D20</f>
        <v>0.17744610281923714</v>
      </c>
      <c r="J14" s="249">
        <f>+I14/SUM($I$13:$I$15)</f>
        <v>0.20265151515151514</v>
      </c>
      <c r="K14" s="455"/>
    </row>
    <row r="15" spans="2:11">
      <c r="B15" s="108" t="s">
        <v>521</v>
      </c>
      <c r="C15" s="109">
        <v>30</v>
      </c>
      <c r="D15" s="113">
        <f t="shared" si="0"/>
        <v>4.975124378109453E-2</v>
      </c>
      <c r="G15" s="250" t="s">
        <v>522</v>
      </c>
      <c r="H15" s="2">
        <v>7.58</v>
      </c>
      <c r="I15" s="251">
        <f>+D16+D17+D11</f>
        <v>0.17412935323383086</v>
      </c>
      <c r="J15" s="249">
        <f>+I15/SUM($I$13:$I$15)</f>
        <v>0.19886363636363638</v>
      </c>
      <c r="K15" s="456"/>
    </row>
    <row r="16" spans="2:11">
      <c r="B16" s="108" t="s">
        <v>522</v>
      </c>
      <c r="C16" s="109">
        <v>20</v>
      </c>
      <c r="D16" s="113">
        <f>+C16/$C$10</f>
        <v>3.316749585406302E-2</v>
      </c>
      <c r="E16">
        <v>7.58</v>
      </c>
    </row>
    <row r="17" spans="2:4">
      <c r="B17" s="108" t="s">
        <v>523</v>
      </c>
      <c r="C17" s="109">
        <v>73</v>
      </c>
      <c r="D17" s="113">
        <f>+C17/$C$10</f>
        <v>0.12106135986733002</v>
      </c>
    </row>
    <row r="18" spans="2:4">
      <c r="B18" s="108" t="s">
        <v>25</v>
      </c>
      <c r="C18" s="109">
        <v>184</v>
      </c>
      <c r="D18" s="113">
        <f>+C18/$C$10</f>
        <v>0.30514096185737977</v>
      </c>
    </row>
    <row r="19" spans="2:4">
      <c r="B19" s="248" t="s">
        <v>524</v>
      </c>
      <c r="C19" s="109">
        <v>12</v>
      </c>
      <c r="D19" s="113">
        <f>+C19/$C$10</f>
        <v>1.9900497512437811E-2</v>
      </c>
    </row>
    <row r="20" spans="2:4" ht="15.75" thickBot="1">
      <c r="B20" s="248" t="s">
        <v>525</v>
      </c>
      <c r="C20" s="109">
        <v>15</v>
      </c>
      <c r="D20" s="113">
        <f>+C20/$C$10</f>
        <v>2.4875621890547265E-2</v>
      </c>
    </row>
    <row r="21" spans="2:4">
      <c r="B21" s="106" t="s">
        <v>509</v>
      </c>
      <c r="C21" s="107">
        <v>346</v>
      </c>
    </row>
    <row r="22" spans="2:4" ht="15.75" thickBot="1">
      <c r="B22" s="108" t="s">
        <v>13</v>
      </c>
      <c r="C22" s="109">
        <v>346</v>
      </c>
    </row>
    <row r="23" spans="2:4">
      <c r="B23" s="106" t="s">
        <v>513</v>
      </c>
      <c r="C23" s="107">
        <v>138</v>
      </c>
    </row>
    <row r="24" spans="2:4">
      <c r="B24" s="108" t="s">
        <v>44</v>
      </c>
      <c r="C24" s="109">
        <v>102</v>
      </c>
      <c r="D24" s="113">
        <f>+C24/$C$23</f>
        <v>0.73913043478260865</v>
      </c>
    </row>
    <row r="25" spans="2:4" ht="15.75" thickBot="1">
      <c r="B25" s="108" t="s">
        <v>52</v>
      </c>
      <c r="C25" s="109">
        <v>36</v>
      </c>
      <c r="D25" s="113">
        <f>+C25/$C$23</f>
        <v>0.2608695652173913</v>
      </c>
    </row>
    <row r="26" spans="2:4">
      <c r="B26" s="106" t="s">
        <v>494</v>
      </c>
      <c r="C26" s="107">
        <v>50</v>
      </c>
    </row>
    <row r="27" spans="2:4">
      <c r="B27" s="108" t="s">
        <v>493</v>
      </c>
      <c r="C27" s="109">
        <v>44</v>
      </c>
      <c r="D27" s="113">
        <f>+C27/$C$26</f>
        <v>0.88</v>
      </c>
    </row>
    <row r="28" spans="2:4" ht="15.75" thickBot="1">
      <c r="B28" s="108" t="s">
        <v>51</v>
      </c>
      <c r="C28" s="109">
        <v>6</v>
      </c>
      <c r="D28" s="113">
        <f>+C28/$C$26</f>
        <v>0.12</v>
      </c>
    </row>
    <row r="29" spans="2:4">
      <c r="B29" s="106" t="s">
        <v>498</v>
      </c>
      <c r="C29" s="107">
        <v>183</v>
      </c>
    </row>
    <row r="30" spans="2:4">
      <c r="B30" s="108" t="s">
        <v>514</v>
      </c>
      <c r="C30" s="109">
        <v>142</v>
      </c>
      <c r="D30" s="113">
        <f>+C30/$C$29</f>
        <v>0.77595628415300544</v>
      </c>
    </row>
    <row r="31" spans="2:4" ht="15.75" thickBot="1">
      <c r="B31" s="108" t="s">
        <v>284</v>
      </c>
      <c r="C31" s="109">
        <v>41</v>
      </c>
      <c r="D31" s="113">
        <f>+C31/$C$29</f>
        <v>0.22404371584699453</v>
      </c>
    </row>
    <row r="32" spans="2:4">
      <c r="B32" s="106" t="s">
        <v>515</v>
      </c>
      <c r="C32" s="107">
        <v>298</v>
      </c>
    </row>
    <row r="33" spans="2:4">
      <c r="B33" s="108" t="s">
        <v>19</v>
      </c>
      <c r="C33" s="109">
        <v>206</v>
      </c>
      <c r="D33" s="113">
        <f>+C33/$C$32</f>
        <v>0.6912751677852349</v>
      </c>
    </row>
    <row r="34" spans="2:4" ht="15.75" thickBot="1">
      <c r="B34" s="108" t="s">
        <v>32</v>
      </c>
      <c r="C34" s="109">
        <v>92</v>
      </c>
      <c r="D34" s="113">
        <f>+C34/$C$32</f>
        <v>0.3087248322147651</v>
      </c>
    </row>
    <row r="35" spans="2:4">
      <c r="B35" s="106" t="s">
        <v>516</v>
      </c>
      <c r="C35" s="107">
        <v>41</v>
      </c>
    </row>
    <row r="36" spans="2:4" ht="15.75" thickBot="1">
      <c r="B36" s="110" t="s">
        <v>57</v>
      </c>
      <c r="C36" s="111">
        <v>41</v>
      </c>
    </row>
    <row r="37" spans="2:4">
      <c r="B37" s="112" t="s">
        <v>528</v>
      </c>
      <c r="C37" s="109">
        <v>393</v>
      </c>
    </row>
    <row r="38" spans="2:4">
      <c r="B38" s="108" t="s">
        <v>290</v>
      </c>
      <c r="C38" s="109">
        <v>148</v>
      </c>
    </row>
    <row r="39" spans="2:4" ht="15.75" thickBot="1">
      <c r="B39" s="108" t="s">
        <v>529</v>
      </c>
      <c r="C39" s="109">
        <v>245</v>
      </c>
    </row>
    <row r="40" spans="2:4">
      <c r="B40" s="106" t="s">
        <v>485</v>
      </c>
      <c r="C40" s="107">
        <v>130</v>
      </c>
    </row>
    <row r="41" spans="2:4">
      <c r="B41" s="108" t="s">
        <v>512</v>
      </c>
      <c r="C41" s="109">
        <v>10</v>
      </c>
    </row>
    <row r="42" spans="2:4" ht="15.75" thickBot="1">
      <c r="B42" s="108" t="s">
        <v>43</v>
      </c>
      <c r="C42" s="109">
        <v>120</v>
      </c>
    </row>
    <row r="43" spans="2:4">
      <c r="B43" s="106" t="s">
        <v>502</v>
      </c>
      <c r="C43" s="107">
        <v>200</v>
      </c>
    </row>
    <row r="44" spans="2:4">
      <c r="B44" s="108" t="s">
        <v>526</v>
      </c>
      <c r="C44" s="109">
        <v>130</v>
      </c>
    </row>
    <row r="45" spans="2:4" ht="15.75" thickBot="1">
      <c r="B45" s="108" t="s">
        <v>527</v>
      </c>
      <c r="C45" s="109">
        <v>70</v>
      </c>
    </row>
    <row r="46" spans="2:4">
      <c r="B46" s="106" t="s">
        <v>531</v>
      </c>
      <c r="C46" s="107">
        <v>53</v>
      </c>
    </row>
    <row r="47" spans="2:4">
      <c r="B47" s="108" t="s">
        <v>511</v>
      </c>
      <c r="C47" s="109">
        <v>50</v>
      </c>
    </row>
    <row r="48" spans="2:4" ht="15.75" thickBot="1">
      <c r="B48" s="110" t="s">
        <v>192</v>
      </c>
      <c r="C48" s="111">
        <v>3</v>
      </c>
    </row>
    <row r="49" spans="2:3">
      <c r="B49" s="104" t="s">
        <v>305</v>
      </c>
      <c r="C49">
        <v>2777.6</v>
      </c>
    </row>
  </sheetData>
  <mergeCells count="1">
    <mergeCell ref="K13:K15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03253-80F3-4ADF-852D-9F2A32A0CB4B}">
  <dimension ref="B2:F173"/>
  <sheetViews>
    <sheetView workbookViewId="0"/>
  </sheetViews>
  <sheetFormatPr baseColWidth="10" defaultColWidth="11.42578125" defaultRowHeight="15"/>
  <sheetData>
    <row r="2" spans="2:6">
      <c r="B2" s="45" t="s">
        <v>476</v>
      </c>
      <c r="C2" s="45" t="s">
        <v>532</v>
      </c>
      <c r="D2" s="45" t="s">
        <v>0</v>
      </c>
      <c r="E2" s="45" t="s">
        <v>1</v>
      </c>
      <c r="F2" s="45" t="s">
        <v>533</v>
      </c>
    </row>
    <row r="3" spans="2:6">
      <c r="B3" s="10" t="s">
        <v>253</v>
      </c>
      <c r="C3" s="10" t="s">
        <v>481</v>
      </c>
      <c r="D3" s="10" t="s">
        <v>49</v>
      </c>
      <c r="E3" s="10" t="s">
        <v>489</v>
      </c>
      <c r="F3" s="10">
        <v>10</v>
      </c>
    </row>
    <row r="4" spans="2:6">
      <c r="B4" s="10" t="s">
        <v>253</v>
      </c>
      <c r="C4" s="10" t="s">
        <v>481</v>
      </c>
      <c r="D4" s="10" t="s">
        <v>167</v>
      </c>
      <c r="E4" s="10" t="s">
        <v>508</v>
      </c>
      <c r="F4" s="10">
        <v>20</v>
      </c>
    </row>
    <row r="5" spans="2:6">
      <c r="B5" s="10" t="s">
        <v>253</v>
      </c>
      <c r="C5" s="10" t="s">
        <v>481</v>
      </c>
      <c r="D5" s="10" t="s">
        <v>167</v>
      </c>
      <c r="E5" s="10" t="s">
        <v>508</v>
      </c>
      <c r="F5" s="10">
        <v>3.9</v>
      </c>
    </row>
    <row r="6" spans="2:6">
      <c r="B6" s="10" t="s">
        <v>253</v>
      </c>
      <c r="C6" s="10" t="s">
        <v>481</v>
      </c>
      <c r="D6" s="10" t="s">
        <v>167</v>
      </c>
      <c r="E6" s="10" t="s">
        <v>508</v>
      </c>
      <c r="F6" s="10">
        <v>2.6</v>
      </c>
    </row>
    <row r="7" spans="2:6">
      <c r="B7" s="10" t="s">
        <v>253</v>
      </c>
      <c r="C7" s="10" t="s">
        <v>481</v>
      </c>
      <c r="D7" s="10" t="s">
        <v>167</v>
      </c>
      <c r="E7" s="10" t="s">
        <v>508</v>
      </c>
      <c r="F7" s="10">
        <v>5</v>
      </c>
    </row>
    <row r="8" spans="2:6">
      <c r="B8" s="10" t="s">
        <v>253</v>
      </c>
      <c r="C8" s="10" t="s">
        <v>481</v>
      </c>
      <c r="D8" s="10" t="s">
        <v>13</v>
      </c>
      <c r="E8" s="10" t="s">
        <v>509</v>
      </c>
      <c r="F8" s="10">
        <v>40</v>
      </c>
    </row>
    <row r="9" spans="2:6">
      <c r="B9" s="10" t="s">
        <v>253</v>
      </c>
      <c r="C9" s="10" t="s">
        <v>481</v>
      </c>
      <c r="D9" s="10" t="s">
        <v>13</v>
      </c>
      <c r="E9" s="10" t="s">
        <v>509</v>
      </c>
      <c r="F9" s="10">
        <v>10</v>
      </c>
    </row>
    <row r="10" spans="2:6">
      <c r="B10" s="10" t="s">
        <v>253</v>
      </c>
      <c r="C10" s="10" t="s">
        <v>481</v>
      </c>
      <c r="D10" s="10" t="s">
        <v>13</v>
      </c>
      <c r="E10" s="10" t="s">
        <v>509</v>
      </c>
      <c r="F10" s="10">
        <v>12</v>
      </c>
    </row>
    <row r="11" spans="2:6">
      <c r="B11" s="10" t="s">
        <v>253</v>
      </c>
      <c r="C11" s="10" t="s">
        <v>481</v>
      </c>
      <c r="D11" s="10" t="s">
        <v>13</v>
      </c>
      <c r="E11" s="10" t="s">
        <v>509</v>
      </c>
      <c r="F11" s="10">
        <v>12</v>
      </c>
    </row>
    <row r="12" spans="2:6">
      <c r="B12" s="10" t="s">
        <v>253</v>
      </c>
      <c r="C12" s="10" t="s">
        <v>481</v>
      </c>
      <c r="D12" s="10" t="s">
        <v>13</v>
      </c>
      <c r="E12" s="10" t="s">
        <v>509</v>
      </c>
      <c r="F12" s="10">
        <v>10</v>
      </c>
    </row>
    <row r="13" spans="2:6">
      <c r="B13" s="10" t="s">
        <v>253</v>
      </c>
      <c r="C13" s="10" t="s">
        <v>481</v>
      </c>
      <c r="D13" s="10" t="s">
        <v>13</v>
      </c>
      <c r="E13" s="10" t="s">
        <v>509</v>
      </c>
      <c r="F13" s="10">
        <v>12</v>
      </c>
    </row>
    <row r="14" spans="2:6">
      <c r="B14" s="10" t="s">
        <v>253</v>
      </c>
      <c r="C14" s="10" t="s">
        <v>481</v>
      </c>
      <c r="D14" s="10" t="s">
        <v>13</v>
      </c>
      <c r="E14" s="10" t="s">
        <v>509</v>
      </c>
      <c r="F14" s="10">
        <v>8</v>
      </c>
    </row>
    <row r="15" spans="2:6">
      <c r="B15" s="10" t="s">
        <v>253</v>
      </c>
      <c r="C15" s="10" t="s">
        <v>481</v>
      </c>
      <c r="D15" s="10" t="s">
        <v>13</v>
      </c>
      <c r="E15" s="10" t="s">
        <v>509</v>
      </c>
      <c r="F15" s="10">
        <v>15</v>
      </c>
    </row>
    <row r="16" spans="2:6">
      <c r="B16" s="10" t="s">
        <v>253</v>
      </c>
      <c r="C16" s="10" t="s">
        <v>481</v>
      </c>
      <c r="D16" s="10" t="s">
        <v>13</v>
      </c>
      <c r="E16" s="10" t="s">
        <v>509</v>
      </c>
      <c r="F16" s="10">
        <v>10</v>
      </c>
    </row>
    <row r="17" spans="2:6">
      <c r="B17" s="10" t="s">
        <v>253</v>
      </c>
      <c r="C17" s="10" t="s">
        <v>481</v>
      </c>
      <c r="D17" s="10" t="s">
        <v>13</v>
      </c>
      <c r="E17" s="10" t="s">
        <v>509</v>
      </c>
      <c r="F17" s="10">
        <v>25</v>
      </c>
    </row>
    <row r="18" spans="2:6">
      <c r="B18" s="10" t="s">
        <v>253</v>
      </c>
      <c r="C18" s="10" t="s">
        <v>481</v>
      </c>
      <c r="D18" s="10" t="s">
        <v>13</v>
      </c>
      <c r="E18" s="10" t="s">
        <v>509</v>
      </c>
      <c r="F18" s="10">
        <v>10</v>
      </c>
    </row>
    <row r="19" spans="2:6">
      <c r="B19" s="10" t="s">
        <v>253</v>
      </c>
      <c r="C19" s="10" t="s">
        <v>481</v>
      </c>
      <c r="D19" s="10" t="s">
        <v>13</v>
      </c>
      <c r="E19" s="10" t="s">
        <v>509</v>
      </c>
      <c r="F19" s="10">
        <v>16</v>
      </c>
    </row>
    <row r="20" spans="2:6">
      <c r="B20" s="10" t="s">
        <v>253</v>
      </c>
      <c r="C20" s="10" t="s">
        <v>481</v>
      </c>
      <c r="D20" s="10" t="s">
        <v>13</v>
      </c>
      <c r="E20" s="10" t="s">
        <v>509</v>
      </c>
      <c r="F20" s="10">
        <v>20</v>
      </c>
    </row>
    <row r="21" spans="2:6">
      <c r="B21" s="10" t="s">
        <v>253</v>
      </c>
      <c r="C21" s="10" t="s">
        <v>481</v>
      </c>
      <c r="D21" s="10" t="s">
        <v>13</v>
      </c>
      <c r="E21" s="10" t="s">
        <v>509</v>
      </c>
      <c r="F21" s="10">
        <v>15</v>
      </c>
    </row>
    <row r="22" spans="2:6">
      <c r="B22" s="10" t="s">
        <v>253</v>
      </c>
      <c r="C22" s="10" t="s">
        <v>481</v>
      </c>
      <c r="D22" s="10" t="s">
        <v>13</v>
      </c>
      <c r="E22" s="10" t="s">
        <v>509</v>
      </c>
      <c r="F22" s="10">
        <v>15</v>
      </c>
    </row>
    <row r="23" spans="2:6">
      <c r="B23" s="10" t="s">
        <v>253</v>
      </c>
      <c r="C23" s="10" t="s">
        <v>481</v>
      </c>
      <c r="D23" s="10" t="s">
        <v>13</v>
      </c>
      <c r="E23" s="10" t="s">
        <v>509</v>
      </c>
      <c r="F23" s="10">
        <v>15</v>
      </c>
    </row>
    <row r="24" spans="2:6">
      <c r="B24" s="10" t="s">
        <v>253</v>
      </c>
      <c r="C24" s="10" t="s">
        <v>481</v>
      </c>
      <c r="D24" s="10" t="s">
        <v>13</v>
      </c>
      <c r="E24" s="10" t="s">
        <v>509</v>
      </c>
      <c r="F24" s="10">
        <v>15</v>
      </c>
    </row>
    <row r="25" spans="2:6">
      <c r="B25" s="10" t="s">
        <v>253</v>
      </c>
      <c r="C25" s="10" t="s">
        <v>481</v>
      </c>
      <c r="D25" s="10" t="s">
        <v>13</v>
      </c>
      <c r="E25" s="10" t="s">
        <v>509</v>
      </c>
      <c r="F25" s="10">
        <v>20</v>
      </c>
    </row>
    <row r="26" spans="2:6">
      <c r="B26" s="10" t="s">
        <v>253</v>
      </c>
      <c r="C26" s="10" t="s">
        <v>481</v>
      </c>
      <c r="D26" s="10" t="s">
        <v>13</v>
      </c>
      <c r="E26" s="10" t="s">
        <v>509</v>
      </c>
      <c r="F26" s="10">
        <v>9</v>
      </c>
    </row>
    <row r="27" spans="2:6">
      <c r="B27" s="10" t="s">
        <v>253</v>
      </c>
      <c r="C27" s="10" t="s">
        <v>481</v>
      </c>
      <c r="D27" s="10" t="s">
        <v>13</v>
      </c>
      <c r="E27" s="10" t="s">
        <v>509</v>
      </c>
      <c r="F27" s="10">
        <v>14</v>
      </c>
    </row>
    <row r="28" spans="2:6">
      <c r="B28" s="10" t="s">
        <v>253</v>
      </c>
      <c r="C28" s="10" t="s">
        <v>481</v>
      </c>
      <c r="D28" s="10" t="s">
        <v>13</v>
      </c>
      <c r="E28" s="10" t="s">
        <v>509</v>
      </c>
      <c r="F28" s="10">
        <v>8</v>
      </c>
    </row>
    <row r="29" spans="2:6">
      <c r="B29" s="10" t="s">
        <v>253</v>
      </c>
      <c r="C29" s="10" t="s">
        <v>481</v>
      </c>
      <c r="D29" s="10" t="s">
        <v>13</v>
      </c>
      <c r="E29" s="10" t="s">
        <v>509</v>
      </c>
      <c r="F29" s="10">
        <v>10</v>
      </c>
    </row>
    <row r="30" spans="2:6">
      <c r="B30" s="10" t="s">
        <v>253</v>
      </c>
      <c r="C30" s="10" t="s">
        <v>481</v>
      </c>
      <c r="D30" s="10" t="s">
        <v>13</v>
      </c>
      <c r="E30" s="10" t="s">
        <v>509</v>
      </c>
      <c r="F30" s="10">
        <v>10</v>
      </c>
    </row>
    <row r="31" spans="2:6">
      <c r="B31" s="10" t="s">
        <v>253</v>
      </c>
      <c r="C31" s="10" t="s">
        <v>481</v>
      </c>
      <c r="D31" s="10" t="s">
        <v>13</v>
      </c>
      <c r="E31" s="10" t="s">
        <v>509</v>
      </c>
      <c r="F31" s="10">
        <v>15</v>
      </c>
    </row>
    <row r="32" spans="2:6">
      <c r="B32" s="10" t="s">
        <v>253</v>
      </c>
      <c r="C32" s="10" t="s">
        <v>481</v>
      </c>
      <c r="D32" s="10" t="s">
        <v>493</v>
      </c>
      <c r="E32" s="10" t="s">
        <v>494</v>
      </c>
      <c r="F32" s="10">
        <v>8</v>
      </c>
    </row>
    <row r="33" spans="2:6">
      <c r="B33" s="10" t="s">
        <v>253</v>
      </c>
      <c r="C33" s="10" t="s">
        <v>481</v>
      </c>
      <c r="D33" s="10" t="s">
        <v>493</v>
      </c>
      <c r="E33" s="10" t="s">
        <v>494</v>
      </c>
      <c r="F33" s="10">
        <v>9</v>
      </c>
    </row>
    <row r="34" spans="2:6">
      <c r="B34" s="10" t="s">
        <v>253</v>
      </c>
      <c r="C34" s="10" t="s">
        <v>481</v>
      </c>
      <c r="D34" s="10" t="s">
        <v>493</v>
      </c>
      <c r="E34" s="10" t="s">
        <v>494</v>
      </c>
      <c r="F34" s="10">
        <v>6</v>
      </c>
    </row>
    <row r="35" spans="2:6">
      <c r="B35" s="10" t="s">
        <v>253</v>
      </c>
      <c r="C35" s="10" t="s">
        <v>481</v>
      </c>
      <c r="D35" s="10" t="s">
        <v>493</v>
      </c>
      <c r="E35" s="10" t="s">
        <v>494</v>
      </c>
      <c r="F35" s="10">
        <v>7</v>
      </c>
    </row>
    <row r="36" spans="2:6">
      <c r="B36" s="10" t="s">
        <v>253</v>
      </c>
      <c r="C36" s="10" t="s">
        <v>481</v>
      </c>
      <c r="D36" s="10" t="s">
        <v>493</v>
      </c>
      <c r="E36" s="10" t="s">
        <v>494</v>
      </c>
      <c r="F36" s="10">
        <v>6</v>
      </c>
    </row>
    <row r="37" spans="2:6">
      <c r="B37" s="10" t="s">
        <v>253</v>
      </c>
      <c r="C37" s="10" t="s">
        <v>481</v>
      </c>
      <c r="D37" s="10" t="s">
        <v>493</v>
      </c>
      <c r="E37" s="10" t="s">
        <v>494</v>
      </c>
      <c r="F37" s="10">
        <v>8</v>
      </c>
    </row>
    <row r="38" spans="2:6">
      <c r="B38" s="10" t="s">
        <v>253</v>
      </c>
      <c r="C38" s="10" t="s">
        <v>481</v>
      </c>
      <c r="D38" s="10" t="s">
        <v>51</v>
      </c>
      <c r="E38" s="10" t="s">
        <v>494</v>
      </c>
      <c r="F38" s="10">
        <v>6</v>
      </c>
    </row>
    <row r="39" spans="2:6">
      <c r="B39" s="10" t="s">
        <v>253</v>
      </c>
      <c r="C39" s="10" t="s">
        <v>481</v>
      </c>
      <c r="D39" s="10" t="s">
        <v>255</v>
      </c>
      <c r="E39" s="10" t="s">
        <v>510</v>
      </c>
      <c r="F39" s="10">
        <v>25</v>
      </c>
    </row>
    <row r="40" spans="2:6">
      <c r="B40" s="10" t="s">
        <v>253</v>
      </c>
      <c r="C40" s="10" t="s">
        <v>481</v>
      </c>
      <c r="D40" s="10" t="s">
        <v>255</v>
      </c>
      <c r="E40" s="10" t="s">
        <v>510</v>
      </c>
      <c r="F40" s="10">
        <v>30</v>
      </c>
    </row>
    <row r="41" spans="2:6">
      <c r="B41" s="10" t="s">
        <v>253</v>
      </c>
      <c r="C41" s="10" t="s">
        <v>481</v>
      </c>
      <c r="D41" s="10" t="s">
        <v>255</v>
      </c>
      <c r="E41" s="10" t="s">
        <v>510</v>
      </c>
      <c r="F41" s="10">
        <v>30</v>
      </c>
    </row>
    <row r="42" spans="2:6">
      <c r="B42" s="10" t="s">
        <v>253</v>
      </c>
      <c r="C42" s="10" t="s">
        <v>481</v>
      </c>
      <c r="D42" s="10" t="s">
        <v>255</v>
      </c>
      <c r="E42" s="10" t="s">
        <v>510</v>
      </c>
      <c r="F42" s="10">
        <v>30</v>
      </c>
    </row>
    <row r="43" spans="2:6">
      <c r="B43" s="10" t="s">
        <v>253</v>
      </c>
      <c r="C43" s="10" t="s">
        <v>481</v>
      </c>
      <c r="D43" s="10" t="s">
        <v>255</v>
      </c>
      <c r="E43" s="10" t="s">
        <v>510</v>
      </c>
      <c r="F43" s="10">
        <v>10</v>
      </c>
    </row>
    <row r="44" spans="2:6">
      <c r="B44" s="10" t="s">
        <v>253</v>
      </c>
      <c r="C44" s="10" t="s">
        <v>481</v>
      </c>
      <c r="D44" s="10" t="s">
        <v>255</v>
      </c>
      <c r="E44" s="10" t="s">
        <v>510</v>
      </c>
      <c r="F44" s="10">
        <v>15</v>
      </c>
    </row>
    <row r="45" spans="2:6">
      <c r="B45" s="10" t="s">
        <v>253</v>
      </c>
      <c r="C45" s="10" t="s">
        <v>481</v>
      </c>
      <c r="D45" s="10" t="s">
        <v>255</v>
      </c>
      <c r="E45" s="10" t="s">
        <v>510</v>
      </c>
      <c r="F45" s="10">
        <v>10</v>
      </c>
    </row>
    <row r="46" spans="2:6">
      <c r="B46" s="10" t="s">
        <v>253</v>
      </c>
      <c r="C46" s="10" t="s">
        <v>481</v>
      </c>
      <c r="D46" s="10" t="s">
        <v>255</v>
      </c>
      <c r="E46" s="10" t="s">
        <v>510</v>
      </c>
      <c r="F46" s="10">
        <v>10</v>
      </c>
    </row>
    <row r="47" spans="2:6">
      <c r="B47" s="10" t="s">
        <v>253</v>
      </c>
      <c r="C47" s="10" t="s">
        <v>481</v>
      </c>
      <c r="D47" s="10" t="s">
        <v>255</v>
      </c>
      <c r="E47" s="10" t="s">
        <v>510</v>
      </c>
      <c r="F47" s="10">
        <v>10</v>
      </c>
    </row>
    <row r="48" spans="2:6">
      <c r="B48" s="10" t="s">
        <v>253</v>
      </c>
      <c r="C48" s="10" t="s">
        <v>481</v>
      </c>
      <c r="D48" s="10" t="s">
        <v>255</v>
      </c>
      <c r="E48" s="10" t="s">
        <v>510</v>
      </c>
      <c r="F48" s="10">
        <v>15</v>
      </c>
    </row>
    <row r="49" spans="2:6">
      <c r="B49" s="10" t="s">
        <v>253</v>
      </c>
      <c r="C49" s="10" t="s">
        <v>481</v>
      </c>
      <c r="D49" s="10" t="s">
        <v>255</v>
      </c>
      <c r="E49" s="10" t="s">
        <v>510</v>
      </c>
      <c r="F49" s="10">
        <v>8</v>
      </c>
    </row>
    <row r="50" spans="2:6">
      <c r="B50" s="10" t="s">
        <v>253</v>
      </c>
      <c r="C50" s="10" t="s">
        <v>481</v>
      </c>
      <c r="D50" s="10" t="s">
        <v>255</v>
      </c>
      <c r="E50" s="10" t="s">
        <v>510</v>
      </c>
      <c r="F50" s="10">
        <v>10</v>
      </c>
    </row>
    <row r="51" spans="2:6">
      <c r="B51" s="10" t="s">
        <v>253</v>
      </c>
      <c r="C51" s="10" t="s">
        <v>481</v>
      </c>
      <c r="D51" s="10" t="s">
        <v>255</v>
      </c>
      <c r="E51" s="10" t="s">
        <v>510</v>
      </c>
      <c r="F51" s="10">
        <v>15</v>
      </c>
    </row>
    <row r="52" spans="2:6">
      <c r="B52" s="10" t="s">
        <v>253</v>
      </c>
      <c r="C52" s="10" t="s">
        <v>481</v>
      </c>
      <c r="D52" s="10" t="s">
        <v>40</v>
      </c>
      <c r="E52" s="10" t="s">
        <v>508</v>
      </c>
      <c r="F52" s="10">
        <v>12</v>
      </c>
    </row>
    <row r="53" spans="2:6">
      <c r="B53" s="10" t="s">
        <v>253</v>
      </c>
      <c r="C53" s="10" t="s">
        <v>481</v>
      </c>
      <c r="D53" s="10" t="s">
        <v>40</v>
      </c>
      <c r="E53" s="10" t="s">
        <v>508</v>
      </c>
      <c r="F53" s="10">
        <v>11</v>
      </c>
    </row>
    <row r="54" spans="2:6">
      <c r="B54" s="10" t="s">
        <v>253</v>
      </c>
      <c r="C54" s="10" t="s">
        <v>481</v>
      </c>
      <c r="D54" s="10" t="s">
        <v>40</v>
      </c>
      <c r="E54" s="10" t="s">
        <v>508</v>
      </c>
      <c r="F54" s="10">
        <v>15</v>
      </c>
    </row>
    <row r="55" spans="2:6">
      <c r="B55" s="10" t="s">
        <v>253</v>
      </c>
      <c r="C55" s="10" t="s">
        <v>481</v>
      </c>
      <c r="D55" s="10" t="s">
        <v>40</v>
      </c>
      <c r="E55" s="10" t="s">
        <v>508</v>
      </c>
      <c r="F55" s="10">
        <v>15</v>
      </c>
    </row>
    <row r="56" spans="2:6">
      <c r="B56" s="10" t="s">
        <v>253</v>
      </c>
      <c r="C56" s="10" t="s">
        <v>481</v>
      </c>
      <c r="D56" s="10" t="s">
        <v>40</v>
      </c>
      <c r="E56" s="10" t="s">
        <v>508</v>
      </c>
      <c r="F56" s="10">
        <v>15</v>
      </c>
    </row>
    <row r="57" spans="2:6">
      <c r="B57" s="10" t="s">
        <v>253</v>
      </c>
      <c r="C57" s="10" t="s">
        <v>481</v>
      </c>
      <c r="D57" s="10" t="s">
        <v>40</v>
      </c>
      <c r="E57" s="10" t="s">
        <v>508</v>
      </c>
      <c r="F57" s="10">
        <v>2.6</v>
      </c>
    </row>
    <row r="58" spans="2:6">
      <c r="B58" s="10" t="s">
        <v>253</v>
      </c>
      <c r="C58" s="10" t="s">
        <v>481</v>
      </c>
      <c r="D58" s="10" t="s">
        <v>40</v>
      </c>
      <c r="E58" s="10" t="s">
        <v>508</v>
      </c>
      <c r="F58" s="10">
        <v>3.9</v>
      </c>
    </row>
    <row r="59" spans="2:6">
      <c r="B59" s="10" t="s">
        <v>253</v>
      </c>
      <c r="C59" s="10" t="s">
        <v>481</v>
      </c>
      <c r="D59" s="10" t="s">
        <v>40</v>
      </c>
      <c r="E59" s="10" t="s">
        <v>508</v>
      </c>
      <c r="F59" s="10">
        <v>2.6</v>
      </c>
    </row>
    <row r="60" spans="2:6">
      <c r="B60" s="10" t="s">
        <v>253</v>
      </c>
      <c r="C60" s="10" t="s">
        <v>481</v>
      </c>
      <c r="D60" s="10" t="s">
        <v>40</v>
      </c>
      <c r="E60" s="10" t="s">
        <v>508</v>
      </c>
      <c r="F60" s="10">
        <v>3</v>
      </c>
    </row>
    <row r="61" spans="2:6">
      <c r="B61" s="10" t="s">
        <v>253</v>
      </c>
      <c r="C61" s="10" t="s">
        <v>481</v>
      </c>
      <c r="D61" s="10" t="s">
        <v>40</v>
      </c>
      <c r="E61" s="10" t="s">
        <v>508</v>
      </c>
      <c r="F61" s="10">
        <v>3</v>
      </c>
    </row>
    <row r="62" spans="2:6">
      <c r="B62" s="10" t="s">
        <v>253</v>
      </c>
      <c r="C62" s="10" t="s">
        <v>481</v>
      </c>
      <c r="D62" s="10" t="s">
        <v>511</v>
      </c>
      <c r="E62" s="10"/>
      <c r="F62" s="10">
        <v>15</v>
      </c>
    </row>
    <row r="63" spans="2:6">
      <c r="B63" s="10" t="s">
        <v>253</v>
      </c>
      <c r="C63" s="10" t="s">
        <v>481</v>
      </c>
      <c r="D63" s="10" t="s">
        <v>511</v>
      </c>
      <c r="E63" s="10"/>
      <c r="F63" s="10">
        <v>15</v>
      </c>
    </row>
    <row r="64" spans="2:6">
      <c r="B64" s="10" t="s">
        <v>253</v>
      </c>
      <c r="C64" s="10" t="s">
        <v>481</v>
      </c>
      <c r="D64" s="10" t="s">
        <v>511</v>
      </c>
      <c r="E64" s="10"/>
      <c r="F64" s="10">
        <v>20</v>
      </c>
    </row>
    <row r="65" spans="2:6">
      <c r="B65" s="10" t="s">
        <v>253</v>
      </c>
      <c r="C65" s="10" t="s">
        <v>481</v>
      </c>
      <c r="D65" s="10" t="s">
        <v>512</v>
      </c>
      <c r="E65" s="10" t="s">
        <v>485</v>
      </c>
      <c r="F65" s="10">
        <v>10</v>
      </c>
    </row>
    <row r="66" spans="2:6">
      <c r="B66" s="10" t="s">
        <v>253</v>
      </c>
      <c r="C66" s="10" t="s">
        <v>481</v>
      </c>
      <c r="D66" s="10" t="s">
        <v>43</v>
      </c>
      <c r="E66" s="10" t="s">
        <v>485</v>
      </c>
      <c r="F66" s="10">
        <v>10</v>
      </c>
    </row>
    <row r="67" spans="2:6">
      <c r="B67" s="10" t="s">
        <v>253</v>
      </c>
      <c r="C67" s="10" t="s">
        <v>481</v>
      </c>
      <c r="D67" s="10" t="s">
        <v>43</v>
      </c>
      <c r="E67" s="10" t="s">
        <v>485</v>
      </c>
      <c r="F67" s="10">
        <v>15</v>
      </c>
    </row>
    <row r="68" spans="2:6">
      <c r="B68" s="10" t="s">
        <v>253</v>
      </c>
      <c r="C68" s="10" t="s">
        <v>481</v>
      </c>
      <c r="D68" s="10" t="s">
        <v>43</v>
      </c>
      <c r="E68" s="10" t="s">
        <v>485</v>
      </c>
      <c r="F68" s="10">
        <v>12</v>
      </c>
    </row>
    <row r="69" spans="2:6">
      <c r="B69" s="10" t="s">
        <v>253</v>
      </c>
      <c r="C69" s="10" t="s">
        <v>481</v>
      </c>
      <c r="D69" s="10" t="s">
        <v>43</v>
      </c>
      <c r="E69" s="10" t="s">
        <v>485</v>
      </c>
      <c r="F69" s="10">
        <v>18</v>
      </c>
    </row>
    <row r="70" spans="2:6">
      <c r="B70" s="10" t="s">
        <v>253</v>
      </c>
      <c r="C70" s="10" t="s">
        <v>481</v>
      </c>
      <c r="D70" s="10" t="s">
        <v>43</v>
      </c>
      <c r="E70" s="10" t="s">
        <v>485</v>
      </c>
      <c r="F70" s="10">
        <v>25</v>
      </c>
    </row>
    <row r="71" spans="2:6">
      <c r="B71" s="10" t="s">
        <v>253</v>
      </c>
      <c r="C71" s="10" t="s">
        <v>481</v>
      </c>
      <c r="D71" s="10" t="s">
        <v>43</v>
      </c>
      <c r="E71" s="10" t="s">
        <v>485</v>
      </c>
      <c r="F71" s="10">
        <v>25</v>
      </c>
    </row>
    <row r="72" spans="2:6">
      <c r="B72" s="10" t="s">
        <v>253</v>
      </c>
      <c r="C72" s="10" t="s">
        <v>481</v>
      </c>
      <c r="D72" s="10" t="s">
        <v>43</v>
      </c>
      <c r="E72" s="10" t="s">
        <v>485</v>
      </c>
      <c r="F72" s="10">
        <v>15</v>
      </c>
    </row>
    <row r="73" spans="2:6">
      <c r="B73" s="10" t="s">
        <v>253</v>
      </c>
      <c r="C73" s="10" t="s">
        <v>481</v>
      </c>
      <c r="D73" s="10" t="s">
        <v>44</v>
      </c>
      <c r="E73" s="10" t="s">
        <v>513</v>
      </c>
      <c r="F73" s="10">
        <v>12</v>
      </c>
    </row>
    <row r="74" spans="2:6">
      <c r="B74" s="10" t="s">
        <v>253</v>
      </c>
      <c r="C74" s="10" t="s">
        <v>481</v>
      </c>
      <c r="D74" s="10" t="s">
        <v>44</v>
      </c>
      <c r="E74" s="10" t="s">
        <v>513</v>
      </c>
      <c r="F74" s="10">
        <v>20</v>
      </c>
    </row>
    <row r="75" spans="2:6">
      <c r="B75" s="10" t="s">
        <v>253</v>
      </c>
      <c r="C75" s="10" t="s">
        <v>481</v>
      </c>
      <c r="D75" s="10" t="s">
        <v>44</v>
      </c>
      <c r="E75" s="10" t="s">
        <v>513</v>
      </c>
      <c r="F75" s="10">
        <v>35</v>
      </c>
    </row>
    <row r="76" spans="2:6">
      <c r="B76" s="10" t="s">
        <v>253</v>
      </c>
      <c r="C76" s="10" t="s">
        <v>481</v>
      </c>
      <c r="D76" s="10" t="s">
        <v>44</v>
      </c>
      <c r="E76" s="10" t="s">
        <v>513</v>
      </c>
      <c r="F76" s="10">
        <v>35</v>
      </c>
    </row>
    <row r="77" spans="2:6">
      <c r="B77" s="10" t="s">
        <v>253</v>
      </c>
      <c r="C77" s="10" t="s">
        <v>481</v>
      </c>
      <c r="D77" s="10" t="s">
        <v>52</v>
      </c>
      <c r="E77" s="10" t="s">
        <v>513</v>
      </c>
      <c r="F77" s="10">
        <v>20</v>
      </c>
    </row>
    <row r="78" spans="2:6">
      <c r="B78" s="10" t="s">
        <v>253</v>
      </c>
      <c r="C78" s="10" t="s">
        <v>481</v>
      </c>
      <c r="D78" s="10" t="s">
        <v>52</v>
      </c>
      <c r="E78" s="10" t="s">
        <v>513</v>
      </c>
      <c r="F78" s="10">
        <v>16</v>
      </c>
    </row>
    <row r="79" spans="2:6">
      <c r="B79" s="10" t="s">
        <v>253</v>
      </c>
      <c r="C79" s="10" t="s">
        <v>481</v>
      </c>
      <c r="D79" s="10" t="s">
        <v>514</v>
      </c>
      <c r="E79" s="10" t="s">
        <v>498</v>
      </c>
      <c r="F79" s="10">
        <v>12</v>
      </c>
    </row>
    <row r="80" spans="2:6">
      <c r="B80" s="10" t="s">
        <v>253</v>
      </c>
      <c r="C80" s="10" t="s">
        <v>481</v>
      </c>
      <c r="D80" s="10" t="s">
        <v>514</v>
      </c>
      <c r="E80" s="10" t="s">
        <v>498</v>
      </c>
      <c r="F80" s="10">
        <v>12</v>
      </c>
    </row>
    <row r="81" spans="2:6">
      <c r="B81" s="10" t="s">
        <v>253</v>
      </c>
      <c r="C81" s="10" t="s">
        <v>481</v>
      </c>
      <c r="D81" s="10" t="s">
        <v>514</v>
      </c>
      <c r="E81" s="10" t="s">
        <v>498</v>
      </c>
      <c r="F81" s="10">
        <v>12</v>
      </c>
    </row>
    <row r="82" spans="2:6">
      <c r="B82" s="10" t="s">
        <v>253</v>
      </c>
      <c r="C82" s="10" t="s">
        <v>481</v>
      </c>
      <c r="D82" s="10" t="s">
        <v>514</v>
      </c>
      <c r="E82" s="10" t="s">
        <v>498</v>
      </c>
      <c r="F82" s="10">
        <v>12</v>
      </c>
    </row>
    <row r="83" spans="2:6">
      <c r="B83" s="10" t="s">
        <v>253</v>
      </c>
      <c r="C83" s="10" t="s">
        <v>481</v>
      </c>
      <c r="D83" s="10" t="s">
        <v>514</v>
      </c>
      <c r="E83" s="10" t="s">
        <v>498</v>
      </c>
      <c r="F83" s="10">
        <v>9</v>
      </c>
    </row>
    <row r="84" spans="2:6">
      <c r="B84" s="10" t="s">
        <v>253</v>
      </c>
      <c r="C84" s="10" t="s">
        <v>481</v>
      </c>
      <c r="D84" s="10" t="s">
        <v>514</v>
      </c>
      <c r="E84" s="10" t="s">
        <v>498</v>
      </c>
      <c r="F84" s="10">
        <v>25</v>
      </c>
    </row>
    <row r="85" spans="2:6">
      <c r="B85" s="10" t="s">
        <v>253</v>
      </c>
      <c r="C85" s="10" t="s">
        <v>481</v>
      </c>
      <c r="D85" s="10" t="s">
        <v>514</v>
      </c>
      <c r="E85" s="10" t="s">
        <v>498</v>
      </c>
      <c r="F85" s="10">
        <v>60</v>
      </c>
    </row>
    <row r="86" spans="2:6">
      <c r="B86" s="10" t="s">
        <v>253</v>
      </c>
      <c r="C86" s="10" t="s">
        <v>481</v>
      </c>
      <c r="D86" s="10" t="s">
        <v>19</v>
      </c>
      <c r="E86" s="10" t="s">
        <v>515</v>
      </c>
      <c r="F86" s="10">
        <v>50</v>
      </c>
    </row>
    <row r="87" spans="2:6">
      <c r="B87" s="10" t="s">
        <v>253</v>
      </c>
      <c r="C87" s="10" t="s">
        <v>481</v>
      </c>
      <c r="D87" s="10" t="s">
        <v>19</v>
      </c>
      <c r="E87" s="10" t="s">
        <v>515</v>
      </c>
      <c r="F87" s="10">
        <v>9</v>
      </c>
    </row>
    <row r="88" spans="2:6">
      <c r="B88" s="10" t="s">
        <v>253</v>
      </c>
      <c r="C88" s="10" t="s">
        <v>481</v>
      </c>
      <c r="D88" s="10" t="s">
        <v>19</v>
      </c>
      <c r="E88" s="10" t="s">
        <v>515</v>
      </c>
      <c r="F88" s="10">
        <v>15</v>
      </c>
    </row>
    <row r="89" spans="2:6">
      <c r="B89" s="10" t="s">
        <v>253</v>
      </c>
      <c r="C89" s="10" t="s">
        <v>481</v>
      </c>
      <c r="D89" s="10" t="s">
        <v>19</v>
      </c>
      <c r="E89" s="10" t="s">
        <v>515</v>
      </c>
      <c r="F89" s="10">
        <v>20</v>
      </c>
    </row>
    <row r="90" spans="2:6">
      <c r="B90" s="10" t="s">
        <v>253</v>
      </c>
      <c r="C90" s="10" t="s">
        <v>481</v>
      </c>
      <c r="D90" s="10" t="s">
        <v>19</v>
      </c>
      <c r="E90" s="10" t="s">
        <v>515</v>
      </c>
      <c r="F90" s="10">
        <v>18</v>
      </c>
    </row>
    <row r="91" spans="2:6">
      <c r="B91" s="10" t="s">
        <v>253</v>
      </c>
      <c r="C91" s="10" t="s">
        <v>481</v>
      </c>
      <c r="D91" s="10" t="s">
        <v>19</v>
      </c>
      <c r="E91" s="10" t="s">
        <v>515</v>
      </c>
      <c r="F91" s="10">
        <v>18</v>
      </c>
    </row>
    <row r="92" spans="2:6">
      <c r="B92" s="10" t="s">
        <v>253</v>
      </c>
      <c r="C92" s="10" t="s">
        <v>481</v>
      </c>
      <c r="D92" s="10" t="s">
        <v>19</v>
      </c>
      <c r="E92" s="10" t="s">
        <v>515</v>
      </c>
      <c r="F92" s="10">
        <v>15</v>
      </c>
    </row>
    <row r="93" spans="2:6">
      <c r="B93" s="10" t="s">
        <v>253</v>
      </c>
      <c r="C93" s="10" t="s">
        <v>481</v>
      </c>
      <c r="D93" s="10" t="s">
        <v>19</v>
      </c>
      <c r="E93" s="10" t="s">
        <v>515</v>
      </c>
      <c r="F93" s="10">
        <v>12</v>
      </c>
    </row>
    <row r="94" spans="2:6">
      <c r="B94" s="10" t="s">
        <v>253</v>
      </c>
      <c r="C94" s="10" t="s">
        <v>481</v>
      </c>
      <c r="D94" s="10" t="s">
        <v>19</v>
      </c>
      <c r="E94" s="10" t="s">
        <v>515</v>
      </c>
      <c r="F94" s="10">
        <v>12</v>
      </c>
    </row>
    <row r="95" spans="2:6">
      <c r="B95" s="10" t="s">
        <v>253</v>
      </c>
      <c r="C95" s="10" t="s">
        <v>481</v>
      </c>
      <c r="D95" s="10" t="s">
        <v>19</v>
      </c>
      <c r="E95" s="10" t="s">
        <v>515</v>
      </c>
      <c r="F95" s="10">
        <v>10</v>
      </c>
    </row>
    <row r="96" spans="2:6">
      <c r="B96" s="10" t="s">
        <v>253</v>
      </c>
      <c r="C96" s="10" t="s">
        <v>481</v>
      </c>
      <c r="D96" s="10" t="s">
        <v>19</v>
      </c>
      <c r="E96" s="10" t="s">
        <v>515</v>
      </c>
      <c r="F96" s="10">
        <v>9</v>
      </c>
    </row>
    <row r="97" spans="2:6">
      <c r="B97" s="10" t="s">
        <v>253</v>
      </c>
      <c r="C97" s="10" t="s">
        <v>481</v>
      </c>
      <c r="D97" s="10" t="s">
        <v>19</v>
      </c>
      <c r="E97" s="10" t="s">
        <v>515</v>
      </c>
      <c r="F97" s="10">
        <v>6</v>
      </c>
    </row>
    <row r="98" spans="2:6">
      <c r="B98" s="10" t="s">
        <v>253</v>
      </c>
      <c r="C98" s="10" t="s">
        <v>481</v>
      </c>
      <c r="D98" s="10" t="s">
        <v>19</v>
      </c>
      <c r="E98" s="10" t="s">
        <v>515</v>
      </c>
      <c r="F98" s="10">
        <v>12</v>
      </c>
    </row>
    <row r="99" spans="2:6">
      <c r="B99" s="10" t="s">
        <v>253</v>
      </c>
      <c r="C99" s="10" t="s">
        <v>481</v>
      </c>
      <c r="D99" s="10" t="s">
        <v>32</v>
      </c>
      <c r="E99" s="10" t="s">
        <v>515</v>
      </c>
      <c r="F99" s="10">
        <v>15</v>
      </c>
    </row>
    <row r="100" spans="2:6">
      <c r="B100" s="10" t="s">
        <v>253</v>
      </c>
      <c r="C100" s="10" t="s">
        <v>481</v>
      </c>
      <c r="D100" s="10" t="s">
        <v>32</v>
      </c>
      <c r="E100" s="10" t="s">
        <v>515</v>
      </c>
      <c r="F100" s="10">
        <v>20</v>
      </c>
    </row>
    <row r="101" spans="2:6">
      <c r="B101" s="10" t="s">
        <v>253</v>
      </c>
      <c r="C101" s="10" t="s">
        <v>481</v>
      </c>
      <c r="D101" s="10" t="s">
        <v>32</v>
      </c>
      <c r="E101" s="10" t="s">
        <v>515</v>
      </c>
      <c r="F101" s="10">
        <v>15</v>
      </c>
    </row>
    <row r="102" spans="2:6">
      <c r="B102" s="10" t="s">
        <v>253</v>
      </c>
      <c r="C102" s="10" t="s">
        <v>481</v>
      </c>
      <c r="D102" s="10" t="s">
        <v>32</v>
      </c>
      <c r="E102" s="10" t="s">
        <v>515</v>
      </c>
      <c r="F102" s="10">
        <v>20</v>
      </c>
    </row>
    <row r="103" spans="2:6">
      <c r="B103" s="10" t="s">
        <v>253</v>
      </c>
      <c r="C103" s="10" t="s">
        <v>481</v>
      </c>
      <c r="D103" s="10" t="s">
        <v>32</v>
      </c>
      <c r="E103" s="10" t="s">
        <v>515</v>
      </c>
      <c r="F103" s="10">
        <v>22</v>
      </c>
    </row>
    <row r="104" spans="2:6">
      <c r="B104" s="10" t="s">
        <v>253</v>
      </c>
      <c r="C104" s="10" t="s">
        <v>481</v>
      </c>
      <c r="D104" s="10" t="s">
        <v>57</v>
      </c>
      <c r="E104" s="10" t="s">
        <v>516</v>
      </c>
      <c r="F104" s="10">
        <v>15</v>
      </c>
    </row>
    <row r="105" spans="2:6">
      <c r="B105" s="10" t="s">
        <v>253</v>
      </c>
      <c r="C105" s="10" t="s">
        <v>481</v>
      </c>
      <c r="D105" s="10" t="s">
        <v>57</v>
      </c>
      <c r="E105" s="10" t="s">
        <v>516</v>
      </c>
      <c r="F105" s="10">
        <v>16</v>
      </c>
    </row>
    <row r="106" spans="2:6">
      <c r="B106" s="10" t="s">
        <v>253</v>
      </c>
      <c r="C106" s="10" t="s">
        <v>481</v>
      </c>
      <c r="D106" s="10" t="s">
        <v>57</v>
      </c>
      <c r="E106" s="10" t="s">
        <v>516</v>
      </c>
      <c r="F106" s="10">
        <v>10</v>
      </c>
    </row>
    <row r="107" spans="2:6">
      <c r="B107" s="10" t="s">
        <v>253</v>
      </c>
      <c r="C107" s="10" t="s">
        <v>481</v>
      </c>
      <c r="D107" s="10" t="s">
        <v>192</v>
      </c>
      <c r="E107" s="10"/>
      <c r="F107" s="10">
        <v>3</v>
      </c>
    </row>
    <row r="108" spans="2:6">
      <c r="B108" s="10" t="s">
        <v>253</v>
      </c>
      <c r="C108" s="10" t="s">
        <v>481</v>
      </c>
      <c r="D108" s="10" t="s">
        <v>517</v>
      </c>
      <c r="E108" s="10" t="s">
        <v>518</v>
      </c>
      <c r="F108" s="10">
        <v>12</v>
      </c>
    </row>
    <row r="109" spans="2:6">
      <c r="B109" s="10" t="s">
        <v>253</v>
      </c>
      <c r="C109" s="10" t="s">
        <v>481</v>
      </c>
      <c r="D109" s="10" t="s">
        <v>519</v>
      </c>
      <c r="E109" s="10" t="s">
        <v>518</v>
      </c>
      <c r="F109" s="10">
        <v>45</v>
      </c>
    </row>
    <row r="110" spans="2:6">
      <c r="B110" s="10" t="s">
        <v>253</v>
      </c>
      <c r="C110" s="10" t="s">
        <v>481</v>
      </c>
      <c r="D110" s="10" t="s">
        <v>186</v>
      </c>
      <c r="E110" s="10" t="s">
        <v>518</v>
      </c>
      <c r="F110" s="10">
        <v>25</v>
      </c>
    </row>
    <row r="111" spans="2:6">
      <c r="B111" s="10" t="s">
        <v>253</v>
      </c>
      <c r="C111" s="10" t="s">
        <v>481</v>
      </c>
      <c r="D111" s="10" t="s">
        <v>186</v>
      </c>
      <c r="E111" s="10" t="s">
        <v>518</v>
      </c>
      <c r="F111" s="10">
        <v>15</v>
      </c>
    </row>
    <row r="112" spans="2:6">
      <c r="B112" s="10" t="s">
        <v>253</v>
      </c>
      <c r="C112" s="10" t="s">
        <v>481</v>
      </c>
      <c r="D112" s="10" t="s">
        <v>186</v>
      </c>
      <c r="E112" s="10" t="s">
        <v>518</v>
      </c>
      <c r="F112" s="10">
        <v>30</v>
      </c>
    </row>
    <row r="113" spans="2:6">
      <c r="B113" s="10" t="s">
        <v>253</v>
      </c>
      <c r="C113" s="10" t="s">
        <v>481</v>
      </c>
      <c r="D113" s="10" t="s">
        <v>186</v>
      </c>
      <c r="E113" s="10" t="s">
        <v>518</v>
      </c>
      <c r="F113" s="10">
        <v>15</v>
      </c>
    </row>
    <row r="114" spans="2:6">
      <c r="B114" s="10" t="s">
        <v>253</v>
      </c>
      <c r="C114" s="10" t="s">
        <v>481</v>
      </c>
      <c r="D114" s="10" t="s">
        <v>186</v>
      </c>
      <c r="E114" s="10" t="s">
        <v>518</v>
      </c>
      <c r="F114" s="10">
        <v>12</v>
      </c>
    </row>
    <row r="115" spans="2:6">
      <c r="B115" s="10" t="s">
        <v>253</v>
      </c>
      <c r="C115" s="10" t="s">
        <v>481</v>
      </c>
      <c r="D115" s="10" t="s">
        <v>186</v>
      </c>
      <c r="E115" s="10" t="s">
        <v>518</v>
      </c>
      <c r="F115" s="10">
        <v>35</v>
      </c>
    </row>
    <row r="116" spans="2:6">
      <c r="B116" s="10" t="s">
        <v>253</v>
      </c>
      <c r="C116" s="10" t="s">
        <v>481</v>
      </c>
      <c r="D116" s="10" t="s">
        <v>520</v>
      </c>
      <c r="E116" s="10" t="s">
        <v>518</v>
      </c>
      <c r="F116" s="10">
        <v>6</v>
      </c>
    </row>
    <row r="117" spans="2:6">
      <c r="B117" s="10" t="s">
        <v>253</v>
      </c>
      <c r="C117" s="10" t="s">
        <v>481</v>
      </c>
      <c r="D117" s="10" t="s">
        <v>520</v>
      </c>
      <c r="E117" s="10" t="s">
        <v>518</v>
      </c>
      <c r="F117" s="10">
        <v>9</v>
      </c>
    </row>
    <row r="118" spans="2:6">
      <c r="B118" s="10" t="s">
        <v>253</v>
      </c>
      <c r="C118" s="10" t="s">
        <v>481</v>
      </c>
      <c r="D118" s="10" t="s">
        <v>520</v>
      </c>
      <c r="E118" s="10" t="s">
        <v>518</v>
      </c>
      <c r="F118" s="10">
        <v>12</v>
      </c>
    </row>
    <row r="119" spans="2:6">
      <c r="B119" s="10" t="s">
        <v>253</v>
      </c>
      <c r="C119" s="10" t="s">
        <v>481</v>
      </c>
      <c r="D119" s="10" t="s">
        <v>520</v>
      </c>
      <c r="E119" s="10" t="s">
        <v>518</v>
      </c>
      <c r="F119" s="10">
        <v>15</v>
      </c>
    </row>
    <row r="120" spans="2:6">
      <c r="B120" s="10" t="s">
        <v>253</v>
      </c>
      <c r="C120" s="10" t="s">
        <v>481</v>
      </c>
      <c r="D120" s="10" t="s">
        <v>520</v>
      </c>
      <c r="E120" s="10" t="s">
        <v>518</v>
      </c>
      <c r="F120" s="10">
        <v>30</v>
      </c>
    </row>
    <row r="121" spans="2:6">
      <c r="B121" s="10" t="s">
        <v>253</v>
      </c>
      <c r="C121" s="10" t="s">
        <v>481</v>
      </c>
      <c r="D121" s="10" t="s">
        <v>520</v>
      </c>
      <c r="E121" s="10" t="s">
        <v>518</v>
      </c>
      <c r="F121" s="10">
        <v>8</v>
      </c>
    </row>
    <row r="122" spans="2:6">
      <c r="B122" s="10" t="s">
        <v>253</v>
      </c>
      <c r="C122" s="10" t="s">
        <v>481</v>
      </c>
      <c r="D122" s="10" t="s">
        <v>521</v>
      </c>
      <c r="E122" s="10" t="s">
        <v>518</v>
      </c>
      <c r="F122" s="10">
        <v>30</v>
      </c>
    </row>
    <row r="123" spans="2:6">
      <c r="B123" s="10" t="s">
        <v>253</v>
      </c>
      <c r="C123" s="10" t="s">
        <v>481</v>
      </c>
      <c r="D123" s="10" t="s">
        <v>522</v>
      </c>
      <c r="E123" s="10" t="s">
        <v>518</v>
      </c>
      <c r="F123" s="10">
        <v>20</v>
      </c>
    </row>
    <row r="124" spans="2:6">
      <c r="B124" s="10" t="s">
        <v>253</v>
      </c>
      <c r="C124" s="10" t="s">
        <v>481</v>
      </c>
      <c r="D124" s="10" t="s">
        <v>523</v>
      </c>
      <c r="E124" s="10" t="s">
        <v>518</v>
      </c>
      <c r="F124" s="10">
        <v>8</v>
      </c>
    </row>
    <row r="125" spans="2:6">
      <c r="B125" s="10" t="s">
        <v>253</v>
      </c>
      <c r="C125" s="10" t="s">
        <v>481</v>
      </c>
      <c r="D125" s="10" t="s">
        <v>30</v>
      </c>
      <c r="E125" s="10" t="s">
        <v>518</v>
      </c>
      <c r="F125" s="10">
        <v>5</v>
      </c>
    </row>
    <row r="126" spans="2:6">
      <c r="B126" s="10" t="s">
        <v>253</v>
      </c>
      <c r="C126" s="10" t="s">
        <v>481</v>
      </c>
      <c r="D126" s="10" t="s">
        <v>30</v>
      </c>
      <c r="E126" s="10" t="s">
        <v>518</v>
      </c>
      <c r="F126" s="10">
        <v>5</v>
      </c>
    </row>
    <row r="127" spans="2:6">
      <c r="B127" s="10" t="s">
        <v>253</v>
      </c>
      <c r="C127" s="10" t="s">
        <v>481</v>
      </c>
      <c r="D127" s="10" t="s">
        <v>30</v>
      </c>
      <c r="E127" s="10" t="s">
        <v>518</v>
      </c>
      <c r="F127" s="10">
        <v>10</v>
      </c>
    </row>
    <row r="128" spans="2:6">
      <c r="B128" s="10" t="s">
        <v>253</v>
      </c>
      <c r="C128" s="10" t="s">
        <v>481</v>
      </c>
      <c r="D128" s="10" t="s">
        <v>30</v>
      </c>
      <c r="E128" s="10" t="s">
        <v>518</v>
      </c>
      <c r="F128" s="10">
        <v>30</v>
      </c>
    </row>
    <row r="129" spans="2:6">
      <c r="B129" s="10" t="s">
        <v>253</v>
      </c>
      <c r="C129" s="10" t="s">
        <v>481</v>
      </c>
      <c r="D129" s="10" t="s">
        <v>30</v>
      </c>
      <c r="E129" s="10" t="s">
        <v>518</v>
      </c>
      <c r="F129" s="10">
        <v>15</v>
      </c>
    </row>
    <row r="130" spans="2:6">
      <c r="B130" s="10" t="s">
        <v>253</v>
      </c>
      <c r="C130" s="10" t="s">
        <v>481</v>
      </c>
      <c r="D130" s="10" t="s">
        <v>25</v>
      </c>
      <c r="E130" s="10" t="s">
        <v>518</v>
      </c>
      <c r="F130" s="10">
        <v>25</v>
      </c>
    </row>
    <row r="131" spans="2:6">
      <c r="B131" s="10" t="s">
        <v>253</v>
      </c>
      <c r="C131" s="10" t="s">
        <v>481</v>
      </c>
      <c r="D131" s="10" t="s">
        <v>25</v>
      </c>
      <c r="E131" s="10" t="s">
        <v>518</v>
      </c>
      <c r="F131" s="10">
        <v>10</v>
      </c>
    </row>
    <row r="132" spans="2:6">
      <c r="B132" s="10" t="s">
        <v>253</v>
      </c>
      <c r="C132" s="10" t="s">
        <v>481</v>
      </c>
      <c r="D132" s="10" t="s">
        <v>25</v>
      </c>
      <c r="E132" s="10" t="s">
        <v>518</v>
      </c>
      <c r="F132" s="10">
        <v>6</v>
      </c>
    </row>
    <row r="133" spans="2:6">
      <c r="B133" s="10" t="s">
        <v>253</v>
      </c>
      <c r="C133" s="10" t="s">
        <v>481</v>
      </c>
      <c r="D133" s="10" t="s">
        <v>25</v>
      </c>
      <c r="E133" s="10" t="s">
        <v>518</v>
      </c>
      <c r="F133" s="10">
        <v>15</v>
      </c>
    </row>
    <row r="134" spans="2:6">
      <c r="B134" s="10" t="s">
        <v>253</v>
      </c>
      <c r="C134" s="10" t="s">
        <v>481</v>
      </c>
      <c r="D134" s="10" t="s">
        <v>25</v>
      </c>
      <c r="E134" s="10" t="s">
        <v>518</v>
      </c>
      <c r="F134" s="10">
        <v>8</v>
      </c>
    </row>
    <row r="135" spans="2:6">
      <c r="B135" s="10" t="s">
        <v>253</v>
      </c>
      <c r="C135" s="10" t="s">
        <v>481</v>
      </c>
      <c r="D135" s="10" t="s">
        <v>25</v>
      </c>
      <c r="E135" s="10" t="s">
        <v>518</v>
      </c>
      <c r="F135" s="10">
        <v>40</v>
      </c>
    </row>
    <row r="136" spans="2:6">
      <c r="B136" s="10" t="s">
        <v>253</v>
      </c>
      <c r="C136" s="10" t="s">
        <v>481</v>
      </c>
      <c r="D136" s="10" t="s">
        <v>25</v>
      </c>
      <c r="E136" s="10" t="s">
        <v>518</v>
      </c>
      <c r="F136" s="10">
        <v>40</v>
      </c>
    </row>
    <row r="137" spans="2:6">
      <c r="B137" s="10" t="s">
        <v>253</v>
      </c>
      <c r="C137" s="10" t="s">
        <v>481</v>
      </c>
      <c r="D137" s="10" t="s">
        <v>25</v>
      </c>
      <c r="E137" s="10" t="s">
        <v>518</v>
      </c>
      <c r="F137" s="10">
        <v>40</v>
      </c>
    </row>
    <row r="138" spans="2:6">
      <c r="B138" s="10" t="s">
        <v>253</v>
      </c>
      <c r="C138" s="10" t="s">
        <v>481</v>
      </c>
      <c r="D138" s="10" t="s">
        <v>524</v>
      </c>
      <c r="E138" s="10" t="s">
        <v>518</v>
      </c>
      <c r="F138" s="10">
        <v>12</v>
      </c>
    </row>
    <row r="139" spans="2:6">
      <c r="B139" s="10" t="s">
        <v>253</v>
      </c>
      <c r="C139" s="10" t="s">
        <v>481</v>
      </c>
      <c r="D139" s="10" t="s">
        <v>525</v>
      </c>
      <c r="E139" s="10" t="s">
        <v>518</v>
      </c>
      <c r="F139" s="10">
        <v>15</v>
      </c>
    </row>
    <row r="140" spans="2:6">
      <c r="B140" s="10" t="s">
        <v>253</v>
      </c>
      <c r="C140" s="10" t="s">
        <v>481</v>
      </c>
      <c r="D140" s="10" t="s">
        <v>526</v>
      </c>
      <c r="E140" s="10" t="s">
        <v>502</v>
      </c>
      <c r="F140" s="10">
        <v>40</v>
      </c>
    </row>
    <row r="141" spans="2:6">
      <c r="B141" s="10" t="s">
        <v>253</v>
      </c>
      <c r="C141" s="10" t="s">
        <v>481</v>
      </c>
      <c r="D141" s="10" t="s">
        <v>526</v>
      </c>
      <c r="E141" s="10" t="s">
        <v>502</v>
      </c>
      <c r="F141" s="10">
        <v>45</v>
      </c>
    </row>
    <row r="142" spans="2:6">
      <c r="B142" s="10" t="s">
        <v>253</v>
      </c>
      <c r="C142" s="10" t="s">
        <v>481</v>
      </c>
      <c r="D142" s="10" t="s">
        <v>526</v>
      </c>
      <c r="E142" s="10" t="s">
        <v>502</v>
      </c>
      <c r="F142" s="10">
        <v>45</v>
      </c>
    </row>
    <row r="143" spans="2:6">
      <c r="B143" s="10" t="s">
        <v>253</v>
      </c>
      <c r="C143" s="10" t="s">
        <v>481</v>
      </c>
      <c r="D143" s="10" t="s">
        <v>527</v>
      </c>
      <c r="E143" s="10" t="s">
        <v>502</v>
      </c>
      <c r="F143" s="10">
        <v>55</v>
      </c>
    </row>
    <row r="144" spans="2:6">
      <c r="B144" s="10" t="s">
        <v>253</v>
      </c>
      <c r="C144" s="10" t="s">
        <v>481</v>
      </c>
      <c r="D144" s="10" t="s">
        <v>527</v>
      </c>
      <c r="E144" s="10" t="s">
        <v>502</v>
      </c>
      <c r="F144" s="10">
        <v>15</v>
      </c>
    </row>
    <row r="145" spans="2:6">
      <c r="B145" s="10" t="s">
        <v>253</v>
      </c>
      <c r="C145" s="10" t="s">
        <v>481</v>
      </c>
      <c r="D145" s="10" t="s">
        <v>284</v>
      </c>
      <c r="E145" s="10" t="s">
        <v>498</v>
      </c>
      <c r="F145" s="10">
        <v>6</v>
      </c>
    </row>
    <row r="146" spans="2:6">
      <c r="B146" s="10" t="s">
        <v>253</v>
      </c>
      <c r="C146" s="10" t="s">
        <v>481</v>
      </c>
      <c r="D146" s="10" t="s">
        <v>284</v>
      </c>
      <c r="E146" s="10" t="s">
        <v>498</v>
      </c>
      <c r="F146" s="10">
        <v>8</v>
      </c>
    </row>
    <row r="147" spans="2:6">
      <c r="B147" s="10" t="s">
        <v>253</v>
      </c>
      <c r="C147" s="10" t="s">
        <v>481</v>
      </c>
      <c r="D147" s="10" t="s">
        <v>284</v>
      </c>
      <c r="E147" s="10" t="s">
        <v>498</v>
      </c>
      <c r="F147" s="10">
        <v>10</v>
      </c>
    </row>
    <row r="148" spans="2:6">
      <c r="B148" s="10" t="s">
        <v>253</v>
      </c>
      <c r="C148" s="10" t="s">
        <v>481</v>
      </c>
      <c r="D148" s="10" t="s">
        <v>284</v>
      </c>
      <c r="E148" s="10" t="s">
        <v>498</v>
      </c>
      <c r="F148" s="10">
        <v>6</v>
      </c>
    </row>
    <row r="149" spans="2:6">
      <c r="B149" s="10" t="s">
        <v>253</v>
      </c>
      <c r="C149" s="10" t="s">
        <v>481</v>
      </c>
      <c r="D149" s="10" t="s">
        <v>284</v>
      </c>
      <c r="E149" s="10" t="s">
        <v>498</v>
      </c>
      <c r="F149" s="10">
        <v>6</v>
      </c>
    </row>
    <row r="150" spans="2:6">
      <c r="B150" s="10" t="s">
        <v>253</v>
      </c>
      <c r="C150" s="10" t="s">
        <v>481</v>
      </c>
      <c r="D150" s="10" t="s">
        <v>284</v>
      </c>
      <c r="E150" s="10" t="s">
        <v>498</v>
      </c>
      <c r="F150" s="10"/>
    </row>
    <row r="151" spans="2:6">
      <c r="B151" s="10" t="s">
        <v>253</v>
      </c>
      <c r="C151" s="10" t="s">
        <v>481</v>
      </c>
      <c r="D151" s="10" t="s">
        <v>284</v>
      </c>
      <c r="E151" s="10" t="s">
        <v>498</v>
      </c>
      <c r="F151" s="10">
        <v>5</v>
      </c>
    </row>
    <row r="152" spans="2:6">
      <c r="B152" s="10" t="s">
        <v>253</v>
      </c>
      <c r="C152" s="10" t="s">
        <v>481</v>
      </c>
      <c r="D152" s="10" t="s">
        <v>290</v>
      </c>
      <c r="E152" s="10" t="s">
        <v>528</v>
      </c>
      <c r="F152" s="10">
        <v>10</v>
      </c>
    </row>
    <row r="153" spans="2:6">
      <c r="B153" s="10" t="s">
        <v>253</v>
      </c>
      <c r="C153" s="10" t="s">
        <v>481</v>
      </c>
      <c r="D153" s="10" t="s">
        <v>290</v>
      </c>
      <c r="E153" s="10" t="s">
        <v>528</v>
      </c>
      <c r="F153" s="10">
        <v>8</v>
      </c>
    </row>
    <row r="154" spans="2:6">
      <c r="B154" s="10" t="s">
        <v>253</v>
      </c>
      <c r="C154" s="10" t="s">
        <v>481</v>
      </c>
      <c r="D154" s="10" t="s">
        <v>290</v>
      </c>
      <c r="E154" s="10" t="s">
        <v>528</v>
      </c>
      <c r="F154" s="10">
        <v>10</v>
      </c>
    </row>
    <row r="155" spans="2:6">
      <c r="B155" s="10" t="s">
        <v>253</v>
      </c>
      <c r="C155" s="10" t="s">
        <v>481</v>
      </c>
      <c r="D155" s="10" t="s">
        <v>290</v>
      </c>
      <c r="E155" s="10" t="s">
        <v>528</v>
      </c>
      <c r="F155" s="10">
        <v>10</v>
      </c>
    </row>
    <row r="156" spans="2:6">
      <c r="B156" s="10" t="s">
        <v>253</v>
      </c>
      <c r="C156" s="10" t="s">
        <v>481</v>
      </c>
      <c r="D156" s="10" t="s">
        <v>290</v>
      </c>
      <c r="E156" s="10" t="s">
        <v>528</v>
      </c>
      <c r="F156" s="10">
        <v>15</v>
      </c>
    </row>
    <row r="157" spans="2:6">
      <c r="B157" s="10" t="s">
        <v>253</v>
      </c>
      <c r="C157" s="10" t="s">
        <v>481</v>
      </c>
      <c r="D157" s="10" t="s">
        <v>290</v>
      </c>
      <c r="E157" s="10" t="s">
        <v>528</v>
      </c>
      <c r="F157" s="10">
        <v>30</v>
      </c>
    </row>
    <row r="158" spans="2:6">
      <c r="B158" s="10" t="s">
        <v>253</v>
      </c>
      <c r="C158" s="10" t="s">
        <v>481</v>
      </c>
      <c r="D158" s="10" t="s">
        <v>290</v>
      </c>
      <c r="E158" s="10" t="s">
        <v>528</v>
      </c>
      <c r="F158" s="10">
        <v>8</v>
      </c>
    </row>
    <row r="159" spans="2:6">
      <c r="B159" s="10" t="s">
        <v>253</v>
      </c>
      <c r="C159" s="10" t="s">
        <v>481</v>
      </c>
      <c r="D159" s="10" t="s">
        <v>290</v>
      </c>
      <c r="E159" s="10" t="s">
        <v>528</v>
      </c>
      <c r="F159" s="10">
        <v>9</v>
      </c>
    </row>
    <row r="160" spans="2:6">
      <c r="B160" s="10" t="s">
        <v>253</v>
      </c>
      <c r="C160" s="10" t="s">
        <v>481</v>
      </c>
      <c r="D160" s="10" t="s">
        <v>290</v>
      </c>
      <c r="E160" s="10" t="s">
        <v>528</v>
      </c>
      <c r="F160" s="10">
        <v>8</v>
      </c>
    </row>
    <row r="161" spans="2:6">
      <c r="B161" s="10" t="s">
        <v>253</v>
      </c>
      <c r="C161" s="10" t="s">
        <v>481</v>
      </c>
      <c r="D161" s="10" t="s">
        <v>290</v>
      </c>
      <c r="E161" s="10" t="s">
        <v>528</v>
      </c>
      <c r="F161" s="10">
        <v>10</v>
      </c>
    </row>
    <row r="162" spans="2:6">
      <c r="B162" s="10" t="s">
        <v>253</v>
      </c>
      <c r="C162" s="10" t="s">
        <v>481</v>
      </c>
      <c r="D162" s="10" t="s">
        <v>290</v>
      </c>
      <c r="E162" s="10" t="s">
        <v>528</v>
      </c>
      <c r="F162" s="10">
        <v>10</v>
      </c>
    </row>
    <row r="163" spans="2:6">
      <c r="B163" s="10" t="s">
        <v>253</v>
      </c>
      <c r="C163" s="10" t="s">
        <v>481</v>
      </c>
      <c r="D163" s="10" t="s">
        <v>290</v>
      </c>
      <c r="E163" s="10" t="s">
        <v>528</v>
      </c>
      <c r="F163" s="10">
        <v>10</v>
      </c>
    </row>
    <row r="164" spans="2:6">
      <c r="B164" s="10" t="s">
        <v>253</v>
      </c>
      <c r="C164" s="10" t="s">
        <v>481</v>
      </c>
      <c r="D164" s="10" t="s">
        <v>290</v>
      </c>
      <c r="E164" s="10" t="s">
        <v>528</v>
      </c>
      <c r="F164" s="10">
        <v>10</v>
      </c>
    </row>
    <row r="165" spans="2:6">
      <c r="B165" s="10" t="s">
        <v>253</v>
      </c>
      <c r="C165" s="10" t="s">
        <v>481</v>
      </c>
      <c r="D165" s="10" t="s">
        <v>529</v>
      </c>
      <c r="E165" s="10" t="s">
        <v>528</v>
      </c>
      <c r="F165" s="10">
        <v>30</v>
      </c>
    </row>
    <row r="166" spans="2:6">
      <c r="B166" s="10" t="s">
        <v>253</v>
      </c>
      <c r="C166" s="10" t="s">
        <v>481</v>
      </c>
      <c r="D166" s="10" t="s">
        <v>529</v>
      </c>
      <c r="E166" s="10" t="s">
        <v>528</v>
      </c>
      <c r="F166" s="10">
        <v>30</v>
      </c>
    </row>
    <row r="167" spans="2:6">
      <c r="B167" s="10" t="s">
        <v>253</v>
      </c>
      <c r="C167" s="10" t="s">
        <v>481</v>
      </c>
      <c r="D167" s="10" t="s">
        <v>529</v>
      </c>
      <c r="E167" s="10" t="s">
        <v>528</v>
      </c>
      <c r="F167" s="10">
        <v>50</v>
      </c>
    </row>
    <row r="168" spans="2:6">
      <c r="B168" s="10" t="s">
        <v>253</v>
      </c>
      <c r="C168" s="10" t="s">
        <v>481</v>
      </c>
      <c r="D168" s="10" t="s">
        <v>529</v>
      </c>
      <c r="E168" s="10" t="s">
        <v>528</v>
      </c>
      <c r="F168" s="10">
        <v>20</v>
      </c>
    </row>
    <row r="169" spans="2:6">
      <c r="B169" s="10" t="s">
        <v>253</v>
      </c>
      <c r="C169" s="10" t="s">
        <v>481</v>
      </c>
      <c r="D169" s="10" t="s">
        <v>529</v>
      </c>
      <c r="E169" s="10" t="s">
        <v>528</v>
      </c>
      <c r="F169" s="10">
        <v>40</v>
      </c>
    </row>
    <row r="170" spans="2:6">
      <c r="B170" s="10" t="s">
        <v>253</v>
      </c>
      <c r="C170" s="10" t="s">
        <v>481</v>
      </c>
      <c r="D170" s="10" t="s">
        <v>529</v>
      </c>
      <c r="E170" s="10" t="s">
        <v>528</v>
      </c>
      <c r="F170" s="10">
        <v>25</v>
      </c>
    </row>
    <row r="171" spans="2:6">
      <c r="B171" s="10" t="s">
        <v>253</v>
      </c>
      <c r="C171" s="10" t="s">
        <v>481</v>
      </c>
      <c r="D171" s="10" t="s">
        <v>529</v>
      </c>
      <c r="E171" s="10" t="s">
        <v>528</v>
      </c>
      <c r="F171" s="10">
        <v>30</v>
      </c>
    </row>
    <row r="172" spans="2:6">
      <c r="B172" s="10" t="s">
        <v>253</v>
      </c>
      <c r="C172" s="10" t="s">
        <v>481</v>
      </c>
      <c r="D172" s="10" t="s">
        <v>529</v>
      </c>
      <c r="E172" s="10" t="s">
        <v>528</v>
      </c>
      <c r="F172" s="10">
        <v>20</v>
      </c>
    </row>
    <row r="173" spans="2:6">
      <c r="B173" s="10"/>
      <c r="C173" s="10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89A39-E1A3-4AD4-A971-8A0AB989E80E}">
  <dimension ref="B2:I76"/>
  <sheetViews>
    <sheetView showGridLines="0" topLeftCell="A52" workbookViewId="0">
      <selection activeCell="F44" sqref="F44"/>
    </sheetView>
  </sheetViews>
  <sheetFormatPr baseColWidth="10" defaultColWidth="11.42578125" defaultRowHeight="15"/>
  <cols>
    <col min="1" max="1" width="11.42578125" style="7"/>
    <col min="2" max="2" width="12.85546875" style="7" bestFit="1" customWidth="1"/>
    <col min="3" max="3" width="14.42578125" style="7" bestFit="1" customWidth="1"/>
    <col min="4" max="4" width="24.42578125" style="7" customWidth="1"/>
    <col min="5" max="5" width="31.28515625" style="7" customWidth="1"/>
    <col min="6" max="7" width="11.42578125" style="7"/>
    <col min="8" max="8" width="28.5703125" style="7" customWidth="1"/>
    <col min="9" max="16384" width="11.42578125" style="7"/>
  </cols>
  <sheetData>
    <row r="2" spans="2:9" ht="15" customHeight="1">
      <c r="B2" s="72" t="s">
        <v>534</v>
      </c>
      <c r="C2" s="72" t="s">
        <v>157</v>
      </c>
      <c r="D2" s="72" t="s">
        <v>0</v>
      </c>
      <c r="E2" s="72" t="s">
        <v>1</v>
      </c>
      <c r="F2" s="72" t="s">
        <v>2</v>
      </c>
      <c r="H2" s="100" t="s">
        <v>535</v>
      </c>
      <c r="I2" s="101"/>
    </row>
    <row r="3" spans="2:9" ht="15" customHeight="1">
      <c r="B3" s="10">
        <v>1</v>
      </c>
      <c r="C3" s="10" t="s">
        <v>481</v>
      </c>
      <c r="D3" s="10" t="s">
        <v>49</v>
      </c>
      <c r="E3" s="10" t="s">
        <v>536</v>
      </c>
      <c r="F3" s="102">
        <v>8.6199999999999992</v>
      </c>
      <c r="H3" s="100" t="s">
        <v>255</v>
      </c>
    </row>
    <row r="4" spans="2:9" ht="15" customHeight="1">
      <c r="B4" s="10">
        <v>2</v>
      </c>
      <c r="C4" s="10" t="s">
        <v>481</v>
      </c>
      <c r="D4" s="10" t="s">
        <v>167</v>
      </c>
      <c r="E4" s="10" t="s">
        <v>166</v>
      </c>
      <c r="F4" s="102">
        <v>8.08</v>
      </c>
      <c r="H4" s="100" t="s">
        <v>229</v>
      </c>
    </row>
    <row r="5" spans="2:9" ht="15" customHeight="1">
      <c r="B5" s="10">
        <v>3</v>
      </c>
      <c r="C5" s="10" t="s">
        <v>481</v>
      </c>
      <c r="D5" s="10" t="s">
        <v>482</v>
      </c>
      <c r="E5" s="10" t="s">
        <v>166</v>
      </c>
      <c r="F5" s="10"/>
      <c r="H5" s="100" t="s">
        <v>167</v>
      </c>
    </row>
    <row r="6" spans="2:9" ht="15" customHeight="1">
      <c r="B6" s="10">
        <v>4</v>
      </c>
      <c r="C6" s="10" t="s">
        <v>481</v>
      </c>
      <c r="D6" s="10" t="s">
        <v>483</v>
      </c>
      <c r="E6" s="10" t="s">
        <v>166</v>
      </c>
      <c r="F6" s="10"/>
      <c r="H6" s="100" t="s">
        <v>537</v>
      </c>
    </row>
    <row r="7" spans="2:9" ht="15" customHeight="1">
      <c r="B7" s="10">
        <v>5</v>
      </c>
      <c r="C7" s="10" t="s">
        <v>172</v>
      </c>
      <c r="D7" s="4" t="s">
        <v>171</v>
      </c>
      <c r="E7" s="10" t="s">
        <v>166</v>
      </c>
      <c r="F7" s="114">
        <v>8</v>
      </c>
      <c r="H7" s="100" t="s">
        <v>538</v>
      </c>
    </row>
    <row r="8" spans="2:9" ht="15" customHeight="1">
      <c r="B8" s="10">
        <v>6</v>
      </c>
      <c r="C8" s="10" t="s">
        <v>172</v>
      </c>
      <c r="D8" s="4" t="s">
        <v>236</v>
      </c>
      <c r="E8" s="10" t="s">
        <v>166</v>
      </c>
      <c r="F8" s="102">
        <v>9.4700000000000006</v>
      </c>
      <c r="H8" s="100" t="s">
        <v>501</v>
      </c>
    </row>
    <row r="9" spans="2:9" ht="15" customHeight="1">
      <c r="B9" s="10">
        <v>7</v>
      </c>
      <c r="C9" s="10" t="s">
        <v>172</v>
      </c>
      <c r="D9" s="4" t="s">
        <v>539</v>
      </c>
      <c r="E9" s="10" t="s">
        <v>166</v>
      </c>
      <c r="F9" s="102">
        <v>5.41</v>
      </c>
      <c r="H9" s="100" t="s">
        <v>540</v>
      </c>
    </row>
    <row r="10" spans="2:9" ht="15" customHeight="1">
      <c r="B10" s="10">
        <v>8</v>
      </c>
      <c r="C10" s="10" t="s">
        <v>481</v>
      </c>
      <c r="D10" s="10" t="s">
        <v>484</v>
      </c>
      <c r="E10" s="10" t="s">
        <v>541</v>
      </c>
      <c r="F10" s="102">
        <v>7.59</v>
      </c>
      <c r="H10" s="100" t="s">
        <v>542</v>
      </c>
    </row>
    <row r="11" spans="2:9" ht="15" customHeight="1">
      <c r="B11" s="10">
        <v>9</v>
      </c>
      <c r="C11" s="10" t="s">
        <v>481</v>
      </c>
      <c r="D11" s="10" t="s">
        <v>486</v>
      </c>
      <c r="E11" s="10" t="s">
        <v>205</v>
      </c>
      <c r="F11" s="10"/>
      <c r="H11" s="100" t="s">
        <v>543</v>
      </c>
    </row>
    <row r="12" spans="2:9" ht="15" customHeight="1">
      <c r="B12" s="10">
        <v>75</v>
      </c>
      <c r="C12" s="10" t="s">
        <v>481</v>
      </c>
      <c r="D12" s="102" t="s">
        <v>544</v>
      </c>
      <c r="E12" s="10" t="s">
        <v>205</v>
      </c>
      <c r="F12" s="102">
        <v>12.51</v>
      </c>
      <c r="H12" s="100" t="s">
        <v>25</v>
      </c>
    </row>
    <row r="13" spans="2:9" ht="15" customHeight="1">
      <c r="B13" s="10">
        <v>10</v>
      </c>
      <c r="C13" s="10" t="s">
        <v>481</v>
      </c>
      <c r="D13" s="4" t="s">
        <v>196</v>
      </c>
      <c r="E13" s="10"/>
      <c r="F13" s="114">
        <v>4.5</v>
      </c>
      <c r="H13" s="100" t="s">
        <v>26</v>
      </c>
    </row>
    <row r="14" spans="2:9" ht="15" customHeight="1">
      <c r="B14" s="10">
        <v>11</v>
      </c>
      <c r="C14" s="10" t="s">
        <v>481</v>
      </c>
      <c r="D14" s="10" t="s">
        <v>488</v>
      </c>
      <c r="E14" s="10" t="s">
        <v>489</v>
      </c>
      <c r="F14" s="10"/>
      <c r="H14" s="100" t="s">
        <v>30</v>
      </c>
    </row>
    <row r="15" spans="2:9" ht="15" customHeight="1">
      <c r="B15" s="10">
        <v>12</v>
      </c>
      <c r="C15" s="10" t="s">
        <v>481</v>
      </c>
      <c r="D15" s="10" t="s">
        <v>490</v>
      </c>
      <c r="E15" s="10" t="s">
        <v>489</v>
      </c>
      <c r="F15" s="10"/>
      <c r="H15" s="100" t="s">
        <v>13</v>
      </c>
    </row>
    <row r="16" spans="2:9" ht="15" customHeight="1">
      <c r="B16" s="10">
        <v>13</v>
      </c>
      <c r="C16" s="10" t="s">
        <v>481</v>
      </c>
      <c r="D16" s="10" t="s">
        <v>491</v>
      </c>
      <c r="E16" s="10" t="s">
        <v>489</v>
      </c>
      <c r="F16" s="10"/>
      <c r="H16" s="100" t="s">
        <v>545</v>
      </c>
    </row>
    <row r="17" spans="2:8" ht="15" customHeight="1">
      <c r="B17" s="10">
        <v>14</v>
      </c>
      <c r="C17" s="10" t="s">
        <v>481</v>
      </c>
      <c r="D17" s="10" t="s">
        <v>13</v>
      </c>
      <c r="E17" s="73" t="str">
        <f>VLOOKUP(D17,[70]Tratamientos!$H:$J,3,0)</f>
        <v>DISOLVENTE DE PARAFINAS Y ASFALTENOS</v>
      </c>
      <c r="F17" s="102">
        <v>6.08</v>
      </c>
      <c r="H17" s="100" t="s">
        <v>49</v>
      </c>
    </row>
    <row r="18" spans="2:8" ht="15" customHeight="1">
      <c r="B18" s="10">
        <v>15</v>
      </c>
      <c r="C18" s="10" t="s">
        <v>481</v>
      </c>
      <c r="D18" s="4" t="s">
        <v>546</v>
      </c>
      <c r="E18" s="10" t="s">
        <v>494</v>
      </c>
      <c r="F18" s="102">
        <v>4.12</v>
      </c>
      <c r="H18" s="100" t="s">
        <v>52</v>
      </c>
    </row>
    <row r="19" spans="2:8" ht="15" customHeight="1">
      <c r="B19" s="10">
        <v>16</v>
      </c>
      <c r="C19" s="10" t="s">
        <v>481</v>
      </c>
      <c r="D19" s="10" t="s">
        <v>493</v>
      </c>
      <c r="E19" s="10" t="s">
        <v>494</v>
      </c>
      <c r="F19" s="102">
        <v>2.93</v>
      </c>
      <c r="H19" s="100" t="s">
        <v>547</v>
      </c>
    </row>
    <row r="20" spans="2:8" ht="15" customHeight="1">
      <c r="B20" s="10">
        <v>17</v>
      </c>
      <c r="C20" s="10" t="s">
        <v>481</v>
      </c>
      <c r="D20" s="10" t="s">
        <v>51</v>
      </c>
      <c r="E20" s="10" t="s">
        <v>494</v>
      </c>
      <c r="F20" s="102">
        <v>1.77</v>
      </c>
      <c r="H20" s="100" t="s">
        <v>44</v>
      </c>
    </row>
    <row r="21" spans="2:8" ht="15" customHeight="1">
      <c r="B21" s="10">
        <v>18</v>
      </c>
      <c r="C21" s="10" t="s">
        <v>481</v>
      </c>
      <c r="D21" s="10" t="s">
        <v>495</v>
      </c>
      <c r="E21" s="10" t="s">
        <v>494</v>
      </c>
      <c r="F21" s="10"/>
      <c r="H21" s="100" t="s">
        <v>548</v>
      </c>
    </row>
    <row r="22" spans="2:8" ht="15" customHeight="1">
      <c r="B22" s="10">
        <v>19</v>
      </c>
      <c r="C22" s="10" t="s">
        <v>481</v>
      </c>
      <c r="D22" s="10" t="s">
        <v>255</v>
      </c>
      <c r="E22" s="10" t="s">
        <v>549</v>
      </c>
      <c r="F22" s="102">
        <v>4.37</v>
      </c>
      <c r="H22" s="100" t="s">
        <v>550</v>
      </c>
    </row>
    <row r="23" spans="2:8" ht="15" customHeight="1">
      <c r="B23" s="10">
        <v>20</v>
      </c>
      <c r="C23" s="10" t="s">
        <v>481</v>
      </c>
      <c r="D23" s="4" t="s">
        <v>257</v>
      </c>
      <c r="E23" s="10" t="s">
        <v>508</v>
      </c>
      <c r="F23" s="102">
        <v>8.7899999999999991</v>
      </c>
      <c r="H23" s="100" t="s">
        <v>19</v>
      </c>
    </row>
    <row r="24" spans="2:8" ht="15" customHeight="1">
      <c r="B24" s="10">
        <v>21</v>
      </c>
      <c r="C24" s="10" t="s">
        <v>481</v>
      </c>
      <c r="D24" s="10" t="s">
        <v>40</v>
      </c>
      <c r="E24" s="10" t="s">
        <v>508</v>
      </c>
      <c r="F24" s="10"/>
      <c r="H24" s="100" t="s">
        <v>32</v>
      </c>
    </row>
    <row r="25" spans="2:8" ht="15" customHeight="1">
      <c r="B25" s="10">
        <v>22</v>
      </c>
      <c r="C25" s="10" t="s">
        <v>481</v>
      </c>
      <c r="D25" s="10" t="s">
        <v>497</v>
      </c>
      <c r="E25" s="10" t="s">
        <v>551</v>
      </c>
      <c r="F25" s="10"/>
      <c r="H25" s="100" t="s">
        <v>552</v>
      </c>
    </row>
    <row r="26" spans="2:8" ht="15" customHeight="1">
      <c r="B26" s="10">
        <v>23</v>
      </c>
      <c r="C26" s="10" t="s">
        <v>481</v>
      </c>
      <c r="D26" s="10" t="s">
        <v>499</v>
      </c>
      <c r="E26" s="10"/>
      <c r="F26" s="10"/>
      <c r="H26" s="100" t="s">
        <v>292</v>
      </c>
    </row>
    <row r="27" spans="2:8" ht="15" customHeight="1">
      <c r="B27" s="10">
        <v>24</v>
      </c>
      <c r="C27" s="10" t="s">
        <v>481</v>
      </c>
      <c r="D27" s="10" t="s">
        <v>511</v>
      </c>
      <c r="E27" s="10"/>
      <c r="F27" s="10"/>
      <c r="H27" s="100" t="s">
        <v>553</v>
      </c>
    </row>
    <row r="28" spans="2:8" ht="15" customHeight="1">
      <c r="B28" s="10">
        <v>25</v>
      </c>
      <c r="C28" s="10" t="s">
        <v>481</v>
      </c>
      <c r="D28" s="10" t="s">
        <v>500</v>
      </c>
      <c r="E28" s="10"/>
      <c r="F28" s="10"/>
      <c r="H28" s="100" t="s">
        <v>554</v>
      </c>
    </row>
    <row r="29" spans="2:8" ht="15" customHeight="1">
      <c r="B29" s="10">
        <v>26</v>
      </c>
      <c r="C29" s="10" t="s">
        <v>481</v>
      </c>
      <c r="D29" s="10" t="s">
        <v>512</v>
      </c>
      <c r="E29" s="10" t="s">
        <v>485</v>
      </c>
      <c r="F29" s="10">
        <v>4.76</v>
      </c>
      <c r="H29" s="100" t="s">
        <v>555</v>
      </c>
    </row>
    <row r="30" spans="2:8" ht="15" customHeight="1">
      <c r="B30" s="10">
        <v>27</v>
      </c>
      <c r="C30" s="10" t="s">
        <v>481</v>
      </c>
      <c r="D30" s="10" t="s">
        <v>43</v>
      </c>
      <c r="E30" s="10" t="s">
        <v>485</v>
      </c>
      <c r="F30" s="102">
        <v>6.19</v>
      </c>
      <c r="H30" s="100" t="s">
        <v>556</v>
      </c>
    </row>
    <row r="31" spans="2:8" ht="15" customHeight="1">
      <c r="B31" s="10">
        <v>28</v>
      </c>
      <c r="C31" s="10" t="s">
        <v>481</v>
      </c>
      <c r="D31" s="4" t="s">
        <v>43</v>
      </c>
      <c r="E31" s="10" t="s">
        <v>557</v>
      </c>
      <c r="F31" s="10"/>
      <c r="H31" s="100" t="s">
        <v>558</v>
      </c>
    </row>
    <row r="32" spans="2:8" ht="15" customHeight="1">
      <c r="B32" s="10">
        <v>74</v>
      </c>
      <c r="C32" s="10" t="s">
        <v>481</v>
      </c>
      <c r="D32" s="102" t="s">
        <v>559</v>
      </c>
      <c r="E32" s="10" t="s">
        <v>549</v>
      </c>
      <c r="F32" s="102">
        <v>6.66</v>
      </c>
    </row>
    <row r="33" spans="2:9" ht="15" customHeight="1">
      <c r="B33" s="10">
        <v>29</v>
      </c>
      <c r="C33" s="10" t="s">
        <v>481</v>
      </c>
      <c r="D33" s="10" t="s">
        <v>44</v>
      </c>
      <c r="E33" s="10" t="s">
        <v>513</v>
      </c>
      <c r="F33" s="102">
        <v>10.11</v>
      </c>
    </row>
    <row r="34" spans="2:9" ht="15" customHeight="1">
      <c r="B34" s="10">
        <v>30</v>
      </c>
      <c r="C34" s="10" t="s">
        <v>481</v>
      </c>
      <c r="D34" s="10" t="s">
        <v>52</v>
      </c>
      <c r="E34" s="10" t="s">
        <v>489</v>
      </c>
      <c r="F34" s="102">
        <v>5.12</v>
      </c>
    </row>
    <row r="35" spans="2:9" ht="15" customHeight="1">
      <c r="B35" s="10">
        <v>31</v>
      </c>
      <c r="C35" s="10" t="s">
        <v>481</v>
      </c>
      <c r="D35" s="4" t="s">
        <v>276</v>
      </c>
      <c r="E35" s="10"/>
      <c r="F35" s="10">
        <v>4.13</v>
      </c>
    </row>
    <row r="36" spans="2:9" ht="15" customHeight="1">
      <c r="B36" s="10">
        <v>32</v>
      </c>
      <c r="C36" s="10" t="s">
        <v>481</v>
      </c>
      <c r="D36" s="4" t="s">
        <v>273</v>
      </c>
      <c r="E36" s="10"/>
      <c r="F36" s="102">
        <v>9.15</v>
      </c>
    </row>
    <row r="37" spans="2:9" ht="15" customHeight="1">
      <c r="B37" s="10">
        <v>33</v>
      </c>
      <c r="C37" s="10" t="s">
        <v>481</v>
      </c>
      <c r="D37" s="10" t="s">
        <v>514</v>
      </c>
      <c r="E37" s="10" t="s">
        <v>205</v>
      </c>
      <c r="F37" s="10"/>
    </row>
    <row r="38" spans="2:9" ht="15" customHeight="1">
      <c r="B38" s="10">
        <v>34</v>
      </c>
      <c r="C38" s="10" t="s">
        <v>481</v>
      </c>
      <c r="D38" s="10" t="s">
        <v>19</v>
      </c>
      <c r="E38" s="10" t="s">
        <v>551</v>
      </c>
      <c r="F38" s="102">
        <v>6.67</v>
      </c>
    </row>
    <row r="39" spans="2:9" ht="15" customHeight="1">
      <c r="B39" s="10">
        <v>35</v>
      </c>
      <c r="C39" s="10" t="s">
        <v>481</v>
      </c>
      <c r="D39" s="10" t="s">
        <v>281</v>
      </c>
      <c r="E39" s="10"/>
      <c r="F39" s="10">
        <v>5.13</v>
      </c>
    </row>
    <row r="40" spans="2:9" ht="15" customHeight="1">
      <c r="B40" s="10">
        <v>36</v>
      </c>
      <c r="C40" s="10" t="s">
        <v>481</v>
      </c>
      <c r="D40" s="10" t="s">
        <v>32</v>
      </c>
      <c r="E40" s="10" t="s">
        <v>205</v>
      </c>
      <c r="F40" s="102">
        <v>7.84</v>
      </c>
    </row>
    <row r="41" spans="2:9" ht="15" customHeight="1">
      <c r="B41" s="10">
        <v>37</v>
      </c>
      <c r="C41" s="10" t="s">
        <v>481</v>
      </c>
      <c r="D41" s="10" t="s">
        <v>57</v>
      </c>
      <c r="E41" s="10" t="s">
        <v>560</v>
      </c>
      <c r="F41" s="114">
        <v>10</v>
      </c>
    </row>
    <row r="42" spans="2:9" ht="15" customHeight="1">
      <c r="B42" s="10">
        <v>38</v>
      </c>
      <c r="C42" s="10" t="s">
        <v>481</v>
      </c>
      <c r="D42" s="4" t="s">
        <v>292</v>
      </c>
      <c r="E42" s="10" t="s">
        <v>560</v>
      </c>
      <c r="F42" s="102">
        <v>11.22</v>
      </c>
    </row>
    <row r="43" spans="2:9" ht="15" customHeight="1">
      <c r="B43" s="10">
        <v>39</v>
      </c>
      <c r="C43" s="10" t="s">
        <v>481</v>
      </c>
      <c r="D43" s="10" t="s">
        <v>192</v>
      </c>
      <c r="E43" s="10"/>
      <c r="F43" s="114">
        <v>4.5</v>
      </c>
    </row>
    <row r="44" spans="2:9" ht="15" customHeight="1">
      <c r="B44" s="10">
        <v>40</v>
      </c>
      <c r="C44" s="10" t="s">
        <v>481</v>
      </c>
      <c r="D44" s="10" t="s">
        <v>517</v>
      </c>
      <c r="E44" s="10" t="s">
        <v>541</v>
      </c>
      <c r="F44" s="10">
        <v>5.7</v>
      </c>
    </row>
    <row r="45" spans="2:9" ht="15" customHeight="1">
      <c r="B45" s="10">
        <v>41</v>
      </c>
      <c r="C45" s="10" t="s">
        <v>481</v>
      </c>
      <c r="D45" s="10" t="s">
        <v>519</v>
      </c>
      <c r="E45" s="10" t="s">
        <v>541</v>
      </c>
      <c r="F45" s="114">
        <v>4.71</v>
      </c>
    </row>
    <row r="46" spans="2:9" ht="15" customHeight="1">
      <c r="B46" s="10">
        <v>42</v>
      </c>
      <c r="C46" s="10" t="s">
        <v>481</v>
      </c>
      <c r="D46" s="114" t="s">
        <v>186</v>
      </c>
      <c r="E46" s="10" t="s">
        <v>541</v>
      </c>
      <c r="F46" s="102">
        <v>4.71</v>
      </c>
      <c r="H46" s="100" t="s">
        <v>561</v>
      </c>
    </row>
    <row r="47" spans="2:9" ht="15" customHeight="1">
      <c r="B47" s="10">
        <v>43</v>
      </c>
      <c r="C47" s="10" t="s">
        <v>481</v>
      </c>
      <c r="D47" s="114" t="s">
        <v>520</v>
      </c>
      <c r="E47" s="10" t="s">
        <v>541</v>
      </c>
      <c r="F47" s="102">
        <v>5.49</v>
      </c>
      <c r="H47" s="100"/>
      <c r="I47" s="100"/>
    </row>
    <row r="48" spans="2:9" ht="15" customHeight="1">
      <c r="B48" s="10">
        <v>44</v>
      </c>
      <c r="C48" s="10" t="s">
        <v>481</v>
      </c>
      <c r="D48" s="115" t="s">
        <v>562</v>
      </c>
      <c r="E48" s="10" t="s">
        <v>541</v>
      </c>
      <c r="F48" s="102">
        <v>7.58</v>
      </c>
      <c r="H48" s="100"/>
      <c r="I48" s="100"/>
    </row>
    <row r="49" spans="2:9" ht="15" customHeight="1">
      <c r="B49" s="10">
        <v>45</v>
      </c>
      <c r="C49" s="10" t="s">
        <v>481</v>
      </c>
      <c r="D49" s="115" t="s">
        <v>563</v>
      </c>
      <c r="E49" s="10" t="s">
        <v>541</v>
      </c>
      <c r="F49" s="10">
        <v>3.5</v>
      </c>
      <c r="H49" s="100"/>
      <c r="I49" s="100"/>
    </row>
    <row r="50" spans="2:9" ht="15" customHeight="1">
      <c r="B50" s="10">
        <v>46</v>
      </c>
      <c r="C50" s="10" t="s">
        <v>481</v>
      </c>
      <c r="D50" s="10" t="s">
        <v>521</v>
      </c>
      <c r="E50" s="10" t="s">
        <v>541</v>
      </c>
      <c r="F50" s="114">
        <v>5.5</v>
      </c>
      <c r="H50" s="100"/>
      <c r="I50" s="100"/>
    </row>
    <row r="51" spans="2:9" ht="15" customHeight="1">
      <c r="B51" s="10">
        <v>47</v>
      </c>
      <c r="C51" s="10" t="s">
        <v>481</v>
      </c>
      <c r="D51" s="10" t="s">
        <v>522</v>
      </c>
      <c r="E51" s="10" t="s">
        <v>541</v>
      </c>
      <c r="F51" s="10">
        <v>5.7</v>
      </c>
      <c r="H51" s="100"/>
      <c r="I51" s="100"/>
    </row>
    <row r="52" spans="2:9" ht="15" customHeight="1">
      <c r="B52" s="10">
        <v>48</v>
      </c>
      <c r="C52" s="10" t="s">
        <v>481</v>
      </c>
      <c r="D52" s="10" t="s">
        <v>523</v>
      </c>
      <c r="E52" s="10" t="s">
        <v>541</v>
      </c>
      <c r="F52" s="114">
        <v>4.5</v>
      </c>
      <c r="H52" s="100"/>
      <c r="I52" s="100"/>
    </row>
    <row r="53" spans="2:9" ht="15" customHeight="1">
      <c r="B53" s="10">
        <v>52</v>
      </c>
      <c r="C53" s="10" t="s">
        <v>481</v>
      </c>
      <c r="D53" s="4" t="s">
        <v>564</v>
      </c>
      <c r="E53" s="10" t="s">
        <v>528</v>
      </c>
      <c r="F53" s="102">
        <v>6.45</v>
      </c>
    </row>
    <row r="54" spans="2:9" ht="15" customHeight="1">
      <c r="B54" s="10">
        <v>53</v>
      </c>
      <c r="C54" s="10" t="s">
        <v>481</v>
      </c>
      <c r="D54" s="4" t="s">
        <v>565</v>
      </c>
      <c r="E54" s="10" t="s">
        <v>528</v>
      </c>
      <c r="F54" s="102">
        <v>6.02</v>
      </c>
    </row>
    <row r="55" spans="2:9" ht="15" customHeight="1">
      <c r="B55" s="10">
        <v>54</v>
      </c>
      <c r="C55" s="10" t="s">
        <v>481</v>
      </c>
      <c r="D55" s="10" t="s">
        <v>501</v>
      </c>
      <c r="E55" s="10" t="s">
        <v>494</v>
      </c>
      <c r="F55" s="102">
        <v>14.56</v>
      </c>
    </row>
    <row r="56" spans="2:9" ht="15" customHeight="1">
      <c r="B56" s="10">
        <v>55</v>
      </c>
      <c r="C56" s="10" t="s">
        <v>172</v>
      </c>
      <c r="D56" s="4" t="s">
        <v>203</v>
      </c>
      <c r="E56" s="10" t="s">
        <v>494</v>
      </c>
      <c r="F56" s="102">
        <v>2.97</v>
      </c>
    </row>
    <row r="57" spans="2:9" ht="15" customHeight="1">
      <c r="B57" s="10">
        <v>73</v>
      </c>
      <c r="C57" s="10" t="s">
        <v>172</v>
      </c>
      <c r="D57" s="10" t="s">
        <v>566</v>
      </c>
      <c r="E57" s="10" t="s">
        <v>205</v>
      </c>
      <c r="F57" s="10">
        <v>4.9400000000000004</v>
      </c>
    </row>
    <row r="58" spans="2:9" ht="15" customHeight="1">
      <c r="B58" s="10">
        <v>56</v>
      </c>
      <c r="C58" s="10" t="s">
        <v>172</v>
      </c>
      <c r="D58" s="4" t="s">
        <v>250</v>
      </c>
      <c r="E58" s="10" t="s">
        <v>205</v>
      </c>
      <c r="F58" s="10">
        <v>5.58</v>
      </c>
    </row>
    <row r="59" spans="2:9" ht="15" customHeight="1">
      <c r="B59" s="10">
        <v>57</v>
      </c>
      <c r="C59" s="10" t="s">
        <v>481</v>
      </c>
      <c r="D59" s="10" t="s">
        <v>526</v>
      </c>
      <c r="E59" s="10" t="s">
        <v>502</v>
      </c>
      <c r="F59" s="10">
        <f>+F60</f>
        <v>2.64</v>
      </c>
    </row>
    <row r="60" spans="2:9" ht="15" customHeight="1">
      <c r="B60" s="10">
        <v>58</v>
      </c>
      <c r="C60" s="10" t="s">
        <v>481</v>
      </c>
      <c r="D60" s="10" t="s">
        <v>229</v>
      </c>
      <c r="E60" s="10" t="s">
        <v>502</v>
      </c>
      <c r="F60" s="102">
        <v>2.64</v>
      </c>
      <c r="G60" s="100"/>
    </row>
    <row r="61" spans="2:9" ht="15" customHeight="1">
      <c r="B61" s="10">
        <v>59</v>
      </c>
      <c r="C61" s="10" t="s">
        <v>481</v>
      </c>
      <c r="D61" s="4" t="s">
        <v>294</v>
      </c>
      <c r="E61" s="10" t="s">
        <v>205</v>
      </c>
      <c r="F61" s="102">
        <v>2.65</v>
      </c>
      <c r="G61" s="100"/>
    </row>
    <row r="62" spans="2:9" ht="15" customHeight="1">
      <c r="B62" s="10">
        <v>60</v>
      </c>
      <c r="C62" s="10" t="s">
        <v>481</v>
      </c>
      <c r="D62" s="10" t="s">
        <v>284</v>
      </c>
      <c r="E62" s="73" t="s">
        <v>205</v>
      </c>
      <c r="F62" s="102">
        <v>3.13</v>
      </c>
    </row>
    <row r="63" spans="2:9" ht="15" customHeight="1">
      <c r="B63" s="10">
        <v>62</v>
      </c>
      <c r="C63" s="10" t="s">
        <v>172</v>
      </c>
      <c r="D63" s="4" t="s">
        <v>567</v>
      </c>
      <c r="E63" s="10" t="s">
        <v>568</v>
      </c>
      <c r="F63" s="10">
        <v>4.78</v>
      </c>
    </row>
    <row r="64" spans="2:9" ht="15" customHeight="1">
      <c r="B64" s="10">
        <v>61</v>
      </c>
      <c r="C64" s="10" t="s">
        <v>172</v>
      </c>
      <c r="D64" s="4" t="s">
        <v>211</v>
      </c>
      <c r="E64" s="10" t="s">
        <v>568</v>
      </c>
      <c r="F64" s="114">
        <v>4.5</v>
      </c>
    </row>
    <row r="65" spans="2:6" ht="15" customHeight="1">
      <c r="B65" s="10">
        <v>63</v>
      </c>
      <c r="C65" s="10" t="s">
        <v>481</v>
      </c>
      <c r="D65" s="10" t="s">
        <v>503</v>
      </c>
      <c r="E65" s="10" t="s">
        <v>569</v>
      </c>
      <c r="F65" s="10"/>
    </row>
    <row r="66" spans="2:6" ht="15" customHeight="1">
      <c r="B66" s="10">
        <v>64</v>
      </c>
      <c r="C66" s="10" t="s">
        <v>481</v>
      </c>
      <c r="D66" s="4" t="s">
        <v>232</v>
      </c>
      <c r="E66" s="10" t="s">
        <v>510</v>
      </c>
      <c r="F66" s="114">
        <v>4.5</v>
      </c>
    </row>
    <row r="67" spans="2:6" ht="15" customHeight="1">
      <c r="B67" s="10">
        <v>72</v>
      </c>
      <c r="C67" s="10" t="s">
        <v>172</v>
      </c>
      <c r="D67" s="10" t="s">
        <v>570</v>
      </c>
      <c r="E67" s="10" t="s">
        <v>541</v>
      </c>
      <c r="F67" s="10">
        <v>6.15</v>
      </c>
    </row>
    <row r="68" spans="2:6" ht="15" customHeight="1">
      <c r="B68" s="10">
        <v>65</v>
      </c>
      <c r="C68" s="10" t="s">
        <v>172</v>
      </c>
      <c r="D68" s="4" t="s">
        <v>181</v>
      </c>
      <c r="E68" s="10" t="s">
        <v>541</v>
      </c>
      <c r="F68" s="114">
        <v>5.5</v>
      </c>
    </row>
    <row r="69" spans="2:6" ht="15" customHeight="1">
      <c r="B69" s="10">
        <v>66</v>
      </c>
      <c r="C69" s="10" t="s">
        <v>172</v>
      </c>
      <c r="D69" s="4" t="s">
        <v>176</v>
      </c>
      <c r="E69" s="10" t="s">
        <v>485</v>
      </c>
      <c r="F69" s="114">
        <v>4.5</v>
      </c>
    </row>
    <row r="70" spans="2:6" ht="15" customHeight="1">
      <c r="B70" s="10">
        <v>67</v>
      </c>
      <c r="C70" s="10" t="s">
        <v>172</v>
      </c>
      <c r="D70" s="4" t="s">
        <v>240</v>
      </c>
      <c r="E70" s="10" t="s">
        <v>541</v>
      </c>
      <c r="F70" s="10">
        <v>6.46</v>
      </c>
    </row>
    <row r="71" spans="2:6" ht="15" customHeight="1">
      <c r="B71" s="10">
        <v>68</v>
      </c>
      <c r="C71" s="10" t="s">
        <v>172</v>
      </c>
      <c r="D71" s="4" t="s">
        <v>207</v>
      </c>
      <c r="E71" s="10" t="s">
        <v>205</v>
      </c>
      <c r="F71" s="10">
        <v>5.31</v>
      </c>
    </row>
    <row r="72" spans="2:6" ht="15" customHeight="1">
      <c r="B72" s="10">
        <v>69</v>
      </c>
      <c r="C72" s="10" t="s">
        <v>481</v>
      </c>
      <c r="D72" s="10" t="s">
        <v>505</v>
      </c>
      <c r="E72" s="10" t="s">
        <v>494</v>
      </c>
      <c r="F72" s="114">
        <v>3.5</v>
      </c>
    </row>
    <row r="73" spans="2:6" ht="15" customHeight="1">
      <c r="B73" s="10">
        <v>70</v>
      </c>
      <c r="C73" s="10" t="s">
        <v>481</v>
      </c>
      <c r="D73" s="10" t="s">
        <v>506</v>
      </c>
      <c r="E73" s="10" t="s">
        <v>571</v>
      </c>
      <c r="F73" s="114">
        <v>4</v>
      </c>
    </row>
    <row r="74" spans="2:6" ht="15" customHeight="1">
      <c r="B74" s="10">
        <v>71</v>
      </c>
      <c r="C74" s="10" t="s">
        <v>481</v>
      </c>
      <c r="D74" s="10" t="s">
        <v>290</v>
      </c>
      <c r="E74" s="10" t="s">
        <v>528</v>
      </c>
      <c r="F74" s="102">
        <v>5.76</v>
      </c>
    </row>
    <row r="75" spans="2:6" ht="15" customHeight="1">
      <c r="B75" s="10"/>
      <c r="C75" s="10"/>
      <c r="D75" s="10" t="s">
        <v>259</v>
      </c>
      <c r="E75" s="10"/>
      <c r="F75" s="10">
        <v>5.44</v>
      </c>
    </row>
    <row r="76" spans="2:6" ht="15" customHeight="1">
      <c r="B76" s="10"/>
      <c r="C76" s="10"/>
      <c r="D76" s="10"/>
      <c r="E76" s="10"/>
      <c r="F76" s="102"/>
    </row>
  </sheetData>
  <autoFilter ref="B2:F76" xr:uid="{8D989A39-E1A3-4AD4-A971-8A0AB989E80E}">
    <sortState xmlns:xlrd2="http://schemas.microsoft.com/office/spreadsheetml/2017/richdata2" ref="B3:F76">
      <sortCondition ref="D2:D76"/>
    </sortState>
  </autoFilter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3CF46-08F9-4649-88DF-E7D7348EC133}">
  <sheetPr filterMode="1"/>
  <dimension ref="B1:R285"/>
  <sheetViews>
    <sheetView showGridLines="0" topLeftCell="A250" workbookViewId="0">
      <selection activeCell="G115" sqref="G115"/>
    </sheetView>
  </sheetViews>
  <sheetFormatPr baseColWidth="10" defaultColWidth="11.42578125" defaultRowHeight="15"/>
  <sheetData>
    <row r="1" spans="2:17" ht="15" customHeight="1"/>
    <row r="2" spans="2:17" ht="45">
      <c r="B2" s="93" t="s">
        <v>572</v>
      </c>
      <c r="C2" s="93" t="s">
        <v>573</v>
      </c>
      <c r="D2" s="93" t="s">
        <v>574</v>
      </c>
      <c r="E2" s="93" t="s">
        <v>575</v>
      </c>
      <c r="F2" s="93" t="s">
        <v>576</v>
      </c>
      <c r="G2" s="93" t="s">
        <v>577</v>
      </c>
      <c r="H2" s="93" t="s">
        <v>578</v>
      </c>
      <c r="I2" s="93" t="s">
        <v>579</v>
      </c>
      <c r="J2" s="93" t="s">
        <v>2</v>
      </c>
      <c r="K2" s="93" t="s">
        <v>580</v>
      </c>
      <c r="L2" s="93" t="s">
        <v>139</v>
      </c>
      <c r="M2" s="93" t="s">
        <v>581</v>
      </c>
      <c r="N2" s="93" t="s">
        <v>582</v>
      </c>
      <c r="O2" s="93" t="s">
        <v>583</v>
      </c>
      <c r="P2" s="93" t="s">
        <v>584</v>
      </c>
      <c r="Q2" s="136"/>
    </row>
    <row r="3" spans="2:17" hidden="1">
      <c r="B3" s="94" t="s">
        <v>585</v>
      </c>
      <c r="C3" s="94">
        <v>976</v>
      </c>
      <c r="D3" s="94" t="s">
        <v>586</v>
      </c>
      <c r="E3" s="94">
        <v>20</v>
      </c>
      <c r="F3" s="94">
        <v>70</v>
      </c>
      <c r="G3" s="94" t="s">
        <v>587</v>
      </c>
      <c r="H3" s="94">
        <v>40001411</v>
      </c>
      <c r="I3" s="94" t="s">
        <v>233</v>
      </c>
      <c r="J3" s="94">
        <v>818</v>
      </c>
      <c r="K3" s="94" t="s">
        <v>587</v>
      </c>
      <c r="L3" s="94">
        <v>1</v>
      </c>
      <c r="M3" s="94" t="s">
        <v>588</v>
      </c>
      <c r="N3" s="94" t="s">
        <v>589</v>
      </c>
      <c r="O3" s="94" t="s">
        <v>590</v>
      </c>
      <c r="P3" s="94">
        <f>+IF(M3="tam",J3/200,J3)</f>
        <v>4.09</v>
      </c>
    </row>
    <row r="4" spans="2:17">
      <c r="B4" s="94" t="s">
        <v>585</v>
      </c>
      <c r="C4" s="94">
        <v>976</v>
      </c>
      <c r="D4" s="94" t="s">
        <v>586</v>
      </c>
      <c r="E4" s="94">
        <v>20</v>
      </c>
      <c r="F4" s="94">
        <v>70</v>
      </c>
      <c r="G4" s="94" t="s">
        <v>587</v>
      </c>
      <c r="H4" s="94">
        <v>40001411</v>
      </c>
      <c r="I4" s="94" t="s">
        <v>591</v>
      </c>
      <c r="J4" s="94">
        <v>4.09</v>
      </c>
      <c r="K4" s="94" t="s">
        <v>587</v>
      </c>
      <c r="L4" s="94">
        <v>1</v>
      </c>
      <c r="M4" s="94" t="s">
        <v>592</v>
      </c>
      <c r="N4" s="94" t="s">
        <v>589</v>
      </c>
      <c r="O4" s="94" t="s">
        <v>590</v>
      </c>
      <c r="P4" s="94">
        <f t="shared" ref="P4:P67" si="0">+IF(M4="tam",J4/200,J4)</f>
        <v>4.09</v>
      </c>
    </row>
    <row r="5" spans="2:17" hidden="1">
      <c r="B5" s="94" t="s">
        <v>585</v>
      </c>
      <c r="C5" s="94">
        <v>976</v>
      </c>
      <c r="D5" s="94" t="s">
        <v>586</v>
      </c>
      <c r="E5" s="94">
        <v>20</v>
      </c>
      <c r="F5" s="94">
        <v>70</v>
      </c>
      <c r="G5" s="94" t="s">
        <v>587</v>
      </c>
      <c r="H5" s="94">
        <v>40001411</v>
      </c>
      <c r="I5" s="94" t="s">
        <v>593</v>
      </c>
      <c r="J5" s="94">
        <v>796</v>
      </c>
      <c r="K5" s="94" t="s">
        <v>587</v>
      </c>
      <c r="L5" s="94">
        <v>1</v>
      </c>
      <c r="M5" s="94" t="s">
        <v>588</v>
      </c>
      <c r="N5" s="94" t="s">
        <v>589</v>
      </c>
      <c r="O5" s="94" t="s">
        <v>590</v>
      </c>
      <c r="P5" s="94">
        <f t="shared" si="0"/>
        <v>3.98</v>
      </c>
    </row>
    <row r="6" spans="2:17">
      <c r="B6" s="94" t="s">
        <v>585</v>
      </c>
      <c r="C6" s="94">
        <v>976</v>
      </c>
      <c r="D6" s="94" t="s">
        <v>586</v>
      </c>
      <c r="E6" s="94">
        <v>20</v>
      </c>
      <c r="F6" s="94">
        <v>70</v>
      </c>
      <c r="G6" s="94" t="s">
        <v>587</v>
      </c>
      <c r="H6" s="94">
        <v>40001411</v>
      </c>
      <c r="I6" s="94" t="s">
        <v>594</v>
      </c>
      <c r="J6" s="94">
        <v>3.98</v>
      </c>
      <c r="K6" s="94" t="s">
        <v>587</v>
      </c>
      <c r="L6" s="94">
        <v>1</v>
      </c>
      <c r="M6" s="94" t="s">
        <v>592</v>
      </c>
      <c r="N6" s="94" t="s">
        <v>589</v>
      </c>
      <c r="O6" s="94" t="s">
        <v>590</v>
      </c>
      <c r="P6" s="94">
        <f t="shared" si="0"/>
        <v>3.98</v>
      </c>
    </row>
    <row r="7" spans="2:17" hidden="1">
      <c r="B7" s="94" t="s">
        <v>585</v>
      </c>
      <c r="C7" s="94">
        <v>976</v>
      </c>
      <c r="D7" s="94" t="s">
        <v>586</v>
      </c>
      <c r="E7" s="94">
        <v>20</v>
      </c>
      <c r="F7" s="94">
        <v>70</v>
      </c>
      <c r="G7" s="94" t="s">
        <v>587</v>
      </c>
      <c r="H7" s="94">
        <v>40001411</v>
      </c>
      <c r="I7" s="94" t="s">
        <v>595</v>
      </c>
      <c r="J7" s="94">
        <v>968</v>
      </c>
      <c r="K7" s="94" t="s">
        <v>587</v>
      </c>
      <c r="L7" s="94">
        <v>1</v>
      </c>
      <c r="M7" s="94" t="s">
        <v>588</v>
      </c>
      <c r="N7" s="94" t="s">
        <v>589</v>
      </c>
      <c r="O7" s="94" t="s">
        <v>590</v>
      </c>
      <c r="P7" s="94">
        <f t="shared" si="0"/>
        <v>4.84</v>
      </c>
    </row>
    <row r="8" spans="2:17">
      <c r="B8" s="94" t="s">
        <v>585</v>
      </c>
      <c r="C8" s="94">
        <v>976</v>
      </c>
      <c r="D8" s="94" t="s">
        <v>586</v>
      </c>
      <c r="E8" s="94">
        <v>20</v>
      </c>
      <c r="F8" s="94">
        <v>70</v>
      </c>
      <c r="G8" s="94" t="s">
        <v>587</v>
      </c>
      <c r="H8" s="94">
        <v>40001411</v>
      </c>
      <c r="I8" s="94" t="s">
        <v>596</v>
      </c>
      <c r="J8" s="94">
        <v>4.84</v>
      </c>
      <c r="K8" s="94" t="s">
        <v>587</v>
      </c>
      <c r="L8" s="94">
        <v>1</v>
      </c>
      <c r="M8" s="94" t="s">
        <v>592</v>
      </c>
      <c r="N8" s="94" t="s">
        <v>589</v>
      </c>
      <c r="O8" s="94" t="s">
        <v>590</v>
      </c>
      <c r="P8" s="94">
        <f t="shared" si="0"/>
        <v>4.84</v>
      </c>
    </row>
    <row r="9" spans="2:17" hidden="1">
      <c r="B9" s="94" t="s">
        <v>585</v>
      </c>
      <c r="C9" s="94">
        <v>976</v>
      </c>
      <c r="D9" s="94" t="s">
        <v>586</v>
      </c>
      <c r="E9" s="94">
        <v>20</v>
      </c>
      <c r="F9" s="94">
        <v>70</v>
      </c>
      <c r="G9" s="94" t="s">
        <v>587</v>
      </c>
      <c r="H9" s="94">
        <v>40001411</v>
      </c>
      <c r="I9" s="94" t="s">
        <v>597</v>
      </c>
      <c r="J9" s="94">
        <v>932</v>
      </c>
      <c r="K9" s="94" t="s">
        <v>587</v>
      </c>
      <c r="L9" s="94">
        <v>1</v>
      </c>
      <c r="M9" s="94" t="s">
        <v>588</v>
      </c>
      <c r="N9" s="94" t="s">
        <v>589</v>
      </c>
      <c r="O9" s="94" t="s">
        <v>590</v>
      </c>
      <c r="P9" s="94">
        <f t="shared" si="0"/>
        <v>4.66</v>
      </c>
    </row>
    <row r="10" spans="2:17">
      <c r="B10" s="94" t="s">
        <v>585</v>
      </c>
      <c r="C10" s="94">
        <v>976</v>
      </c>
      <c r="D10" s="94" t="s">
        <v>586</v>
      </c>
      <c r="E10" s="94">
        <v>20</v>
      </c>
      <c r="F10" s="94">
        <v>70</v>
      </c>
      <c r="G10" s="94" t="s">
        <v>587</v>
      </c>
      <c r="H10" s="94">
        <v>40001411</v>
      </c>
      <c r="I10" s="94" t="s">
        <v>598</v>
      </c>
      <c r="J10" s="94">
        <v>4.66</v>
      </c>
      <c r="K10" s="94" t="s">
        <v>587</v>
      </c>
      <c r="L10" s="94">
        <v>1</v>
      </c>
      <c r="M10" s="94" t="s">
        <v>592</v>
      </c>
      <c r="N10" s="94" t="s">
        <v>589</v>
      </c>
      <c r="O10" s="94" t="s">
        <v>590</v>
      </c>
      <c r="P10" s="94">
        <f t="shared" si="0"/>
        <v>4.66</v>
      </c>
    </row>
    <row r="11" spans="2:17" hidden="1">
      <c r="B11" s="94" t="s">
        <v>585</v>
      </c>
      <c r="C11" s="94">
        <v>976</v>
      </c>
      <c r="D11" s="94" t="s">
        <v>586</v>
      </c>
      <c r="E11" s="94">
        <v>20</v>
      </c>
      <c r="F11" s="94">
        <v>70</v>
      </c>
      <c r="G11" s="94" t="s">
        <v>587</v>
      </c>
      <c r="H11" s="94">
        <v>40001411</v>
      </c>
      <c r="I11" s="94" t="s">
        <v>599</v>
      </c>
      <c r="J11" s="94">
        <v>764</v>
      </c>
      <c r="K11" s="94" t="s">
        <v>587</v>
      </c>
      <c r="L11" s="94">
        <v>1</v>
      </c>
      <c r="M11" s="94" t="s">
        <v>588</v>
      </c>
      <c r="N11" s="94" t="s">
        <v>589</v>
      </c>
      <c r="O11" s="94" t="s">
        <v>590</v>
      </c>
      <c r="P11" s="94">
        <f t="shared" si="0"/>
        <v>3.82</v>
      </c>
    </row>
    <row r="12" spans="2:17">
      <c r="B12" s="94" t="s">
        <v>585</v>
      </c>
      <c r="C12" s="94">
        <v>976</v>
      </c>
      <c r="D12" s="94" t="s">
        <v>586</v>
      </c>
      <c r="E12" s="94">
        <v>20</v>
      </c>
      <c r="F12" s="94">
        <v>70</v>
      </c>
      <c r="G12" s="94" t="s">
        <v>587</v>
      </c>
      <c r="H12" s="94">
        <v>40001411</v>
      </c>
      <c r="I12" s="94" t="s">
        <v>600</v>
      </c>
      <c r="J12" s="94">
        <v>3.82</v>
      </c>
      <c r="K12" s="94" t="s">
        <v>587</v>
      </c>
      <c r="L12" s="94">
        <v>1</v>
      </c>
      <c r="M12" s="94" t="s">
        <v>592</v>
      </c>
      <c r="N12" s="94" t="s">
        <v>589</v>
      </c>
      <c r="O12" s="94" t="s">
        <v>590</v>
      </c>
      <c r="P12" s="94">
        <f t="shared" si="0"/>
        <v>3.82</v>
      </c>
    </row>
    <row r="13" spans="2:17" hidden="1">
      <c r="B13" s="94" t="s">
        <v>585</v>
      </c>
      <c r="C13" s="94">
        <v>976</v>
      </c>
      <c r="D13" s="94" t="s">
        <v>586</v>
      </c>
      <c r="E13" s="94">
        <v>20</v>
      </c>
      <c r="F13" s="94">
        <v>70</v>
      </c>
      <c r="G13" s="94" t="s">
        <v>587</v>
      </c>
      <c r="H13" s="94">
        <v>40001411</v>
      </c>
      <c r="I13" s="94" t="s">
        <v>601</v>
      </c>
      <c r="J13" s="94">
        <v>742</v>
      </c>
      <c r="K13" s="94" t="s">
        <v>587</v>
      </c>
      <c r="L13" s="94">
        <v>1</v>
      </c>
      <c r="M13" s="94" t="s">
        <v>588</v>
      </c>
      <c r="N13" s="94" t="s">
        <v>589</v>
      </c>
      <c r="O13" s="94" t="s">
        <v>590</v>
      </c>
      <c r="P13" s="94">
        <f t="shared" si="0"/>
        <v>3.71</v>
      </c>
    </row>
    <row r="14" spans="2:17">
      <c r="B14" s="94" t="s">
        <v>585</v>
      </c>
      <c r="C14" s="94">
        <v>976</v>
      </c>
      <c r="D14" s="94" t="s">
        <v>586</v>
      </c>
      <c r="E14" s="94">
        <v>20</v>
      </c>
      <c r="F14" s="94">
        <v>70</v>
      </c>
      <c r="G14" s="94" t="s">
        <v>587</v>
      </c>
      <c r="H14" s="94">
        <v>40001411</v>
      </c>
      <c r="I14" s="94" t="s">
        <v>602</v>
      </c>
      <c r="J14" s="94">
        <v>3.71</v>
      </c>
      <c r="K14" s="94" t="s">
        <v>587</v>
      </c>
      <c r="L14" s="94">
        <v>1</v>
      </c>
      <c r="M14" s="94" t="s">
        <v>592</v>
      </c>
      <c r="N14" s="94" t="s">
        <v>589</v>
      </c>
      <c r="O14" s="94" t="s">
        <v>590</v>
      </c>
      <c r="P14" s="94">
        <f t="shared" si="0"/>
        <v>3.71</v>
      </c>
    </row>
    <row r="15" spans="2:17" hidden="1">
      <c r="B15" s="94" t="s">
        <v>585</v>
      </c>
      <c r="C15" s="94">
        <v>976</v>
      </c>
      <c r="D15" s="94" t="s">
        <v>586</v>
      </c>
      <c r="E15" s="94">
        <v>20</v>
      </c>
      <c r="F15" s="94">
        <v>70</v>
      </c>
      <c r="G15" s="94" t="s">
        <v>587</v>
      </c>
      <c r="H15" s="94">
        <v>40001411</v>
      </c>
      <c r="I15" s="94" t="s">
        <v>603</v>
      </c>
      <c r="J15" s="94">
        <v>856</v>
      </c>
      <c r="K15" s="94" t="s">
        <v>587</v>
      </c>
      <c r="L15" s="94">
        <v>1</v>
      </c>
      <c r="M15" s="94" t="s">
        <v>588</v>
      </c>
      <c r="N15" s="94" t="s">
        <v>589</v>
      </c>
      <c r="O15" s="94" t="s">
        <v>590</v>
      </c>
      <c r="P15" s="94">
        <f t="shared" si="0"/>
        <v>4.28</v>
      </c>
    </row>
    <row r="16" spans="2:17">
      <c r="B16" s="94" t="s">
        <v>585</v>
      </c>
      <c r="C16" s="94">
        <v>976</v>
      </c>
      <c r="D16" s="94" t="s">
        <v>586</v>
      </c>
      <c r="E16" s="94">
        <v>20</v>
      </c>
      <c r="F16" s="94">
        <v>70</v>
      </c>
      <c r="G16" s="94" t="s">
        <v>587</v>
      </c>
      <c r="H16" s="94">
        <v>40001411</v>
      </c>
      <c r="I16" s="94" t="s">
        <v>604</v>
      </c>
      <c r="J16" s="94">
        <v>4.28</v>
      </c>
      <c r="K16" s="94" t="s">
        <v>587</v>
      </c>
      <c r="L16" s="94">
        <v>1</v>
      </c>
      <c r="M16" s="94" t="s">
        <v>592</v>
      </c>
      <c r="N16" s="94" t="s">
        <v>589</v>
      </c>
      <c r="O16" s="94" t="s">
        <v>590</v>
      </c>
      <c r="P16" s="94">
        <f t="shared" si="0"/>
        <v>4.28</v>
      </c>
    </row>
    <row r="17" spans="2:16" hidden="1">
      <c r="B17" s="94" t="s">
        <v>585</v>
      </c>
      <c r="C17" s="94">
        <v>976</v>
      </c>
      <c r="D17" s="94" t="s">
        <v>586</v>
      </c>
      <c r="E17" s="94">
        <v>20</v>
      </c>
      <c r="F17" s="94">
        <v>70</v>
      </c>
      <c r="G17" s="94" t="s">
        <v>587</v>
      </c>
      <c r="H17" s="94">
        <v>40001411</v>
      </c>
      <c r="I17" s="94" t="s">
        <v>605</v>
      </c>
      <c r="J17" s="94">
        <v>832</v>
      </c>
      <c r="K17" s="94" t="s">
        <v>587</v>
      </c>
      <c r="L17" s="94">
        <v>1</v>
      </c>
      <c r="M17" s="94" t="s">
        <v>588</v>
      </c>
      <c r="N17" s="94" t="s">
        <v>589</v>
      </c>
      <c r="O17" s="94" t="s">
        <v>590</v>
      </c>
      <c r="P17" s="94">
        <f t="shared" si="0"/>
        <v>4.16</v>
      </c>
    </row>
    <row r="18" spans="2:16">
      <c r="B18" s="94" t="s">
        <v>585</v>
      </c>
      <c r="C18" s="94">
        <v>976</v>
      </c>
      <c r="D18" s="94" t="s">
        <v>586</v>
      </c>
      <c r="E18" s="94">
        <v>20</v>
      </c>
      <c r="F18" s="94">
        <v>70</v>
      </c>
      <c r="G18" s="94" t="s">
        <v>587</v>
      </c>
      <c r="H18" s="94">
        <v>40001411</v>
      </c>
      <c r="I18" s="94" t="s">
        <v>606</v>
      </c>
      <c r="J18" s="94">
        <v>4.16</v>
      </c>
      <c r="K18" s="94" t="s">
        <v>587</v>
      </c>
      <c r="L18" s="94">
        <v>1</v>
      </c>
      <c r="M18" s="94" t="s">
        <v>592</v>
      </c>
      <c r="N18" s="94" t="s">
        <v>589</v>
      </c>
      <c r="O18" s="94" t="s">
        <v>590</v>
      </c>
      <c r="P18" s="94">
        <f t="shared" si="0"/>
        <v>4.16</v>
      </c>
    </row>
    <row r="19" spans="2:16" hidden="1">
      <c r="B19" s="94" t="s">
        <v>585</v>
      </c>
      <c r="C19" s="94">
        <v>976</v>
      </c>
      <c r="D19" s="94" t="s">
        <v>586</v>
      </c>
      <c r="E19" s="94">
        <v>20</v>
      </c>
      <c r="F19" s="94">
        <v>70</v>
      </c>
      <c r="G19" s="94" t="s">
        <v>587</v>
      </c>
      <c r="H19" s="94">
        <v>40001411</v>
      </c>
      <c r="I19" s="94" t="s">
        <v>607</v>
      </c>
      <c r="J19" s="94">
        <v>546</v>
      </c>
      <c r="K19" s="94" t="s">
        <v>587</v>
      </c>
      <c r="L19" s="94">
        <v>1</v>
      </c>
      <c r="M19" s="94" t="s">
        <v>588</v>
      </c>
      <c r="N19" s="94" t="s">
        <v>589</v>
      </c>
      <c r="O19" s="94" t="s">
        <v>590</v>
      </c>
      <c r="P19" s="94">
        <f t="shared" si="0"/>
        <v>2.73</v>
      </c>
    </row>
    <row r="20" spans="2:16">
      <c r="B20" s="94" t="s">
        <v>585</v>
      </c>
      <c r="C20" s="94">
        <v>976</v>
      </c>
      <c r="D20" s="94" t="s">
        <v>586</v>
      </c>
      <c r="E20" s="94">
        <v>20</v>
      </c>
      <c r="F20" s="94">
        <v>70</v>
      </c>
      <c r="G20" s="94" t="s">
        <v>587</v>
      </c>
      <c r="H20" s="94">
        <v>40001411</v>
      </c>
      <c r="I20" s="94" t="s">
        <v>608</v>
      </c>
      <c r="J20" s="94">
        <v>2.73</v>
      </c>
      <c r="K20" s="94" t="s">
        <v>587</v>
      </c>
      <c r="L20" s="94">
        <v>1</v>
      </c>
      <c r="M20" s="94" t="s">
        <v>592</v>
      </c>
      <c r="N20" s="94" t="s">
        <v>589</v>
      </c>
      <c r="O20" s="94" t="s">
        <v>590</v>
      </c>
      <c r="P20" s="94">
        <f t="shared" si="0"/>
        <v>2.73</v>
      </c>
    </row>
    <row r="21" spans="2:16" hidden="1">
      <c r="B21" s="94" t="s">
        <v>585</v>
      </c>
      <c r="C21" s="94">
        <v>976</v>
      </c>
      <c r="D21" s="94" t="s">
        <v>586</v>
      </c>
      <c r="E21" s="94">
        <v>20</v>
      </c>
      <c r="F21" s="94">
        <v>70</v>
      </c>
      <c r="G21" s="94" t="s">
        <v>587</v>
      </c>
      <c r="H21" s="94">
        <v>40001411</v>
      </c>
      <c r="I21" s="94" t="s">
        <v>609</v>
      </c>
      <c r="J21" s="94">
        <v>490</v>
      </c>
      <c r="K21" s="94" t="s">
        <v>587</v>
      </c>
      <c r="L21" s="94">
        <v>1</v>
      </c>
      <c r="M21" s="94" t="s">
        <v>588</v>
      </c>
      <c r="N21" s="94" t="s">
        <v>589</v>
      </c>
      <c r="O21" s="94" t="s">
        <v>590</v>
      </c>
      <c r="P21" s="94">
        <f t="shared" si="0"/>
        <v>2.4500000000000002</v>
      </c>
    </row>
    <row r="22" spans="2:16">
      <c r="B22" s="94" t="s">
        <v>585</v>
      </c>
      <c r="C22" s="94">
        <v>976</v>
      </c>
      <c r="D22" s="94" t="s">
        <v>586</v>
      </c>
      <c r="E22" s="94">
        <v>20</v>
      </c>
      <c r="F22" s="94">
        <v>70</v>
      </c>
      <c r="G22" s="94" t="s">
        <v>587</v>
      </c>
      <c r="H22" s="94">
        <v>40001411</v>
      </c>
      <c r="I22" s="94" t="s">
        <v>610</v>
      </c>
      <c r="J22" s="94">
        <v>2.4500000000000002</v>
      </c>
      <c r="K22" s="94" t="s">
        <v>587</v>
      </c>
      <c r="L22" s="94">
        <v>1</v>
      </c>
      <c r="M22" s="94" t="s">
        <v>592</v>
      </c>
      <c r="N22" s="94" t="s">
        <v>589</v>
      </c>
      <c r="O22" s="94" t="s">
        <v>590</v>
      </c>
      <c r="P22" s="94">
        <f t="shared" si="0"/>
        <v>2.4500000000000002</v>
      </c>
    </row>
    <row r="23" spans="2:16" hidden="1">
      <c r="B23" s="94" t="s">
        <v>585</v>
      </c>
      <c r="C23" s="94">
        <v>976</v>
      </c>
      <c r="D23" s="94" t="s">
        <v>586</v>
      </c>
      <c r="E23" s="94">
        <v>20</v>
      </c>
      <c r="F23" s="94">
        <v>70</v>
      </c>
      <c r="G23" s="94" t="s">
        <v>587</v>
      </c>
      <c r="H23" s="94">
        <v>40001411</v>
      </c>
      <c r="I23" s="94" t="s">
        <v>298</v>
      </c>
      <c r="J23" s="94">
        <v>822</v>
      </c>
      <c r="K23" s="94" t="s">
        <v>587</v>
      </c>
      <c r="L23" s="94">
        <v>1</v>
      </c>
      <c r="M23" s="94" t="s">
        <v>588</v>
      </c>
      <c r="N23" s="94" t="s">
        <v>589</v>
      </c>
      <c r="O23" s="94" t="s">
        <v>590</v>
      </c>
      <c r="P23" s="94">
        <f t="shared" si="0"/>
        <v>4.1100000000000003</v>
      </c>
    </row>
    <row r="24" spans="2:16">
      <c r="B24" s="94" t="s">
        <v>585</v>
      </c>
      <c r="C24" s="94">
        <v>976</v>
      </c>
      <c r="D24" s="94" t="s">
        <v>586</v>
      </c>
      <c r="E24" s="94">
        <v>20</v>
      </c>
      <c r="F24" s="94">
        <v>70</v>
      </c>
      <c r="G24" s="94" t="s">
        <v>587</v>
      </c>
      <c r="H24" s="94">
        <v>40001411</v>
      </c>
      <c r="I24" s="94" t="s">
        <v>230</v>
      </c>
      <c r="J24" s="94">
        <v>4.1100000000000003</v>
      </c>
      <c r="K24" s="94" t="s">
        <v>587</v>
      </c>
      <c r="L24" s="94">
        <v>1</v>
      </c>
      <c r="M24" s="94" t="s">
        <v>592</v>
      </c>
      <c r="N24" s="94" t="s">
        <v>589</v>
      </c>
      <c r="O24" s="94" t="s">
        <v>590</v>
      </c>
      <c r="P24" s="94">
        <f t="shared" si="0"/>
        <v>4.1100000000000003</v>
      </c>
    </row>
    <row r="25" spans="2:16" hidden="1">
      <c r="B25" s="94" t="s">
        <v>585</v>
      </c>
      <c r="C25" s="94">
        <v>976</v>
      </c>
      <c r="D25" s="94" t="s">
        <v>586</v>
      </c>
      <c r="E25" s="94">
        <v>20</v>
      </c>
      <c r="F25" s="94">
        <v>70</v>
      </c>
      <c r="G25" s="94" t="s">
        <v>587</v>
      </c>
      <c r="H25" s="94">
        <v>40001411</v>
      </c>
      <c r="I25" s="94" t="s">
        <v>611</v>
      </c>
      <c r="J25" s="94">
        <v>232</v>
      </c>
      <c r="K25" s="94" t="s">
        <v>587</v>
      </c>
      <c r="L25" s="94">
        <v>1</v>
      </c>
      <c r="M25" s="94" t="s">
        <v>588</v>
      </c>
      <c r="N25" s="94" t="s">
        <v>589</v>
      </c>
      <c r="O25" s="94" t="s">
        <v>590</v>
      </c>
      <c r="P25" s="94">
        <f t="shared" si="0"/>
        <v>1.1599999999999999</v>
      </c>
    </row>
    <row r="26" spans="2:16">
      <c r="B26" s="94" t="s">
        <v>585</v>
      </c>
      <c r="C26" s="94">
        <v>976</v>
      </c>
      <c r="D26" s="94" t="s">
        <v>586</v>
      </c>
      <c r="E26" s="94">
        <v>20</v>
      </c>
      <c r="F26" s="94">
        <v>70</v>
      </c>
      <c r="G26" s="94" t="s">
        <v>587</v>
      </c>
      <c r="H26" s="94">
        <v>40001411</v>
      </c>
      <c r="I26" s="94" t="s">
        <v>612</v>
      </c>
      <c r="J26" s="94">
        <v>1.1599999999999999</v>
      </c>
      <c r="K26" s="94" t="s">
        <v>587</v>
      </c>
      <c r="L26" s="94">
        <v>1</v>
      </c>
      <c r="M26" s="94" t="s">
        <v>592</v>
      </c>
      <c r="N26" s="94" t="s">
        <v>589</v>
      </c>
      <c r="O26" s="94" t="s">
        <v>590</v>
      </c>
      <c r="P26" s="94">
        <f t="shared" si="0"/>
        <v>1.1599999999999999</v>
      </c>
    </row>
    <row r="27" spans="2:16" hidden="1">
      <c r="B27" s="94" t="s">
        <v>585</v>
      </c>
      <c r="C27" s="94">
        <v>976</v>
      </c>
      <c r="D27" s="94" t="s">
        <v>586</v>
      </c>
      <c r="E27" s="94">
        <v>20</v>
      </c>
      <c r="F27" s="94">
        <v>70</v>
      </c>
      <c r="G27" s="94" t="s">
        <v>587</v>
      </c>
      <c r="H27" s="94">
        <v>40001411</v>
      </c>
      <c r="I27" s="94" t="s">
        <v>613</v>
      </c>
      <c r="J27" s="94">
        <v>606</v>
      </c>
      <c r="K27" s="94" t="s">
        <v>587</v>
      </c>
      <c r="L27" s="94">
        <v>1</v>
      </c>
      <c r="M27" s="94" t="s">
        <v>588</v>
      </c>
      <c r="N27" s="94" t="s">
        <v>589</v>
      </c>
      <c r="O27" s="94" t="s">
        <v>590</v>
      </c>
      <c r="P27" s="94">
        <f t="shared" si="0"/>
        <v>3.03</v>
      </c>
    </row>
    <row r="28" spans="2:16">
      <c r="B28" s="94" t="s">
        <v>585</v>
      </c>
      <c r="C28" s="94">
        <v>976</v>
      </c>
      <c r="D28" s="94" t="s">
        <v>586</v>
      </c>
      <c r="E28" s="94">
        <v>20</v>
      </c>
      <c r="F28" s="94">
        <v>70</v>
      </c>
      <c r="G28" s="94" t="s">
        <v>587</v>
      </c>
      <c r="H28" s="94">
        <v>40001411</v>
      </c>
      <c r="I28" s="94" t="s">
        <v>614</v>
      </c>
      <c r="J28" s="94">
        <v>3.03</v>
      </c>
      <c r="K28" s="94" t="s">
        <v>587</v>
      </c>
      <c r="L28" s="94">
        <v>1</v>
      </c>
      <c r="M28" s="94" t="s">
        <v>592</v>
      </c>
      <c r="N28" s="94" t="s">
        <v>589</v>
      </c>
      <c r="O28" s="94" t="s">
        <v>590</v>
      </c>
      <c r="P28" s="94">
        <f t="shared" si="0"/>
        <v>3.03</v>
      </c>
    </row>
    <row r="29" spans="2:16" hidden="1">
      <c r="B29" s="94" t="s">
        <v>585</v>
      </c>
      <c r="C29" s="94">
        <v>976</v>
      </c>
      <c r="D29" s="94" t="s">
        <v>586</v>
      </c>
      <c r="E29" s="94">
        <v>20</v>
      </c>
      <c r="F29" s="94">
        <v>70</v>
      </c>
      <c r="G29" s="94" t="s">
        <v>587</v>
      </c>
      <c r="H29" s="94">
        <v>40001411</v>
      </c>
      <c r="I29" s="94" t="s">
        <v>216</v>
      </c>
      <c r="J29" s="94">
        <v>754</v>
      </c>
      <c r="K29" s="94" t="s">
        <v>587</v>
      </c>
      <c r="L29" s="94">
        <v>1</v>
      </c>
      <c r="M29" s="94" t="s">
        <v>588</v>
      </c>
      <c r="N29" s="94" t="s">
        <v>589</v>
      </c>
      <c r="O29" s="94" t="s">
        <v>590</v>
      </c>
      <c r="P29" s="94">
        <f t="shared" si="0"/>
        <v>3.77</v>
      </c>
    </row>
    <row r="30" spans="2:16">
      <c r="B30" s="94" t="s">
        <v>585</v>
      </c>
      <c r="C30" s="94">
        <v>976</v>
      </c>
      <c r="D30" s="94" t="s">
        <v>586</v>
      </c>
      <c r="E30" s="94">
        <v>20</v>
      </c>
      <c r="F30" s="94">
        <v>70</v>
      </c>
      <c r="G30" s="94" t="s">
        <v>587</v>
      </c>
      <c r="H30" s="94">
        <v>40001411</v>
      </c>
      <c r="I30" s="94" t="s">
        <v>615</v>
      </c>
      <c r="J30" s="94">
        <v>3.77</v>
      </c>
      <c r="K30" s="94" t="s">
        <v>587</v>
      </c>
      <c r="L30" s="94">
        <v>1</v>
      </c>
      <c r="M30" s="94" t="s">
        <v>592</v>
      </c>
      <c r="N30" s="94" t="s">
        <v>589</v>
      </c>
      <c r="O30" s="94" t="s">
        <v>590</v>
      </c>
      <c r="P30" s="94">
        <f t="shared" si="0"/>
        <v>3.77</v>
      </c>
    </row>
    <row r="31" spans="2:16" hidden="1">
      <c r="B31" s="94" t="s">
        <v>585</v>
      </c>
      <c r="C31" s="94">
        <v>976</v>
      </c>
      <c r="D31" s="94" t="s">
        <v>586</v>
      </c>
      <c r="E31" s="94">
        <v>20</v>
      </c>
      <c r="F31" s="94">
        <v>70</v>
      </c>
      <c r="G31" s="94" t="s">
        <v>587</v>
      </c>
      <c r="H31" s="94">
        <v>40001411</v>
      </c>
      <c r="I31" s="94" t="s">
        <v>616</v>
      </c>
      <c r="J31" s="94">
        <v>734</v>
      </c>
      <c r="K31" s="94" t="s">
        <v>587</v>
      </c>
      <c r="L31" s="94">
        <v>1</v>
      </c>
      <c r="M31" s="94" t="s">
        <v>588</v>
      </c>
      <c r="N31" s="94" t="s">
        <v>589</v>
      </c>
      <c r="O31" s="94" t="s">
        <v>590</v>
      </c>
      <c r="P31" s="94">
        <f t="shared" si="0"/>
        <v>3.67</v>
      </c>
    </row>
    <row r="32" spans="2:16">
      <c r="B32" s="94" t="s">
        <v>585</v>
      </c>
      <c r="C32" s="94">
        <v>976</v>
      </c>
      <c r="D32" s="94" t="s">
        <v>586</v>
      </c>
      <c r="E32" s="94">
        <v>20</v>
      </c>
      <c r="F32" s="94">
        <v>70</v>
      </c>
      <c r="G32" s="94" t="s">
        <v>587</v>
      </c>
      <c r="H32" s="94">
        <v>40001411</v>
      </c>
      <c r="I32" s="94" t="s">
        <v>617</v>
      </c>
      <c r="J32" s="94">
        <v>3.67</v>
      </c>
      <c r="K32" s="94" t="s">
        <v>587</v>
      </c>
      <c r="L32" s="94">
        <v>1</v>
      </c>
      <c r="M32" s="94" t="s">
        <v>592</v>
      </c>
      <c r="N32" s="94" t="s">
        <v>589</v>
      </c>
      <c r="O32" s="94" t="s">
        <v>590</v>
      </c>
      <c r="P32" s="94">
        <f t="shared" si="0"/>
        <v>3.67</v>
      </c>
    </row>
    <row r="33" spans="2:16" hidden="1">
      <c r="B33" s="94" t="s">
        <v>585</v>
      </c>
      <c r="C33" s="94">
        <v>976</v>
      </c>
      <c r="D33" s="94" t="s">
        <v>586</v>
      </c>
      <c r="E33" s="94">
        <v>20</v>
      </c>
      <c r="F33" s="94">
        <v>70</v>
      </c>
      <c r="G33" s="94" t="s">
        <v>587</v>
      </c>
      <c r="H33" s="94">
        <v>40001411</v>
      </c>
      <c r="I33" s="94" t="s">
        <v>169</v>
      </c>
      <c r="J33" s="94">
        <v>944</v>
      </c>
      <c r="K33" s="94" t="s">
        <v>587</v>
      </c>
      <c r="L33" s="94">
        <v>1</v>
      </c>
      <c r="M33" s="94" t="s">
        <v>588</v>
      </c>
      <c r="N33" s="94" t="s">
        <v>589</v>
      </c>
      <c r="O33" s="94" t="s">
        <v>590</v>
      </c>
      <c r="P33" s="94">
        <f t="shared" si="0"/>
        <v>4.72</v>
      </c>
    </row>
    <row r="34" spans="2:16">
      <c r="B34" s="94" t="s">
        <v>585</v>
      </c>
      <c r="C34" s="94">
        <v>976</v>
      </c>
      <c r="D34" s="94" t="s">
        <v>586</v>
      </c>
      <c r="E34" s="94">
        <v>20</v>
      </c>
      <c r="F34" s="94">
        <v>70</v>
      </c>
      <c r="G34" s="94" t="s">
        <v>587</v>
      </c>
      <c r="H34" s="94">
        <v>40001411</v>
      </c>
      <c r="I34" s="94" t="s">
        <v>618</v>
      </c>
      <c r="J34" s="94">
        <v>4.72</v>
      </c>
      <c r="K34" s="94" t="s">
        <v>587</v>
      </c>
      <c r="L34" s="94">
        <v>1</v>
      </c>
      <c r="M34" s="94" t="s">
        <v>592</v>
      </c>
      <c r="N34" s="94" t="s">
        <v>589</v>
      </c>
      <c r="O34" s="94" t="s">
        <v>590</v>
      </c>
      <c r="P34" s="94">
        <f t="shared" si="0"/>
        <v>4.72</v>
      </c>
    </row>
    <row r="35" spans="2:16" hidden="1">
      <c r="B35" s="94" t="s">
        <v>585</v>
      </c>
      <c r="C35" s="94">
        <v>976</v>
      </c>
      <c r="D35" s="94" t="s">
        <v>586</v>
      </c>
      <c r="E35" s="94">
        <v>20</v>
      </c>
      <c r="F35" s="94">
        <v>70</v>
      </c>
      <c r="G35" s="94" t="s">
        <v>587</v>
      </c>
      <c r="H35" s="94">
        <v>40001411</v>
      </c>
      <c r="I35" s="94" t="s">
        <v>619</v>
      </c>
      <c r="J35" s="94">
        <v>918</v>
      </c>
      <c r="K35" s="94" t="s">
        <v>587</v>
      </c>
      <c r="L35" s="94">
        <v>1</v>
      </c>
      <c r="M35" s="94" t="s">
        <v>588</v>
      </c>
      <c r="N35" s="94" t="s">
        <v>589</v>
      </c>
      <c r="O35" s="94" t="s">
        <v>590</v>
      </c>
      <c r="P35" s="94">
        <f t="shared" si="0"/>
        <v>4.59</v>
      </c>
    </row>
    <row r="36" spans="2:16">
      <c r="B36" s="94" t="s">
        <v>585</v>
      </c>
      <c r="C36" s="94">
        <v>976</v>
      </c>
      <c r="D36" s="94" t="s">
        <v>586</v>
      </c>
      <c r="E36" s="94">
        <v>20</v>
      </c>
      <c r="F36" s="94">
        <v>70</v>
      </c>
      <c r="G36" s="94" t="s">
        <v>587</v>
      </c>
      <c r="H36" s="94">
        <v>40001411</v>
      </c>
      <c r="I36" s="94" t="s">
        <v>620</v>
      </c>
      <c r="J36" s="94">
        <v>4.59</v>
      </c>
      <c r="K36" s="94" t="s">
        <v>587</v>
      </c>
      <c r="L36" s="94">
        <v>1</v>
      </c>
      <c r="M36" s="94" t="s">
        <v>592</v>
      </c>
      <c r="N36" s="94" t="s">
        <v>589</v>
      </c>
      <c r="O36" s="94" t="s">
        <v>590</v>
      </c>
      <c r="P36" s="94">
        <f t="shared" si="0"/>
        <v>4.59</v>
      </c>
    </row>
    <row r="37" spans="2:16" hidden="1">
      <c r="B37" s="94" t="s">
        <v>585</v>
      </c>
      <c r="C37" s="94">
        <v>976</v>
      </c>
      <c r="D37" s="94" t="s">
        <v>586</v>
      </c>
      <c r="E37" s="94">
        <v>20</v>
      </c>
      <c r="F37" s="94">
        <v>70</v>
      </c>
      <c r="G37" s="94" t="s">
        <v>587</v>
      </c>
      <c r="H37" s="94">
        <v>40001411</v>
      </c>
      <c r="I37" s="94" t="s">
        <v>170</v>
      </c>
      <c r="J37" s="94">
        <v>778</v>
      </c>
      <c r="K37" s="94" t="s">
        <v>587</v>
      </c>
      <c r="L37" s="94">
        <v>1</v>
      </c>
      <c r="M37" s="94" t="s">
        <v>588</v>
      </c>
      <c r="N37" s="94" t="s">
        <v>589</v>
      </c>
      <c r="O37" s="94" t="s">
        <v>590</v>
      </c>
      <c r="P37" s="94">
        <f t="shared" si="0"/>
        <v>3.89</v>
      </c>
    </row>
    <row r="38" spans="2:16" ht="15" customHeight="1">
      <c r="B38" s="94" t="s">
        <v>585</v>
      </c>
      <c r="C38" s="94">
        <v>976</v>
      </c>
      <c r="D38" s="94" t="s">
        <v>586</v>
      </c>
      <c r="E38" s="94">
        <v>20</v>
      </c>
      <c r="F38" s="94">
        <v>70</v>
      </c>
      <c r="G38" s="94" t="s">
        <v>587</v>
      </c>
      <c r="H38" s="94">
        <v>40001411</v>
      </c>
      <c r="I38" s="94" t="s">
        <v>278</v>
      </c>
      <c r="J38" s="94">
        <v>3.89</v>
      </c>
      <c r="K38" s="94" t="s">
        <v>587</v>
      </c>
      <c r="L38" s="94">
        <v>1</v>
      </c>
      <c r="M38" s="94" t="s">
        <v>592</v>
      </c>
      <c r="N38" s="94" t="s">
        <v>589</v>
      </c>
      <c r="O38" s="94" t="s">
        <v>590</v>
      </c>
      <c r="P38" s="94">
        <f t="shared" si="0"/>
        <v>3.89</v>
      </c>
    </row>
    <row r="39" spans="2:16" ht="15" hidden="1" customHeight="1">
      <c r="B39" s="94" t="s">
        <v>585</v>
      </c>
      <c r="C39" s="94">
        <v>976</v>
      </c>
      <c r="D39" s="94" t="s">
        <v>586</v>
      </c>
      <c r="E39" s="94">
        <v>20</v>
      </c>
      <c r="F39" s="94">
        <v>70</v>
      </c>
      <c r="G39" s="94" t="s">
        <v>587</v>
      </c>
      <c r="H39" s="94">
        <v>40001411</v>
      </c>
      <c r="I39" s="94" t="s">
        <v>621</v>
      </c>
      <c r="J39" s="94">
        <v>1216</v>
      </c>
      <c r="K39" s="94" t="s">
        <v>587</v>
      </c>
      <c r="L39" s="94">
        <v>1</v>
      </c>
      <c r="M39" s="94" t="s">
        <v>588</v>
      </c>
      <c r="N39" s="94" t="s">
        <v>589</v>
      </c>
      <c r="O39" s="94" t="s">
        <v>590</v>
      </c>
      <c r="P39" s="94">
        <f t="shared" si="0"/>
        <v>6.08</v>
      </c>
    </row>
    <row r="40" spans="2:16" ht="15" customHeight="1">
      <c r="B40" s="94" t="s">
        <v>585</v>
      </c>
      <c r="C40" s="94">
        <v>976</v>
      </c>
      <c r="D40" s="94" t="s">
        <v>586</v>
      </c>
      <c r="E40" s="94">
        <v>20</v>
      </c>
      <c r="F40" s="94">
        <v>70</v>
      </c>
      <c r="G40" s="94" t="s">
        <v>587</v>
      </c>
      <c r="H40" s="94">
        <v>40001411</v>
      </c>
      <c r="I40" s="94" t="s">
        <v>258</v>
      </c>
      <c r="J40" s="94">
        <v>6.08</v>
      </c>
      <c r="K40" s="94" t="s">
        <v>587</v>
      </c>
      <c r="L40" s="94">
        <v>1</v>
      </c>
      <c r="M40" s="94" t="s">
        <v>592</v>
      </c>
      <c r="N40" s="94" t="s">
        <v>589</v>
      </c>
      <c r="O40" s="94" t="s">
        <v>590</v>
      </c>
      <c r="P40" s="94">
        <f t="shared" si="0"/>
        <v>6.08</v>
      </c>
    </row>
    <row r="41" spans="2:16" hidden="1">
      <c r="B41" s="94" t="s">
        <v>585</v>
      </c>
      <c r="C41" s="94">
        <v>976</v>
      </c>
      <c r="D41" s="94" t="s">
        <v>586</v>
      </c>
      <c r="E41" s="94">
        <v>20</v>
      </c>
      <c r="F41" s="94">
        <v>70</v>
      </c>
      <c r="G41" s="94" t="s">
        <v>587</v>
      </c>
      <c r="H41" s="94">
        <v>40001411</v>
      </c>
      <c r="I41" s="94" t="s">
        <v>622</v>
      </c>
      <c r="J41" s="94">
        <v>1216</v>
      </c>
      <c r="K41" s="94" t="s">
        <v>587</v>
      </c>
      <c r="L41" s="94">
        <v>1</v>
      </c>
      <c r="M41" s="94" t="s">
        <v>588</v>
      </c>
      <c r="N41" s="94" t="s">
        <v>589</v>
      </c>
      <c r="O41" s="94" t="s">
        <v>590</v>
      </c>
      <c r="P41" s="94">
        <f t="shared" si="0"/>
        <v>6.08</v>
      </c>
    </row>
    <row r="42" spans="2:16">
      <c r="B42" s="94" t="s">
        <v>585</v>
      </c>
      <c r="C42" s="94">
        <v>976</v>
      </c>
      <c r="D42" s="94" t="s">
        <v>586</v>
      </c>
      <c r="E42" s="94">
        <v>20</v>
      </c>
      <c r="F42" s="94">
        <v>70</v>
      </c>
      <c r="G42" s="94" t="s">
        <v>587</v>
      </c>
      <c r="H42" s="94">
        <v>40001411</v>
      </c>
      <c r="I42" s="94" t="s">
        <v>623</v>
      </c>
      <c r="J42" s="94">
        <v>6.08</v>
      </c>
      <c r="K42" s="94" t="s">
        <v>587</v>
      </c>
      <c r="L42" s="94">
        <v>1</v>
      </c>
      <c r="M42" s="94" t="s">
        <v>592</v>
      </c>
      <c r="N42" s="94" t="s">
        <v>589</v>
      </c>
      <c r="O42" s="94" t="s">
        <v>590</v>
      </c>
      <c r="P42" s="94">
        <f t="shared" si="0"/>
        <v>6.08</v>
      </c>
    </row>
    <row r="43" spans="2:16" hidden="1">
      <c r="B43" s="94" t="s">
        <v>585</v>
      </c>
      <c r="C43" s="94">
        <v>976</v>
      </c>
      <c r="D43" s="94" t="s">
        <v>586</v>
      </c>
      <c r="E43" s="94">
        <v>20</v>
      </c>
      <c r="F43" s="94">
        <v>70</v>
      </c>
      <c r="G43" s="94" t="s">
        <v>587</v>
      </c>
      <c r="H43" s="94">
        <v>40001411</v>
      </c>
      <c r="I43" s="94" t="s">
        <v>624</v>
      </c>
      <c r="J43" s="94">
        <v>900</v>
      </c>
      <c r="K43" s="94" t="s">
        <v>587</v>
      </c>
      <c r="L43" s="94">
        <v>1</v>
      </c>
      <c r="M43" s="94" t="s">
        <v>588</v>
      </c>
      <c r="N43" s="94" t="s">
        <v>589</v>
      </c>
      <c r="O43" s="94" t="s">
        <v>590</v>
      </c>
      <c r="P43" s="94">
        <f t="shared" si="0"/>
        <v>4.5</v>
      </c>
    </row>
    <row r="44" spans="2:16">
      <c r="B44" s="94" t="s">
        <v>585</v>
      </c>
      <c r="C44" s="94">
        <v>976</v>
      </c>
      <c r="D44" s="94" t="s">
        <v>586</v>
      </c>
      <c r="E44" s="94">
        <v>20</v>
      </c>
      <c r="F44" s="94">
        <v>70</v>
      </c>
      <c r="G44" s="94" t="s">
        <v>587</v>
      </c>
      <c r="H44" s="94">
        <v>40001411</v>
      </c>
      <c r="I44" s="94" t="s">
        <v>625</v>
      </c>
      <c r="J44" s="94">
        <v>4.5</v>
      </c>
      <c r="K44" s="94" t="s">
        <v>587</v>
      </c>
      <c r="L44" s="94">
        <v>1</v>
      </c>
      <c r="M44" s="94" t="s">
        <v>592</v>
      </c>
      <c r="N44" s="94" t="s">
        <v>589</v>
      </c>
      <c r="O44" s="94" t="s">
        <v>590</v>
      </c>
      <c r="P44" s="94">
        <f t="shared" si="0"/>
        <v>4.5</v>
      </c>
    </row>
    <row r="45" spans="2:16" hidden="1">
      <c r="B45" s="94" t="s">
        <v>585</v>
      </c>
      <c r="C45" s="94">
        <v>976</v>
      </c>
      <c r="D45" s="94" t="s">
        <v>586</v>
      </c>
      <c r="E45" s="94">
        <v>20</v>
      </c>
      <c r="F45" s="94">
        <v>70</v>
      </c>
      <c r="G45" s="94" t="s">
        <v>587</v>
      </c>
      <c r="H45" s="94">
        <v>40001411</v>
      </c>
      <c r="I45" s="94" t="s">
        <v>626</v>
      </c>
      <c r="J45" s="94">
        <v>900</v>
      </c>
      <c r="K45" s="94" t="s">
        <v>587</v>
      </c>
      <c r="L45" s="94">
        <v>1</v>
      </c>
      <c r="M45" s="94" t="s">
        <v>588</v>
      </c>
      <c r="N45" s="94" t="s">
        <v>589</v>
      </c>
      <c r="O45" s="94" t="s">
        <v>590</v>
      </c>
      <c r="P45" s="94">
        <f t="shared" si="0"/>
        <v>4.5</v>
      </c>
    </row>
    <row r="46" spans="2:16">
      <c r="B46" s="94" t="s">
        <v>585</v>
      </c>
      <c r="C46" s="94">
        <v>976</v>
      </c>
      <c r="D46" s="94" t="s">
        <v>586</v>
      </c>
      <c r="E46" s="94">
        <v>20</v>
      </c>
      <c r="F46" s="94">
        <v>70</v>
      </c>
      <c r="G46" s="94" t="s">
        <v>587</v>
      </c>
      <c r="H46" s="94">
        <v>40001411</v>
      </c>
      <c r="I46" s="94" t="s">
        <v>627</v>
      </c>
      <c r="J46" s="94">
        <v>4.5</v>
      </c>
      <c r="K46" s="94" t="s">
        <v>587</v>
      </c>
      <c r="L46" s="94">
        <v>1</v>
      </c>
      <c r="M46" s="94" t="s">
        <v>592</v>
      </c>
      <c r="N46" s="94" t="s">
        <v>589</v>
      </c>
      <c r="O46" s="94" t="s">
        <v>590</v>
      </c>
      <c r="P46" s="94">
        <f t="shared" si="0"/>
        <v>4.5</v>
      </c>
    </row>
    <row r="47" spans="2:16" hidden="1">
      <c r="B47" s="94" t="s">
        <v>585</v>
      </c>
      <c r="C47" s="94">
        <v>976</v>
      </c>
      <c r="D47" s="94" t="s">
        <v>586</v>
      </c>
      <c r="E47" s="94">
        <v>20</v>
      </c>
      <c r="F47" s="94">
        <v>70</v>
      </c>
      <c r="G47" s="94" t="s">
        <v>587</v>
      </c>
      <c r="H47" s="94">
        <v>40001411</v>
      </c>
      <c r="I47" s="94" t="s">
        <v>237</v>
      </c>
      <c r="J47" s="94">
        <v>900</v>
      </c>
      <c r="K47" s="94" t="s">
        <v>587</v>
      </c>
      <c r="L47" s="94">
        <v>1</v>
      </c>
      <c r="M47" s="94" t="s">
        <v>588</v>
      </c>
      <c r="N47" s="94" t="s">
        <v>589</v>
      </c>
      <c r="O47" s="94" t="s">
        <v>590</v>
      </c>
      <c r="P47" s="94">
        <f t="shared" si="0"/>
        <v>4.5</v>
      </c>
    </row>
    <row r="48" spans="2:16">
      <c r="B48" s="94" t="s">
        <v>585</v>
      </c>
      <c r="C48" s="94">
        <v>976</v>
      </c>
      <c r="D48" s="94" t="s">
        <v>586</v>
      </c>
      <c r="E48" s="94">
        <v>20</v>
      </c>
      <c r="F48" s="94">
        <v>70</v>
      </c>
      <c r="G48" s="94" t="s">
        <v>587</v>
      </c>
      <c r="H48" s="94">
        <v>40001411</v>
      </c>
      <c r="I48" s="94" t="s">
        <v>628</v>
      </c>
      <c r="J48" s="94">
        <v>4.5</v>
      </c>
      <c r="K48" s="94" t="s">
        <v>587</v>
      </c>
      <c r="L48" s="94">
        <v>1</v>
      </c>
      <c r="M48" s="94" t="s">
        <v>592</v>
      </c>
      <c r="N48" s="94" t="s">
        <v>589</v>
      </c>
      <c r="O48" s="94" t="s">
        <v>590</v>
      </c>
      <c r="P48" s="94">
        <f t="shared" si="0"/>
        <v>4.5</v>
      </c>
    </row>
    <row r="49" spans="2:16" hidden="1">
      <c r="B49" s="94" t="s">
        <v>585</v>
      </c>
      <c r="C49" s="94">
        <v>976</v>
      </c>
      <c r="D49" s="94" t="s">
        <v>586</v>
      </c>
      <c r="E49" s="94">
        <v>20</v>
      </c>
      <c r="F49" s="94">
        <v>70</v>
      </c>
      <c r="G49" s="94" t="s">
        <v>587</v>
      </c>
      <c r="H49" s="94">
        <v>40001411</v>
      </c>
      <c r="I49" s="94" t="s">
        <v>629</v>
      </c>
      <c r="J49" s="94">
        <v>900</v>
      </c>
      <c r="K49" s="94" t="s">
        <v>587</v>
      </c>
      <c r="L49" s="94">
        <v>1</v>
      </c>
      <c r="M49" s="94" t="s">
        <v>588</v>
      </c>
      <c r="N49" s="94" t="s">
        <v>589</v>
      </c>
      <c r="O49" s="94" t="s">
        <v>590</v>
      </c>
      <c r="P49" s="94">
        <f t="shared" si="0"/>
        <v>4.5</v>
      </c>
    </row>
    <row r="50" spans="2:16">
      <c r="B50" s="94" t="s">
        <v>585</v>
      </c>
      <c r="C50" s="94">
        <v>976</v>
      </c>
      <c r="D50" s="94" t="s">
        <v>586</v>
      </c>
      <c r="E50" s="94">
        <v>20</v>
      </c>
      <c r="F50" s="94">
        <v>70</v>
      </c>
      <c r="G50" s="94" t="s">
        <v>587</v>
      </c>
      <c r="H50" s="94">
        <v>40001411</v>
      </c>
      <c r="I50" s="94" t="s">
        <v>630</v>
      </c>
      <c r="J50" s="94">
        <v>4.5</v>
      </c>
      <c r="K50" s="94" t="s">
        <v>587</v>
      </c>
      <c r="L50" s="94">
        <v>1</v>
      </c>
      <c r="M50" s="94" t="s">
        <v>592</v>
      </c>
      <c r="N50" s="94" t="s">
        <v>589</v>
      </c>
      <c r="O50" s="94" t="s">
        <v>590</v>
      </c>
      <c r="P50" s="94">
        <f t="shared" si="0"/>
        <v>4.5</v>
      </c>
    </row>
    <row r="51" spans="2:16" hidden="1">
      <c r="B51" s="94" t="s">
        <v>585</v>
      </c>
      <c r="C51" s="94">
        <v>976</v>
      </c>
      <c r="D51" s="94" t="s">
        <v>586</v>
      </c>
      <c r="E51" s="94">
        <v>20</v>
      </c>
      <c r="F51" s="94">
        <v>70</v>
      </c>
      <c r="G51" s="94" t="s">
        <v>587</v>
      </c>
      <c r="H51" s="94">
        <v>40001411</v>
      </c>
      <c r="I51" s="94" t="s">
        <v>301</v>
      </c>
      <c r="J51" s="94">
        <v>568</v>
      </c>
      <c r="K51" s="94" t="s">
        <v>587</v>
      </c>
      <c r="L51" s="94">
        <v>1</v>
      </c>
      <c r="M51" s="94" t="s">
        <v>588</v>
      </c>
      <c r="N51" s="94" t="s">
        <v>589</v>
      </c>
      <c r="O51" s="94" t="s">
        <v>590</v>
      </c>
      <c r="P51" s="94">
        <f t="shared" si="0"/>
        <v>2.84</v>
      </c>
    </row>
    <row r="52" spans="2:16">
      <c r="B52" s="94" t="s">
        <v>585</v>
      </c>
      <c r="C52" s="94">
        <v>976</v>
      </c>
      <c r="D52" s="94" t="s">
        <v>586</v>
      </c>
      <c r="E52" s="94">
        <v>20</v>
      </c>
      <c r="F52" s="94">
        <v>70</v>
      </c>
      <c r="G52" s="94" t="s">
        <v>587</v>
      </c>
      <c r="H52" s="94">
        <v>40001411</v>
      </c>
      <c r="I52" s="94" t="s">
        <v>631</v>
      </c>
      <c r="J52" s="94">
        <v>2.84</v>
      </c>
      <c r="K52" s="94" t="s">
        <v>587</v>
      </c>
      <c r="L52" s="94">
        <v>1</v>
      </c>
      <c r="M52" s="94" t="s">
        <v>592</v>
      </c>
      <c r="N52" s="94" t="s">
        <v>589</v>
      </c>
      <c r="O52" s="94" t="s">
        <v>590</v>
      </c>
      <c r="P52" s="94">
        <f t="shared" si="0"/>
        <v>2.84</v>
      </c>
    </row>
    <row r="53" spans="2:16" hidden="1">
      <c r="B53" s="94" t="s">
        <v>585</v>
      </c>
      <c r="C53" s="94">
        <v>976</v>
      </c>
      <c r="D53" s="94" t="s">
        <v>586</v>
      </c>
      <c r="E53" s="94">
        <v>20</v>
      </c>
      <c r="F53" s="94">
        <v>70</v>
      </c>
      <c r="G53" s="94" t="s">
        <v>587</v>
      </c>
      <c r="H53" s="94">
        <v>40001411</v>
      </c>
      <c r="I53" s="94" t="s">
        <v>632</v>
      </c>
      <c r="J53" s="94">
        <v>1928</v>
      </c>
      <c r="K53" s="94" t="s">
        <v>587</v>
      </c>
      <c r="L53" s="94">
        <v>1</v>
      </c>
      <c r="M53" s="94" t="s">
        <v>588</v>
      </c>
      <c r="N53" s="94" t="s">
        <v>589</v>
      </c>
      <c r="O53" s="94" t="s">
        <v>590</v>
      </c>
      <c r="P53" s="94">
        <f t="shared" si="0"/>
        <v>9.64</v>
      </c>
    </row>
    <row r="54" spans="2:16">
      <c r="B54" s="94" t="s">
        <v>585</v>
      </c>
      <c r="C54" s="94">
        <v>976</v>
      </c>
      <c r="D54" s="94" t="s">
        <v>586</v>
      </c>
      <c r="E54" s="94">
        <v>20</v>
      </c>
      <c r="F54" s="94">
        <v>70</v>
      </c>
      <c r="G54" s="94" t="s">
        <v>587</v>
      </c>
      <c r="H54" s="94">
        <v>40001411</v>
      </c>
      <c r="I54" s="94" t="s">
        <v>633</v>
      </c>
      <c r="J54" s="94">
        <v>9.64</v>
      </c>
      <c r="K54" s="94" t="s">
        <v>587</v>
      </c>
      <c r="L54" s="94">
        <v>1</v>
      </c>
      <c r="M54" s="94" t="s">
        <v>592</v>
      </c>
      <c r="N54" s="94" t="s">
        <v>589</v>
      </c>
      <c r="O54" s="94" t="s">
        <v>590</v>
      </c>
      <c r="P54" s="94">
        <f t="shared" si="0"/>
        <v>9.64</v>
      </c>
    </row>
    <row r="55" spans="2:16" hidden="1">
      <c r="B55" s="94" t="s">
        <v>585</v>
      </c>
      <c r="C55" s="94">
        <v>976</v>
      </c>
      <c r="D55" s="94" t="s">
        <v>586</v>
      </c>
      <c r="E55" s="94">
        <v>20</v>
      </c>
      <c r="F55" s="94">
        <v>70</v>
      </c>
      <c r="G55" s="94" t="s">
        <v>587</v>
      </c>
      <c r="H55" s="94">
        <v>40001411</v>
      </c>
      <c r="I55" s="94" t="s">
        <v>634</v>
      </c>
      <c r="J55" s="94">
        <v>1870</v>
      </c>
      <c r="K55" s="94" t="s">
        <v>587</v>
      </c>
      <c r="L55" s="94">
        <v>1</v>
      </c>
      <c r="M55" s="94" t="s">
        <v>588</v>
      </c>
      <c r="N55" s="94" t="s">
        <v>589</v>
      </c>
      <c r="O55" s="94" t="s">
        <v>590</v>
      </c>
      <c r="P55" s="94">
        <f t="shared" si="0"/>
        <v>9.35</v>
      </c>
    </row>
    <row r="56" spans="2:16">
      <c r="B56" s="94" t="s">
        <v>585</v>
      </c>
      <c r="C56" s="94">
        <v>976</v>
      </c>
      <c r="D56" s="94" t="s">
        <v>586</v>
      </c>
      <c r="E56" s="94">
        <v>20</v>
      </c>
      <c r="F56" s="94">
        <v>70</v>
      </c>
      <c r="G56" s="94" t="s">
        <v>587</v>
      </c>
      <c r="H56" s="94">
        <v>40001411</v>
      </c>
      <c r="I56" s="94" t="s">
        <v>635</v>
      </c>
      <c r="J56" s="94">
        <v>9.35</v>
      </c>
      <c r="K56" s="94" t="s">
        <v>587</v>
      </c>
      <c r="L56" s="94">
        <v>1</v>
      </c>
      <c r="M56" s="94" t="s">
        <v>592</v>
      </c>
      <c r="N56" s="94" t="s">
        <v>589</v>
      </c>
      <c r="O56" s="94" t="s">
        <v>590</v>
      </c>
      <c r="P56" s="94">
        <f t="shared" si="0"/>
        <v>9.35</v>
      </c>
    </row>
    <row r="57" spans="2:16" hidden="1">
      <c r="B57" s="94" t="s">
        <v>585</v>
      </c>
      <c r="C57" s="94">
        <v>976</v>
      </c>
      <c r="D57" s="94" t="s">
        <v>586</v>
      </c>
      <c r="E57" s="94">
        <v>20</v>
      </c>
      <c r="F57" s="94">
        <v>70</v>
      </c>
      <c r="G57" s="94" t="s">
        <v>587</v>
      </c>
      <c r="H57" s="94">
        <v>40001411</v>
      </c>
      <c r="I57" s="94" t="s">
        <v>204</v>
      </c>
      <c r="J57" s="94">
        <v>840</v>
      </c>
      <c r="K57" s="94" t="s">
        <v>587</v>
      </c>
      <c r="L57" s="94">
        <v>1</v>
      </c>
      <c r="M57" s="94" t="s">
        <v>588</v>
      </c>
      <c r="N57" s="94" t="s">
        <v>589</v>
      </c>
      <c r="O57" s="94" t="s">
        <v>590</v>
      </c>
      <c r="P57" s="94">
        <f t="shared" si="0"/>
        <v>4.2</v>
      </c>
    </row>
    <row r="58" spans="2:16">
      <c r="B58" s="94" t="s">
        <v>585</v>
      </c>
      <c r="C58" s="94">
        <v>976</v>
      </c>
      <c r="D58" s="94" t="s">
        <v>586</v>
      </c>
      <c r="E58" s="94">
        <v>20</v>
      </c>
      <c r="F58" s="94">
        <v>70</v>
      </c>
      <c r="G58" s="94" t="s">
        <v>587</v>
      </c>
      <c r="H58" s="94">
        <v>40001411</v>
      </c>
      <c r="I58" s="94" t="s">
        <v>636</v>
      </c>
      <c r="J58" s="94">
        <v>4.2</v>
      </c>
      <c r="K58" s="94" t="s">
        <v>587</v>
      </c>
      <c r="L58" s="94">
        <v>1</v>
      </c>
      <c r="M58" s="94" t="s">
        <v>592</v>
      </c>
      <c r="N58" s="94" t="s">
        <v>589</v>
      </c>
      <c r="O58" s="94" t="s">
        <v>590</v>
      </c>
      <c r="P58" s="94">
        <f t="shared" si="0"/>
        <v>4.2</v>
      </c>
    </row>
    <row r="59" spans="2:16" hidden="1">
      <c r="B59" s="94" t="s">
        <v>585</v>
      </c>
      <c r="C59" s="94">
        <v>976</v>
      </c>
      <c r="D59" s="94" t="s">
        <v>586</v>
      </c>
      <c r="E59" s="94">
        <v>20</v>
      </c>
      <c r="F59" s="94">
        <v>70</v>
      </c>
      <c r="G59" s="94" t="s">
        <v>587</v>
      </c>
      <c r="H59" s="94">
        <v>40001411</v>
      </c>
      <c r="I59" s="94" t="s">
        <v>637</v>
      </c>
      <c r="J59" s="94">
        <v>840</v>
      </c>
      <c r="K59" s="94" t="s">
        <v>587</v>
      </c>
      <c r="L59" s="94">
        <v>1</v>
      </c>
      <c r="M59" s="94" t="s">
        <v>588</v>
      </c>
      <c r="N59" s="94" t="s">
        <v>589</v>
      </c>
      <c r="O59" s="94" t="s">
        <v>590</v>
      </c>
      <c r="P59" s="94">
        <f t="shared" si="0"/>
        <v>4.2</v>
      </c>
    </row>
    <row r="60" spans="2:16">
      <c r="B60" s="94" t="s">
        <v>585</v>
      </c>
      <c r="C60" s="94">
        <v>976</v>
      </c>
      <c r="D60" s="94" t="s">
        <v>586</v>
      </c>
      <c r="E60" s="94">
        <v>20</v>
      </c>
      <c r="F60" s="94">
        <v>70</v>
      </c>
      <c r="G60" s="94" t="s">
        <v>587</v>
      </c>
      <c r="H60" s="94">
        <v>40001411</v>
      </c>
      <c r="I60" s="94" t="s">
        <v>638</v>
      </c>
      <c r="J60" s="94">
        <v>4.2</v>
      </c>
      <c r="K60" s="94" t="s">
        <v>587</v>
      </c>
      <c r="L60" s="94">
        <v>1</v>
      </c>
      <c r="M60" s="94" t="s">
        <v>592</v>
      </c>
      <c r="N60" s="94" t="s">
        <v>589</v>
      </c>
      <c r="O60" s="94" t="s">
        <v>590</v>
      </c>
      <c r="P60" s="94">
        <f t="shared" si="0"/>
        <v>4.2</v>
      </c>
    </row>
    <row r="61" spans="2:16" hidden="1">
      <c r="B61" s="94" t="s">
        <v>585</v>
      </c>
      <c r="C61" s="94">
        <v>976</v>
      </c>
      <c r="D61" s="94" t="s">
        <v>586</v>
      </c>
      <c r="E61" s="94">
        <v>20</v>
      </c>
      <c r="F61" s="94">
        <v>70</v>
      </c>
      <c r="G61" s="94" t="s">
        <v>587</v>
      </c>
      <c r="H61" s="94">
        <v>40001411</v>
      </c>
      <c r="I61" s="94" t="s">
        <v>639</v>
      </c>
      <c r="J61" s="94">
        <v>950</v>
      </c>
      <c r="K61" s="94" t="s">
        <v>587</v>
      </c>
      <c r="L61" s="94">
        <v>1</v>
      </c>
      <c r="M61" s="94" t="s">
        <v>588</v>
      </c>
      <c r="N61" s="94" t="s">
        <v>589</v>
      </c>
      <c r="O61" s="94" t="s">
        <v>590</v>
      </c>
      <c r="P61" s="94">
        <f t="shared" si="0"/>
        <v>4.75</v>
      </c>
    </row>
    <row r="62" spans="2:16">
      <c r="B62" s="94" t="s">
        <v>585</v>
      </c>
      <c r="C62" s="94">
        <v>976</v>
      </c>
      <c r="D62" s="94" t="s">
        <v>586</v>
      </c>
      <c r="E62" s="94">
        <v>20</v>
      </c>
      <c r="F62" s="94">
        <v>70</v>
      </c>
      <c r="G62" s="94" t="s">
        <v>587</v>
      </c>
      <c r="H62" s="94">
        <v>40001411</v>
      </c>
      <c r="I62" s="94" t="s">
        <v>640</v>
      </c>
      <c r="J62" s="94">
        <v>4.75</v>
      </c>
      <c r="K62" s="94" t="s">
        <v>587</v>
      </c>
      <c r="L62" s="94">
        <v>1</v>
      </c>
      <c r="M62" s="94" t="s">
        <v>592</v>
      </c>
      <c r="N62" s="94" t="s">
        <v>589</v>
      </c>
      <c r="O62" s="94" t="s">
        <v>590</v>
      </c>
      <c r="P62" s="94">
        <f t="shared" si="0"/>
        <v>4.75</v>
      </c>
    </row>
    <row r="63" spans="2:16" hidden="1">
      <c r="B63" s="94" t="s">
        <v>585</v>
      </c>
      <c r="C63" s="94">
        <v>976</v>
      </c>
      <c r="D63" s="94" t="s">
        <v>586</v>
      </c>
      <c r="E63" s="94">
        <v>20</v>
      </c>
      <c r="F63" s="94">
        <v>70</v>
      </c>
      <c r="G63" s="94" t="s">
        <v>587</v>
      </c>
      <c r="H63" s="94">
        <v>40001411</v>
      </c>
      <c r="I63" s="94" t="s">
        <v>641</v>
      </c>
      <c r="J63" s="94">
        <v>950</v>
      </c>
      <c r="K63" s="94" t="s">
        <v>587</v>
      </c>
      <c r="L63" s="94">
        <v>1</v>
      </c>
      <c r="M63" s="94" t="s">
        <v>588</v>
      </c>
      <c r="N63" s="94" t="s">
        <v>589</v>
      </c>
      <c r="O63" s="94" t="s">
        <v>590</v>
      </c>
      <c r="P63" s="94">
        <f t="shared" si="0"/>
        <v>4.75</v>
      </c>
    </row>
    <row r="64" spans="2:16">
      <c r="B64" s="94" t="s">
        <v>585</v>
      </c>
      <c r="C64" s="94">
        <v>976</v>
      </c>
      <c r="D64" s="94" t="s">
        <v>586</v>
      </c>
      <c r="E64" s="94">
        <v>20</v>
      </c>
      <c r="F64" s="94">
        <v>70</v>
      </c>
      <c r="G64" s="94" t="s">
        <v>587</v>
      </c>
      <c r="H64" s="94">
        <v>40001411</v>
      </c>
      <c r="I64" s="94" t="s">
        <v>642</v>
      </c>
      <c r="J64" s="94">
        <v>4.75</v>
      </c>
      <c r="K64" s="94" t="s">
        <v>587</v>
      </c>
      <c r="L64" s="94">
        <v>1</v>
      </c>
      <c r="M64" s="94" t="s">
        <v>592</v>
      </c>
      <c r="N64" s="94" t="s">
        <v>589</v>
      </c>
      <c r="O64" s="94" t="s">
        <v>590</v>
      </c>
      <c r="P64" s="94">
        <f t="shared" si="0"/>
        <v>4.75</v>
      </c>
    </row>
    <row r="65" spans="2:16" hidden="1">
      <c r="B65" s="94" t="s">
        <v>585</v>
      </c>
      <c r="C65" s="94">
        <v>976</v>
      </c>
      <c r="D65" s="94" t="s">
        <v>586</v>
      </c>
      <c r="E65" s="94">
        <v>20</v>
      </c>
      <c r="F65" s="94">
        <v>70</v>
      </c>
      <c r="G65" s="94" t="s">
        <v>587</v>
      </c>
      <c r="H65" s="94">
        <v>40001411</v>
      </c>
      <c r="I65" s="94" t="s">
        <v>643</v>
      </c>
      <c r="J65" s="94">
        <v>720</v>
      </c>
      <c r="K65" s="94" t="s">
        <v>587</v>
      </c>
      <c r="L65" s="94">
        <v>1</v>
      </c>
      <c r="M65" s="94" t="s">
        <v>588</v>
      </c>
      <c r="N65" s="94" t="s">
        <v>589</v>
      </c>
      <c r="O65" s="94" t="s">
        <v>590</v>
      </c>
      <c r="P65" s="94">
        <f t="shared" si="0"/>
        <v>3.6</v>
      </c>
    </row>
    <row r="66" spans="2:16">
      <c r="B66" s="94" t="s">
        <v>585</v>
      </c>
      <c r="C66" s="94">
        <v>976</v>
      </c>
      <c r="D66" s="94" t="s">
        <v>586</v>
      </c>
      <c r="E66" s="94">
        <v>20</v>
      </c>
      <c r="F66" s="94">
        <v>70</v>
      </c>
      <c r="G66" s="94" t="s">
        <v>587</v>
      </c>
      <c r="H66" s="94">
        <v>40001411</v>
      </c>
      <c r="I66" s="94" t="s">
        <v>283</v>
      </c>
      <c r="J66" s="94">
        <v>3.6</v>
      </c>
      <c r="K66" s="94" t="s">
        <v>587</v>
      </c>
      <c r="L66" s="94">
        <v>1</v>
      </c>
      <c r="M66" s="94" t="s">
        <v>592</v>
      </c>
      <c r="N66" s="94" t="s">
        <v>589</v>
      </c>
      <c r="O66" s="94" t="s">
        <v>590</v>
      </c>
      <c r="P66" s="94">
        <f t="shared" si="0"/>
        <v>3.6</v>
      </c>
    </row>
    <row r="67" spans="2:16" hidden="1">
      <c r="B67" s="94" t="s">
        <v>585</v>
      </c>
      <c r="C67" s="94">
        <v>976</v>
      </c>
      <c r="D67" s="94" t="s">
        <v>586</v>
      </c>
      <c r="E67" s="94">
        <v>20</v>
      </c>
      <c r="F67" s="94">
        <v>70</v>
      </c>
      <c r="G67" s="94" t="s">
        <v>587</v>
      </c>
      <c r="H67" s="94">
        <v>40001411</v>
      </c>
      <c r="I67" s="94" t="s">
        <v>644</v>
      </c>
      <c r="J67" s="94">
        <v>740</v>
      </c>
      <c r="K67" s="94" t="s">
        <v>587</v>
      </c>
      <c r="L67" s="94">
        <v>1</v>
      </c>
      <c r="M67" s="94" t="s">
        <v>588</v>
      </c>
      <c r="N67" s="94" t="s">
        <v>589</v>
      </c>
      <c r="O67" s="94" t="s">
        <v>590</v>
      </c>
      <c r="P67" s="94">
        <f t="shared" si="0"/>
        <v>3.7</v>
      </c>
    </row>
    <row r="68" spans="2:16">
      <c r="B68" s="94" t="s">
        <v>585</v>
      </c>
      <c r="C68" s="94">
        <v>976</v>
      </c>
      <c r="D68" s="94" t="s">
        <v>586</v>
      </c>
      <c r="E68" s="94">
        <v>20</v>
      </c>
      <c r="F68" s="94">
        <v>70</v>
      </c>
      <c r="G68" s="94" t="s">
        <v>587</v>
      </c>
      <c r="H68" s="94">
        <v>40001411</v>
      </c>
      <c r="I68" s="94" t="s">
        <v>645</v>
      </c>
      <c r="J68" s="94">
        <v>3.7</v>
      </c>
      <c r="K68" s="94" t="s">
        <v>587</v>
      </c>
      <c r="L68" s="94">
        <v>1</v>
      </c>
      <c r="M68" s="94" t="s">
        <v>592</v>
      </c>
      <c r="N68" s="94" t="s">
        <v>589</v>
      </c>
      <c r="O68" s="94" t="s">
        <v>590</v>
      </c>
      <c r="P68" s="94">
        <f t="shared" ref="P68:P131" si="1">+IF(M68="tam",J68/200,J68)</f>
        <v>3.7</v>
      </c>
    </row>
    <row r="69" spans="2:16" hidden="1">
      <c r="B69" s="94" t="s">
        <v>585</v>
      </c>
      <c r="C69" s="94">
        <v>976</v>
      </c>
      <c r="D69" s="94" t="s">
        <v>586</v>
      </c>
      <c r="E69" s="94">
        <v>20</v>
      </c>
      <c r="F69" s="94">
        <v>70</v>
      </c>
      <c r="G69" s="94" t="s">
        <v>587</v>
      </c>
      <c r="H69" s="94">
        <v>40001411</v>
      </c>
      <c r="I69" s="94" t="s">
        <v>646</v>
      </c>
      <c r="J69" s="94">
        <v>740</v>
      </c>
      <c r="K69" s="94" t="s">
        <v>587</v>
      </c>
      <c r="L69" s="94">
        <v>1</v>
      </c>
      <c r="M69" s="94" t="s">
        <v>588</v>
      </c>
      <c r="N69" s="94" t="s">
        <v>589</v>
      </c>
      <c r="O69" s="94" t="s">
        <v>590</v>
      </c>
      <c r="P69" s="94">
        <f t="shared" si="1"/>
        <v>3.7</v>
      </c>
    </row>
    <row r="70" spans="2:16">
      <c r="B70" s="94" t="s">
        <v>585</v>
      </c>
      <c r="C70" s="94">
        <v>976</v>
      </c>
      <c r="D70" s="94" t="s">
        <v>586</v>
      </c>
      <c r="E70" s="94">
        <v>20</v>
      </c>
      <c r="F70" s="94">
        <v>70</v>
      </c>
      <c r="G70" s="94" t="s">
        <v>587</v>
      </c>
      <c r="H70" s="94">
        <v>40001411</v>
      </c>
      <c r="I70" s="94" t="s">
        <v>647</v>
      </c>
      <c r="J70" s="94">
        <v>3.7</v>
      </c>
      <c r="K70" s="94" t="s">
        <v>587</v>
      </c>
      <c r="L70" s="94">
        <v>1</v>
      </c>
      <c r="M70" s="94" t="s">
        <v>592</v>
      </c>
      <c r="N70" s="94" t="s">
        <v>589</v>
      </c>
      <c r="O70" s="94" t="s">
        <v>590</v>
      </c>
      <c r="P70" s="94">
        <f t="shared" si="1"/>
        <v>3.7</v>
      </c>
    </row>
    <row r="71" spans="2:16" hidden="1">
      <c r="B71" s="94" t="s">
        <v>585</v>
      </c>
      <c r="C71" s="94">
        <v>976</v>
      </c>
      <c r="D71" s="94" t="s">
        <v>586</v>
      </c>
      <c r="E71" s="94">
        <v>20</v>
      </c>
      <c r="F71" s="94">
        <v>70</v>
      </c>
      <c r="G71" s="94" t="s">
        <v>587</v>
      </c>
      <c r="H71" s="94">
        <v>40001411</v>
      </c>
      <c r="I71" s="94" t="s">
        <v>648</v>
      </c>
      <c r="J71" s="94">
        <v>642</v>
      </c>
      <c r="K71" s="94" t="s">
        <v>587</v>
      </c>
      <c r="L71" s="94">
        <v>1</v>
      </c>
      <c r="M71" s="94" t="s">
        <v>588</v>
      </c>
      <c r="N71" s="94" t="s">
        <v>589</v>
      </c>
      <c r="O71" s="94" t="s">
        <v>590</v>
      </c>
      <c r="P71" s="94">
        <f t="shared" si="1"/>
        <v>3.21</v>
      </c>
    </row>
    <row r="72" spans="2:16">
      <c r="B72" s="94" t="s">
        <v>585</v>
      </c>
      <c r="C72" s="94">
        <v>976</v>
      </c>
      <c r="D72" s="94" t="s">
        <v>586</v>
      </c>
      <c r="E72" s="94">
        <v>20</v>
      </c>
      <c r="F72" s="94">
        <v>70</v>
      </c>
      <c r="G72" s="94" t="s">
        <v>587</v>
      </c>
      <c r="H72" s="94">
        <v>40001411</v>
      </c>
      <c r="I72" s="94" t="s">
        <v>649</v>
      </c>
      <c r="J72" s="94">
        <v>3.21</v>
      </c>
      <c r="K72" s="94" t="s">
        <v>587</v>
      </c>
      <c r="L72" s="94">
        <v>1</v>
      </c>
      <c r="M72" s="94" t="s">
        <v>592</v>
      </c>
      <c r="N72" s="94" t="s">
        <v>589</v>
      </c>
      <c r="O72" s="94" t="s">
        <v>590</v>
      </c>
      <c r="P72" s="94">
        <f t="shared" si="1"/>
        <v>3.21</v>
      </c>
    </row>
    <row r="73" spans="2:16" hidden="1">
      <c r="B73" s="94" t="s">
        <v>585</v>
      </c>
      <c r="C73" s="94">
        <v>976</v>
      </c>
      <c r="D73" s="94" t="s">
        <v>586</v>
      </c>
      <c r="E73" s="94">
        <v>20</v>
      </c>
      <c r="F73" s="94">
        <v>70</v>
      </c>
      <c r="G73" s="94" t="s">
        <v>587</v>
      </c>
      <c r="H73" s="94">
        <v>40001411</v>
      </c>
      <c r="I73" s="94" t="s">
        <v>260</v>
      </c>
      <c r="J73" s="94">
        <v>1444</v>
      </c>
      <c r="K73" s="94" t="s">
        <v>587</v>
      </c>
      <c r="L73" s="94">
        <v>1</v>
      </c>
      <c r="M73" s="94" t="s">
        <v>588</v>
      </c>
      <c r="N73" s="94" t="s">
        <v>589</v>
      </c>
      <c r="O73" s="94" t="s">
        <v>590</v>
      </c>
      <c r="P73" s="94">
        <f t="shared" si="1"/>
        <v>7.22</v>
      </c>
    </row>
    <row r="74" spans="2:16">
      <c r="B74" s="94" t="s">
        <v>585</v>
      </c>
      <c r="C74" s="94">
        <v>976</v>
      </c>
      <c r="D74" s="94" t="s">
        <v>586</v>
      </c>
      <c r="E74" s="94">
        <v>20</v>
      </c>
      <c r="F74" s="94">
        <v>70</v>
      </c>
      <c r="G74" s="94" t="s">
        <v>587</v>
      </c>
      <c r="H74" s="94">
        <v>40001411</v>
      </c>
      <c r="I74" s="94" t="s">
        <v>650</v>
      </c>
      <c r="J74" s="94">
        <v>7.22</v>
      </c>
      <c r="K74" s="94" t="s">
        <v>587</v>
      </c>
      <c r="L74" s="94">
        <v>1</v>
      </c>
      <c r="M74" s="94" t="s">
        <v>592</v>
      </c>
      <c r="N74" s="94" t="s">
        <v>589</v>
      </c>
      <c r="O74" s="94" t="s">
        <v>590</v>
      </c>
      <c r="P74" s="94">
        <f t="shared" si="1"/>
        <v>7.22</v>
      </c>
    </row>
    <row r="75" spans="2:16" hidden="1">
      <c r="B75" s="94" t="s">
        <v>585</v>
      </c>
      <c r="C75" s="94">
        <v>976</v>
      </c>
      <c r="D75" s="94" t="s">
        <v>586</v>
      </c>
      <c r="E75" s="94">
        <v>20</v>
      </c>
      <c r="F75" s="94">
        <v>70</v>
      </c>
      <c r="G75" s="94" t="s">
        <v>587</v>
      </c>
      <c r="H75" s="94">
        <v>40001411</v>
      </c>
      <c r="I75" s="94" t="s">
        <v>651</v>
      </c>
      <c r="J75" s="94">
        <v>1430</v>
      </c>
      <c r="K75" s="94" t="s">
        <v>587</v>
      </c>
      <c r="L75" s="94">
        <v>1</v>
      </c>
      <c r="M75" s="94" t="s">
        <v>588</v>
      </c>
      <c r="N75" s="94" t="s">
        <v>589</v>
      </c>
      <c r="O75" s="94" t="s">
        <v>590</v>
      </c>
      <c r="P75" s="94">
        <f t="shared" si="1"/>
        <v>7.15</v>
      </c>
    </row>
    <row r="76" spans="2:16">
      <c r="B76" s="94" t="s">
        <v>585</v>
      </c>
      <c r="C76" s="94">
        <v>976</v>
      </c>
      <c r="D76" s="94" t="s">
        <v>586</v>
      </c>
      <c r="E76" s="94">
        <v>20</v>
      </c>
      <c r="F76" s="94">
        <v>70</v>
      </c>
      <c r="G76" s="94" t="s">
        <v>587</v>
      </c>
      <c r="H76" s="94">
        <v>40001411</v>
      </c>
      <c r="I76" s="94" t="s">
        <v>652</v>
      </c>
      <c r="J76" s="94">
        <v>7.15</v>
      </c>
      <c r="K76" s="94" t="s">
        <v>587</v>
      </c>
      <c r="L76" s="94">
        <v>1</v>
      </c>
      <c r="M76" s="94" t="s">
        <v>592</v>
      </c>
      <c r="N76" s="94" t="s">
        <v>589</v>
      </c>
      <c r="O76" s="94" t="s">
        <v>590</v>
      </c>
      <c r="P76" s="94">
        <f t="shared" si="1"/>
        <v>7.15</v>
      </c>
    </row>
    <row r="77" spans="2:16" hidden="1">
      <c r="B77" s="94" t="s">
        <v>585</v>
      </c>
      <c r="C77" s="94">
        <v>976</v>
      </c>
      <c r="D77" s="94" t="s">
        <v>586</v>
      </c>
      <c r="E77" s="94">
        <v>20</v>
      </c>
      <c r="F77" s="94">
        <v>70</v>
      </c>
      <c r="G77" s="94" t="s">
        <v>587</v>
      </c>
      <c r="H77" s="94">
        <v>40001411</v>
      </c>
      <c r="I77" s="94" t="s">
        <v>241</v>
      </c>
      <c r="J77" s="94">
        <v>1322</v>
      </c>
      <c r="K77" s="94" t="s">
        <v>587</v>
      </c>
      <c r="L77" s="94">
        <v>1</v>
      </c>
      <c r="M77" s="94" t="s">
        <v>588</v>
      </c>
      <c r="N77" s="94" t="s">
        <v>589</v>
      </c>
      <c r="O77" s="94" t="s">
        <v>590</v>
      </c>
      <c r="P77" s="94">
        <f t="shared" si="1"/>
        <v>6.61</v>
      </c>
    </row>
    <row r="78" spans="2:16">
      <c r="B78" s="94" t="s">
        <v>585</v>
      </c>
      <c r="C78" s="94">
        <v>976</v>
      </c>
      <c r="D78" s="94" t="s">
        <v>586</v>
      </c>
      <c r="E78" s="94">
        <v>20</v>
      </c>
      <c r="F78" s="94">
        <v>70</v>
      </c>
      <c r="G78" s="94" t="s">
        <v>587</v>
      </c>
      <c r="H78" s="94">
        <v>40001411</v>
      </c>
      <c r="I78" s="94" t="s">
        <v>653</v>
      </c>
      <c r="J78" s="94">
        <v>6.61</v>
      </c>
      <c r="K78" s="94" t="s">
        <v>587</v>
      </c>
      <c r="L78" s="94">
        <v>1</v>
      </c>
      <c r="M78" s="94" t="s">
        <v>592</v>
      </c>
      <c r="N78" s="94" t="s">
        <v>589</v>
      </c>
      <c r="O78" s="94" t="s">
        <v>590</v>
      </c>
      <c r="P78" s="94">
        <f t="shared" si="1"/>
        <v>6.61</v>
      </c>
    </row>
    <row r="79" spans="2:16" hidden="1">
      <c r="B79" s="94" t="s">
        <v>585</v>
      </c>
      <c r="C79" s="94">
        <v>976</v>
      </c>
      <c r="D79" s="94" t="s">
        <v>586</v>
      </c>
      <c r="E79" s="94">
        <v>20</v>
      </c>
      <c r="F79" s="94">
        <v>70</v>
      </c>
      <c r="G79" s="94" t="s">
        <v>587</v>
      </c>
      <c r="H79" s="94">
        <v>40001411</v>
      </c>
      <c r="I79" s="94" t="s">
        <v>654</v>
      </c>
      <c r="J79" s="94">
        <v>1432</v>
      </c>
      <c r="K79" s="94" t="s">
        <v>587</v>
      </c>
      <c r="L79" s="94">
        <v>1</v>
      </c>
      <c r="M79" s="94" t="s">
        <v>588</v>
      </c>
      <c r="N79" s="94" t="s">
        <v>589</v>
      </c>
      <c r="O79" s="94" t="s">
        <v>590</v>
      </c>
      <c r="P79" s="94">
        <f t="shared" si="1"/>
        <v>7.16</v>
      </c>
    </row>
    <row r="80" spans="2:16">
      <c r="B80" s="94" t="s">
        <v>585</v>
      </c>
      <c r="C80" s="94">
        <v>976</v>
      </c>
      <c r="D80" s="94" t="s">
        <v>586</v>
      </c>
      <c r="E80" s="94">
        <v>20</v>
      </c>
      <c r="F80" s="94">
        <v>70</v>
      </c>
      <c r="G80" s="94" t="s">
        <v>587</v>
      </c>
      <c r="H80" s="94">
        <v>40001411</v>
      </c>
      <c r="I80" s="94" t="s">
        <v>655</v>
      </c>
      <c r="J80" s="94">
        <v>7.16</v>
      </c>
      <c r="K80" s="94" t="s">
        <v>587</v>
      </c>
      <c r="L80" s="94">
        <v>1</v>
      </c>
      <c r="M80" s="94" t="s">
        <v>592</v>
      </c>
      <c r="N80" s="94" t="s">
        <v>589</v>
      </c>
      <c r="O80" s="94" t="s">
        <v>590</v>
      </c>
      <c r="P80" s="94">
        <f t="shared" si="1"/>
        <v>7.16</v>
      </c>
    </row>
    <row r="81" spans="2:16" hidden="1">
      <c r="B81" s="94" t="s">
        <v>585</v>
      </c>
      <c r="C81" s="94">
        <v>976</v>
      </c>
      <c r="D81" s="94" t="s">
        <v>586</v>
      </c>
      <c r="E81" s="94">
        <v>20</v>
      </c>
      <c r="F81" s="94">
        <v>70</v>
      </c>
      <c r="G81" s="94" t="s">
        <v>587</v>
      </c>
      <c r="H81" s="94">
        <v>40001411</v>
      </c>
      <c r="I81" s="94" t="s">
        <v>656</v>
      </c>
      <c r="J81" s="94">
        <v>1552</v>
      </c>
      <c r="K81" s="94" t="s">
        <v>587</v>
      </c>
      <c r="L81" s="94">
        <v>1</v>
      </c>
      <c r="M81" s="94" t="s">
        <v>588</v>
      </c>
      <c r="N81" s="94" t="s">
        <v>589</v>
      </c>
      <c r="O81" s="94" t="s">
        <v>590</v>
      </c>
      <c r="P81" s="94">
        <f t="shared" si="1"/>
        <v>7.76</v>
      </c>
    </row>
    <row r="82" spans="2:16">
      <c r="B82" s="94" t="s">
        <v>585</v>
      </c>
      <c r="C82" s="94">
        <v>976</v>
      </c>
      <c r="D82" s="94" t="s">
        <v>586</v>
      </c>
      <c r="E82" s="94">
        <v>20</v>
      </c>
      <c r="F82" s="94">
        <v>70</v>
      </c>
      <c r="G82" s="94" t="s">
        <v>587</v>
      </c>
      <c r="H82" s="94">
        <v>40001411</v>
      </c>
      <c r="I82" s="94" t="s">
        <v>657</v>
      </c>
      <c r="J82" s="94">
        <v>7.76</v>
      </c>
      <c r="K82" s="94" t="s">
        <v>587</v>
      </c>
      <c r="L82" s="94">
        <v>1</v>
      </c>
      <c r="M82" s="94" t="s">
        <v>592</v>
      </c>
      <c r="N82" s="94" t="s">
        <v>589</v>
      </c>
      <c r="O82" s="94" t="s">
        <v>590</v>
      </c>
      <c r="P82" s="94">
        <f t="shared" si="1"/>
        <v>7.76</v>
      </c>
    </row>
    <row r="83" spans="2:16" hidden="1">
      <c r="B83" s="94" t="s">
        <v>585</v>
      </c>
      <c r="C83" s="94">
        <v>976</v>
      </c>
      <c r="D83" s="94" t="s">
        <v>586</v>
      </c>
      <c r="E83" s="94">
        <v>20</v>
      </c>
      <c r="F83" s="94">
        <v>70</v>
      </c>
      <c r="G83" s="94" t="s">
        <v>587</v>
      </c>
      <c r="H83" s="94">
        <v>40001411</v>
      </c>
      <c r="I83" s="94" t="s">
        <v>658</v>
      </c>
      <c r="J83" s="94">
        <v>1252</v>
      </c>
      <c r="K83" s="94" t="s">
        <v>587</v>
      </c>
      <c r="L83" s="94">
        <v>1</v>
      </c>
      <c r="M83" s="94" t="s">
        <v>588</v>
      </c>
      <c r="N83" s="94" t="s">
        <v>589</v>
      </c>
      <c r="O83" s="94" t="s">
        <v>590</v>
      </c>
      <c r="P83" s="94">
        <f t="shared" si="1"/>
        <v>6.26</v>
      </c>
    </row>
    <row r="84" spans="2:16">
      <c r="B84" s="94" t="s">
        <v>585</v>
      </c>
      <c r="C84" s="94">
        <v>976</v>
      </c>
      <c r="D84" s="94" t="s">
        <v>586</v>
      </c>
      <c r="E84" s="94">
        <v>20</v>
      </c>
      <c r="F84" s="94">
        <v>70</v>
      </c>
      <c r="G84" s="94" t="s">
        <v>587</v>
      </c>
      <c r="H84" s="94">
        <v>40001411</v>
      </c>
      <c r="I84" s="94" t="s">
        <v>659</v>
      </c>
      <c r="J84" s="94">
        <v>6.26</v>
      </c>
      <c r="K84" s="94" t="s">
        <v>587</v>
      </c>
      <c r="L84" s="94">
        <v>1</v>
      </c>
      <c r="M84" s="94" t="s">
        <v>592</v>
      </c>
      <c r="N84" s="94" t="s">
        <v>589</v>
      </c>
      <c r="O84" s="94" t="s">
        <v>590</v>
      </c>
      <c r="P84" s="94">
        <f t="shared" si="1"/>
        <v>6.26</v>
      </c>
    </row>
    <row r="85" spans="2:16" hidden="1">
      <c r="B85" s="94" t="s">
        <v>585</v>
      </c>
      <c r="C85" s="94">
        <v>976</v>
      </c>
      <c r="D85" s="94" t="s">
        <v>586</v>
      </c>
      <c r="E85" s="94">
        <v>20</v>
      </c>
      <c r="F85" s="94">
        <v>70</v>
      </c>
      <c r="G85" s="94" t="s">
        <v>587</v>
      </c>
      <c r="H85" s="94">
        <v>40001411</v>
      </c>
      <c r="I85" s="94" t="s">
        <v>660</v>
      </c>
      <c r="J85" s="94">
        <v>1432</v>
      </c>
      <c r="K85" s="94" t="s">
        <v>587</v>
      </c>
      <c r="L85" s="94">
        <v>1</v>
      </c>
      <c r="M85" s="94" t="s">
        <v>588</v>
      </c>
      <c r="N85" s="94" t="s">
        <v>589</v>
      </c>
      <c r="O85" s="94" t="s">
        <v>590</v>
      </c>
      <c r="P85" s="94">
        <f t="shared" si="1"/>
        <v>7.16</v>
      </c>
    </row>
    <row r="86" spans="2:16">
      <c r="B86" s="94" t="s">
        <v>585</v>
      </c>
      <c r="C86" s="94">
        <v>976</v>
      </c>
      <c r="D86" s="94" t="s">
        <v>586</v>
      </c>
      <c r="E86" s="94">
        <v>20</v>
      </c>
      <c r="F86" s="94">
        <v>70</v>
      </c>
      <c r="G86" s="94" t="s">
        <v>587</v>
      </c>
      <c r="H86" s="94">
        <v>40001411</v>
      </c>
      <c r="I86" s="94" t="s">
        <v>661</v>
      </c>
      <c r="J86" s="94">
        <v>7.16</v>
      </c>
      <c r="K86" s="94" t="s">
        <v>587</v>
      </c>
      <c r="L86" s="94">
        <v>1</v>
      </c>
      <c r="M86" s="94" t="s">
        <v>592</v>
      </c>
      <c r="N86" s="94" t="s">
        <v>589</v>
      </c>
      <c r="O86" s="94" t="s">
        <v>590</v>
      </c>
      <c r="P86" s="94">
        <f t="shared" si="1"/>
        <v>7.16</v>
      </c>
    </row>
    <row r="87" spans="2:16" hidden="1">
      <c r="B87" s="94" t="s">
        <v>585</v>
      </c>
      <c r="C87" s="94">
        <v>976</v>
      </c>
      <c r="D87" s="94" t="s">
        <v>586</v>
      </c>
      <c r="E87" s="94">
        <v>20</v>
      </c>
      <c r="F87" s="94">
        <v>70</v>
      </c>
      <c r="G87" s="94" t="s">
        <v>587</v>
      </c>
      <c r="H87" s="94">
        <v>40001411</v>
      </c>
      <c r="I87" s="94" t="s">
        <v>662</v>
      </c>
      <c r="J87" s="94">
        <v>1004</v>
      </c>
      <c r="K87" s="94" t="s">
        <v>587</v>
      </c>
      <c r="L87" s="94">
        <v>1</v>
      </c>
      <c r="M87" s="94" t="s">
        <v>588</v>
      </c>
      <c r="N87" s="94" t="s">
        <v>589</v>
      </c>
      <c r="O87" s="94" t="s">
        <v>590</v>
      </c>
      <c r="P87" s="94">
        <f t="shared" si="1"/>
        <v>5.0199999999999996</v>
      </c>
    </row>
    <row r="88" spans="2:16">
      <c r="B88" s="94" t="s">
        <v>585</v>
      </c>
      <c r="C88" s="94">
        <v>976</v>
      </c>
      <c r="D88" s="94" t="s">
        <v>586</v>
      </c>
      <c r="E88" s="94">
        <v>20</v>
      </c>
      <c r="F88" s="94">
        <v>70</v>
      </c>
      <c r="G88" s="94" t="s">
        <v>587</v>
      </c>
      <c r="H88" s="94">
        <v>40001411</v>
      </c>
      <c r="I88" s="94" t="s">
        <v>663</v>
      </c>
      <c r="J88" s="94">
        <v>5.0199999999999996</v>
      </c>
      <c r="K88" s="94" t="s">
        <v>587</v>
      </c>
      <c r="L88" s="94">
        <v>1</v>
      </c>
      <c r="M88" s="94" t="s">
        <v>592</v>
      </c>
      <c r="N88" s="94" t="s">
        <v>589</v>
      </c>
      <c r="O88" s="94" t="s">
        <v>590</v>
      </c>
      <c r="P88" s="94">
        <f t="shared" si="1"/>
        <v>5.0199999999999996</v>
      </c>
    </row>
    <row r="89" spans="2:16" hidden="1">
      <c r="B89" s="94" t="s">
        <v>585</v>
      </c>
      <c r="C89" s="94">
        <v>976</v>
      </c>
      <c r="D89" s="94" t="s">
        <v>586</v>
      </c>
      <c r="E89" s="94">
        <v>20</v>
      </c>
      <c r="F89" s="94">
        <v>70</v>
      </c>
      <c r="G89" s="94" t="s">
        <v>587</v>
      </c>
      <c r="H89" s="94">
        <v>40001411</v>
      </c>
      <c r="I89" s="94" t="s">
        <v>664</v>
      </c>
      <c r="J89" s="94">
        <v>1278</v>
      </c>
      <c r="K89" s="94" t="s">
        <v>587</v>
      </c>
      <c r="L89" s="94">
        <v>1</v>
      </c>
      <c r="M89" s="94" t="s">
        <v>588</v>
      </c>
      <c r="N89" s="94" t="s">
        <v>589</v>
      </c>
      <c r="O89" s="94" t="s">
        <v>590</v>
      </c>
      <c r="P89" s="94">
        <f t="shared" si="1"/>
        <v>6.39</v>
      </c>
    </row>
    <row r="90" spans="2:16">
      <c r="B90" s="94" t="s">
        <v>585</v>
      </c>
      <c r="C90" s="94">
        <v>976</v>
      </c>
      <c r="D90" s="94" t="s">
        <v>586</v>
      </c>
      <c r="E90" s="94">
        <v>20</v>
      </c>
      <c r="F90" s="94">
        <v>70</v>
      </c>
      <c r="G90" s="94" t="s">
        <v>587</v>
      </c>
      <c r="H90" s="94">
        <v>40001411</v>
      </c>
      <c r="I90" s="94" t="s">
        <v>665</v>
      </c>
      <c r="J90" s="94">
        <v>6.39</v>
      </c>
      <c r="K90" s="94" t="s">
        <v>587</v>
      </c>
      <c r="L90" s="94">
        <v>1</v>
      </c>
      <c r="M90" s="94" t="s">
        <v>592</v>
      </c>
      <c r="N90" s="94" t="s">
        <v>589</v>
      </c>
      <c r="O90" s="94" t="s">
        <v>590</v>
      </c>
      <c r="P90" s="94">
        <f t="shared" si="1"/>
        <v>6.39</v>
      </c>
    </row>
    <row r="91" spans="2:16" hidden="1">
      <c r="B91" s="94" t="s">
        <v>585</v>
      </c>
      <c r="C91" s="94">
        <v>976</v>
      </c>
      <c r="D91" s="94" t="s">
        <v>586</v>
      </c>
      <c r="E91" s="94">
        <v>20</v>
      </c>
      <c r="F91" s="94">
        <v>70</v>
      </c>
      <c r="G91" s="94" t="s">
        <v>587</v>
      </c>
      <c r="H91" s="94">
        <v>40001411</v>
      </c>
      <c r="I91" s="94" t="s">
        <v>666</v>
      </c>
      <c r="J91" s="94">
        <v>1170</v>
      </c>
      <c r="K91" s="94" t="s">
        <v>587</v>
      </c>
      <c r="L91" s="94">
        <v>1</v>
      </c>
      <c r="M91" s="94" t="s">
        <v>588</v>
      </c>
      <c r="N91" s="94" t="s">
        <v>589</v>
      </c>
      <c r="O91" s="94" t="s">
        <v>590</v>
      </c>
      <c r="P91" s="94">
        <f t="shared" si="1"/>
        <v>5.85</v>
      </c>
    </row>
    <row r="92" spans="2:16">
      <c r="B92" s="94" t="s">
        <v>585</v>
      </c>
      <c r="C92" s="94">
        <v>976</v>
      </c>
      <c r="D92" s="94" t="s">
        <v>586</v>
      </c>
      <c r="E92" s="94">
        <v>20</v>
      </c>
      <c r="F92" s="94">
        <v>70</v>
      </c>
      <c r="G92" s="94" t="s">
        <v>587</v>
      </c>
      <c r="H92" s="94">
        <v>40001411</v>
      </c>
      <c r="I92" s="94" t="s">
        <v>262</v>
      </c>
      <c r="J92" s="94">
        <v>5.85</v>
      </c>
      <c r="K92" s="94" t="s">
        <v>587</v>
      </c>
      <c r="L92" s="94">
        <v>1</v>
      </c>
      <c r="M92" s="94" t="s">
        <v>592</v>
      </c>
      <c r="N92" s="94" t="s">
        <v>589</v>
      </c>
      <c r="O92" s="94" t="s">
        <v>590</v>
      </c>
      <c r="P92" s="94">
        <f t="shared" si="1"/>
        <v>5.85</v>
      </c>
    </row>
    <row r="93" spans="2:16" hidden="1">
      <c r="B93" s="94" t="s">
        <v>585</v>
      </c>
      <c r="C93" s="94">
        <v>976</v>
      </c>
      <c r="D93" s="94" t="s">
        <v>586</v>
      </c>
      <c r="E93" s="94">
        <v>20</v>
      </c>
      <c r="F93" s="94">
        <v>70</v>
      </c>
      <c r="G93" s="94" t="s">
        <v>587</v>
      </c>
      <c r="H93" s="94">
        <v>40001411</v>
      </c>
      <c r="I93" s="94" t="s">
        <v>667</v>
      </c>
      <c r="J93" s="94">
        <v>1000</v>
      </c>
      <c r="K93" s="94" t="s">
        <v>587</v>
      </c>
      <c r="L93" s="94">
        <v>1</v>
      </c>
      <c r="M93" s="94" t="s">
        <v>588</v>
      </c>
      <c r="N93" s="94" t="s">
        <v>589</v>
      </c>
      <c r="O93" s="94" t="s">
        <v>590</v>
      </c>
      <c r="P93" s="94">
        <f t="shared" si="1"/>
        <v>5</v>
      </c>
    </row>
    <row r="94" spans="2:16">
      <c r="B94" s="94" t="s">
        <v>585</v>
      </c>
      <c r="C94" s="94">
        <v>976</v>
      </c>
      <c r="D94" s="94" t="s">
        <v>586</v>
      </c>
      <c r="E94" s="94">
        <v>20</v>
      </c>
      <c r="F94" s="94">
        <v>70</v>
      </c>
      <c r="G94" s="94" t="s">
        <v>587</v>
      </c>
      <c r="H94" s="94">
        <v>40001411</v>
      </c>
      <c r="I94" s="94" t="s">
        <v>668</v>
      </c>
      <c r="J94" s="94">
        <v>5</v>
      </c>
      <c r="K94" s="94" t="s">
        <v>587</v>
      </c>
      <c r="L94" s="94">
        <v>1</v>
      </c>
      <c r="M94" s="94" t="s">
        <v>592</v>
      </c>
      <c r="N94" s="94" t="s">
        <v>589</v>
      </c>
      <c r="O94" s="94" t="s">
        <v>590</v>
      </c>
      <c r="P94" s="94">
        <f t="shared" si="1"/>
        <v>5</v>
      </c>
    </row>
    <row r="95" spans="2:16" hidden="1">
      <c r="B95" s="94" t="s">
        <v>585</v>
      </c>
      <c r="C95" s="94">
        <v>976</v>
      </c>
      <c r="D95" s="94" t="s">
        <v>586</v>
      </c>
      <c r="E95" s="94">
        <v>20</v>
      </c>
      <c r="F95" s="94">
        <v>70</v>
      </c>
      <c r="G95" s="94" t="s">
        <v>587</v>
      </c>
      <c r="H95" s="94">
        <v>40001411</v>
      </c>
      <c r="I95" s="94" t="s">
        <v>182</v>
      </c>
      <c r="J95" s="94">
        <v>1364</v>
      </c>
      <c r="K95" s="94" t="s">
        <v>587</v>
      </c>
      <c r="L95" s="94">
        <v>1</v>
      </c>
      <c r="M95" s="94" t="s">
        <v>588</v>
      </c>
      <c r="N95" s="94" t="s">
        <v>589</v>
      </c>
      <c r="O95" s="94" t="s">
        <v>590</v>
      </c>
      <c r="P95" s="94">
        <f t="shared" si="1"/>
        <v>6.82</v>
      </c>
    </row>
    <row r="96" spans="2:16">
      <c r="B96" s="94" t="s">
        <v>585</v>
      </c>
      <c r="C96" s="94">
        <v>976</v>
      </c>
      <c r="D96" s="94" t="s">
        <v>586</v>
      </c>
      <c r="E96" s="94">
        <v>20</v>
      </c>
      <c r="F96" s="94">
        <v>70</v>
      </c>
      <c r="G96" s="94" t="s">
        <v>587</v>
      </c>
      <c r="H96" s="94">
        <v>40001411</v>
      </c>
      <c r="I96" s="94" t="s">
        <v>669</v>
      </c>
      <c r="J96" s="94">
        <v>6.82</v>
      </c>
      <c r="K96" s="94" t="s">
        <v>587</v>
      </c>
      <c r="L96" s="94">
        <v>1</v>
      </c>
      <c r="M96" s="94" t="s">
        <v>592</v>
      </c>
      <c r="N96" s="94" t="s">
        <v>589</v>
      </c>
      <c r="O96" s="94" t="s">
        <v>590</v>
      </c>
      <c r="P96" s="94">
        <f t="shared" si="1"/>
        <v>6.82</v>
      </c>
    </row>
    <row r="97" spans="2:16" hidden="1">
      <c r="B97" s="94" t="s">
        <v>585</v>
      </c>
      <c r="C97" s="94">
        <v>976</v>
      </c>
      <c r="D97" s="94" t="s">
        <v>586</v>
      </c>
      <c r="E97" s="94">
        <v>20</v>
      </c>
      <c r="F97" s="94">
        <v>70</v>
      </c>
      <c r="G97" s="94" t="s">
        <v>587</v>
      </c>
      <c r="H97" s="94">
        <v>40001411</v>
      </c>
      <c r="I97" s="94" t="s">
        <v>670</v>
      </c>
      <c r="J97" s="94">
        <v>1500</v>
      </c>
      <c r="K97" s="94" t="s">
        <v>587</v>
      </c>
      <c r="L97" s="94">
        <v>1</v>
      </c>
      <c r="M97" s="94" t="s">
        <v>588</v>
      </c>
      <c r="N97" s="94" t="s">
        <v>589</v>
      </c>
      <c r="O97" s="94" t="s">
        <v>590</v>
      </c>
      <c r="P97" s="94">
        <f t="shared" si="1"/>
        <v>7.5</v>
      </c>
    </row>
    <row r="98" spans="2:16">
      <c r="B98" s="94" t="s">
        <v>585</v>
      </c>
      <c r="C98" s="94">
        <v>976</v>
      </c>
      <c r="D98" s="94" t="s">
        <v>586</v>
      </c>
      <c r="E98" s="94">
        <v>20</v>
      </c>
      <c r="F98" s="94">
        <v>70</v>
      </c>
      <c r="G98" s="94" t="s">
        <v>587</v>
      </c>
      <c r="H98" s="94">
        <v>40001411</v>
      </c>
      <c r="I98" s="94" t="s">
        <v>671</v>
      </c>
      <c r="J98" s="94">
        <v>7.5</v>
      </c>
      <c r="K98" s="94" t="s">
        <v>587</v>
      </c>
      <c r="L98" s="94">
        <v>1</v>
      </c>
      <c r="M98" s="94" t="s">
        <v>592</v>
      </c>
      <c r="N98" s="94" t="s">
        <v>589</v>
      </c>
      <c r="O98" s="94" t="s">
        <v>590</v>
      </c>
      <c r="P98" s="94">
        <f t="shared" si="1"/>
        <v>7.5</v>
      </c>
    </row>
    <row r="99" spans="2:16" hidden="1">
      <c r="B99" s="94" t="s">
        <v>585</v>
      </c>
      <c r="C99" s="94">
        <v>976</v>
      </c>
      <c r="D99" s="94" t="s">
        <v>586</v>
      </c>
      <c r="E99" s="94">
        <v>20</v>
      </c>
      <c r="F99" s="94">
        <v>70</v>
      </c>
      <c r="G99" s="94" t="s">
        <v>587</v>
      </c>
      <c r="H99" s="94">
        <v>40001411</v>
      </c>
      <c r="I99" s="94" t="s">
        <v>303</v>
      </c>
      <c r="J99" s="94">
        <v>1324</v>
      </c>
      <c r="K99" s="94" t="s">
        <v>587</v>
      </c>
      <c r="L99" s="94">
        <v>1</v>
      </c>
      <c r="M99" s="94" t="s">
        <v>588</v>
      </c>
      <c r="N99" s="94" t="s">
        <v>589</v>
      </c>
      <c r="O99" s="94" t="s">
        <v>590</v>
      </c>
      <c r="P99" s="94">
        <f t="shared" si="1"/>
        <v>6.62</v>
      </c>
    </row>
    <row r="100" spans="2:16">
      <c r="B100" s="94" t="s">
        <v>585</v>
      </c>
      <c r="C100" s="94">
        <v>976</v>
      </c>
      <c r="D100" s="94" t="s">
        <v>586</v>
      </c>
      <c r="E100" s="94">
        <v>20</v>
      </c>
      <c r="F100" s="94">
        <v>70</v>
      </c>
      <c r="G100" s="94" t="s">
        <v>587</v>
      </c>
      <c r="H100" s="94">
        <v>40001411</v>
      </c>
      <c r="I100" s="94" t="s">
        <v>672</v>
      </c>
      <c r="J100" s="94">
        <v>6.62</v>
      </c>
      <c r="K100" s="94" t="s">
        <v>587</v>
      </c>
      <c r="L100" s="94">
        <v>1</v>
      </c>
      <c r="M100" s="94" t="s">
        <v>592</v>
      </c>
      <c r="N100" s="94" t="s">
        <v>589</v>
      </c>
      <c r="O100" s="94" t="s">
        <v>590</v>
      </c>
      <c r="P100" s="94">
        <f t="shared" si="1"/>
        <v>6.62</v>
      </c>
    </row>
    <row r="101" spans="2:16" hidden="1">
      <c r="B101" s="94" t="s">
        <v>585</v>
      </c>
      <c r="C101" s="94">
        <v>976</v>
      </c>
      <c r="D101" s="94" t="s">
        <v>586</v>
      </c>
      <c r="E101" s="94">
        <v>20</v>
      </c>
      <c r="F101" s="94">
        <v>70</v>
      </c>
      <c r="G101" s="94" t="s">
        <v>587</v>
      </c>
      <c r="H101" s="94">
        <v>40001411</v>
      </c>
      <c r="I101" s="94" t="s">
        <v>673</v>
      </c>
      <c r="J101" s="94">
        <v>1386</v>
      </c>
      <c r="K101" s="94" t="s">
        <v>587</v>
      </c>
      <c r="L101" s="94">
        <v>1</v>
      </c>
      <c r="M101" s="94" t="s">
        <v>588</v>
      </c>
      <c r="N101" s="94" t="s">
        <v>589</v>
      </c>
      <c r="O101" s="94" t="s">
        <v>590</v>
      </c>
      <c r="P101" s="94">
        <f t="shared" si="1"/>
        <v>6.93</v>
      </c>
    </row>
    <row r="102" spans="2:16">
      <c r="B102" s="94" t="s">
        <v>585</v>
      </c>
      <c r="C102" s="94">
        <v>976</v>
      </c>
      <c r="D102" s="94" t="s">
        <v>586</v>
      </c>
      <c r="E102" s="94">
        <v>20</v>
      </c>
      <c r="F102" s="94">
        <v>70</v>
      </c>
      <c r="G102" s="94" t="s">
        <v>587</v>
      </c>
      <c r="H102" s="94">
        <v>40001411</v>
      </c>
      <c r="I102" s="94" t="s">
        <v>674</v>
      </c>
      <c r="J102" s="94">
        <v>6.93</v>
      </c>
      <c r="K102" s="94" t="s">
        <v>587</v>
      </c>
      <c r="L102" s="94">
        <v>1</v>
      </c>
      <c r="M102" s="94" t="s">
        <v>592</v>
      </c>
      <c r="N102" s="94" t="s">
        <v>589</v>
      </c>
      <c r="O102" s="94" t="s">
        <v>590</v>
      </c>
      <c r="P102" s="94">
        <f t="shared" si="1"/>
        <v>6.93</v>
      </c>
    </row>
    <row r="103" spans="2:16" hidden="1">
      <c r="B103" s="94" t="s">
        <v>585</v>
      </c>
      <c r="C103" s="94">
        <v>976</v>
      </c>
      <c r="D103" s="94" t="s">
        <v>586</v>
      </c>
      <c r="E103" s="94">
        <v>20</v>
      </c>
      <c r="F103" s="94">
        <v>70</v>
      </c>
      <c r="G103" s="94" t="s">
        <v>587</v>
      </c>
      <c r="H103" s="94">
        <v>40001411</v>
      </c>
      <c r="I103" s="94" t="s">
        <v>675</v>
      </c>
      <c r="J103" s="94">
        <v>1460</v>
      </c>
      <c r="K103" s="94" t="s">
        <v>587</v>
      </c>
      <c r="L103" s="94">
        <v>1</v>
      </c>
      <c r="M103" s="94" t="s">
        <v>588</v>
      </c>
      <c r="N103" s="94" t="s">
        <v>589</v>
      </c>
      <c r="O103" s="94" t="s">
        <v>590</v>
      </c>
      <c r="P103" s="94">
        <f t="shared" si="1"/>
        <v>7.3</v>
      </c>
    </row>
    <row r="104" spans="2:16">
      <c r="B104" s="94" t="s">
        <v>585</v>
      </c>
      <c r="C104" s="94">
        <v>976</v>
      </c>
      <c r="D104" s="94" t="s">
        <v>586</v>
      </c>
      <c r="E104" s="94">
        <v>20</v>
      </c>
      <c r="F104" s="94">
        <v>70</v>
      </c>
      <c r="G104" s="94" t="s">
        <v>587</v>
      </c>
      <c r="H104" s="94">
        <v>40001411</v>
      </c>
      <c r="I104" s="94" t="s">
        <v>676</v>
      </c>
      <c r="J104" s="94">
        <v>7.3</v>
      </c>
      <c r="K104" s="94" t="s">
        <v>587</v>
      </c>
      <c r="L104" s="94">
        <v>1</v>
      </c>
      <c r="M104" s="94" t="s">
        <v>592</v>
      </c>
      <c r="N104" s="94" t="s">
        <v>589</v>
      </c>
      <c r="O104" s="94" t="s">
        <v>590</v>
      </c>
      <c r="P104" s="94">
        <f t="shared" si="1"/>
        <v>7.3</v>
      </c>
    </row>
    <row r="105" spans="2:16">
      <c r="B105" s="94" t="s">
        <v>585</v>
      </c>
      <c r="C105" s="94">
        <v>976</v>
      </c>
      <c r="D105" s="94" t="s">
        <v>586</v>
      </c>
      <c r="E105" s="94">
        <v>20</v>
      </c>
      <c r="F105" s="94">
        <v>70</v>
      </c>
      <c r="G105" s="94" t="s">
        <v>587</v>
      </c>
      <c r="H105" s="94">
        <v>40001411</v>
      </c>
      <c r="I105" s="94" t="s">
        <v>177</v>
      </c>
      <c r="J105" s="94">
        <v>3.25</v>
      </c>
      <c r="K105" s="94" t="s">
        <v>587</v>
      </c>
      <c r="L105" s="94">
        <v>1</v>
      </c>
      <c r="M105" s="94" t="s">
        <v>592</v>
      </c>
      <c r="N105" s="94" t="s">
        <v>589</v>
      </c>
      <c r="O105" s="94" t="s">
        <v>590</v>
      </c>
      <c r="P105" s="94">
        <f t="shared" si="1"/>
        <v>3.25</v>
      </c>
    </row>
    <row r="106" spans="2:16" hidden="1">
      <c r="B106" s="94" t="s">
        <v>585</v>
      </c>
      <c r="C106" s="94">
        <v>976</v>
      </c>
      <c r="D106" s="94" t="s">
        <v>586</v>
      </c>
      <c r="E106" s="94">
        <v>20</v>
      </c>
      <c r="F106" s="94">
        <v>70</v>
      </c>
      <c r="G106" s="94" t="s">
        <v>587</v>
      </c>
      <c r="H106" s="94">
        <v>40001411</v>
      </c>
      <c r="I106" s="94" t="s">
        <v>191</v>
      </c>
      <c r="J106" s="94">
        <v>878</v>
      </c>
      <c r="K106" s="94" t="s">
        <v>587</v>
      </c>
      <c r="L106" s="94">
        <v>1</v>
      </c>
      <c r="M106" s="94" t="s">
        <v>588</v>
      </c>
      <c r="N106" s="94" t="s">
        <v>589</v>
      </c>
      <c r="O106" s="94" t="s">
        <v>590</v>
      </c>
      <c r="P106" s="94">
        <f t="shared" si="1"/>
        <v>4.3899999999999997</v>
      </c>
    </row>
    <row r="107" spans="2:16">
      <c r="B107" s="94" t="s">
        <v>585</v>
      </c>
      <c r="C107" s="94">
        <v>976</v>
      </c>
      <c r="D107" s="94" t="s">
        <v>586</v>
      </c>
      <c r="E107" s="94">
        <v>20</v>
      </c>
      <c r="F107" s="94">
        <v>70</v>
      </c>
      <c r="G107" s="94" t="s">
        <v>587</v>
      </c>
      <c r="H107" s="94">
        <v>40001411</v>
      </c>
      <c r="I107" s="94" t="s">
        <v>677</v>
      </c>
      <c r="J107" s="94">
        <v>4.3899999999999997</v>
      </c>
      <c r="K107" s="94" t="s">
        <v>587</v>
      </c>
      <c r="L107" s="94">
        <v>1</v>
      </c>
      <c r="M107" s="94" t="s">
        <v>592</v>
      </c>
      <c r="N107" s="94" t="s">
        <v>589</v>
      </c>
      <c r="O107" s="94" t="s">
        <v>590</v>
      </c>
      <c r="P107" s="94">
        <f t="shared" si="1"/>
        <v>4.3899999999999997</v>
      </c>
    </row>
    <row r="108" spans="2:16" hidden="1">
      <c r="B108" s="94" t="s">
        <v>585</v>
      </c>
      <c r="C108" s="94">
        <v>976</v>
      </c>
      <c r="D108" s="94" t="s">
        <v>586</v>
      </c>
      <c r="E108" s="94">
        <v>20</v>
      </c>
      <c r="F108" s="94">
        <v>70</v>
      </c>
      <c r="G108" s="94" t="s">
        <v>587</v>
      </c>
      <c r="H108" s="94">
        <v>40001411</v>
      </c>
      <c r="I108" s="94" t="s">
        <v>678</v>
      </c>
      <c r="J108" s="94">
        <v>878</v>
      </c>
      <c r="K108" s="94" t="s">
        <v>587</v>
      </c>
      <c r="L108" s="94">
        <v>1</v>
      </c>
      <c r="M108" s="94" t="s">
        <v>588</v>
      </c>
      <c r="N108" s="94" t="s">
        <v>589</v>
      </c>
      <c r="O108" s="94" t="s">
        <v>590</v>
      </c>
      <c r="P108" s="94">
        <f t="shared" si="1"/>
        <v>4.3899999999999997</v>
      </c>
    </row>
    <row r="109" spans="2:16">
      <c r="B109" s="94" t="s">
        <v>585</v>
      </c>
      <c r="C109" s="94">
        <v>976</v>
      </c>
      <c r="D109" s="94" t="s">
        <v>586</v>
      </c>
      <c r="E109" s="94">
        <v>20</v>
      </c>
      <c r="F109" s="94">
        <v>70</v>
      </c>
      <c r="G109" s="94" t="s">
        <v>587</v>
      </c>
      <c r="H109" s="94">
        <v>40001411</v>
      </c>
      <c r="I109" s="94" t="s">
        <v>679</v>
      </c>
      <c r="J109" s="94">
        <v>4.3899999999999997</v>
      </c>
      <c r="K109" s="94" t="s">
        <v>587</v>
      </c>
      <c r="L109" s="94">
        <v>1</v>
      </c>
      <c r="M109" s="94" t="s">
        <v>592</v>
      </c>
      <c r="N109" s="94" t="s">
        <v>589</v>
      </c>
      <c r="O109" s="94" t="s">
        <v>590</v>
      </c>
      <c r="P109" s="94">
        <f t="shared" si="1"/>
        <v>4.3899999999999997</v>
      </c>
    </row>
    <row r="110" spans="2:16" hidden="1">
      <c r="B110" s="94" t="s">
        <v>585</v>
      </c>
      <c r="C110" s="94">
        <v>976</v>
      </c>
      <c r="D110" s="94" t="s">
        <v>586</v>
      </c>
      <c r="E110" s="94">
        <v>20</v>
      </c>
      <c r="F110" s="94">
        <v>70</v>
      </c>
      <c r="G110" s="94" t="s">
        <v>587</v>
      </c>
      <c r="H110" s="94">
        <v>40001411</v>
      </c>
      <c r="I110" s="94" t="s">
        <v>194</v>
      </c>
      <c r="J110" s="94">
        <v>1014</v>
      </c>
      <c r="K110" s="94" t="s">
        <v>587</v>
      </c>
      <c r="L110" s="94">
        <v>1</v>
      </c>
      <c r="M110" s="94" t="s">
        <v>588</v>
      </c>
      <c r="N110" s="94" t="s">
        <v>589</v>
      </c>
      <c r="O110" s="94" t="s">
        <v>590</v>
      </c>
      <c r="P110" s="94">
        <f t="shared" si="1"/>
        <v>5.07</v>
      </c>
    </row>
    <row r="111" spans="2:16">
      <c r="B111" s="94" t="s">
        <v>585</v>
      </c>
      <c r="C111" s="94">
        <v>976</v>
      </c>
      <c r="D111" s="94" t="s">
        <v>586</v>
      </c>
      <c r="E111" s="94">
        <v>20</v>
      </c>
      <c r="F111" s="94">
        <v>70</v>
      </c>
      <c r="G111" s="94" t="s">
        <v>587</v>
      </c>
      <c r="H111" s="94">
        <v>40001411</v>
      </c>
      <c r="I111" s="94" t="s">
        <v>243</v>
      </c>
      <c r="J111" s="94">
        <v>5.07</v>
      </c>
      <c r="K111" s="94" t="s">
        <v>587</v>
      </c>
      <c r="L111" s="94">
        <v>1</v>
      </c>
      <c r="M111" s="94" t="s">
        <v>592</v>
      </c>
      <c r="N111" s="94" t="s">
        <v>589</v>
      </c>
      <c r="O111" s="94" t="s">
        <v>590</v>
      </c>
      <c r="P111" s="94">
        <f t="shared" si="1"/>
        <v>5.07</v>
      </c>
    </row>
    <row r="112" spans="2:16" hidden="1">
      <c r="B112" s="94" t="s">
        <v>585</v>
      </c>
      <c r="C112" s="94">
        <v>976</v>
      </c>
      <c r="D112" s="94" t="s">
        <v>586</v>
      </c>
      <c r="E112" s="94">
        <v>20</v>
      </c>
      <c r="F112" s="94">
        <v>70</v>
      </c>
      <c r="G112" s="94" t="s">
        <v>587</v>
      </c>
      <c r="H112" s="94">
        <v>40001411</v>
      </c>
      <c r="I112" s="94" t="s">
        <v>680</v>
      </c>
      <c r="J112" s="94">
        <v>834</v>
      </c>
      <c r="K112" s="94" t="s">
        <v>587</v>
      </c>
      <c r="L112" s="94">
        <v>1</v>
      </c>
      <c r="M112" s="94" t="s">
        <v>588</v>
      </c>
      <c r="N112" s="94" t="s">
        <v>589</v>
      </c>
      <c r="O112" s="94" t="s">
        <v>590</v>
      </c>
      <c r="P112" s="94">
        <f t="shared" si="1"/>
        <v>4.17</v>
      </c>
    </row>
    <row r="113" spans="2:16">
      <c r="B113" s="94" t="s">
        <v>585</v>
      </c>
      <c r="C113" s="94">
        <v>976</v>
      </c>
      <c r="D113" s="94" t="s">
        <v>586</v>
      </c>
      <c r="E113" s="94">
        <v>20</v>
      </c>
      <c r="F113" s="94">
        <v>70</v>
      </c>
      <c r="G113" s="94" t="s">
        <v>587</v>
      </c>
      <c r="H113" s="94">
        <v>40001411</v>
      </c>
      <c r="I113" s="94" t="s">
        <v>681</v>
      </c>
      <c r="J113" s="94">
        <v>4.17</v>
      </c>
      <c r="K113" s="94" t="s">
        <v>587</v>
      </c>
      <c r="L113" s="94">
        <v>1</v>
      </c>
      <c r="M113" s="94" t="s">
        <v>592</v>
      </c>
      <c r="N113" s="94" t="s">
        <v>589</v>
      </c>
      <c r="O113" s="94" t="s">
        <v>590</v>
      </c>
      <c r="P113" s="94">
        <f t="shared" si="1"/>
        <v>4.17</v>
      </c>
    </row>
    <row r="114" spans="2:16" hidden="1">
      <c r="B114" s="94" t="s">
        <v>585</v>
      </c>
      <c r="C114" s="94">
        <v>976</v>
      </c>
      <c r="D114" s="94" t="s">
        <v>586</v>
      </c>
      <c r="E114" s="94">
        <v>20</v>
      </c>
      <c r="F114" s="94">
        <v>70</v>
      </c>
      <c r="G114" s="94" t="s">
        <v>587</v>
      </c>
      <c r="H114" s="94">
        <v>40001411</v>
      </c>
      <c r="I114" s="94" t="s">
        <v>682</v>
      </c>
      <c r="J114" s="94">
        <v>956</v>
      </c>
      <c r="K114" s="94" t="s">
        <v>587</v>
      </c>
      <c r="L114" s="94">
        <v>1</v>
      </c>
      <c r="M114" s="94" t="s">
        <v>588</v>
      </c>
      <c r="N114" s="94" t="s">
        <v>589</v>
      </c>
      <c r="O114" s="94" t="s">
        <v>590</v>
      </c>
      <c r="P114" s="94">
        <f t="shared" si="1"/>
        <v>4.78</v>
      </c>
    </row>
    <row r="115" spans="2:16">
      <c r="B115" s="94" t="s">
        <v>585</v>
      </c>
      <c r="C115" s="94">
        <v>976</v>
      </c>
      <c r="D115" s="94" t="s">
        <v>586</v>
      </c>
      <c r="E115" s="94">
        <v>20</v>
      </c>
      <c r="F115" s="94">
        <v>70</v>
      </c>
      <c r="G115" s="94" t="s">
        <v>587</v>
      </c>
      <c r="H115" s="94">
        <v>40001411</v>
      </c>
      <c r="I115" s="94" t="s">
        <v>683</v>
      </c>
      <c r="J115" s="94">
        <v>4.78</v>
      </c>
      <c r="K115" s="94" t="s">
        <v>587</v>
      </c>
      <c r="L115" s="94">
        <v>1</v>
      </c>
      <c r="M115" s="94" t="s">
        <v>592</v>
      </c>
      <c r="N115" s="94" t="s">
        <v>589</v>
      </c>
      <c r="O115" s="94" t="s">
        <v>590</v>
      </c>
      <c r="P115" s="94">
        <f t="shared" si="1"/>
        <v>4.78</v>
      </c>
    </row>
    <row r="116" spans="2:16" hidden="1">
      <c r="B116" s="94" t="s">
        <v>585</v>
      </c>
      <c r="C116" s="94">
        <v>976</v>
      </c>
      <c r="D116" s="94" t="s">
        <v>586</v>
      </c>
      <c r="E116" s="94">
        <v>20</v>
      </c>
      <c r="F116" s="94">
        <v>70</v>
      </c>
      <c r="G116" s="94" t="s">
        <v>587</v>
      </c>
      <c r="H116" s="94">
        <v>40001411</v>
      </c>
      <c r="I116" s="94" t="s">
        <v>684</v>
      </c>
      <c r="J116" s="94">
        <v>1028</v>
      </c>
      <c r="K116" s="94" t="s">
        <v>587</v>
      </c>
      <c r="L116" s="94">
        <v>1</v>
      </c>
      <c r="M116" s="94" t="s">
        <v>588</v>
      </c>
      <c r="N116" s="94" t="s">
        <v>589</v>
      </c>
      <c r="O116" s="94" t="s">
        <v>590</v>
      </c>
      <c r="P116" s="94">
        <f t="shared" si="1"/>
        <v>5.14</v>
      </c>
    </row>
    <row r="117" spans="2:16">
      <c r="B117" s="94" t="s">
        <v>585</v>
      </c>
      <c r="C117" s="94">
        <v>976</v>
      </c>
      <c r="D117" s="94" t="s">
        <v>586</v>
      </c>
      <c r="E117" s="94">
        <v>20</v>
      </c>
      <c r="F117" s="94">
        <v>70</v>
      </c>
      <c r="G117" s="94" t="s">
        <v>587</v>
      </c>
      <c r="H117" s="94">
        <v>40001411</v>
      </c>
      <c r="I117" s="94" t="s">
        <v>685</v>
      </c>
      <c r="J117" s="94">
        <v>5.14</v>
      </c>
      <c r="K117" s="94" t="s">
        <v>587</v>
      </c>
      <c r="L117" s="94">
        <v>1</v>
      </c>
      <c r="M117" s="94" t="s">
        <v>592</v>
      </c>
      <c r="N117" s="94" t="s">
        <v>589</v>
      </c>
      <c r="O117" s="94" t="s">
        <v>590</v>
      </c>
      <c r="P117" s="94">
        <f t="shared" si="1"/>
        <v>5.14</v>
      </c>
    </row>
    <row r="118" spans="2:16" hidden="1">
      <c r="B118" s="94" t="s">
        <v>585</v>
      </c>
      <c r="C118" s="94">
        <v>976</v>
      </c>
      <c r="D118" s="94" t="s">
        <v>586</v>
      </c>
      <c r="E118" s="94">
        <v>20</v>
      </c>
      <c r="F118" s="94">
        <v>70</v>
      </c>
      <c r="G118" s="94" t="s">
        <v>587</v>
      </c>
      <c r="H118" s="94">
        <v>40001411</v>
      </c>
      <c r="I118" s="94" t="s">
        <v>686</v>
      </c>
      <c r="J118" s="94">
        <v>810</v>
      </c>
      <c r="K118" s="94" t="s">
        <v>587</v>
      </c>
      <c r="L118" s="94">
        <v>1</v>
      </c>
      <c r="M118" s="94" t="s">
        <v>588</v>
      </c>
      <c r="N118" s="94" t="s">
        <v>589</v>
      </c>
      <c r="O118" s="94" t="s">
        <v>590</v>
      </c>
      <c r="P118" s="94">
        <f t="shared" si="1"/>
        <v>4.05</v>
      </c>
    </row>
    <row r="119" spans="2:16">
      <c r="B119" s="94" t="s">
        <v>585</v>
      </c>
      <c r="C119" s="94">
        <v>976</v>
      </c>
      <c r="D119" s="94" t="s">
        <v>586</v>
      </c>
      <c r="E119" s="94">
        <v>20</v>
      </c>
      <c r="F119" s="94">
        <v>70</v>
      </c>
      <c r="G119" s="94" t="s">
        <v>587</v>
      </c>
      <c r="H119" s="94">
        <v>40001411</v>
      </c>
      <c r="I119" s="94" t="s">
        <v>687</v>
      </c>
      <c r="J119" s="94">
        <v>4.05</v>
      </c>
      <c r="K119" s="94" t="s">
        <v>587</v>
      </c>
      <c r="L119" s="94">
        <v>1</v>
      </c>
      <c r="M119" s="94" t="s">
        <v>592</v>
      </c>
      <c r="N119" s="94" t="s">
        <v>589</v>
      </c>
      <c r="O119" s="94" t="s">
        <v>590</v>
      </c>
      <c r="P119" s="94">
        <f t="shared" si="1"/>
        <v>4.05</v>
      </c>
    </row>
    <row r="120" spans="2:16" hidden="1">
      <c r="B120" s="94" t="s">
        <v>585</v>
      </c>
      <c r="C120" s="94">
        <v>976</v>
      </c>
      <c r="D120" s="94" t="s">
        <v>586</v>
      </c>
      <c r="E120" s="94">
        <v>20</v>
      </c>
      <c r="F120" s="94">
        <v>70</v>
      </c>
      <c r="G120" s="94" t="s">
        <v>587</v>
      </c>
      <c r="H120" s="94">
        <v>40001411</v>
      </c>
      <c r="I120" s="94" t="s">
        <v>688</v>
      </c>
      <c r="J120" s="94">
        <v>936</v>
      </c>
      <c r="K120" s="94" t="s">
        <v>587</v>
      </c>
      <c r="L120" s="94">
        <v>1</v>
      </c>
      <c r="M120" s="94" t="s">
        <v>588</v>
      </c>
      <c r="N120" s="94" t="s">
        <v>589</v>
      </c>
      <c r="O120" s="94" t="s">
        <v>590</v>
      </c>
      <c r="P120" s="94">
        <f t="shared" si="1"/>
        <v>4.68</v>
      </c>
    </row>
    <row r="121" spans="2:16">
      <c r="B121" s="94" t="s">
        <v>585</v>
      </c>
      <c r="C121" s="94">
        <v>976</v>
      </c>
      <c r="D121" s="94" t="s">
        <v>586</v>
      </c>
      <c r="E121" s="94">
        <v>20</v>
      </c>
      <c r="F121" s="94">
        <v>70</v>
      </c>
      <c r="G121" s="94" t="s">
        <v>587</v>
      </c>
      <c r="H121" s="94">
        <v>40001411</v>
      </c>
      <c r="I121" s="94" t="s">
        <v>689</v>
      </c>
      <c r="J121" s="94">
        <v>4.68</v>
      </c>
      <c r="K121" s="94" t="s">
        <v>587</v>
      </c>
      <c r="L121" s="94">
        <v>1</v>
      </c>
      <c r="M121" s="94" t="s">
        <v>592</v>
      </c>
      <c r="N121" s="94" t="s">
        <v>589</v>
      </c>
      <c r="O121" s="94" t="s">
        <v>590</v>
      </c>
      <c r="P121" s="94">
        <f t="shared" si="1"/>
        <v>4.68</v>
      </c>
    </row>
    <row r="122" spans="2:16" hidden="1">
      <c r="B122" s="94" t="s">
        <v>585</v>
      </c>
      <c r="C122" s="94">
        <v>976</v>
      </c>
      <c r="D122" s="94" t="s">
        <v>586</v>
      </c>
      <c r="E122" s="94">
        <v>20</v>
      </c>
      <c r="F122" s="94">
        <v>70</v>
      </c>
      <c r="G122" s="94" t="s">
        <v>587</v>
      </c>
      <c r="H122" s="94">
        <v>40001411</v>
      </c>
      <c r="I122" s="94" t="s">
        <v>690</v>
      </c>
      <c r="J122" s="94">
        <v>792</v>
      </c>
      <c r="K122" s="94" t="s">
        <v>587</v>
      </c>
      <c r="L122" s="94">
        <v>1</v>
      </c>
      <c r="M122" s="94" t="s">
        <v>588</v>
      </c>
      <c r="N122" s="94" t="s">
        <v>589</v>
      </c>
      <c r="O122" s="94" t="s">
        <v>590</v>
      </c>
      <c r="P122" s="94">
        <f t="shared" si="1"/>
        <v>3.96</v>
      </c>
    </row>
    <row r="123" spans="2:16">
      <c r="B123" s="94" t="s">
        <v>585</v>
      </c>
      <c r="C123" s="94">
        <v>976</v>
      </c>
      <c r="D123" s="94" t="s">
        <v>586</v>
      </c>
      <c r="E123" s="94">
        <v>20</v>
      </c>
      <c r="F123" s="94">
        <v>70</v>
      </c>
      <c r="G123" s="94" t="s">
        <v>587</v>
      </c>
      <c r="H123" s="94">
        <v>40001411</v>
      </c>
      <c r="I123" s="94" t="s">
        <v>691</v>
      </c>
      <c r="J123" s="94">
        <v>3.96</v>
      </c>
      <c r="K123" s="94" t="s">
        <v>587</v>
      </c>
      <c r="L123" s="94">
        <v>1</v>
      </c>
      <c r="M123" s="94" t="s">
        <v>592</v>
      </c>
      <c r="N123" s="94" t="s">
        <v>589</v>
      </c>
      <c r="O123" s="94" t="s">
        <v>590</v>
      </c>
      <c r="P123" s="94">
        <f t="shared" si="1"/>
        <v>3.96</v>
      </c>
    </row>
    <row r="124" spans="2:16" hidden="1">
      <c r="B124" s="94" t="s">
        <v>585</v>
      </c>
      <c r="C124" s="94">
        <v>976</v>
      </c>
      <c r="D124" s="94" t="s">
        <v>586</v>
      </c>
      <c r="E124" s="94">
        <v>20</v>
      </c>
      <c r="F124" s="94">
        <v>70</v>
      </c>
      <c r="G124" s="94" t="s">
        <v>587</v>
      </c>
      <c r="H124" s="94">
        <v>40001411</v>
      </c>
      <c r="I124" s="94" t="s">
        <v>188</v>
      </c>
      <c r="J124" s="94">
        <v>302</v>
      </c>
      <c r="K124" s="94" t="s">
        <v>587</v>
      </c>
      <c r="L124" s="94">
        <v>1</v>
      </c>
      <c r="M124" s="94" t="s">
        <v>588</v>
      </c>
      <c r="N124" s="94" t="s">
        <v>589</v>
      </c>
      <c r="O124" s="94" t="s">
        <v>590</v>
      </c>
      <c r="P124" s="94">
        <f t="shared" si="1"/>
        <v>1.51</v>
      </c>
    </row>
    <row r="125" spans="2:16">
      <c r="B125" s="94" t="s">
        <v>585</v>
      </c>
      <c r="C125" s="94">
        <v>976</v>
      </c>
      <c r="D125" s="94" t="s">
        <v>586</v>
      </c>
      <c r="E125" s="94">
        <v>20</v>
      </c>
      <c r="F125" s="94">
        <v>70</v>
      </c>
      <c r="G125" s="94" t="s">
        <v>587</v>
      </c>
      <c r="H125" s="94">
        <v>40001411</v>
      </c>
      <c r="I125" s="94" t="s">
        <v>263</v>
      </c>
      <c r="J125" s="94">
        <v>1.51</v>
      </c>
      <c r="K125" s="94" t="s">
        <v>587</v>
      </c>
      <c r="L125" s="94">
        <v>1</v>
      </c>
      <c r="M125" s="94" t="s">
        <v>592</v>
      </c>
      <c r="N125" s="94" t="s">
        <v>589</v>
      </c>
      <c r="O125" s="94" t="s">
        <v>590</v>
      </c>
      <c r="P125" s="94">
        <f t="shared" si="1"/>
        <v>1.51</v>
      </c>
    </row>
    <row r="126" spans="2:16" hidden="1">
      <c r="B126" s="94" t="s">
        <v>585</v>
      </c>
      <c r="C126" s="94">
        <v>976</v>
      </c>
      <c r="D126" s="94" t="s">
        <v>586</v>
      </c>
      <c r="E126" s="94">
        <v>20</v>
      </c>
      <c r="F126" s="94">
        <v>70</v>
      </c>
      <c r="G126" s="94" t="s">
        <v>587</v>
      </c>
      <c r="H126" s="94">
        <v>40001411</v>
      </c>
      <c r="I126" s="94" t="s">
        <v>692</v>
      </c>
      <c r="J126" s="94">
        <v>742</v>
      </c>
      <c r="K126" s="94" t="s">
        <v>587</v>
      </c>
      <c r="L126" s="94">
        <v>1</v>
      </c>
      <c r="M126" s="94" t="s">
        <v>588</v>
      </c>
      <c r="N126" s="94" t="s">
        <v>589</v>
      </c>
      <c r="O126" s="94" t="s">
        <v>590</v>
      </c>
      <c r="P126" s="94">
        <f t="shared" si="1"/>
        <v>3.71</v>
      </c>
    </row>
    <row r="127" spans="2:16">
      <c r="B127" s="94" t="s">
        <v>585</v>
      </c>
      <c r="C127" s="94">
        <v>976</v>
      </c>
      <c r="D127" s="94" t="s">
        <v>586</v>
      </c>
      <c r="E127" s="94">
        <v>20</v>
      </c>
      <c r="F127" s="94">
        <v>70</v>
      </c>
      <c r="G127" s="94" t="s">
        <v>587</v>
      </c>
      <c r="H127" s="94">
        <v>40001411</v>
      </c>
      <c r="I127" s="94" t="s">
        <v>693</v>
      </c>
      <c r="J127" s="94">
        <v>3.71</v>
      </c>
      <c r="K127" s="94" t="s">
        <v>587</v>
      </c>
      <c r="L127" s="94">
        <v>1</v>
      </c>
      <c r="M127" s="94" t="s">
        <v>592</v>
      </c>
      <c r="N127" s="94" t="s">
        <v>589</v>
      </c>
      <c r="O127" s="94" t="s">
        <v>590</v>
      </c>
      <c r="P127" s="94">
        <f t="shared" si="1"/>
        <v>3.71</v>
      </c>
    </row>
    <row r="128" spans="2:16" hidden="1">
      <c r="B128" s="94" t="s">
        <v>585</v>
      </c>
      <c r="C128" s="94">
        <v>976</v>
      </c>
      <c r="D128" s="94" t="s">
        <v>586</v>
      </c>
      <c r="E128" s="94">
        <v>20</v>
      </c>
      <c r="F128" s="94">
        <v>70</v>
      </c>
      <c r="G128" s="94" t="s">
        <v>587</v>
      </c>
      <c r="H128" s="94">
        <v>40001411</v>
      </c>
      <c r="I128" s="94" t="s">
        <v>694</v>
      </c>
      <c r="J128" s="94">
        <v>18.48</v>
      </c>
      <c r="K128" s="94" t="s">
        <v>587</v>
      </c>
      <c r="L128" s="94">
        <v>1</v>
      </c>
      <c r="M128" s="94" t="s">
        <v>588</v>
      </c>
      <c r="N128" s="94" t="s">
        <v>589</v>
      </c>
      <c r="O128" s="94" t="s">
        <v>590</v>
      </c>
      <c r="P128" s="94">
        <f t="shared" si="1"/>
        <v>9.2399999999999996E-2</v>
      </c>
    </row>
    <row r="129" spans="2:16" hidden="1">
      <c r="B129" s="94" t="s">
        <v>585</v>
      </c>
      <c r="C129" s="94">
        <v>976</v>
      </c>
      <c r="D129" s="94" t="s">
        <v>586</v>
      </c>
      <c r="E129" s="94">
        <v>20</v>
      </c>
      <c r="F129" s="94">
        <v>70</v>
      </c>
      <c r="G129" s="94" t="s">
        <v>587</v>
      </c>
      <c r="H129" s="94">
        <v>40001411</v>
      </c>
      <c r="I129" s="94" t="s">
        <v>695</v>
      </c>
      <c r="J129" s="94">
        <v>721.6</v>
      </c>
      <c r="K129" s="94" t="s">
        <v>587</v>
      </c>
      <c r="L129" s="94">
        <v>1</v>
      </c>
      <c r="M129" s="94" t="s">
        <v>588</v>
      </c>
      <c r="N129" s="94" t="s">
        <v>589</v>
      </c>
      <c r="O129" s="94" t="s">
        <v>590</v>
      </c>
      <c r="P129" s="94">
        <f t="shared" si="1"/>
        <v>3.6080000000000001</v>
      </c>
    </row>
    <row r="130" spans="2:16" hidden="1">
      <c r="B130" s="94" t="s">
        <v>585</v>
      </c>
      <c r="C130" s="94">
        <v>976</v>
      </c>
      <c r="D130" s="94" t="s">
        <v>586</v>
      </c>
      <c r="E130" s="94">
        <v>20</v>
      </c>
      <c r="F130" s="94">
        <v>70</v>
      </c>
      <c r="G130" s="94" t="s">
        <v>587</v>
      </c>
      <c r="H130" s="94">
        <v>40001411</v>
      </c>
      <c r="I130" s="94" t="s">
        <v>696</v>
      </c>
      <c r="J130" s="94">
        <v>1214</v>
      </c>
      <c r="K130" s="94" t="s">
        <v>587</v>
      </c>
      <c r="L130" s="94">
        <v>1</v>
      </c>
      <c r="M130" s="94" t="s">
        <v>588</v>
      </c>
      <c r="N130" s="94" t="s">
        <v>589</v>
      </c>
      <c r="O130" s="94" t="s">
        <v>590</v>
      </c>
      <c r="P130" s="94">
        <f t="shared" si="1"/>
        <v>6.07</v>
      </c>
    </row>
    <row r="131" spans="2:16">
      <c r="B131" s="94" t="s">
        <v>585</v>
      </c>
      <c r="C131" s="94">
        <v>976</v>
      </c>
      <c r="D131" s="94" t="s">
        <v>586</v>
      </c>
      <c r="E131" s="94">
        <v>20</v>
      </c>
      <c r="F131" s="94">
        <v>70</v>
      </c>
      <c r="G131" s="94" t="s">
        <v>587</v>
      </c>
      <c r="H131" s="94">
        <v>40001411</v>
      </c>
      <c r="I131" s="94" t="s">
        <v>697</v>
      </c>
      <c r="J131" s="94">
        <v>6.07</v>
      </c>
      <c r="K131" s="94" t="s">
        <v>587</v>
      </c>
      <c r="L131" s="94">
        <v>1</v>
      </c>
      <c r="M131" s="94" t="s">
        <v>592</v>
      </c>
      <c r="N131" s="94" t="s">
        <v>589</v>
      </c>
      <c r="O131" s="94" t="s">
        <v>590</v>
      </c>
      <c r="P131" s="94">
        <f t="shared" si="1"/>
        <v>6.07</v>
      </c>
    </row>
    <row r="132" spans="2:16" hidden="1">
      <c r="B132" s="94" t="s">
        <v>585</v>
      </c>
      <c r="C132" s="94">
        <v>976</v>
      </c>
      <c r="D132" s="94" t="s">
        <v>586</v>
      </c>
      <c r="E132" s="94">
        <v>20</v>
      </c>
      <c r="F132" s="94">
        <v>70</v>
      </c>
      <c r="G132" s="94" t="s">
        <v>587</v>
      </c>
      <c r="H132" s="94">
        <v>40001411</v>
      </c>
      <c r="I132" s="94" t="s">
        <v>275</v>
      </c>
      <c r="J132" s="94">
        <v>1630</v>
      </c>
      <c r="K132" s="94" t="s">
        <v>587</v>
      </c>
      <c r="L132" s="94">
        <v>1</v>
      </c>
      <c r="M132" s="94" t="s">
        <v>588</v>
      </c>
      <c r="N132" s="94" t="s">
        <v>589</v>
      </c>
      <c r="O132" s="94" t="s">
        <v>590</v>
      </c>
      <c r="P132" s="94">
        <f t="shared" ref="P132:P195" si="2">+IF(M132="tam",J132/200,J132)</f>
        <v>8.15</v>
      </c>
    </row>
    <row r="133" spans="2:16">
      <c r="B133" s="94" t="s">
        <v>585</v>
      </c>
      <c r="C133" s="94">
        <v>976</v>
      </c>
      <c r="D133" s="94" t="s">
        <v>586</v>
      </c>
      <c r="E133" s="94">
        <v>20</v>
      </c>
      <c r="F133" s="94">
        <v>70</v>
      </c>
      <c r="G133" s="94" t="s">
        <v>587</v>
      </c>
      <c r="H133" s="94">
        <v>40001411</v>
      </c>
      <c r="I133" s="94" t="s">
        <v>698</v>
      </c>
      <c r="J133" s="94">
        <v>8.15</v>
      </c>
      <c r="K133" s="94" t="s">
        <v>587</v>
      </c>
      <c r="L133" s="94">
        <v>1</v>
      </c>
      <c r="M133" s="94" t="s">
        <v>592</v>
      </c>
      <c r="N133" s="94" t="s">
        <v>589</v>
      </c>
      <c r="O133" s="94" t="s">
        <v>590</v>
      </c>
      <c r="P133" s="94">
        <f t="shared" si="2"/>
        <v>8.15</v>
      </c>
    </row>
    <row r="134" spans="2:16" hidden="1">
      <c r="B134" s="94" t="s">
        <v>585</v>
      </c>
      <c r="C134" s="94">
        <v>976</v>
      </c>
      <c r="D134" s="94" t="s">
        <v>586</v>
      </c>
      <c r="E134" s="94">
        <v>20</v>
      </c>
      <c r="F134" s="94">
        <v>70</v>
      </c>
      <c r="G134" s="94" t="s">
        <v>587</v>
      </c>
      <c r="H134" s="94">
        <v>40001411</v>
      </c>
      <c r="I134" s="94" t="s">
        <v>174</v>
      </c>
      <c r="J134" s="94">
        <v>914</v>
      </c>
      <c r="K134" s="94" t="s">
        <v>587</v>
      </c>
      <c r="L134" s="94">
        <v>1</v>
      </c>
      <c r="M134" s="94" t="s">
        <v>588</v>
      </c>
      <c r="N134" s="94" t="s">
        <v>589</v>
      </c>
      <c r="O134" s="94" t="s">
        <v>590</v>
      </c>
      <c r="P134" s="94">
        <f t="shared" si="2"/>
        <v>4.57</v>
      </c>
    </row>
    <row r="135" spans="2:16">
      <c r="B135" s="94" t="s">
        <v>585</v>
      </c>
      <c r="C135" s="94">
        <v>976</v>
      </c>
      <c r="D135" s="94" t="s">
        <v>586</v>
      </c>
      <c r="E135" s="94">
        <v>20</v>
      </c>
      <c r="F135" s="94">
        <v>70</v>
      </c>
      <c r="G135" s="94" t="s">
        <v>587</v>
      </c>
      <c r="H135" s="94">
        <v>40001411</v>
      </c>
      <c r="I135" s="94" t="s">
        <v>699</v>
      </c>
      <c r="J135" s="94">
        <v>4.57</v>
      </c>
      <c r="K135" s="94" t="s">
        <v>587</v>
      </c>
      <c r="L135" s="94">
        <v>1</v>
      </c>
      <c r="M135" s="94" t="s">
        <v>592</v>
      </c>
      <c r="N135" s="94" t="s">
        <v>589</v>
      </c>
      <c r="O135" s="94" t="s">
        <v>590</v>
      </c>
      <c r="P135" s="94">
        <f t="shared" si="2"/>
        <v>4.57</v>
      </c>
    </row>
    <row r="136" spans="2:16" hidden="1">
      <c r="B136" s="94" t="s">
        <v>585</v>
      </c>
      <c r="C136" s="94">
        <v>976</v>
      </c>
      <c r="D136" s="94" t="s">
        <v>586</v>
      </c>
      <c r="E136" s="94">
        <v>20</v>
      </c>
      <c r="F136" s="94">
        <v>70</v>
      </c>
      <c r="G136" s="94" t="s">
        <v>587</v>
      </c>
      <c r="H136" s="94">
        <v>40001411</v>
      </c>
      <c r="I136" s="94" t="s">
        <v>179</v>
      </c>
      <c r="J136" s="94">
        <v>548</v>
      </c>
      <c r="K136" s="94" t="s">
        <v>587</v>
      </c>
      <c r="L136" s="94">
        <v>1</v>
      </c>
      <c r="M136" s="94" t="s">
        <v>588</v>
      </c>
      <c r="N136" s="94" t="s">
        <v>589</v>
      </c>
      <c r="O136" s="94" t="s">
        <v>590</v>
      </c>
      <c r="P136" s="94">
        <f t="shared" si="2"/>
        <v>2.74</v>
      </c>
    </row>
    <row r="137" spans="2:16">
      <c r="B137" s="94" t="s">
        <v>585</v>
      </c>
      <c r="C137" s="94">
        <v>976</v>
      </c>
      <c r="D137" s="94" t="s">
        <v>586</v>
      </c>
      <c r="E137" s="94">
        <v>20</v>
      </c>
      <c r="F137" s="94">
        <v>70</v>
      </c>
      <c r="G137" s="94" t="s">
        <v>587</v>
      </c>
      <c r="H137" s="94">
        <v>40001411</v>
      </c>
      <c r="I137" s="94" t="s">
        <v>700</v>
      </c>
      <c r="J137" s="94">
        <v>2.74</v>
      </c>
      <c r="K137" s="94" t="s">
        <v>587</v>
      </c>
      <c r="L137" s="94">
        <v>1</v>
      </c>
      <c r="M137" s="94" t="s">
        <v>592</v>
      </c>
      <c r="N137" s="94" t="s">
        <v>589</v>
      </c>
      <c r="O137" s="94" t="s">
        <v>590</v>
      </c>
      <c r="P137" s="94">
        <f t="shared" si="2"/>
        <v>2.74</v>
      </c>
    </row>
    <row r="138" spans="2:16" hidden="1">
      <c r="B138" s="94" t="s">
        <v>585</v>
      </c>
      <c r="C138" s="94">
        <v>976</v>
      </c>
      <c r="D138" s="94" t="s">
        <v>586</v>
      </c>
      <c r="E138" s="94">
        <v>20</v>
      </c>
      <c r="F138" s="94">
        <v>70</v>
      </c>
      <c r="G138" s="94" t="s">
        <v>587</v>
      </c>
      <c r="H138" s="94">
        <v>40001411</v>
      </c>
      <c r="I138" s="94" t="s">
        <v>701</v>
      </c>
      <c r="J138" s="94">
        <v>706</v>
      </c>
      <c r="K138" s="94" t="s">
        <v>587</v>
      </c>
      <c r="L138" s="94">
        <v>1</v>
      </c>
      <c r="M138" s="94" t="s">
        <v>588</v>
      </c>
      <c r="N138" s="94" t="s">
        <v>589</v>
      </c>
      <c r="O138" s="94" t="s">
        <v>590</v>
      </c>
      <c r="P138" s="94">
        <f t="shared" si="2"/>
        <v>3.53</v>
      </c>
    </row>
    <row r="139" spans="2:16">
      <c r="B139" s="94" t="s">
        <v>585</v>
      </c>
      <c r="C139" s="94">
        <v>976</v>
      </c>
      <c r="D139" s="94" t="s">
        <v>586</v>
      </c>
      <c r="E139" s="94">
        <v>20</v>
      </c>
      <c r="F139" s="94">
        <v>70</v>
      </c>
      <c r="G139" s="94" t="s">
        <v>587</v>
      </c>
      <c r="H139" s="94">
        <v>40001411</v>
      </c>
      <c r="I139" s="94" t="s">
        <v>702</v>
      </c>
      <c r="J139" s="94">
        <v>3.53</v>
      </c>
      <c r="K139" s="94" t="s">
        <v>587</v>
      </c>
      <c r="L139" s="94">
        <v>1</v>
      </c>
      <c r="M139" s="94" t="s">
        <v>592</v>
      </c>
      <c r="N139" s="94" t="s">
        <v>589</v>
      </c>
      <c r="O139" s="94" t="s">
        <v>590</v>
      </c>
      <c r="P139" s="94">
        <f t="shared" si="2"/>
        <v>3.53</v>
      </c>
    </row>
    <row r="140" spans="2:16" hidden="1">
      <c r="B140" s="94" t="s">
        <v>585</v>
      </c>
      <c r="C140" s="94">
        <v>976</v>
      </c>
      <c r="D140" s="94" t="s">
        <v>586</v>
      </c>
      <c r="E140" s="94">
        <v>20</v>
      </c>
      <c r="F140" s="94">
        <v>70</v>
      </c>
      <c r="G140" s="94" t="s">
        <v>587</v>
      </c>
      <c r="H140" s="94">
        <v>40001411</v>
      </c>
      <c r="I140" s="94" t="s">
        <v>703</v>
      </c>
      <c r="J140" s="94">
        <v>654</v>
      </c>
      <c r="K140" s="94" t="s">
        <v>587</v>
      </c>
      <c r="L140" s="94">
        <v>1</v>
      </c>
      <c r="M140" s="94" t="s">
        <v>588</v>
      </c>
      <c r="N140" s="94" t="s">
        <v>589</v>
      </c>
      <c r="O140" s="94" t="s">
        <v>590</v>
      </c>
      <c r="P140" s="94">
        <f t="shared" si="2"/>
        <v>3.27</v>
      </c>
    </row>
    <row r="141" spans="2:16">
      <c r="B141" s="94" t="s">
        <v>585</v>
      </c>
      <c r="C141" s="94">
        <v>976</v>
      </c>
      <c r="D141" s="94" t="s">
        <v>586</v>
      </c>
      <c r="E141" s="94">
        <v>20</v>
      </c>
      <c r="F141" s="94">
        <v>70</v>
      </c>
      <c r="G141" s="94" t="s">
        <v>587</v>
      </c>
      <c r="H141" s="94">
        <v>40001411</v>
      </c>
      <c r="I141" s="94" t="s">
        <v>704</v>
      </c>
      <c r="J141" s="94">
        <v>3.27</v>
      </c>
      <c r="K141" s="94" t="s">
        <v>587</v>
      </c>
      <c r="L141" s="94">
        <v>1</v>
      </c>
      <c r="M141" s="94" t="s">
        <v>592</v>
      </c>
      <c r="N141" s="94" t="s">
        <v>589</v>
      </c>
      <c r="O141" s="94" t="s">
        <v>590</v>
      </c>
      <c r="P141" s="94">
        <f t="shared" si="2"/>
        <v>3.27</v>
      </c>
    </row>
    <row r="142" spans="2:16" hidden="1">
      <c r="B142" s="94" t="s">
        <v>585</v>
      </c>
      <c r="C142" s="94">
        <v>976</v>
      </c>
      <c r="D142" s="94" t="s">
        <v>586</v>
      </c>
      <c r="E142" s="94">
        <v>20</v>
      </c>
      <c r="F142" s="94">
        <v>70</v>
      </c>
      <c r="G142" s="94" t="s">
        <v>587</v>
      </c>
      <c r="H142" s="94">
        <v>40001411</v>
      </c>
      <c r="I142" s="94" t="s">
        <v>705</v>
      </c>
      <c r="J142" s="94">
        <v>468</v>
      </c>
      <c r="K142" s="94" t="s">
        <v>587</v>
      </c>
      <c r="L142" s="94">
        <v>1</v>
      </c>
      <c r="M142" s="94" t="s">
        <v>588</v>
      </c>
      <c r="N142" s="94" t="s">
        <v>589</v>
      </c>
      <c r="O142" s="94" t="s">
        <v>590</v>
      </c>
      <c r="P142" s="94">
        <f t="shared" si="2"/>
        <v>2.34</v>
      </c>
    </row>
    <row r="143" spans="2:16">
      <c r="B143" s="94" t="s">
        <v>585</v>
      </c>
      <c r="C143" s="94">
        <v>976</v>
      </c>
      <c r="D143" s="94" t="s">
        <v>586</v>
      </c>
      <c r="E143" s="94">
        <v>20</v>
      </c>
      <c r="F143" s="94">
        <v>70</v>
      </c>
      <c r="G143" s="94" t="s">
        <v>587</v>
      </c>
      <c r="H143" s="94">
        <v>40001411</v>
      </c>
      <c r="I143" s="94" t="s">
        <v>706</v>
      </c>
      <c r="J143" s="94">
        <v>2.34</v>
      </c>
      <c r="K143" s="94" t="s">
        <v>587</v>
      </c>
      <c r="L143" s="94">
        <v>1</v>
      </c>
      <c r="M143" s="94" t="s">
        <v>592</v>
      </c>
      <c r="N143" s="94" t="s">
        <v>589</v>
      </c>
      <c r="O143" s="94" t="s">
        <v>590</v>
      </c>
      <c r="P143" s="94">
        <f t="shared" si="2"/>
        <v>2.34</v>
      </c>
    </row>
    <row r="144" spans="2:16" hidden="1">
      <c r="B144" s="94" t="s">
        <v>585</v>
      </c>
      <c r="C144" s="94">
        <v>976</v>
      </c>
      <c r="D144" s="94" t="s">
        <v>586</v>
      </c>
      <c r="E144" s="94">
        <v>20</v>
      </c>
      <c r="F144" s="94">
        <v>70</v>
      </c>
      <c r="G144" s="94" t="s">
        <v>587</v>
      </c>
      <c r="H144" s="94">
        <v>40001411</v>
      </c>
      <c r="I144" s="94" t="s">
        <v>707</v>
      </c>
      <c r="J144" s="94">
        <v>1946</v>
      </c>
      <c r="K144" s="94" t="s">
        <v>587</v>
      </c>
      <c r="L144" s="94">
        <v>1</v>
      </c>
      <c r="M144" s="94" t="s">
        <v>588</v>
      </c>
      <c r="N144" s="94" t="s">
        <v>589</v>
      </c>
      <c r="O144" s="94" t="s">
        <v>590</v>
      </c>
      <c r="P144" s="94">
        <f t="shared" si="2"/>
        <v>9.73</v>
      </c>
    </row>
    <row r="145" spans="2:16">
      <c r="B145" s="94" t="s">
        <v>585</v>
      </c>
      <c r="C145" s="94">
        <v>976</v>
      </c>
      <c r="D145" s="94" t="s">
        <v>586</v>
      </c>
      <c r="E145" s="94">
        <v>20</v>
      </c>
      <c r="F145" s="94">
        <v>70</v>
      </c>
      <c r="G145" s="94" t="s">
        <v>587</v>
      </c>
      <c r="H145" s="94">
        <v>40001411</v>
      </c>
      <c r="I145" s="94" t="s">
        <v>708</v>
      </c>
      <c r="J145" s="94">
        <v>9.73</v>
      </c>
      <c r="K145" s="94" t="s">
        <v>587</v>
      </c>
      <c r="L145" s="94">
        <v>1</v>
      </c>
      <c r="M145" s="94" t="s">
        <v>592</v>
      </c>
      <c r="N145" s="94" t="s">
        <v>589</v>
      </c>
      <c r="O145" s="94" t="s">
        <v>590</v>
      </c>
      <c r="P145" s="94">
        <f t="shared" si="2"/>
        <v>9.73</v>
      </c>
    </row>
    <row r="146" spans="2:16" hidden="1">
      <c r="B146" s="94" t="s">
        <v>585</v>
      </c>
      <c r="C146" s="94">
        <v>976</v>
      </c>
      <c r="D146" s="94" t="s">
        <v>586</v>
      </c>
      <c r="E146" s="94">
        <v>20</v>
      </c>
      <c r="F146" s="94">
        <v>70</v>
      </c>
      <c r="G146" s="94" t="s">
        <v>587</v>
      </c>
      <c r="H146" s="94">
        <v>40001411</v>
      </c>
      <c r="I146" s="94" t="s">
        <v>709</v>
      </c>
      <c r="J146" s="94">
        <v>1824</v>
      </c>
      <c r="K146" s="94" t="s">
        <v>587</v>
      </c>
      <c r="L146" s="94">
        <v>1</v>
      </c>
      <c r="M146" s="94" t="s">
        <v>588</v>
      </c>
      <c r="N146" s="94" t="s">
        <v>589</v>
      </c>
      <c r="O146" s="94" t="s">
        <v>590</v>
      </c>
      <c r="P146" s="94">
        <f t="shared" si="2"/>
        <v>9.1199999999999992</v>
      </c>
    </row>
    <row r="147" spans="2:16">
      <c r="B147" s="94" t="s">
        <v>585</v>
      </c>
      <c r="C147" s="94">
        <v>976</v>
      </c>
      <c r="D147" s="94" t="s">
        <v>586</v>
      </c>
      <c r="E147" s="94">
        <v>20</v>
      </c>
      <c r="F147" s="94">
        <v>70</v>
      </c>
      <c r="G147" s="94" t="s">
        <v>587</v>
      </c>
      <c r="H147" s="94">
        <v>40001411</v>
      </c>
      <c r="I147" s="94" t="s">
        <v>710</v>
      </c>
      <c r="J147" s="94">
        <v>9.1199999999999992</v>
      </c>
      <c r="K147" s="94" t="s">
        <v>587</v>
      </c>
      <c r="L147" s="94">
        <v>1</v>
      </c>
      <c r="M147" s="94" t="s">
        <v>592</v>
      </c>
      <c r="N147" s="94" t="s">
        <v>589</v>
      </c>
      <c r="O147" s="94" t="s">
        <v>590</v>
      </c>
      <c r="P147" s="94">
        <f t="shared" si="2"/>
        <v>9.1199999999999992</v>
      </c>
    </row>
    <row r="148" spans="2:16" hidden="1">
      <c r="B148" s="94" t="s">
        <v>585</v>
      </c>
      <c r="C148" s="94">
        <v>976</v>
      </c>
      <c r="D148" s="94" t="s">
        <v>586</v>
      </c>
      <c r="E148" s="94">
        <v>20</v>
      </c>
      <c r="F148" s="94">
        <v>70</v>
      </c>
      <c r="G148" s="94" t="s">
        <v>587</v>
      </c>
      <c r="H148" s="94">
        <v>40001411</v>
      </c>
      <c r="I148" s="94" t="s">
        <v>711</v>
      </c>
      <c r="J148" s="94">
        <v>1850</v>
      </c>
      <c r="K148" s="94" t="s">
        <v>587</v>
      </c>
      <c r="L148" s="94">
        <v>1</v>
      </c>
      <c r="M148" s="94" t="s">
        <v>588</v>
      </c>
      <c r="N148" s="94" t="s">
        <v>589</v>
      </c>
      <c r="O148" s="94" t="s">
        <v>590</v>
      </c>
      <c r="P148" s="94">
        <f t="shared" si="2"/>
        <v>9.25</v>
      </c>
    </row>
    <row r="149" spans="2:16">
      <c r="B149" s="94" t="s">
        <v>585</v>
      </c>
      <c r="C149" s="94">
        <v>976</v>
      </c>
      <c r="D149" s="94" t="s">
        <v>586</v>
      </c>
      <c r="E149" s="94">
        <v>20</v>
      </c>
      <c r="F149" s="94">
        <v>70</v>
      </c>
      <c r="G149" s="94" t="s">
        <v>587</v>
      </c>
      <c r="H149" s="94">
        <v>40001411</v>
      </c>
      <c r="I149" s="94" t="s">
        <v>712</v>
      </c>
      <c r="J149" s="94">
        <v>9.25</v>
      </c>
      <c r="K149" s="94" t="s">
        <v>587</v>
      </c>
      <c r="L149" s="94">
        <v>1</v>
      </c>
      <c r="M149" s="94" t="s">
        <v>592</v>
      </c>
      <c r="N149" s="94" t="s">
        <v>589</v>
      </c>
      <c r="O149" s="94" t="s">
        <v>590</v>
      </c>
      <c r="P149" s="94">
        <f t="shared" si="2"/>
        <v>9.25</v>
      </c>
    </row>
    <row r="150" spans="2:16" hidden="1">
      <c r="B150" s="94" t="s">
        <v>585</v>
      </c>
      <c r="C150" s="94">
        <v>976</v>
      </c>
      <c r="D150" s="94" t="s">
        <v>586</v>
      </c>
      <c r="E150" s="94">
        <v>20</v>
      </c>
      <c r="F150" s="94">
        <v>70</v>
      </c>
      <c r="G150" s="94" t="s">
        <v>587</v>
      </c>
      <c r="H150" s="94">
        <v>40001411</v>
      </c>
      <c r="I150" s="94" t="s">
        <v>713</v>
      </c>
      <c r="J150" s="94">
        <v>396</v>
      </c>
      <c r="K150" s="94" t="s">
        <v>587</v>
      </c>
      <c r="L150" s="94">
        <v>1</v>
      </c>
      <c r="M150" s="94" t="s">
        <v>588</v>
      </c>
      <c r="N150" s="94" t="s">
        <v>589</v>
      </c>
      <c r="O150" s="94" t="s">
        <v>590</v>
      </c>
      <c r="P150" s="94">
        <f t="shared" si="2"/>
        <v>1.98</v>
      </c>
    </row>
    <row r="151" spans="2:16">
      <c r="B151" s="94" t="s">
        <v>585</v>
      </c>
      <c r="C151" s="94">
        <v>976</v>
      </c>
      <c r="D151" s="94" t="s">
        <v>586</v>
      </c>
      <c r="E151" s="94">
        <v>20</v>
      </c>
      <c r="F151" s="94">
        <v>70</v>
      </c>
      <c r="G151" s="94" t="s">
        <v>587</v>
      </c>
      <c r="H151" s="94">
        <v>40001411</v>
      </c>
      <c r="I151" s="94" t="s">
        <v>714</v>
      </c>
      <c r="J151" s="94">
        <v>1.98</v>
      </c>
      <c r="K151" s="94" t="s">
        <v>587</v>
      </c>
      <c r="L151" s="94">
        <v>1</v>
      </c>
      <c r="M151" s="94" t="s">
        <v>592</v>
      </c>
      <c r="N151" s="94" t="s">
        <v>589</v>
      </c>
      <c r="O151" s="94" t="s">
        <v>590</v>
      </c>
      <c r="P151" s="94">
        <f t="shared" si="2"/>
        <v>1.98</v>
      </c>
    </row>
    <row r="152" spans="2:16" hidden="1">
      <c r="B152" s="94" t="s">
        <v>585</v>
      </c>
      <c r="C152" s="94">
        <v>976</v>
      </c>
      <c r="D152" s="94" t="s">
        <v>586</v>
      </c>
      <c r="E152" s="94">
        <v>20</v>
      </c>
      <c r="F152" s="94">
        <v>70</v>
      </c>
      <c r="G152" s="94" t="s">
        <v>587</v>
      </c>
      <c r="H152" s="94">
        <v>40001411</v>
      </c>
      <c r="I152" s="94" t="s">
        <v>365</v>
      </c>
      <c r="J152" s="94">
        <v>1834</v>
      </c>
      <c r="K152" s="94" t="s">
        <v>587</v>
      </c>
      <c r="L152" s="94">
        <v>1</v>
      </c>
      <c r="M152" s="94" t="s">
        <v>588</v>
      </c>
      <c r="N152" s="94" t="s">
        <v>589</v>
      </c>
      <c r="O152" s="94" t="s">
        <v>590</v>
      </c>
      <c r="P152" s="94">
        <f t="shared" si="2"/>
        <v>9.17</v>
      </c>
    </row>
    <row r="153" spans="2:16">
      <c r="B153" s="94" t="s">
        <v>585</v>
      </c>
      <c r="C153" s="94">
        <v>976</v>
      </c>
      <c r="D153" s="94" t="s">
        <v>586</v>
      </c>
      <c r="E153" s="94">
        <v>20</v>
      </c>
      <c r="F153" s="94">
        <v>70</v>
      </c>
      <c r="G153" s="94" t="s">
        <v>587</v>
      </c>
      <c r="H153" s="94">
        <v>40001411</v>
      </c>
      <c r="I153" s="94" t="s">
        <v>715</v>
      </c>
      <c r="J153" s="94">
        <v>9.17</v>
      </c>
      <c r="K153" s="94" t="s">
        <v>587</v>
      </c>
      <c r="L153" s="94">
        <v>1</v>
      </c>
      <c r="M153" s="94" t="s">
        <v>592</v>
      </c>
      <c r="N153" s="94" t="s">
        <v>589</v>
      </c>
      <c r="O153" s="94" t="s">
        <v>590</v>
      </c>
      <c r="P153" s="94">
        <f t="shared" si="2"/>
        <v>9.17</v>
      </c>
    </row>
    <row r="154" spans="2:16" hidden="1">
      <c r="B154" s="94" t="s">
        <v>585</v>
      </c>
      <c r="C154" s="94">
        <v>976</v>
      </c>
      <c r="D154" s="94" t="s">
        <v>586</v>
      </c>
      <c r="E154" s="94">
        <v>20</v>
      </c>
      <c r="F154" s="94">
        <v>70</v>
      </c>
      <c r="G154" s="94" t="s">
        <v>587</v>
      </c>
      <c r="H154" s="94">
        <v>40001411</v>
      </c>
      <c r="I154" s="94" t="s">
        <v>716</v>
      </c>
      <c r="J154" s="94">
        <v>1008</v>
      </c>
      <c r="K154" s="94" t="s">
        <v>587</v>
      </c>
      <c r="L154" s="94">
        <v>1</v>
      </c>
      <c r="M154" s="94" t="s">
        <v>588</v>
      </c>
      <c r="N154" s="94" t="s">
        <v>589</v>
      </c>
      <c r="O154" s="94" t="s">
        <v>590</v>
      </c>
      <c r="P154" s="94">
        <f t="shared" si="2"/>
        <v>5.04</v>
      </c>
    </row>
    <row r="155" spans="2:16">
      <c r="B155" s="94" t="s">
        <v>585</v>
      </c>
      <c r="C155" s="94">
        <v>976</v>
      </c>
      <c r="D155" s="94" t="s">
        <v>586</v>
      </c>
      <c r="E155" s="94">
        <v>20</v>
      </c>
      <c r="F155" s="94">
        <v>70</v>
      </c>
      <c r="G155" s="94" t="s">
        <v>587</v>
      </c>
      <c r="H155" s="94">
        <v>40001411</v>
      </c>
      <c r="I155" s="94" t="s">
        <v>717</v>
      </c>
      <c r="J155" s="94">
        <v>5.04</v>
      </c>
      <c r="K155" s="94" t="s">
        <v>587</v>
      </c>
      <c r="L155" s="94">
        <v>1</v>
      </c>
      <c r="M155" s="94" t="s">
        <v>592</v>
      </c>
      <c r="N155" s="94" t="s">
        <v>589</v>
      </c>
      <c r="O155" s="94" t="s">
        <v>590</v>
      </c>
      <c r="P155" s="94">
        <f t="shared" si="2"/>
        <v>5.04</v>
      </c>
    </row>
    <row r="156" spans="2:16" hidden="1">
      <c r="B156" s="94" t="s">
        <v>585</v>
      </c>
      <c r="C156" s="94">
        <v>976</v>
      </c>
      <c r="D156" s="94" t="s">
        <v>586</v>
      </c>
      <c r="E156" s="94">
        <v>20</v>
      </c>
      <c r="F156" s="94">
        <v>70</v>
      </c>
      <c r="G156" s="94" t="s">
        <v>587</v>
      </c>
      <c r="H156" s="94">
        <v>40001411</v>
      </c>
      <c r="I156" s="94" t="s">
        <v>238</v>
      </c>
      <c r="J156" s="94">
        <v>1850</v>
      </c>
      <c r="K156" s="94" t="s">
        <v>587</v>
      </c>
      <c r="L156" s="94">
        <v>1</v>
      </c>
      <c r="M156" s="94" t="s">
        <v>588</v>
      </c>
      <c r="N156" s="94" t="s">
        <v>589</v>
      </c>
      <c r="O156" s="94" t="s">
        <v>590</v>
      </c>
      <c r="P156" s="94">
        <f t="shared" si="2"/>
        <v>9.25</v>
      </c>
    </row>
    <row r="157" spans="2:16">
      <c r="B157" s="94" t="s">
        <v>585</v>
      </c>
      <c r="C157" s="94">
        <v>976</v>
      </c>
      <c r="D157" s="94" t="s">
        <v>586</v>
      </c>
      <c r="E157" s="94">
        <v>20</v>
      </c>
      <c r="F157" s="94">
        <v>70</v>
      </c>
      <c r="G157" s="94" t="s">
        <v>587</v>
      </c>
      <c r="H157" s="94">
        <v>40001411</v>
      </c>
      <c r="I157" s="94" t="s">
        <v>718</v>
      </c>
      <c r="J157" s="94">
        <v>9.25</v>
      </c>
      <c r="K157" s="94" t="s">
        <v>587</v>
      </c>
      <c r="L157" s="94">
        <v>1</v>
      </c>
      <c r="M157" s="94" t="s">
        <v>592</v>
      </c>
      <c r="N157" s="94" t="s">
        <v>589</v>
      </c>
      <c r="O157" s="94" t="s">
        <v>590</v>
      </c>
      <c r="P157" s="94">
        <f t="shared" si="2"/>
        <v>9.25</v>
      </c>
    </row>
    <row r="158" spans="2:16" hidden="1">
      <c r="B158" s="94" t="s">
        <v>585</v>
      </c>
      <c r="C158" s="94">
        <v>976</v>
      </c>
      <c r="D158" s="94" t="s">
        <v>586</v>
      </c>
      <c r="E158" s="94">
        <v>20</v>
      </c>
      <c r="F158" s="94">
        <v>70</v>
      </c>
      <c r="G158" s="94" t="s">
        <v>587</v>
      </c>
      <c r="H158" s="94">
        <v>40001411</v>
      </c>
      <c r="I158" s="94" t="s">
        <v>282</v>
      </c>
      <c r="J158" s="94">
        <v>920</v>
      </c>
      <c r="K158" s="94" t="s">
        <v>587</v>
      </c>
      <c r="L158" s="94">
        <v>1</v>
      </c>
      <c r="M158" s="94" t="s">
        <v>588</v>
      </c>
      <c r="N158" s="94" t="s">
        <v>589</v>
      </c>
      <c r="O158" s="94" t="s">
        <v>590</v>
      </c>
      <c r="P158" s="94">
        <f t="shared" si="2"/>
        <v>4.5999999999999996</v>
      </c>
    </row>
    <row r="159" spans="2:16">
      <c r="B159" s="94" t="s">
        <v>585</v>
      </c>
      <c r="C159" s="94">
        <v>976</v>
      </c>
      <c r="D159" s="94" t="s">
        <v>586</v>
      </c>
      <c r="E159" s="94">
        <v>20</v>
      </c>
      <c r="F159" s="94">
        <v>70</v>
      </c>
      <c r="G159" s="94" t="s">
        <v>587</v>
      </c>
      <c r="H159" s="94">
        <v>40001411</v>
      </c>
      <c r="I159" s="94" t="s">
        <v>719</v>
      </c>
      <c r="J159" s="94">
        <v>4.5999999999999996</v>
      </c>
      <c r="K159" s="94" t="s">
        <v>587</v>
      </c>
      <c r="L159" s="94">
        <v>1</v>
      </c>
      <c r="M159" s="94" t="s">
        <v>592</v>
      </c>
      <c r="N159" s="94" t="s">
        <v>589</v>
      </c>
      <c r="O159" s="94" t="s">
        <v>590</v>
      </c>
      <c r="P159" s="94">
        <f t="shared" si="2"/>
        <v>4.5999999999999996</v>
      </c>
    </row>
    <row r="160" spans="2:16" hidden="1">
      <c r="B160" s="94" t="s">
        <v>585</v>
      </c>
      <c r="C160" s="94">
        <v>976</v>
      </c>
      <c r="D160" s="94" t="s">
        <v>586</v>
      </c>
      <c r="E160" s="94">
        <v>20</v>
      </c>
      <c r="F160" s="94">
        <v>70</v>
      </c>
      <c r="G160" s="94" t="s">
        <v>587</v>
      </c>
      <c r="H160" s="94">
        <v>40001411</v>
      </c>
      <c r="I160" s="94" t="s">
        <v>208</v>
      </c>
      <c r="J160" s="94">
        <v>804</v>
      </c>
      <c r="K160" s="94" t="s">
        <v>587</v>
      </c>
      <c r="L160" s="94">
        <v>1</v>
      </c>
      <c r="M160" s="94" t="s">
        <v>588</v>
      </c>
      <c r="N160" s="94" t="s">
        <v>589</v>
      </c>
      <c r="O160" s="94" t="s">
        <v>590</v>
      </c>
      <c r="P160" s="94">
        <f t="shared" si="2"/>
        <v>4.0199999999999996</v>
      </c>
    </row>
    <row r="161" spans="2:16">
      <c r="B161" s="94" t="s">
        <v>585</v>
      </c>
      <c r="C161" s="94">
        <v>976</v>
      </c>
      <c r="D161" s="94" t="s">
        <v>586</v>
      </c>
      <c r="E161" s="94">
        <v>20</v>
      </c>
      <c r="F161" s="94">
        <v>70</v>
      </c>
      <c r="G161" s="94" t="s">
        <v>587</v>
      </c>
      <c r="H161" s="94">
        <v>40001411</v>
      </c>
      <c r="I161" s="94" t="s">
        <v>720</v>
      </c>
      <c r="J161" s="94">
        <v>4.0199999999999996</v>
      </c>
      <c r="K161" s="94" t="s">
        <v>587</v>
      </c>
      <c r="L161" s="94">
        <v>1</v>
      </c>
      <c r="M161" s="94" t="s">
        <v>592</v>
      </c>
      <c r="N161" s="94" t="s">
        <v>589</v>
      </c>
      <c r="O161" s="94" t="s">
        <v>590</v>
      </c>
      <c r="P161" s="94">
        <f t="shared" si="2"/>
        <v>4.0199999999999996</v>
      </c>
    </row>
    <row r="162" spans="2:16" hidden="1">
      <c r="B162" s="94" t="s">
        <v>585</v>
      </c>
      <c r="C162" s="94">
        <v>976</v>
      </c>
      <c r="D162" s="94" t="s">
        <v>586</v>
      </c>
      <c r="E162" s="94">
        <v>20</v>
      </c>
      <c r="F162" s="94">
        <v>70</v>
      </c>
      <c r="G162" s="94" t="s">
        <v>587</v>
      </c>
      <c r="H162" s="94">
        <v>40001411</v>
      </c>
      <c r="I162" s="94" t="s">
        <v>721</v>
      </c>
      <c r="J162" s="94">
        <v>842</v>
      </c>
      <c r="K162" s="94" t="s">
        <v>587</v>
      </c>
      <c r="L162" s="94">
        <v>1</v>
      </c>
      <c r="M162" s="94" t="s">
        <v>588</v>
      </c>
      <c r="N162" s="94" t="s">
        <v>589</v>
      </c>
      <c r="O162" s="94" t="s">
        <v>590</v>
      </c>
      <c r="P162" s="94">
        <f t="shared" si="2"/>
        <v>4.21</v>
      </c>
    </row>
    <row r="163" spans="2:16">
      <c r="B163" s="94" t="s">
        <v>585</v>
      </c>
      <c r="C163" s="94">
        <v>976</v>
      </c>
      <c r="D163" s="94" t="s">
        <v>586</v>
      </c>
      <c r="E163" s="94">
        <v>20</v>
      </c>
      <c r="F163" s="94">
        <v>70</v>
      </c>
      <c r="G163" s="94" t="s">
        <v>587</v>
      </c>
      <c r="H163" s="94">
        <v>40001411</v>
      </c>
      <c r="I163" s="94" t="s">
        <v>722</v>
      </c>
      <c r="J163" s="94">
        <v>4.21</v>
      </c>
      <c r="K163" s="94" t="s">
        <v>587</v>
      </c>
      <c r="L163" s="94">
        <v>1</v>
      </c>
      <c r="M163" s="94" t="s">
        <v>592</v>
      </c>
      <c r="N163" s="94" t="s">
        <v>589</v>
      </c>
      <c r="O163" s="94" t="s">
        <v>590</v>
      </c>
      <c r="P163" s="94">
        <f t="shared" si="2"/>
        <v>4.21</v>
      </c>
    </row>
    <row r="164" spans="2:16" hidden="1">
      <c r="B164" s="94" t="s">
        <v>585</v>
      </c>
      <c r="C164" s="94">
        <v>976</v>
      </c>
      <c r="D164" s="94" t="s">
        <v>586</v>
      </c>
      <c r="E164" s="94">
        <v>20</v>
      </c>
      <c r="F164" s="94">
        <v>70</v>
      </c>
      <c r="G164" s="94" t="s">
        <v>587</v>
      </c>
      <c r="H164" s="94">
        <v>40001411</v>
      </c>
      <c r="I164" s="94" t="s">
        <v>723</v>
      </c>
      <c r="J164" s="94">
        <v>812</v>
      </c>
      <c r="K164" s="94" t="s">
        <v>587</v>
      </c>
      <c r="L164" s="94">
        <v>1</v>
      </c>
      <c r="M164" s="94" t="s">
        <v>588</v>
      </c>
      <c r="N164" s="94" t="s">
        <v>589</v>
      </c>
      <c r="O164" s="94" t="s">
        <v>590</v>
      </c>
      <c r="P164" s="94">
        <f t="shared" si="2"/>
        <v>4.0599999999999996</v>
      </c>
    </row>
    <row r="165" spans="2:16">
      <c r="B165" s="94" t="s">
        <v>585</v>
      </c>
      <c r="C165" s="94">
        <v>976</v>
      </c>
      <c r="D165" s="94" t="s">
        <v>586</v>
      </c>
      <c r="E165" s="94">
        <v>20</v>
      </c>
      <c r="F165" s="94">
        <v>70</v>
      </c>
      <c r="G165" s="94" t="s">
        <v>587</v>
      </c>
      <c r="H165" s="94">
        <v>40001411</v>
      </c>
      <c r="I165" s="94" t="s">
        <v>724</v>
      </c>
      <c r="J165" s="94">
        <v>4.0599999999999996</v>
      </c>
      <c r="K165" s="94" t="s">
        <v>587</v>
      </c>
      <c r="L165" s="94">
        <v>1</v>
      </c>
      <c r="M165" s="94" t="s">
        <v>592</v>
      </c>
      <c r="N165" s="94" t="s">
        <v>589</v>
      </c>
      <c r="O165" s="94" t="s">
        <v>590</v>
      </c>
      <c r="P165" s="94">
        <f t="shared" si="2"/>
        <v>4.0599999999999996</v>
      </c>
    </row>
    <row r="166" spans="2:16" hidden="1">
      <c r="B166" s="94" t="s">
        <v>585</v>
      </c>
      <c r="C166" s="94">
        <v>976</v>
      </c>
      <c r="D166" s="94" t="s">
        <v>586</v>
      </c>
      <c r="E166" s="94">
        <v>20</v>
      </c>
      <c r="F166" s="94">
        <v>70</v>
      </c>
      <c r="G166" s="94" t="s">
        <v>587</v>
      </c>
      <c r="H166" s="94">
        <v>40001411</v>
      </c>
      <c r="I166" s="94" t="s">
        <v>725</v>
      </c>
      <c r="J166" s="94">
        <v>812</v>
      </c>
      <c r="K166" s="94" t="s">
        <v>587</v>
      </c>
      <c r="L166" s="94">
        <v>1</v>
      </c>
      <c r="M166" s="94" t="s">
        <v>588</v>
      </c>
      <c r="N166" s="94" t="s">
        <v>589</v>
      </c>
      <c r="O166" s="94" t="s">
        <v>590</v>
      </c>
      <c r="P166" s="94">
        <f t="shared" si="2"/>
        <v>4.0599999999999996</v>
      </c>
    </row>
    <row r="167" spans="2:16">
      <c r="B167" s="94" t="s">
        <v>585</v>
      </c>
      <c r="C167" s="94">
        <v>976</v>
      </c>
      <c r="D167" s="94" t="s">
        <v>586</v>
      </c>
      <c r="E167" s="94">
        <v>20</v>
      </c>
      <c r="F167" s="94">
        <v>70</v>
      </c>
      <c r="G167" s="94" t="s">
        <v>587</v>
      </c>
      <c r="H167" s="94">
        <v>40001411</v>
      </c>
      <c r="I167" s="94" t="s">
        <v>726</v>
      </c>
      <c r="J167" s="94">
        <v>4.0599999999999996</v>
      </c>
      <c r="K167" s="94" t="s">
        <v>587</v>
      </c>
      <c r="L167" s="94">
        <v>1</v>
      </c>
      <c r="M167" s="94" t="s">
        <v>592</v>
      </c>
      <c r="N167" s="94" t="s">
        <v>589</v>
      </c>
      <c r="O167" s="94" t="s">
        <v>590</v>
      </c>
      <c r="P167" s="94">
        <f t="shared" si="2"/>
        <v>4.0599999999999996</v>
      </c>
    </row>
    <row r="168" spans="2:16" hidden="1">
      <c r="B168" s="94" t="s">
        <v>585</v>
      </c>
      <c r="C168" s="94">
        <v>976</v>
      </c>
      <c r="D168" s="94" t="s">
        <v>586</v>
      </c>
      <c r="E168" s="94">
        <v>20</v>
      </c>
      <c r="F168" s="94">
        <v>70</v>
      </c>
      <c r="G168" s="94" t="s">
        <v>587</v>
      </c>
      <c r="H168" s="94">
        <v>40001411</v>
      </c>
      <c r="I168" s="94" t="s">
        <v>727</v>
      </c>
      <c r="J168" s="94">
        <v>812</v>
      </c>
      <c r="K168" s="94" t="s">
        <v>587</v>
      </c>
      <c r="L168" s="94">
        <v>1</v>
      </c>
      <c r="M168" s="94" t="s">
        <v>588</v>
      </c>
      <c r="N168" s="94" t="s">
        <v>589</v>
      </c>
      <c r="O168" s="94" t="s">
        <v>590</v>
      </c>
      <c r="P168" s="94">
        <f t="shared" si="2"/>
        <v>4.0599999999999996</v>
      </c>
    </row>
    <row r="169" spans="2:16">
      <c r="B169" s="94" t="s">
        <v>585</v>
      </c>
      <c r="C169" s="94">
        <v>976</v>
      </c>
      <c r="D169" s="94" t="s">
        <v>586</v>
      </c>
      <c r="E169" s="94">
        <v>20</v>
      </c>
      <c r="F169" s="94">
        <v>70</v>
      </c>
      <c r="G169" s="94" t="s">
        <v>587</v>
      </c>
      <c r="H169" s="94">
        <v>40001411</v>
      </c>
      <c r="I169" s="94" t="s">
        <v>728</v>
      </c>
      <c r="J169" s="94">
        <v>4.0599999999999996</v>
      </c>
      <c r="K169" s="94" t="s">
        <v>587</v>
      </c>
      <c r="L169" s="94">
        <v>1</v>
      </c>
      <c r="M169" s="94" t="s">
        <v>592</v>
      </c>
      <c r="N169" s="94" t="s">
        <v>589</v>
      </c>
      <c r="O169" s="94" t="s">
        <v>590</v>
      </c>
      <c r="P169" s="94">
        <f t="shared" si="2"/>
        <v>4.0599999999999996</v>
      </c>
    </row>
    <row r="170" spans="2:16" hidden="1">
      <c r="B170" s="94" t="s">
        <v>585</v>
      </c>
      <c r="C170" s="94">
        <v>976</v>
      </c>
      <c r="D170" s="94" t="s">
        <v>586</v>
      </c>
      <c r="E170" s="94">
        <v>20</v>
      </c>
      <c r="F170" s="94">
        <v>70</v>
      </c>
      <c r="G170" s="94" t="s">
        <v>587</v>
      </c>
      <c r="H170" s="94">
        <v>40001411</v>
      </c>
      <c r="I170" s="94" t="s">
        <v>729</v>
      </c>
      <c r="J170" s="94">
        <v>1416</v>
      </c>
      <c r="K170" s="94" t="s">
        <v>587</v>
      </c>
      <c r="L170" s="94">
        <v>1</v>
      </c>
      <c r="M170" s="94" t="s">
        <v>588</v>
      </c>
      <c r="N170" s="94" t="s">
        <v>589</v>
      </c>
      <c r="O170" s="94" t="s">
        <v>590</v>
      </c>
      <c r="P170" s="94">
        <f t="shared" si="2"/>
        <v>7.08</v>
      </c>
    </row>
    <row r="171" spans="2:16">
      <c r="B171" s="94" t="s">
        <v>585</v>
      </c>
      <c r="C171" s="94">
        <v>976</v>
      </c>
      <c r="D171" s="94" t="s">
        <v>586</v>
      </c>
      <c r="E171" s="94">
        <v>20</v>
      </c>
      <c r="F171" s="94">
        <v>70</v>
      </c>
      <c r="G171" s="94" t="s">
        <v>587</v>
      </c>
      <c r="H171" s="94">
        <v>40001411</v>
      </c>
      <c r="I171" s="94" t="s">
        <v>730</v>
      </c>
      <c r="J171" s="94">
        <v>7.08</v>
      </c>
      <c r="K171" s="94" t="s">
        <v>587</v>
      </c>
      <c r="L171" s="94">
        <v>1</v>
      </c>
      <c r="M171" s="94" t="s">
        <v>592</v>
      </c>
      <c r="N171" s="94" t="s">
        <v>589</v>
      </c>
      <c r="O171" s="94" t="s">
        <v>590</v>
      </c>
      <c r="P171" s="94">
        <f t="shared" si="2"/>
        <v>7.08</v>
      </c>
    </row>
    <row r="172" spans="2:16" hidden="1">
      <c r="B172" s="94" t="s">
        <v>585</v>
      </c>
      <c r="C172" s="94">
        <v>976</v>
      </c>
      <c r="D172" s="94" t="s">
        <v>586</v>
      </c>
      <c r="E172" s="94">
        <v>20</v>
      </c>
      <c r="F172" s="94">
        <v>70</v>
      </c>
      <c r="G172" s="94" t="s">
        <v>587</v>
      </c>
      <c r="H172" s="94">
        <v>40001411</v>
      </c>
      <c r="I172" s="94" t="s">
        <v>731</v>
      </c>
      <c r="J172" s="94">
        <v>676</v>
      </c>
      <c r="K172" s="94" t="s">
        <v>587</v>
      </c>
      <c r="L172" s="94">
        <v>1</v>
      </c>
      <c r="M172" s="94" t="s">
        <v>588</v>
      </c>
      <c r="N172" s="94" t="s">
        <v>589</v>
      </c>
      <c r="O172" s="94" t="s">
        <v>590</v>
      </c>
      <c r="P172" s="94">
        <f t="shared" si="2"/>
        <v>3.38</v>
      </c>
    </row>
    <row r="173" spans="2:16">
      <c r="B173" s="94" t="s">
        <v>585</v>
      </c>
      <c r="C173" s="94">
        <v>976</v>
      </c>
      <c r="D173" s="94" t="s">
        <v>586</v>
      </c>
      <c r="E173" s="94">
        <v>20</v>
      </c>
      <c r="F173" s="94">
        <v>70</v>
      </c>
      <c r="G173" s="94" t="s">
        <v>587</v>
      </c>
      <c r="H173" s="94">
        <v>40001411</v>
      </c>
      <c r="I173" s="94" t="s">
        <v>732</v>
      </c>
      <c r="J173" s="94">
        <v>3.38</v>
      </c>
      <c r="K173" s="94" t="s">
        <v>587</v>
      </c>
      <c r="L173" s="94">
        <v>1</v>
      </c>
      <c r="M173" s="94" t="s">
        <v>592</v>
      </c>
      <c r="N173" s="94" t="s">
        <v>589</v>
      </c>
      <c r="O173" s="94" t="s">
        <v>590</v>
      </c>
      <c r="P173" s="94">
        <f t="shared" si="2"/>
        <v>3.38</v>
      </c>
    </row>
    <row r="174" spans="2:16" hidden="1">
      <c r="B174" s="94" t="s">
        <v>585</v>
      </c>
      <c r="C174" s="94">
        <v>976</v>
      </c>
      <c r="D174" s="94" t="s">
        <v>586</v>
      </c>
      <c r="E174" s="94">
        <v>20</v>
      </c>
      <c r="F174" s="94">
        <v>70</v>
      </c>
      <c r="G174" s="94" t="s">
        <v>587</v>
      </c>
      <c r="H174" s="94">
        <v>40001411</v>
      </c>
      <c r="I174" s="94" t="s">
        <v>201</v>
      </c>
      <c r="J174" s="94">
        <v>696</v>
      </c>
      <c r="K174" s="94" t="s">
        <v>587</v>
      </c>
      <c r="L174" s="94">
        <v>1</v>
      </c>
      <c r="M174" s="94" t="s">
        <v>588</v>
      </c>
      <c r="N174" s="94" t="s">
        <v>589</v>
      </c>
      <c r="O174" s="94" t="s">
        <v>590</v>
      </c>
      <c r="P174" s="94">
        <f t="shared" si="2"/>
        <v>3.48</v>
      </c>
    </row>
    <row r="175" spans="2:16">
      <c r="B175" s="94" t="s">
        <v>585</v>
      </c>
      <c r="C175" s="94">
        <v>976</v>
      </c>
      <c r="D175" s="94" t="s">
        <v>586</v>
      </c>
      <c r="E175" s="94">
        <v>20</v>
      </c>
      <c r="F175" s="94">
        <v>70</v>
      </c>
      <c r="G175" s="94" t="s">
        <v>587</v>
      </c>
      <c r="H175" s="94">
        <v>40001411</v>
      </c>
      <c r="I175" s="94" t="s">
        <v>733</v>
      </c>
      <c r="J175" s="94">
        <v>3.48</v>
      </c>
      <c r="K175" s="94" t="s">
        <v>587</v>
      </c>
      <c r="L175" s="94">
        <v>1</v>
      </c>
      <c r="M175" s="94" t="s">
        <v>592</v>
      </c>
      <c r="N175" s="94" t="s">
        <v>589</v>
      </c>
      <c r="O175" s="94" t="s">
        <v>590</v>
      </c>
      <c r="P175" s="94">
        <f t="shared" si="2"/>
        <v>3.48</v>
      </c>
    </row>
    <row r="176" spans="2:16" hidden="1">
      <c r="B176" s="94" t="s">
        <v>585</v>
      </c>
      <c r="C176" s="94">
        <v>976</v>
      </c>
      <c r="D176" s="94" t="s">
        <v>586</v>
      </c>
      <c r="E176" s="94">
        <v>20</v>
      </c>
      <c r="F176" s="94">
        <v>70</v>
      </c>
      <c r="G176" s="94" t="s">
        <v>587</v>
      </c>
      <c r="H176" s="94">
        <v>40001411</v>
      </c>
      <c r="I176" s="94" t="s">
        <v>734</v>
      </c>
      <c r="J176" s="94">
        <v>656</v>
      </c>
      <c r="K176" s="94" t="s">
        <v>587</v>
      </c>
      <c r="L176" s="94">
        <v>1</v>
      </c>
      <c r="M176" s="94" t="s">
        <v>588</v>
      </c>
      <c r="N176" s="94" t="s">
        <v>589</v>
      </c>
      <c r="O176" s="94" t="s">
        <v>590</v>
      </c>
      <c r="P176" s="94">
        <f t="shared" si="2"/>
        <v>3.28</v>
      </c>
    </row>
    <row r="177" spans="2:16">
      <c r="B177" s="94" t="s">
        <v>585</v>
      </c>
      <c r="C177" s="94">
        <v>976</v>
      </c>
      <c r="D177" s="94" t="s">
        <v>586</v>
      </c>
      <c r="E177" s="94">
        <v>20</v>
      </c>
      <c r="F177" s="94">
        <v>70</v>
      </c>
      <c r="G177" s="94" t="s">
        <v>587</v>
      </c>
      <c r="H177" s="94">
        <v>40001411</v>
      </c>
      <c r="I177" s="94" t="s">
        <v>735</v>
      </c>
      <c r="J177" s="94">
        <v>3.28</v>
      </c>
      <c r="K177" s="94" t="s">
        <v>587</v>
      </c>
      <c r="L177" s="94">
        <v>1</v>
      </c>
      <c r="M177" s="94" t="s">
        <v>592</v>
      </c>
      <c r="N177" s="94" t="s">
        <v>589</v>
      </c>
      <c r="O177" s="94" t="s">
        <v>590</v>
      </c>
      <c r="P177" s="94">
        <f t="shared" si="2"/>
        <v>3.28</v>
      </c>
    </row>
    <row r="178" spans="2:16" hidden="1">
      <c r="B178" s="94" t="s">
        <v>585</v>
      </c>
      <c r="C178" s="94">
        <v>976</v>
      </c>
      <c r="D178" s="94" t="s">
        <v>586</v>
      </c>
      <c r="E178" s="94">
        <v>20</v>
      </c>
      <c r="F178" s="94">
        <v>70</v>
      </c>
      <c r="G178" s="94" t="s">
        <v>587</v>
      </c>
      <c r="H178" s="94">
        <v>40001411</v>
      </c>
      <c r="I178" s="94" t="s">
        <v>736</v>
      </c>
      <c r="J178" s="94">
        <v>696</v>
      </c>
      <c r="K178" s="94" t="s">
        <v>587</v>
      </c>
      <c r="L178" s="94">
        <v>1</v>
      </c>
      <c r="M178" s="94" t="s">
        <v>588</v>
      </c>
      <c r="N178" s="94" t="s">
        <v>589</v>
      </c>
      <c r="O178" s="94" t="s">
        <v>590</v>
      </c>
      <c r="P178" s="94">
        <f t="shared" si="2"/>
        <v>3.48</v>
      </c>
    </row>
    <row r="179" spans="2:16">
      <c r="B179" s="94" t="s">
        <v>585</v>
      </c>
      <c r="C179" s="94">
        <v>976</v>
      </c>
      <c r="D179" s="94" t="s">
        <v>586</v>
      </c>
      <c r="E179" s="94">
        <v>20</v>
      </c>
      <c r="F179" s="94">
        <v>70</v>
      </c>
      <c r="G179" s="94" t="s">
        <v>587</v>
      </c>
      <c r="H179" s="94">
        <v>40001411</v>
      </c>
      <c r="I179" s="94" t="s">
        <v>737</v>
      </c>
      <c r="J179" s="94">
        <v>3.48</v>
      </c>
      <c r="K179" s="94" t="s">
        <v>587</v>
      </c>
      <c r="L179" s="94">
        <v>1</v>
      </c>
      <c r="M179" s="94" t="s">
        <v>592</v>
      </c>
      <c r="N179" s="94" t="s">
        <v>589</v>
      </c>
      <c r="O179" s="94" t="s">
        <v>590</v>
      </c>
      <c r="P179" s="94">
        <f t="shared" si="2"/>
        <v>3.48</v>
      </c>
    </row>
    <row r="180" spans="2:16" hidden="1">
      <c r="B180" s="94" t="s">
        <v>585</v>
      </c>
      <c r="C180" s="94">
        <v>976</v>
      </c>
      <c r="D180" s="94" t="s">
        <v>586</v>
      </c>
      <c r="E180" s="94">
        <v>20</v>
      </c>
      <c r="F180" s="94">
        <v>70</v>
      </c>
      <c r="G180" s="94" t="s">
        <v>587</v>
      </c>
      <c r="H180" s="94">
        <v>40001411</v>
      </c>
      <c r="I180" s="94" t="s">
        <v>738</v>
      </c>
      <c r="J180" s="94">
        <v>676</v>
      </c>
      <c r="K180" s="94" t="s">
        <v>587</v>
      </c>
      <c r="L180" s="94">
        <v>1</v>
      </c>
      <c r="M180" s="94" t="s">
        <v>588</v>
      </c>
      <c r="N180" s="94" t="s">
        <v>589</v>
      </c>
      <c r="O180" s="94" t="s">
        <v>590</v>
      </c>
      <c r="P180" s="94">
        <f t="shared" si="2"/>
        <v>3.38</v>
      </c>
    </row>
    <row r="181" spans="2:16">
      <c r="B181" s="94" t="s">
        <v>585</v>
      </c>
      <c r="C181" s="94">
        <v>976</v>
      </c>
      <c r="D181" s="94" t="s">
        <v>586</v>
      </c>
      <c r="E181" s="94">
        <v>20</v>
      </c>
      <c r="F181" s="94">
        <v>70</v>
      </c>
      <c r="G181" s="94" t="s">
        <v>587</v>
      </c>
      <c r="H181" s="94">
        <v>40001411</v>
      </c>
      <c r="I181" s="94" t="s">
        <v>739</v>
      </c>
      <c r="J181" s="94">
        <v>3.38</v>
      </c>
      <c r="K181" s="94" t="s">
        <v>587</v>
      </c>
      <c r="L181" s="94">
        <v>1</v>
      </c>
      <c r="M181" s="94" t="s">
        <v>592</v>
      </c>
      <c r="N181" s="94" t="s">
        <v>589</v>
      </c>
      <c r="O181" s="94" t="s">
        <v>590</v>
      </c>
      <c r="P181" s="94">
        <f t="shared" si="2"/>
        <v>3.38</v>
      </c>
    </row>
    <row r="182" spans="2:16" hidden="1">
      <c r="B182" s="94" t="s">
        <v>585</v>
      </c>
      <c r="C182" s="94">
        <v>976</v>
      </c>
      <c r="D182" s="94" t="s">
        <v>586</v>
      </c>
      <c r="E182" s="94">
        <v>20</v>
      </c>
      <c r="F182" s="94">
        <v>70</v>
      </c>
      <c r="G182" s="94" t="s">
        <v>587</v>
      </c>
      <c r="H182" s="94">
        <v>40001411</v>
      </c>
      <c r="I182" s="94" t="s">
        <v>740</v>
      </c>
      <c r="J182" s="94">
        <v>884</v>
      </c>
      <c r="K182" s="94" t="s">
        <v>587</v>
      </c>
      <c r="L182" s="94">
        <v>1</v>
      </c>
      <c r="M182" s="94" t="s">
        <v>588</v>
      </c>
      <c r="N182" s="94" t="s">
        <v>589</v>
      </c>
      <c r="O182" s="94" t="s">
        <v>590</v>
      </c>
      <c r="P182" s="94">
        <f t="shared" si="2"/>
        <v>4.42</v>
      </c>
    </row>
    <row r="183" spans="2:16">
      <c r="B183" s="94" t="s">
        <v>585</v>
      </c>
      <c r="C183" s="94">
        <v>976</v>
      </c>
      <c r="D183" s="94" t="s">
        <v>586</v>
      </c>
      <c r="E183" s="94">
        <v>20</v>
      </c>
      <c r="F183" s="94">
        <v>70</v>
      </c>
      <c r="G183" s="94" t="s">
        <v>587</v>
      </c>
      <c r="H183" s="94">
        <v>40001411</v>
      </c>
      <c r="I183" s="94" t="s">
        <v>741</v>
      </c>
      <c r="J183" s="94">
        <v>4.42</v>
      </c>
      <c r="K183" s="94" t="s">
        <v>587</v>
      </c>
      <c r="L183" s="94">
        <v>1</v>
      </c>
      <c r="M183" s="94" t="s">
        <v>592</v>
      </c>
      <c r="N183" s="94" t="s">
        <v>589</v>
      </c>
      <c r="O183" s="94" t="s">
        <v>590</v>
      </c>
      <c r="P183" s="94">
        <f t="shared" si="2"/>
        <v>4.42</v>
      </c>
    </row>
    <row r="184" spans="2:16" hidden="1">
      <c r="B184" s="94" t="s">
        <v>585</v>
      </c>
      <c r="C184" s="94">
        <v>976</v>
      </c>
      <c r="D184" s="94" t="s">
        <v>586</v>
      </c>
      <c r="E184" s="94">
        <v>20</v>
      </c>
      <c r="F184" s="94">
        <v>70</v>
      </c>
      <c r="G184" s="94" t="s">
        <v>587</v>
      </c>
      <c r="H184" s="94">
        <v>40001411</v>
      </c>
      <c r="I184" s="94" t="s">
        <v>742</v>
      </c>
      <c r="J184" s="94">
        <v>850</v>
      </c>
      <c r="K184" s="94" t="s">
        <v>587</v>
      </c>
      <c r="L184" s="94">
        <v>1</v>
      </c>
      <c r="M184" s="94" t="s">
        <v>588</v>
      </c>
      <c r="N184" s="94" t="s">
        <v>589</v>
      </c>
      <c r="O184" s="94" t="s">
        <v>590</v>
      </c>
      <c r="P184" s="94">
        <f t="shared" si="2"/>
        <v>4.25</v>
      </c>
    </row>
    <row r="185" spans="2:16">
      <c r="B185" s="94" t="s">
        <v>585</v>
      </c>
      <c r="C185" s="94">
        <v>976</v>
      </c>
      <c r="D185" s="94" t="s">
        <v>586</v>
      </c>
      <c r="E185" s="94">
        <v>20</v>
      </c>
      <c r="F185" s="94">
        <v>70</v>
      </c>
      <c r="G185" s="94" t="s">
        <v>587</v>
      </c>
      <c r="H185" s="94">
        <v>40001411</v>
      </c>
      <c r="I185" s="94" t="s">
        <v>743</v>
      </c>
      <c r="J185" s="94">
        <v>4.25</v>
      </c>
      <c r="K185" s="94" t="s">
        <v>587</v>
      </c>
      <c r="L185" s="94">
        <v>1</v>
      </c>
      <c r="M185" s="94" t="s">
        <v>592</v>
      </c>
      <c r="N185" s="94" t="s">
        <v>589</v>
      </c>
      <c r="O185" s="94" t="s">
        <v>590</v>
      </c>
      <c r="P185" s="94">
        <f t="shared" si="2"/>
        <v>4.25</v>
      </c>
    </row>
    <row r="186" spans="2:16" hidden="1">
      <c r="B186" s="94" t="s">
        <v>585</v>
      </c>
      <c r="C186" s="94">
        <v>976</v>
      </c>
      <c r="D186" s="94" t="s">
        <v>586</v>
      </c>
      <c r="E186" s="94">
        <v>20</v>
      </c>
      <c r="F186" s="94">
        <v>70</v>
      </c>
      <c r="G186" s="94" t="s">
        <v>587</v>
      </c>
      <c r="H186" s="94">
        <v>40001411</v>
      </c>
      <c r="I186" s="94" t="s">
        <v>744</v>
      </c>
      <c r="J186" s="94">
        <v>1180</v>
      </c>
      <c r="K186" s="94" t="s">
        <v>587</v>
      </c>
      <c r="L186" s="94">
        <v>1</v>
      </c>
      <c r="M186" s="94" t="s">
        <v>588</v>
      </c>
      <c r="N186" s="94" t="s">
        <v>589</v>
      </c>
      <c r="O186" s="94" t="s">
        <v>590</v>
      </c>
      <c r="P186" s="94">
        <f t="shared" si="2"/>
        <v>5.9</v>
      </c>
    </row>
    <row r="187" spans="2:16">
      <c r="B187" s="94" t="s">
        <v>585</v>
      </c>
      <c r="C187" s="94">
        <v>976</v>
      </c>
      <c r="D187" s="94" t="s">
        <v>586</v>
      </c>
      <c r="E187" s="94">
        <v>20</v>
      </c>
      <c r="F187" s="94">
        <v>70</v>
      </c>
      <c r="G187" s="94" t="s">
        <v>587</v>
      </c>
      <c r="H187" s="94">
        <v>40001411</v>
      </c>
      <c r="I187" s="94" t="s">
        <v>745</v>
      </c>
      <c r="J187" s="94">
        <v>5.9</v>
      </c>
      <c r="K187" s="94" t="s">
        <v>587</v>
      </c>
      <c r="L187" s="94">
        <v>1</v>
      </c>
      <c r="M187" s="94" t="s">
        <v>592</v>
      </c>
      <c r="N187" s="94" t="s">
        <v>589</v>
      </c>
      <c r="O187" s="94" t="s">
        <v>590</v>
      </c>
      <c r="P187" s="94">
        <f t="shared" si="2"/>
        <v>5.9</v>
      </c>
    </row>
    <row r="188" spans="2:16" hidden="1">
      <c r="B188" s="94" t="s">
        <v>585</v>
      </c>
      <c r="C188" s="94">
        <v>976</v>
      </c>
      <c r="D188" s="94" t="s">
        <v>586</v>
      </c>
      <c r="E188" s="94">
        <v>20</v>
      </c>
      <c r="F188" s="94">
        <v>70</v>
      </c>
      <c r="G188" s="94" t="s">
        <v>587</v>
      </c>
      <c r="H188" s="94">
        <v>40001411</v>
      </c>
      <c r="I188" s="94" t="s">
        <v>246</v>
      </c>
      <c r="J188" s="94">
        <v>1322</v>
      </c>
      <c r="K188" s="94" t="s">
        <v>587</v>
      </c>
      <c r="L188" s="94">
        <v>1</v>
      </c>
      <c r="M188" s="94" t="s">
        <v>588</v>
      </c>
      <c r="N188" s="94" t="s">
        <v>589</v>
      </c>
      <c r="O188" s="94" t="s">
        <v>590</v>
      </c>
      <c r="P188" s="94">
        <f t="shared" si="2"/>
        <v>6.61</v>
      </c>
    </row>
    <row r="189" spans="2:16">
      <c r="B189" s="94" t="s">
        <v>585</v>
      </c>
      <c r="C189" s="94">
        <v>976</v>
      </c>
      <c r="D189" s="94" t="s">
        <v>586</v>
      </c>
      <c r="E189" s="94">
        <v>20</v>
      </c>
      <c r="F189" s="94">
        <v>70</v>
      </c>
      <c r="G189" s="94" t="s">
        <v>587</v>
      </c>
      <c r="H189" s="94">
        <v>40001411</v>
      </c>
      <c r="I189" s="94" t="s">
        <v>746</v>
      </c>
      <c r="J189" s="94">
        <v>6.61</v>
      </c>
      <c r="K189" s="94" t="s">
        <v>587</v>
      </c>
      <c r="L189" s="94">
        <v>1</v>
      </c>
      <c r="M189" s="94" t="s">
        <v>592</v>
      </c>
      <c r="N189" s="94" t="s">
        <v>589</v>
      </c>
      <c r="O189" s="94" t="s">
        <v>590</v>
      </c>
      <c r="P189" s="94">
        <f t="shared" si="2"/>
        <v>6.61</v>
      </c>
    </row>
    <row r="190" spans="2:16" hidden="1">
      <c r="B190" s="94" t="s">
        <v>585</v>
      </c>
      <c r="C190" s="94">
        <v>976</v>
      </c>
      <c r="D190" s="94" t="s">
        <v>586</v>
      </c>
      <c r="E190" s="94">
        <v>20</v>
      </c>
      <c r="F190" s="94">
        <v>70</v>
      </c>
      <c r="G190" s="94" t="s">
        <v>587</v>
      </c>
      <c r="H190" s="94">
        <v>40001411</v>
      </c>
      <c r="I190" s="94" t="s">
        <v>747</v>
      </c>
      <c r="J190" s="94">
        <v>878</v>
      </c>
      <c r="K190" s="94" t="s">
        <v>587</v>
      </c>
      <c r="L190" s="94">
        <v>1</v>
      </c>
      <c r="M190" s="94" t="s">
        <v>588</v>
      </c>
      <c r="N190" s="94" t="s">
        <v>589</v>
      </c>
      <c r="O190" s="94" t="s">
        <v>590</v>
      </c>
      <c r="P190" s="94">
        <f t="shared" si="2"/>
        <v>4.3899999999999997</v>
      </c>
    </row>
    <row r="191" spans="2:16">
      <c r="B191" s="94" t="s">
        <v>585</v>
      </c>
      <c r="C191" s="94">
        <v>976</v>
      </c>
      <c r="D191" s="94" t="s">
        <v>586</v>
      </c>
      <c r="E191" s="94">
        <v>20</v>
      </c>
      <c r="F191" s="94">
        <v>70</v>
      </c>
      <c r="G191" s="94" t="s">
        <v>587</v>
      </c>
      <c r="H191" s="94">
        <v>40001411</v>
      </c>
      <c r="I191" s="94" t="s">
        <v>748</v>
      </c>
      <c r="J191" s="94">
        <v>4.3899999999999997</v>
      </c>
      <c r="K191" s="94" t="s">
        <v>587</v>
      </c>
      <c r="L191" s="94">
        <v>1</v>
      </c>
      <c r="M191" s="94" t="s">
        <v>592</v>
      </c>
      <c r="N191" s="94" t="s">
        <v>589</v>
      </c>
      <c r="O191" s="94" t="s">
        <v>590</v>
      </c>
      <c r="P191" s="94">
        <f t="shared" si="2"/>
        <v>4.3899999999999997</v>
      </c>
    </row>
    <row r="192" spans="2:16" hidden="1">
      <c r="B192" s="94" t="s">
        <v>585</v>
      </c>
      <c r="C192" s="94">
        <v>976</v>
      </c>
      <c r="D192" s="94" t="s">
        <v>586</v>
      </c>
      <c r="E192" s="94">
        <v>20</v>
      </c>
      <c r="F192" s="94">
        <v>70</v>
      </c>
      <c r="G192" s="94" t="s">
        <v>587</v>
      </c>
      <c r="H192" s="94">
        <v>40001411</v>
      </c>
      <c r="I192" s="94" t="s">
        <v>749</v>
      </c>
      <c r="J192" s="94">
        <v>1166</v>
      </c>
      <c r="K192" s="94" t="s">
        <v>587</v>
      </c>
      <c r="L192" s="94">
        <v>1</v>
      </c>
      <c r="M192" s="94" t="s">
        <v>588</v>
      </c>
      <c r="N192" s="94" t="s">
        <v>589</v>
      </c>
      <c r="O192" s="94" t="s">
        <v>590</v>
      </c>
      <c r="P192" s="94">
        <f t="shared" si="2"/>
        <v>5.83</v>
      </c>
    </row>
    <row r="193" spans="2:18">
      <c r="B193" s="94" t="s">
        <v>585</v>
      </c>
      <c r="C193" s="94">
        <v>976</v>
      </c>
      <c r="D193" s="94" t="s">
        <v>586</v>
      </c>
      <c r="E193" s="94">
        <v>20</v>
      </c>
      <c r="F193" s="94">
        <v>70</v>
      </c>
      <c r="G193" s="94" t="s">
        <v>587</v>
      </c>
      <c r="H193" s="94">
        <v>40001411</v>
      </c>
      <c r="I193" s="94" t="s">
        <v>750</v>
      </c>
      <c r="J193" s="94">
        <v>5.83</v>
      </c>
      <c r="K193" s="94" t="s">
        <v>587</v>
      </c>
      <c r="L193" s="94">
        <v>1</v>
      </c>
      <c r="M193" s="94" t="s">
        <v>592</v>
      </c>
      <c r="N193" s="94" t="s">
        <v>589</v>
      </c>
      <c r="O193" s="94" t="s">
        <v>590</v>
      </c>
      <c r="P193" s="94">
        <f t="shared" si="2"/>
        <v>5.83</v>
      </c>
    </row>
    <row r="194" spans="2:18" hidden="1">
      <c r="B194" s="94" t="s">
        <v>585</v>
      </c>
      <c r="C194" s="94">
        <v>976</v>
      </c>
      <c r="D194" s="94" t="s">
        <v>586</v>
      </c>
      <c r="E194" s="94">
        <v>20</v>
      </c>
      <c r="F194" s="94">
        <v>70</v>
      </c>
      <c r="G194" s="94" t="s">
        <v>587</v>
      </c>
      <c r="H194" s="94">
        <v>40001411</v>
      </c>
      <c r="I194" s="94" t="s">
        <v>751</v>
      </c>
      <c r="J194" s="94">
        <v>1130</v>
      </c>
      <c r="K194" s="94" t="s">
        <v>587</v>
      </c>
      <c r="L194" s="94">
        <v>1</v>
      </c>
      <c r="M194" s="94" t="s">
        <v>588</v>
      </c>
      <c r="N194" s="94" t="s">
        <v>589</v>
      </c>
      <c r="O194" s="94" t="s">
        <v>590</v>
      </c>
      <c r="P194" s="94">
        <f t="shared" si="2"/>
        <v>5.65</v>
      </c>
    </row>
    <row r="195" spans="2:18">
      <c r="B195" s="94" t="s">
        <v>585</v>
      </c>
      <c r="C195" s="94">
        <v>976</v>
      </c>
      <c r="D195" s="94" t="s">
        <v>586</v>
      </c>
      <c r="E195" s="94">
        <v>20</v>
      </c>
      <c r="F195" s="94">
        <v>70</v>
      </c>
      <c r="G195" s="94" t="s">
        <v>587</v>
      </c>
      <c r="H195" s="94">
        <v>40001411</v>
      </c>
      <c r="I195" s="94" t="s">
        <v>752</v>
      </c>
      <c r="J195" s="94">
        <v>5.65</v>
      </c>
      <c r="K195" s="94" t="s">
        <v>587</v>
      </c>
      <c r="L195" s="94">
        <v>1</v>
      </c>
      <c r="M195" s="94" t="s">
        <v>592</v>
      </c>
      <c r="N195" s="94" t="s">
        <v>589</v>
      </c>
      <c r="O195" s="94" t="s">
        <v>590</v>
      </c>
      <c r="P195" s="94">
        <f t="shared" si="2"/>
        <v>5.65</v>
      </c>
    </row>
    <row r="196" spans="2:18" hidden="1">
      <c r="B196" s="94" t="s">
        <v>585</v>
      </c>
      <c r="C196" s="94">
        <v>976</v>
      </c>
      <c r="D196" s="94" t="s">
        <v>586</v>
      </c>
      <c r="E196" s="94">
        <v>20</v>
      </c>
      <c r="F196" s="94">
        <v>70</v>
      </c>
      <c r="G196" s="94" t="s">
        <v>587</v>
      </c>
      <c r="H196" s="94">
        <v>40001411</v>
      </c>
      <c r="I196" s="94" t="s">
        <v>214</v>
      </c>
      <c r="J196" s="94">
        <v>1440</v>
      </c>
      <c r="K196" s="94" t="s">
        <v>587</v>
      </c>
      <c r="L196" s="94">
        <v>1</v>
      </c>
      <c r="M196" s="94" t="s">
        <v>588</v>
      </c>
      <c r="N196" s="94" t="s">
        <v>589</v>
      </c>
      <c r="O196" s="94" t="s">
        <v>590</v>
      </c>
      <c r="P196" s="94">
        <f t="shared" ref="P196:P260" si="3">+IF(M196="tam",J196/200,J196)</f>
        <v>7.2</v>
      </c>
    </row>
    <row r="197" spans="2:18">
      <c r="B197" s="94" t="s">
        <v>585</v>
      </c>
      <c r="C197" s="94">
        <v>976</v>
      </c>
      <c r="D197" s="94" t="s">
        <v>586</v>
      </c>
      <c r="E197" s="94">
        <v>20</v>
      </c>
      <c r="F197" s="94">
        <v>70</v>
      </c>
      <c r="G197" s="94" t="s">
        <v>587</v>
      </c>
      <c r="H197" s="94">
        <v>40001411</v>
      </c>
      <c r="I197" s="94" t="s">
        <v>197</v>
      </c>
      <c r="J197" s="94">
        <v>7.32</v>
      </c>
      <c r="K197" s="94" t="s">
        <v>587</v>
      </c>
      <c r="L197" s="94">
        <v>1</v>
      </c>
      <c r="M197" s="94" t="s">
        <v>592</v>
      </c>
      <c r="N197" s="94" t="s">
        <v>589</v>
      </c>
      <c r="O197" s="94" t="s">
        <v>590</v>
      </c>
      <c r="P197" s="94">
        <f t="shared" si="3"/>
        <v>7.32</v>
      </c>
    </row>
    <row r="198" spans="2:18" hidden="1">
      <c r="B198" s="94" t="s">
        <v>585</v>
      </c>
      <c r="C198" s="94">
        <v>976</v>
      </c>
      <c r="D198" s="94" t="s">
        <v>586</v>
      </c>
      <c r="E198" s="94">
        <v>20</v>
      </c>
      <c r="F198" s="94">
        <v>70</v>
      </c>
      <c r="G198" s="94" t="s">
        <v>587</v>
      </c>
      <c r="H198" s="94">
        <v>40001411</v>
      </c>
      <c r="I198" s="94" t="s">
        <v>753</v>
      </c>
      <c r="J198" s="94">
        <v>1524</v>
      </c>
      <c r="K198" s="94" t="s">
        <v>587</v>
      </c>
      <c r="L198" s="94">
        <v>1</v>
      </c>
      <c r="M198" s="94" t="s">
        <v>588</v>
      </c>
      <c r="N198" s="94" t="s">
        <v>589</v>
      </c>
      <c r="O198" s="94" t="s">
        <v>590</v>
      </c>
      <c r="P198" s="94">
        <f t="shared" si="3"/>
        <v>7.62</v>
      </c>
    </row>
    <row r="199" spans="2:18">
      <c r="B199" s="94" t="s">
        <v>585</v>
      </c>
      <c r="C199" s="94">
        <v>976</v>
      </c>
      <c r="D199" s="94" t="s">
        <v>586</v>
      </c>
      <c r="E199" s="94">
        <v>20</v>
      </c>
      <c r="F199" s="94">
        <v>70</v>
      </c>
      <c r="G199" s="94" t="s">
        <v>587</v>
      </c>
      <c r="H199" s="94">
        <v>40001411</v>
      </c>
      <c r="I199" s="94" t="s">
        <v>754</v>
      </c>
      <c r="J199" s="94">
        <v>7.2</v>
      </c>
      <c r="K199" s="94" t="s">
        <v>587</v>
      </c>
      <c r="L199" s="94">
        <v>1</v>
      </c>
      <c r="M199" s="94" t="s">
        <v>592</v>
      </c>
      <c r="N199" s="94" t="s">
        <v>589</v>
      </c>
      <c r="O199" s="94" t="s">
        <v>590</v>
      </c>
      <c r="P199" s="94">
        <f t="shared" si="3"/>
        <v>7.2</v>
      </c>
    </row>
    <row r="200" spans="2:18" hidden="1">
      <c r="B200" s="94" t="s">
        <v>585</v>
      </c>
      <c r="C200" s="94">
        <v>976</v>
      </c>
      <c r="D200" s="94" t="s">
        <v>586</v>
      </c>
      <c r="E200" s="94">
        <v>20</v>
      </c>
      <c r="F200" s="94">
        <v>70</v>
      </c>
      <c r="G200" s="94" t="s">
        <v>587</v>
      </c>
      <c r="H200" s="94">
        <v>40001411</v>
      </c>
      <c r="I200" s="94" t="s">
        <v>287</v>
      </c>
      <c r="J200" s="94">
        <v>1440</v>
      </c>
      <c r="K200" s="94" t="s">
        <v>587</v>
      </c>
      <c r="L200" s="94">
        <v>1</v>
      </c>
      <c r="M200" s="94" t="s">
        <v>588</v>
      </c>
      <c r="N200" s="94" t="s">
        <v>589</v>
      </c>
      <c r="O200" s="94" t="s">
        <v>590</v>
      </c>
      <c r="P200" s="94">
        <f t="shared" si="3"/>
        <v>7.2</v>
      </c>
    </row>
    <row r="201" spans="2:18">
      <c r="B201" s="94" t="s">
        <v>585</v>
      </c>
      <c r="C201" s="94">
        <v>976</v>
      </c>
      <c r="D201" s="94" t="s">
        <v>586</v>
      </c>
      <c r="E201" s="94">
        <v>20</v>
      </c>
      <c r="F201" s="94">
        <v>70</v>
      </c>
      <c r="G201" s="94" t="s">
        <v>587</v>
      </c>
      <c r="H201" s="94">
        <v>40001411</v>
      </c>
      <c r="I201" s="94" t="s">
        <v>755</v>
      </c>
      <c r="J201" s="94">
        <v>7.62</v>
      </c>
      <c r="K201" s="94" t="s">
        <v>587</v>
      </c>
      <c r="L201" s="94">
        <v>1</v>
      </c>
      <c r="M201" s="94" t="s">
        <v>592</v>
      </c>
      <c r="N201" s="94" t="s">
        <v>589</v>
      </c>
      <c r="O201" s="94" t="s">
        <v>590</v>
      </c>
      <c r="P201" s="94">
        <f t="shared" si="3"/>
        <v>7.62</v>
      </c>
    </row>
    <row r="202" spans="2:18" hidden="1">
      <c r="B202" s="94" t="s">
        <v>585</v>
      </c>
      <c r="C202" s="94">
        <v>976</v>
      </c>
      <c r="D202" s="94" t="s">
        <v>586</v>
      </c>
      <c r="E202" s="94">
        <v>20</v>
      </c>
      <c r="F202" s="94">
        <v>70</v>
      </c>
      <c r="G202" s="94" t="s">
        <v>587</v>
      </c>
      <c r="H202" s="94">
        <v>40001411</v>
      </c>
      <c r="I202" s="94" t="s">
        <v>756</v>
      </c>
      <c r="J202" s="94">
        <v>854</v>
      </c>
      <c r="K202" s="94" t="s">
        <v>587</v>
      </c>
      <c r="L202" s="94">
        <v>1</v>
      </c>
      <c r="M202" s="94" t="s">
        <v>588</v>
      </c>
      <c r="N202" s="94" t="s">
        <v>589</v>
      </c>
      <c r="O202" s="94" t="s">
        <v>590</v>
      </c>
      <c r="P202" s="94">
        <f t="shared" si="3"/>
        <v>4.2699999999999996</v>
      </c>
    </row>
    <row r="203" spans="2:18">
      <c r="B203" s="94" t="s">
        <v>585</v>
      </c>
      <c r="C203" s="94">
        <v>976</v>
      </c>
      <c r="D203" s="94" t="s">
        <v>586</v>
      </c>
      <c r="E203" s="94">
        <v>20</v>
      </c>
      <c r="F203" s="94">
        <v>70</v>
      </c>
      <c r="G203" s="94" t="s">
        <v>587</v>
      </c>
      <c r="H203" s="94">
        <v>40001411</v>
      </c>
      <c r="I203" s="94" t="s">
        <v>757</v>
      </c>
      <c r="J203" s="94">
        <v>7.2</v>
      </c>
      <c r="K203" s="94" t="s">
        <v>587</v>
      </c>
      <c r="L203" s="94">
        <v>1</v>
      </c>
      <c r="M203" s="94" t="s">
        <v>592</v>
      </c>
      <c r="N203" s="94" t="s">
        <v>589</v>
      </c>
      <c r="O203" s="94" t="s">
        <v>590</v>
      </c>
      <c r="P203" s="94">
        <f t="shared" si="3"/>
        <v>7.2</v>
      </c>
    </row>
    <row r="204" spans="2:18" hidden="1">
      <c r="B204" s="94" t="s">
        <v>585</v>
      </c>
      <c r="C204" s="94">
        <v>976</v>
      </c>
      <c r="D204" s="94" t="s">
        <v>586</v>
      </c>
      <c r="E204" s="94">
        <v>20</v>
      </c>
      <c r="F204" s="94">
        <v>70</v>
      </c>
      <c r="G204" s="94" t="s">
        <v>587</v>
      </c>
      <c r="H204" s="94">
        <v>40001411</v>
      </c>
      <c r="I204" s="94" t="s">
        <v>758</v>
      </c>
      <c r="J204" s="94">
        <v>940</v>
      </c>
      <c r="K204" s="94" t="s">
        <v>587</v>
      </c>
      <c r="L204" s="94">
        <v>1</v>
      </c>
      <c r="M204" s="94" t="s">
        <v>588</v>
      </c>
      <c r="N204" s="94" t="s">
        <v>589</v>
      </c>
      <c r="O204" s="94" t="s">
        <v>590</v>
      </c>
      <c r="P204" s="94">
        <f t="shared" si="3"/>
        <v>4.7</v>
      </c>
    </row>
    <row r="205" spans="2:18">
      <c r="B205" s="94" t="s">
        <v>585</v>
      </c>
      <c r="C205" s="94">
        <v>976</v>
      </c>
      <c r="D205" s="94" t="s">
        <v>586</v>
      </c>
      <c r="E205" s="94">
        <v>20</v>
      </c>
      <c r="F205" s="94">
        <v>70</v>
      </c>
      <c r="G205" s="94" t="s">
        <v>587</v>
      </c>
      <c r="H205" s="94">
        <v>40001411</v>
      </c>
      <c r="I205" s="94" t="s">
        <v>759</v>
      </c>
      <c r="J205" s="94">
        <v>4.2699999999999996</v>
      </c>
      <c r="K205" s="94" t="s">
        <v>587</v>
      </c>
      <c r="L205" s="94">
        <v>1</v>
      </c>
      <c r="M205" s="94" t="s">
        <v>592</v>
      </c>
      <c r="N205" s="94" t="s">
        <v>589</v>
      </c>
      <c r="O205" s="94" t="s">
        <v>590</v>
      </c>
      <c r="P205" s="94">
        <f t="shared" si="3"/>
        <v>4.2699999999999996</v>
      </c>
    </row>
    <row r="206" spans="2:18" hidden="1">
      <c r="B206" s="94" t="s">
        <v>585</v>
      </c>
      <c r="C206" s="94">
        <v>976</v>
      </c>
      <c r="D206" s="94" t="s">
        <v>586</v>
      </c>
      <c r="E206" s="94">
        <v>20</v>
      </c>
      <c r="F206" s="94">
        <v>70</v>
      </c>
      <c r="G206" s="94" t="s">
        <v>587</v>
      </c>
      <c r="H206" s="94">
        <v>40001411</v>
      </c>
      <c r="I206" s="94" t="s">
        <v>760</v>
      </c>
      <c r="J206" s="94">
        <v>914</v>
      </c>
      <c r="K206" s="94" t="s">
        <v>587</v>
      </c>
      <c r="L206" s="94">
        <v>1</v>
      </c>
      <c r="M206" s="94" t="s">
        <v>588</v>
      </c>
      <c r="N206" s="94" t="s">
        <v>589</v>
      </c>
      <c r="O206" s="94" t="s">
        <v>590</v>
      </c>
      <c r="P206" s="94">
        <f t="shared" si="3"/>
        <v>4.57</v>
      </c>
    </row>
    <row r="207" spans="2:18">
      <c r="B207" s="94" t="s">
        <v>585</v>
      </c>
      <c r="C207" s="94">
        <v>976</v>
      </c>
      <c r="D207" s="94" t="s">
        <v>586</v>
      </c>
      <c r="E207" s="94">
        <v>20</v>
      </c>
      <c r="F207" s="94">
        <v>70</v>
      </c>
      <c r="G207" s="94" t="s">
        <v>587</v>
      </c>
      <c r="H207" s="94">
        <v>40001411</v>
      </c>
      <c r="I207" s="94" t="s">
        <v>761</v>
      </c>
      <c r="J207" s="94">
        <v>4.7</v>
      </c>
      <c r="K207" s="94" t="s">
        <v>587</v>
      </c>
      <c r="L207" s="94">
        <v>1</v>
      </c>
      <c r="M207" s="94" t="s">
        <v>592</v>
      </c>
      <c r="N207" s="94" t="s">
        <v>589</v>
      </c>
      <c r="O207" s="94" t="s">
        <v>590</v>
      </c>
      <c r="P207" s="94">
        <f t="shared" si="3"/>
        <v>4.7</v>
      </c>
    </row>
    <row r="208" spans="2:18" hidden="1">
      <c r="B208" s="94" t="s">
        <v>585</v>
      </c>
      <c r="C208" s="94">
        <v>976</v>
      </c>
      <c r="D208" s="94" t="s">
        <v>586</v>
      </c>
      <c r="E208" s="94">
        <v>20</v>
      </c>
      <c r="F208" s="94">
        <v>70</v>
      </c>
      <c r="G208" s="94" t="s">
        <v>587</v>
      </c>
      <c r="H208" s="94">
        <v>40001411</v>
      </c>
      <c r="I208" s="94" t="s">
        <v>762</v>
      </c>
      <c r="J208" s="94">
        <v>1078</v>
      </c>
      <c r="K208" s="94" t="s">
        <v>587</v>
      </c>
      <c r="L208" s="94">
        <v>1</v>
      </c>
      <c r="M208" s="94" t="s">
        <v>588</v>
      </c>
      <c r="N208" s="94" t="s">
        <v>589</v>
      </c>
      <c r="O208" s="94" t="s">
        <v>590</v>
      </c>
      <c r="P208" s="94">
        <f t="shared" si="3"/>
        <v>5.39</v>
      </c>
      <c r="R208" t="e">
        <f>J208/Q208</f>
        <v>#DIV/0!</v>
      </c>
    </row>
    <row r="209" spans="2:16">
      <c r="B209" s="94" t="s">
        <v>585</v>
      </c>
      <c r="C209" s="94">
        <v>976</v>
      </c>
      <c r="D209" s="94" t="s">
        <v>586</v>
      </c>
      <c r="E209" s="94">
        <v>20</v>
      </c>
      <c r="F209" s="94">
        <v>70</v>
      </c>
      <c r="G209" s="94" t="s">
        <v>587</v>
      </c>
      <c r="H209" s="94">
        <v>40001411</v>
      </c>
      <c r="I209" s="94" t="s">
        <v>763</v>
      </c>
      <c r="J209" s="94">
        <v>4.57</v>
      </c>
      <c r="K209" s="94" t="s">
        <v>587</v>
      </c>
      <c r="L209" s="94">
        <v>1</v>
      </c>
      <c r="M209" s="94" t="s">
        <v>592</v>
      </c>
      <c r="N209" s="94" t="s">
        <v>589</v>
      </c>
      <c r="O209" s="94" t="s">
        <v>590</v>
      </c>
      <c r="P209" s="94">
        <f t="shared" si="3"/>
        <v>4.57</v>
      </c>
    </row>
    <row r="210" spans="2:16" hidden="1">
      <c r="B210" s="94" t="s">
        <v>585</v>
      </c>
      <c r="C210" s="94">
        <v>976</v>
      </c>
      <c r="D210" s="94" t="s">
        <v>586</v>
      </c>
      <c r="E210" s="94">
        <v>20</v>
      </c>
      <c r="F210" s="94">
        <v>70</v>
      </c>
      <c r="G210" s="94" t="s">
        <v>587</v>
      </c>
      <c r="H210" s="94">
        <v>40001411</v>
      </c>
      <c r="I210" s="94" t="s">
        <v>472</v>
      </c>
      <c r="J210" s="94">
        <v>1576</v>
      </c>
      <c r="K210" s="94" t="s">
        <v>587</v>
      </c>
      <c r="L210" s="94">
        <v>1</v>
      </c>
      <c r="M210" s="94" t="s">
        <v>588</v>
      </c>
      <c r="N210" s="94" t="s">
        <v>589</v>
      </c>
      <c r="O210" s="94" t="s">
        <v>590</v>
      </c>
      <c r="P210" s="94">
        <f t="shared" si="3"/>
        <v>7.88</v>
      </c>
    </row>
    <row r="211" spans="2:16">
      <c r="B211" s="94" t="s">
        <v>585</v>
      </c>
      <c r="C211" s="94">
        <v>976</v>
      </c>
      <c r="D211" s="94" t="s">
        <v>586</v>
      </c>
      <c r="E211" s="94">
        <v>20</v>
      </c>
      <c r="F211" s="94">
        <v>70</v>
      </c>
      <c r="G211" s="94" t="s">
        <v>587</v>
      </c>
      <c r="H211" s="94">
        <v>40001411</v>
      </c>
      <c r="I211" s="94" t="s">
        <v>764</v>
      </c>
      <c r="J211" s="94">
        <v>5.39</v>
      </c>
      <c r="K211" s="94" t="s">
        <v>587</v>
      </c>
      <c r="L211" s="94">
        <v>1</v>
      </c>
      <c r="M211" s="94" t="s">
        <v>592</v>
      </c>
      <c r="N211" s="94" t="s">
        <v>589</v>
      </c>
      <c r="O211" s="94" t="s">
        <v>590</v>
      </c>
      <c r="P211" s="94">
        <f t="shared" si="3"/>
        <v>5.39</v>
      </c>
    </row>
    <row r="212" spans="2:16" hidden="1">
      <c r="B212" s="94" t="s">
        <v>585</v>
      </c>
      <c r="C212" s="94">
        <v>976</v>
      </c>
      <c r="D212" s="94" t="s">
        <v>586</v>
      </c>
      <c r="E212" s="94">
        <v>20</v>
      </c>
      <c r="F212" s="94">
        <v>70</v>
      </c>
      <c r="G212" s="94" t="s">
        <v>587</v>
      </c>
      <c r="H212" s="94">
        <v>40001411</v>
      </c>
      <c r="I212" s="94" t="s">
        <v>765</v>
      </c>
      <c r="J212" s="94">
        <v>706</v>
      </c>
      <c r="K212" s="94" t="s">
        <v>587</v>
      </c>
      <c r="L212" s="94">
        <v>1</v>
      </c>
      <c r="M212" s="94" t="s">
        <v>588</v>
      </c>
      <c r="N212" s="94" t="s">
        <v>589</v>
      </c>
      <c r="O212" s="94" t="s">
        <v>590</v>
      </c>
      <c r="P212" s="94">
        <f t="shared" si="3"/>
        <v>3.53</v>
      </c>
    </row>
    <row r="213" spans="2:16">
      <c r="B213" s="94" t="s">
        <v>585</v>
      </c>
      <c r="C213" s="94">
        <v>976</v>
      </c>
      <c r="D213" s="94" t="s">
        <v>586</v>
      </c>
      <c r="E213" s="94">
        <v>20</v>
      </c>
      <c r="F213" s="94">
        <v>70</v>
      </c>
      <c r="G213" s="94" t="s">
        <v>587</v>
      </c>
      <c r="H213" s="94">
        <v>40001411</v>
      </c>
      <c r="I213" s="94" t="s">
        <v>218</v>
      </c>
      <c r="J213" s="94">
        <v>7.88</v>
      </c>
      <c r="K213" s="94" t="s">
        <v>587</v>
      </c>
      <c r="L213" s="94">
        <v>1</v>
      </c>
      <c r="M213" s="94" t="s">
        <v>592</v>
      </c>
      <c r="N213" s="94" t="s">
        <v>589</v>
      </c>
      <c r="O213" s="94" t="s">
        <v>590</v>
      </c>
      <c r="P213" s="94">
        <f>+IF(M213="tam",J213/200,J213)</f>
        <v>7.88</v>
      </c>
    </row>
    <row r="214" spans="2:16">
      <c r="B214" s="94" t="s">
        <v>585</v>
      </c>
      <c r="C214" s="94">
        <v>976</v>
      </c>
      <c r="D214" s="94" t="s">
        <v>586</v>
      </c>
      <c r="E214" s="94">
        <v>20</v>
      </c>
      <c r="F214" s="94">
        <v>70</v>
      </c>
      <c r="G214" s="94" t="s">
        <v>587</v>
      </c>
      <c r="H214" s="94">
        <v>40001411</v>
      </c>
      <c r="I214" s="94" t="s">
        <v>766</v>
      </c>
      <c r="J214" s="94">
        <v>3.53</v>
      </c>
      <c r="K214" s="94" t="s">
        <v>587</v>
      </c>
      <c r="L214" s="94">
        <v>1</v>
      </c>
      <c r="M214" s="94" t="s">
        <v>592</v>
      </c>
      <c r="N214" s="94" t="s">
        <v>589</v>
      </c>
      <c r="O214" s="94" t="s">
        <v>590</v>
      </c>
      <c r="P214" s="94">
        <f t="shared" si="3"/>
        <v>3.53</v>
      </c>
    </row>
    <row r="215" spans="2:16" hidden="1">
      <c r="B215" s="94" t="s">
        <v>585</v>
      </c>
      <c r="C215" s="94">
        <v>976</v>
      </c>
      <c r="D215" s="94" t="s">
        <v>586</v>
      </c>
      <c r="E215" s="94">
        <v>20</v>
      </c>
      <c r="F215" s="94">
        <v>70</v>
      </c>
      <c r="G215" s="94" t="s">
        <v>587</v>
      </c>
      <c r="H215" s="94">
        <v>40001411</v>
      </c>
      <c r="I215" s="94" t="s">
        <v>767</v>
      </c>
      <c r="J215" s="94">
        <v>548</v>
      </c>
      <c r="K215" s="94" t="s">
        <v>587</v>
      </c>
      <c r="L215" s="94">
        <v>1</v>
      </c>
      <c r="M215" s="94" t="s">
        <v>588</v>
      </c>
      <c r="N215" s="94" t="s">
        <v>589</v>
      </c>
      <c r="O215" s="94" t="s">
        <v>590</v>
      </c>
      <c r="P215" s="94">
        <f t="shared" si="3"/>
        <v>2.74</v>
      </c>
    </row>
    <row r="216" spans="2:16">
      <c r="B216" s="94" t="s">
        <v>585</v>
      </c>
      <c r="C216" s="94">
        <v>976</v>
      </c>
      <c r="D216" s="94" t="s">
        <v>586</v>
      </c>
      <c r="E216" s="94">
        <v>20</v>
      </c>
      <c r="F216" s="94">
        <v>70</v>
      </c>
      <c r="G216" s="94" t="s">
        <v>587</v>
      </c>
      <c r="H216" s="94">
        <v>40001411</v>
      </c>
      <c r="I216" s="94" t="s">
        <v>768</v>
      </c>
      <c r="J216" s="94">
        <v>2.74</v>
      </c>
      <c r="K216" s="94" t="s">
        <v>587</v>
      </c>
      <c r="L216" s="94">
        <v>1</v>
      </c>
      <c r="M216" s="94" t="s">
        <v>592</v>
      </c>
      <c r="N216" s="94" t="s">
        <v>589</v>
      </c>
      <c r="O216" s="94" t="s">
        <v>590</v>
      </c>
      <c r="P216" s="94">
        <f t="shared" si="3"/>
        <v>2.74</v>
      </c>
    </row>
    <row r="217" spans="2:16" hidden="1">
      <c r="B217" s="94" t="s">
        <v>585</v>
      </c>
      <c r="C217" s="94">
        <v>976</v>
      </c>
      <c r="D217" s="94" t="s">
        <v>586</v>
      </c>
      <c r="E217" s="94">
        <v>20</v>
      </c>
      <c r="F217" s="94">
        <v>70</v>
      </c>
      <c r="G217" s="94" t="s">
        <v>587</v>
      </c>
      <c r="H217" s="94">
        <v>40001411</v>
      </c>
      <c r="I217" s="94" t="s">
        <v>769</v>
      </c>
      <c r="J217" s="94">
        <v>554</v>
      </c>
      <c r="K217" s="94" t="s">
        <v>587</v>
      </c>
      <c r="L217" s="94">
        <v>1</v>
      </c>
      <c r="M217" s="94" t="s">
        <v>588</v>
      </c>
      <c r="N217" s="94" t="s">
        <v>589</v>
      </c>
      <c r="O217" s="94" t="s">
        <v>590</v>
      </c>
      <c r="P217" s="94">
        <f t="shared" si="3"/>
        <v>2.77</v>
      </c>
    </row>
    <row r="218" spans="2:16">
      <c r="B218" s="94" t="s">
        <v>585</v>
      </c>
      <c r="C218" s="94">
        <v>976</v>
      </c>
      <c r="D218" s="94" t="s">
        <v>586</v>
      </c>
      <c r="E218" s="94">
        <v>20</v>
      </c>
      <c r="F218" s="94">
        <v>70</v>
      </c>
      <c r="G218" s="94" t="s">
        <v>587</v>
      </c>
      <c r="H218" s="94">
        <v>40001411</v>
      </c>
      <c r="I218" s="94" t="s">
        <v>770</v>
      </c>
      <c r="J218" s="94">
        <v>2.77</v>
      </c>
      <c r="K218" s="94" t="s">
        <v>587</v>
      </c>
      <c r="L218" s="94">
        <v>1</v>
      </c>
      <c r="M218" s="94" t="s">
        <v>592</v>
      </c>
      <c r="N218" s="94" t="s">
        <v>589</v>
      </c>
      <c r="O218" s="94" t="s">
        <v>590</v>
      </c>
      <c r="P218" s="94">
        <f t="shared" si="3"/>
        <v>2.77</v>
      </c>
    </row>
    <row r="219" spans="2:16" hidden="1">
      <c r="B219" s="94" t="s">
        <v>585</v>
      </c>
      <c r="C219" s="94">
        <v>976</v>
      </c>
      <c r="D219" s="94" t="s">
        <v>586</v>
      </c>
      <c r="E219" s="94">
        <v>20</v>
      </c>
      <c r="F219" s="94">
        <v>70</v>
      </c>
      <c r="G219" s="94" t="s">
        <v>587</v>
      </c>
      <c r="H219" s="94">
        <v>40001411</v>
      </c>
      <c r="I219" s="94" t="s">
        <v>771</v>
      </c>
      <c r="J219" s="94">
        <v>14.41</v>
      </c>
      <c r="K219" s="94" t="s">
        <v>587</v>
      </c>
      <c r="L219" s="94">
        <v>1</v>
      </c>
      <c r="M219" s="94" t="s">
        <v>588</v>
      </c>
      <c r="N219" s="94" t="s">
        <v>589</v>
      </c>
      <c r="O219" s="94" t="s">
        <v>590</v>
      </c>
      <c r="P219" s="94">
        <f t="shared" si="3"/>
        <v>7.2050000000000003E-2</v>
      </c>
    </row>
    <row r="220" spans="2:16" hidden="1">
      <c r="B220" s="94" t="s">
        <v>585</v>
      </c>
      <c r="C220" s="94">
        <v>976</v>
      </c>
      <c r="D220" s="94" t="s">
        <v>586</v>
      </c>
      <c r="E220" s="94">
        <v>20</v>
      </c>
      <c r="F220" s="94">
        <v>70</v>
      </c>
      <c r="G220" s="94" t="s">
        <v>587</v>
      </c>
      <c r="H220" s="94">
        <v>40001411</v>
      </c>
      <c r="I220" s="94" t="s">
        <v>772</v>
      </c>
      <c r="J220" s="94">
        <v>14.13</v>
      </c>
      <c r="K220" s="94" t="s">
        <v>587</v>
      </c>
      <c r="L220" s="94">
        <v>1</v>
      </c>
      <c r="M220" s="94" t="s">
        <v>588</v>
      </c>
      <c r="N220" s="94" t="s">
        <v>589</v>
      </c>
      <c r="O220" s="94" t="s">
        <v>590</v>
      </c>
      <c r="P220" s="94">
        <f t="shared" si="3"/>
        <v>7.0650000000000004E-2</v>
      </c>
    </row>
    <row r="221" spans="2:16" hidden="1">
      <c r="B221" s="94" t="s">
        <v>585</v>
      </c>
      <c r="C221" s="94">
        <v>976</v>
      </c>
      <c r="D221" s="94" t="s">
        <v>586</v>
      </c>
      <c r="E221" s="94">
        <v>20</v>
      </c>
      <c r="F221" s="94">
        <v>70</v>
      </c>
      <c r="G221" s="94" t="s">
        <v>587</v>
      </c>
      <c r="H221" s="94">
        <v>40001411</v>
      </c>
      <c r="I221" s="94" t="s">
        <v>773</v>
      </c>
      <c r="J221" s="94">
        <v>1322</v>
      </c>
      <c r="K221" s="94" t="s">
        <v>587</v>
      </c>
      <c r="L221" s="94">
        <v>1</v>
      </c>
      <c r="M221" s="94" t="s">
        <v>588</v>
      </c>
      <c r="N221" s="94" t="s">
        <v>589</v>
      </c>
      <c r="O221" s="94" t="s">
        <v>590</v>
      </c>
      <c r="P221" s="94">
        <f t="shared" si="3"/>
        <v>6.61</v>
      </c>
    </row>
    <row r="222" spans="2:16">
      <c r="B222" s="94" t="s">
        <v>585</v>
      </c>
      <c r="C222" s="94">
        <v>976</v>
      </c>
      <c r="D222" s="94" t="s">
        <v>586</v>
      </c>
      <c r="E222" s="94">
        <v>20</v>
      </c>
      <c r="F222" s="94">
        <v>70</v>
      </c>
      <c r="G222" s="94" t="s">
        <v>587</v>
      </c>
      <c r="H222" s="94">
        <v>40001411</v>
      </c>
      <c r="I222" s="94" t="s">
        <v>774</v>
      </c>
      <c r="J222" s="94">
        <v>6.61</v>
      </c>
      <c r="K222" s="94" t="s">
        <v>587</v>
      </c>
      <c r="L222" s="94">
        <v>1</v>
      </c>
      <c r="M222" s="94" t="s">
        <v>592</v>
      </c>
      <c r="N222" s="94" t="s">
        <v>589</v>
      </c>
      <c r="O222" s="94" t="s">
        <v>590</v>
      </c>
      <c r="P222" s="94">
        <f t="shared" si="3"/>
        <v>6.61</v>
      </c>
    </row>
    <row r="223" spans="2:16" hidden="1">
      <c r="B223" s="94" t="s">
        <v>585</v>
      </c>
      <c r="C223" s="94">
        <v>976</v>
      </c>
      <c r="D223" s="94" t="s">
        <v>586</v>
      </c>
      <c r="E223" s="94">
        <v>20</v>
      </c>
      <c r="F223" s="94">
        <v>70</v>
      </c>
      <c r="G223" s="94" t="s">
        <v>587</v>
      </c>
      <c r="H223" s="94">
        <v>40001411</v>
      </c>
      <c r="I223" s="94" t="s">
        <v>775</v>
      </c>
      <c r="J223" s="94">
        <v>1338</v>
      </c>
      <c r="K223" s="94" t="s">
        <v>587</v>
      </c>
      <c r="L223" s="94">
        <v>1</v>
      </c>
      <c r="M223" s="94" t="s">
        <v>588</v>
      </c>
      <c r="N223" s="94" t="s">
        <v>589</v>
      </c>
      <c r="O223" s="94" t="s">
        <v>590</v>
      </c>
      <c r="P223" s="94">
        <f t="shared" si="3"/>
        <v>6.69</v>
      </c>
    </row>
    <row r="224" spans="2:16">
      <c r="B224" s="94" t="s">
        <v>585</v>
      </c>
      <c r="C224" s="94">
        <v>976</v>
      </c>
      <c r="D224" s="94" t="s">
        <v>586</v>
      </c>
      <c r="E224" s="94">
        <v>20</v>
      </c>
      <c r="F224" s="94">
        <v>70</v>
      </c>
      <c r="G224" s="94" t="s">
        <v>587</v>
      </c>
      <c r="H224" s="94">
        <v>40001411</v>
      </c>
      <c r="I224" s="94" t="s">
        <v>776</v>
      </c>
      <c r="J224" s="94">
        <v>6.69</v>
      </c>
      <c r="K224" s="94" t="s">
        <v>587</v>
      </c>
      <c r="L224" s="94">
        <v>1</v>
      </c>
      <c r="M224" s="94" t="s">
        <v>592</v>
      </c>
      <c r="N224" s="94" t="s">
        <v>589</v>
      </c>
      <c r="O224" s="94" t="s">
        <v>590</v>
      </c>
      <c r="P224" s="94">
        <f t="shared" si="3"/>
        <v>6.69</v>
      </c>
    </row>
    <row r="225" spans="2:16" hidden="1">
      <c r="B225" s="94" t="s">
        <v>585</v>
      </c>
      <c r="C225" s="94">
        <v>976</v>
      </c>
      <c r="D225" s="94" t="s">
        <v>586</v>
      </c>
      <c r="E225" s="94">
        <v>20</v>
      </c>
      <c r="F225" s="94">
        <v>70</v>
      </c>
      <c r="G225" s="94" t="s">
        <v>587</v>
      </c>
      <c r="H225" s="94">
        <v>40001411</v>
      </c>
      <c r="I225" s="94" t="s">
        <v>777</v>
      </c>
      <c r="J225" s="94">
        <v>1358</v>
      </c>
      <c r="K225" s="94" t="s">
        <v>587</v>
      </c>
      <c r="L225" s="94">
        <v>1</v>
      </c>
      <c r="M225" s="94" t="s">
        <v>588</v>
      </c>
      <c r="N225" s="94" t="s">
        <v>589</v>
      </c>
      <c r="O225" s="94" t="s">
        <v>590</v>
      </c>
      <c r="P225" s="94">
        <f t="shared" si="3"/>
        <v>6.79</v>
      </c>
    </row>
    <row r="226" spans="2:16">
      <c r="B226" s="94" t="s">
        <v>585</v>
      </c>
      <c r="C226" s="94">
        <v>976</v>
      </c>
      <c r="D226" s="94" t="s">
        <v>586</v>
      </c>
      <c r="E226" s="94">
        <v>20</v>
      </c>
      <c r="F226" s="94">
        <v>70</v>
      </c>
      <c r="G226" s="94" t="s">
        <v>587</v>
      </c>
      <c r="H226" s="94">
        <v>40001411</v>
      </c>
      <c r="I226" s="94" t="s">
        <v>778</v>
      </c>
      <c r="J226" s="94">
        <v>6.79</v>
      </c>
      <c r="K226" s="94" t="s">
        <v>587</v>
      </c>
      <c r="L226" s="94">
        <v>1</v>
      </c>
      <c r="M226" s="94" t="s">
        <v>592</v>
      </c>
      <c r="N226" s="94" t="s">
        <v>589</v>
      </c>
      <c r="O226" s="94" t="s">
        <v>590</v>
      </c>
      <c r="P226" s="94">
        <f t="shared" si="3"/>
        <v>6.79</v>
      </c>
    </row>
    <row r="227" spans="2:16" hidden="1">
      <c r="B227" s="94" t="s">
        <v>585</v>
      </c>
      <c r="C227" s="94">
        <v>976</v>
      </c>
      <c r="D227" s="94" t="s">
        <v>586</v>
      </c>
      <c r="E227" s="94">
        <v>20</v>
      </c>
      <c r="F227" s="94">
        <v>70</v>
      </c>
      <c r="G227" s="94" t="s">
        <v>587</v>
      </c>
      <c r="H227" s="94">
        <v>40001411</v>
      </c>
      <c r="I227" s="94" t="s">
        <v>779</v>
      </c>
      <c r="J227" s="94">
        <v>1318</v>
      </c>
      <c r="K227" s="94" t="s">
        <v>587</v>
      </c>
      <c r="L227" s="94">
        <v>1</v>
      </c>
      <c r="M227" s="94" t="s">
        <v>588</v>
      </c>
      <c r="N227" s="94" t="s">
        <v>589</v>
      </c>
      <c r="O227" s="94" t="s">
        <v>590</v>
      </c>
      <c r="P227" s="94">
        <f t="shared" si="3"/>
        <v>6.59</v>
      </c>
    </row>
    <row r="228" spans="2:16">
      <c r="B228" s="94" t="s">
        <v>585</v>
      </c>
      <c r="C228" s="94">
        <v>976</v>
      </c>
      <c r="D228" s="94" t="s">
        <v>586</v>
      </c>
      <c r="E228" s="94">
        <v>20</v>
      </c>
      <c r="F228" s="94">
        <v>70</v>
      </c>
      <c r="G228" s="94" t="s">
        <v>587</v>
      </c>
      <c r="H228" s="94">
        <v>40001411</v>
      </c>
      <c r="I228" s="94" t="s">
        <v>780</v>
      </c>
      <c r="J228" s="94">
        <v>6.59</v>
      </c>
      <c r="K228" s="94" t="s">
        <v>587</v>
      </c>
      <c r="L228" s="94">
        <v>1</v>
      </c>
      <c r="M228" s="94" t="s">
        <v>592</v>
      </c>
      <c r="N228" s="94" t="s">
        <v>589</v>
      </c>
      <c r="O228" s="94" t="s">
        <v>590</v>
      </c>
      <c r="P228" s="94">
        <f t="shared" si="3"/>
        <v>6.59</v>
      </c>
    </row>
    <row r="229" spans="2:16" hidden="1">
      <c r="B229" s="94" t="s">
        <v>585</v>
      </c>
      <c r="C229" s="94">
        <v>976</v>
      </c>
      <c r="D229" s="94" t="s">
        <v>586</v>
      </c>
      <c r="E229" s="94">
        <v>20</v>
      </c>
      <c r="F229" s="94">
        <v>70</v>
      </c>
      <c r="G229" s="94" t="s">
        <v>587</v>
      </c>
      <c r="H229" s="94">
        <v>40001411</v>
      </c>
      <c r="I229" s="94" t="s">
        <v>212</v>
      </c>
      <c r="J229" s="94">
        <v>690</v>
      </c>
      <c r="K229" s="94" t="s">
        <v>587</v>
      </c>
      <c r="L229" s="94">
        <v>1</v>
      </c>
      <c r="M229" s="94" t="s">
        <v>588</v>
      </c>
      <c r="N229" s="94" t="s">
        <v>589</v>
      </c>
      <c r="O229" s="94" t="s">
        <v>590</v>
      </c>
      <c r="P229" s="94">
        <f t="shared" si="3"/>
        <v>3.45</v>
      </c>
    </row>
    <row r="230" spans="2:16">
      <c r="B230" s="94" t="s">
        <v>585</v>
      </c>
      <c r="C230" s="94">
        <v>976</v>
      </c>
      <c r="D230" s="94" t="s">
        <v>586</v>
      </c>
      <c r="E230" s="94">
        <v>20</v>
      </c>
      <c r="F230" s="94">
        <v>70</v>
      </c>
      <c r="G230" s="94" t="s">
        <v>587</v>
      </c>
      <c r="H230" s="94">
        <v>40001411</v>
      </c>
      <c r="I230" s="94" t="s">
        <v>781</v>
      </c>
      <c r="J230" s="94">
        <v>3.45</v>
      </c>
      <c r="K230" s="94" t="s">
        <v>587</v>
      </c>
      <c r="L230" s="94">
        <v>1</v>
      </c>
      <c r="M230" s="94" t="s">
        <v>592</v>
      </c>
      <c r="N230" s="94" t="s">
        <v>589</v>
      </c>
      <c r="O230" s="94" t="s">
        <v>590</v>
      </c>
      <c r="P230" s="94">
        <f t="shared" si="3"/>
        <v>3.45</v>
      </c>
    </row>
    <row r="231" spans="2:16" hidden="1">
      <c r="B231" s="94" t="s">
        <v>585</v>
      </c>
      <c r="C231" s="94">
        <v>976</v>
      </c>
      <c r="D231" s="94" t="s">
        <v>586</v>
      </c>
      <c r="E231" s="94">
        <v>20</v>
      </c>
      <c r="F231" s="94">
        <v>70</v>
      </c>
      <c r="G231" s="94" t="s">
        <v>587</v>
      </c>
      <c r="H231" s="94">
        <v>40001411</v>
      </c>
      <c r="I231" s="94" t="s">
        <v>782</v>
      </c>
      <c r="J231" s="94">
        <v>690</v>
      </c>
      <c r="K231" s="94" t="s">
        <v>587</v>
      </c>
      <c r="L231" s="94">
        <v>1</v>
      </c>
      <c r="M231" s="94" t="s">
        <v>588</v>
      </c>
      <c r="N231" s="94" t="s">
        <v>589</v>
      </c>
      <c r="O231" s="94" t="s">
        <v>590</v>
      </c>
      <c r="P231" s="94">
        <f t="shared" si="3"/>
        <v>3.45</v>
      </c>
    </row>
    <row r="232" spans="2:16">
      <c r="B232" s="94" t="s">
        <v>585</v>
      </c>
      <c r="C232" s="94">
        <v>976</v>
      </c>
      <c r="D232" s="94" t="s">
        <v>586</v>
      </c>
      <c r="E232" s="94">
        <v>20</v>
      </c>
      <c r="F232" s="94">
        <v>70</v>
      </c>
      <c r="G232" s="94" t="s">
        <v>587</v>
      </c>
      <c r="H232" s="94">
        <v>40001411</v>
      </c>
      <c r="I232" s="94" t="s">
        <v>783</v>
      </c>
      <c r="J232" s="94">
        <v>3.45</v>
      </c>
      <c r="K232" s="94" t="s">
        <v>587</v>
      </c>
      <c r="L232" s="94">
        <v>1</v>
      </c>
      <c r="M232" s="94" t="s">
        <v>592</v>
      </c>
      <c r="N232" s="94" t="s">
        <v>589</v>
      </c>
      <c r="O232" s="94" t="s">
        <v>590</v>
      </c>
      <c r="P232" s="94">
        <f t="shared" si="3"/>
        <v>3.45</v>
      </c>
    </row>
    <row r="233" spans="2:16" hidden="1">
      <c r="B233" s="94" t="s">
        <v>585</v>
      </c>
      <c r="C233" s="94">
        <v>976</v>
      </c>
      <c r="D233" s="94" t="s">
        <v>586</v>
      </c>
      <c r="E233" s="94">
        <v>20</v>
      </c>
      <c r="F233" s="94">
        <v>70</v>
      </c>
      <c r="G233" s="94" t="s">
        <v>587</v>
      </c>
      <c r="H233" s="94">
        <v>40001411</v>
      </c>
      <c r="I233" s="94" t="s">
        <v>784</v>
      </c>
      <c r="J233" s="94">
        <v>870</v>
      </c>
      <c r="K233" s="94" t="s">
        <v>587</v>
      </c>
      <c r="L233" s="94">
        <v>1</v>
      </c>
      <c r="M233" s="94" t="s">
        <v>588</v>
      </c>
      <c r="N233" s="94" t="s">
        <v>589</v>
      </c>
      <c r="O233" s="94" t="s">
        <v>590</v>
      </c>
      <c r="P233" s="94">
        <f t="shared" si="3"/>
        <v>4.3499999999999996</v>
      </c>
    </row>
    <row r="234" spans="2:16">
      <c r="B234" s="94" t="s">
        <v>585</v>
      </c>
      <c r="C234" s="94">
        <v>976</v>
      </c>
      <c r="D234" s="94" t="s">
        <v>586</v>
      </c>
      <c r="E234" s="94">
        <v>20</v>
      </c>
      <c r="F234" s="94">
        <v>70</v>
      </c>
      <c r="G234" s="94" t="s">
        <v>587</v>
      </c>
      <c r="H234" s="94">
        <v>40001411</v>
      </c>
      <c r="I234" s="94" t="s">
        <v>785</v>
      </c>
      <c r="J234" s="94">
        <v>4.3499999999999996</v>
      </c>
      <c r="K234" s="94" t="s">
        <v>587</v>
      </c>
      <c r="L234" s="94">
        <v>1</v>
      </c>
      <c r="M234" s="94" t="s">
        <v>592</v>
      </c>
      <c r="N234" s="94" t="s">
        <v>589</v>
      </c>
      <c r="O234" s="94" t="s">
        <v>590</v>
      </c>
      <c r="P234" s="94">
        <f t="shared" si="3"/>
        <v>4.3499999999999996</v>
      </c>
    </row>
    <row r="235" spans="2:16" hidden="1">
      <c r="B235" s="94" t="s">
        <v>585</v>
      </c>
      <c r="C235" s="94">
        <v>976</v>
      </c>
      <c r="D235" s="94" t="s">
        <v>586</v>
      </c>
      <c r="E235" s="94">
        <v>20</v>
      </c>
      <c r="F235" s="94">
        <v>70</v>
      </c>
      <c r="G235" s="94" t="s">
        <v>587</v>
      </c>
      <c r="H235" s="94">
        <v>40001411</v>
      </c>
      <c r="I235" s="94" t="s">
        <v>786</v>
      </c>
      <c r="J235" s="94">
        <v>870</v>
      </c>
      <c r="K235" s="94" t="s">
        <v>587</v>
      </c>
      <c r="L235" s="94">
        <v>1</v>
      </c>
      <c r="M235" s="94" t="s">
        <v>588</v>
      </c>
      <c r="N235" s="94" t="s">
        <v>589</v>
      </c>
      <c r="O235" s="94" t="s">
        <v>590</v>
      </c>
      <c r="P235" s="94">
        <f t="shared" si="3"/>
        <v>4.3499999999999996</v>
      </c>
    </row>
    <row r="236" spans="2:16">
      <c r="B236" s="94" t="s">
        <v>585</v>
      </c>
      <c r="C236" s="94">
        <v>976</v>
      </c>
      <c r="D236" s="94" t="s">
        <v>586</v>
      </c>
      <c r="E236" s="94">
        <v>20</v>
      </c>
      <c r="F236" s="94">
        <v>70</v>
      </c>
      <c r="G236" s="94" t="s">
        <v>587</v>
      </c>
      <c r="H236" s="94">
        <v>40001411</v>
      </c>
      <c r="I236" s="94" t="s">
        <v>787</v>
      </c>
      <c r="J236" s="94">
        <v>4.3499999999999996</v>
      </c>
      <c r="K236" s="94" t="s">
        <v>587</v>
      </c>
      <c r="L236" s="94">
        <v>1</v>
      </c>
      <c r="M236" s="94" t="s">
        <v>592</v>
      </c>
      <c r="N236" s="94" t="s">
        <v>589</v>
      </c>
      <c r="O236" s="94" t="s">
        <v>590</v>
      </c>
      <c r="P236" s="94">
        <f t="shared" si="3"/>
        <v>4.3499999999999996</v>
      </c>
    </row>
    <row r="237" spans="2:16" hidden="1">
      <c r="B237" s="94" t="s">
        <v>585</v>
      </c>
      <c r="C237" s="94">
        <v>976</v>
      </c>
      <c r="D237" s="94" t="s">
        <v>586</v>
      </c>
      <c r="E237" s="94">
        <v>20</v>
      </c>
      <c r="F237" s="94">
        <v>70</v>
      </c>
      <c r="G237" s="94" t="s">
        <v>587</v>
      </c>
      <c r="H237" s="94">
        <v>40001411</v>
      </c>
      <c r="I237" s="94" t="s">
        <v>788</v>
      </c>
      <c r="J237" s="94">
        <v>878</v>
      </c>
      <c r="K237" s="94" t="s">
        <v>587</v>
      </c>
      <c r="L237" s="94">
        <v>1</v>
      </c>
      <c r="M237" s="94" t="s">
        <v>588</v>
      </c>
      <c r="N237" s="94" t="s">
        <v>589</v>
      </c>
      <c r="O237" s="94" t="s">
        <v>590</v>
      </c>
      <c r="P237" s="94">
        <f t="shared" si="3"/>
        <v>4.3899999999999997</v>
      </c>
    </row>
    <row r="238" spans="2:16">
      <c r="B238" s="94" t="s">
        <v>585</v>
      </c>
      <c r="C238" s="94">
        <v>976</v>
      </c>
      <c r="D238" s="94" t="s">
        <v>586</v>
      </c>
      <c r="E238" s="94">
        <v>20</v>
      </c>
      <c r="F238" s="94">
        <v>70</v>
      </c>
      <c r="G238" s="94" t="s">
        <v>587</v>
      </c>
      <c r="H238" s="94">
        <v>40001411</v>
      </c>
      <c r="I238" s="94" t="s">
        <v>789</v>
      </c>
      <c r="J238" s="94">
        <v>4.3899999999999997</v>
      </c>
      <c r="K238" s="94" t="s">
        <v>587</v>
      </c>
      <c r="L238" s="94">
        <v>1</v>
      </c>
      <c r="M238" s="94" t="s">
        <v>592</v>
      </c>
      <c r="N238" s="94" t="s">
        <v>589</v>
      </c>
      <c r="O238" s="94" t="s">
        <v>590</v>
      </c>
      <c r="P238" s="94">
        <f t="shared" si="3"/>
        <v>4.3899999999999997</v>
      </c>
    </row>
    <row r="239" spans="2:16" hidden="1">
      <c r="B239" s="94" t="s">
        <v>585</v>
      </c>
      <c r="C239" s="94">
        <v>976</v>
      </c>
      <c r="D239" s="94" t="s">
        <v>586</v>
      </c>
      <c r="E239" s="94">
        <v>20</v>
      </c>
      <c r="F239" s="94">
        <v>70</v>
      </c>
      <c r="G239" s="94" t="s">
        <v>587</v>
      </c>
      <c r="H239" s="94">
        <v>40001411</v>
      </c>
      <c r="I239" s="94" t="s">
        <v>790</v>
      </c>
      <c r="J239" s="94">
        <v>862</v>
      </c>
      <c r="K239" s="94" t="s">
        <v>587</v>
      </c>
      <c r="L239" s="94">
        <v>1</v>
      </c>
      <c r="M239" s="94" t="s">
        <v>588</v>
      </c>
      <c r="N239" s="94" t="s">
        <v>589</v>
      </c>
      <c r="O239" s="94" t="s">
        <v>590</v>
      </c>
      <c r="P239" s="94">
        <f t="shared" si="3"/>
        <v>4.3099999999999996</v>
      </c>
    </row>
    <row r="240" spans="2:16">
      <c r="B240" s="94" t="s">
        <v>585</v>
      </c>
      <c r="C240" s="94">
        <v>976</v>
      </c>
      <c r="D240" s="94" t="s">
        <v>586</v>
      </c>
      <c r="E240" s="94">
        <v>20</v>
      </c>
      <c r="F240" s="94">
        <v>70</v>
      </c>
      <c r="G240" s="94" t="s">
        <v>587</v>
      </c>
      <c r="H240" s="94">
        <v>40001411</v>
      </c>
      <c r="I240" s="94" t="s">
        <v>791</v>
      </c>
      <c r="J240" s="94">
        <v>4.3099999999999996</v>
      </c>
      <c r="K240" s="94" t="s">
        <v>587</v>
      </c>
      <c r="L240" s="94">
        <v>1</v>
      </c>
      <c r="M240" s="94" t="s">
        <v>592</v>
      </c>
      <c r="N240" s="94" t="s">
        <v>589</v>
      </c>
      <c r="O240" s="94" t="s">
        <v>590</v>
      </c>
      <c r="P240" s="94">
        <f t="shared" si="3"/>
        <v>4.3099999999999996</v>
      </c>
    </row>
    <row r="241" spans="2:16" hidden="1">
      <c r="B241" s="94" t="s">
        <v>585</v>
      </c>
      <c r="C241" s="94">
        <v>976</v>
      </c>
      <c r="D241" s="94" t="s">
        <v>586</v>
      </c>
      <c r="E241" s="94">
        <v>20</v>
      </c>
      <c r="F241" s="94">
        <v>70</v>
      </c>
      <c r="G241" s="94" t="s">
        <v>587</v>
      </c>
      <c r="H241" s="94">
        <v>40001411</v>
      </c>
      <c r="I241" s="94" t="s">
        <v>792</v>
      </c>
      <c r="J241" s="94">
        <v>876</v>
      </c>
      <c r="K241" s="94" t="s">
        <v>587</v>
      </c>
      <c r="L241" s="94">
        <v>1</v>
      </c>
      <c r="M241" s="94" t="s">
        <v>588</v>
      </c>
      <c r="N241" s="94" t="s">
        <v>589</v>
      </c>
      <c r="O241" s="94" t="s">
        <v>590</v>
      </c>
      <c r="P241" s="94">
        <f t="shared" si="3"/>
        <v>4.38</v>
      </c>
    </row>
    <row r="242" spans="2:16">
      <c r="B242" s="94" t="s">
        <v>585</v>
      </c>
      <c r="C242" s="94">
        <v>976</v>
      </c>
      <c r="D242" s="94" t="s">
        <v>586</v>
      </c>
      <c r="E242" s="94">
        <v>20</v>
      </c>
      <c r="F242" s="94">
        <v>70</v>
      </c>
      <c r="G242" s="94" t="s">
        <v>587</v>
      </c>
      <c r="H242" s="94">
        <v>40001411</v>
      </c>
      <c r="I242" s="94" t="s">
        <v>793</v>
      </c>
      <c r="J242" s="94">
        <v>4.38</v>
      </c>
      <c r="K242" s="94" t="s">
        <v>587</v>
      </c>
      <c r="L242" s="94">
        <v>1</v>
      </c>
      <c r="M242" s="94" t="s">
        <v>592</v>
      </c>
      <c r="N242" s="94" t="s">
        <v>589</v>
      </c>
      <c r="O242" s="94" t="s">
        <v>590</v>
      </c>
      <c r="P242" s="94">
        <f t="shared" si="3"/>
        <v>4.38</v>
      </c>
    </row>
    <row r="243" spans="2:16" hidden="1">
      <c r="B243" s="94" t="s">
        <v>585</v>
      </c>
      <c r="C243" s="94">
        <v>976</v>
      </c>
      <c r="D243" s="94" t="s">
        <v>586</v>
      </c>
      <c r="E243" s="94">
        <v>20</v>
      </c>
      <c r="F243" s="94">
        <v>70</v>
      </c>
      <c r="G243" s="94" t="s">
        <v>587</v>
      </c>
      <c r="H243" s="94">
        <v>40001411</v>
      </c>
      <c r="I243" s="94" t="s">
        <v>794</v>
      </c>
      <c r="J243" s="94">
        <v>884</v>
      </c>
      <c r="K243" s="94" t="s">
        <v>587</v>
      </c>
      <c r="L243" s="94">
        <v>1</v>
      </c>
      <c r="M243" s="94" t="s">
        <v>588</v>
      </c>
      <c r="N243" s="94" t="s">
        <v>589</v>
      </c>
      <c r="O243" s="94" t="s">
        <v>590</v>
      </c>
      <c r="P243" s="94">
        <f t="shared" si="3"/>
        <v>4.42</v>
      </c>
    </row>
    <row r="244" spans="2:16">
      <c r="B244" s="94" t="s">
        <v>585</v>
      </c>
      <c r="C244" s="94">
        <v>976</v>
      </c>
      <c r="D244" s="94" t="s">
        <v>586</v>
      </c>
      <c r="E244" s="94">
        <v>20</v>
      </c>
      <c r="F244" s="94">
        <v>70</v>
      </c>
      <c r="G244" s="94" t="s">
        <v>587</v>
      </c>
      <c r="H244" s="94">
        <v>40001411</v>
      </c>
      <c r="I244" s="94" t="s">
        <v>795</v>
      </c>
      <c r="J244" s="94">
        <v>4.42</v>
      </c>
      <c r="K244" s="94" t="s">
        <v>587</v>
      </c>
      <c r="L244" s="94">
        <v>1</v>
      </c>
      <c r="M244" s="94" t="s">
        <v>592</v>
      </c>
      <c r="N244" s="94" t="s">
        <v>589</v>
      </c>
      <c r="O244" s="94" t="s">
        <v>590</v>
      </c>
      <c r="P244" s="94">
        <f t="shared" si="3"/>
        <v>4.42</v>
      </c>
    </row>
    <row r="245" spans="2:16" hidden="1">
      <c r="B245" s="94" t="s">
        <v>585</v>
      </c>
      <c r="C245" s="94">
        <v>976</v>
      </c>
      <c r="D245" s="94" t="s">
        <v>586</v>
      </c>
      <c r="E245" s="94">
        <v>20</v>
      </c>
      <c r="F245" s="94">
        <v>70</v>
      </c>
      <c r="G245" s="94" t="s">
        <v>587</v>
      </c>
      <c r="H245" s="94">
        <v>40001411</v>
      </c>
      <c r="I245" s="94" t="s">
        <v>796</v>
      </c>
      <c r="J245" s="94">
        <v>848</v>
      </c>
      <c r="K245" s="94" t="s">
        <v>587</v>
      </c>
      <c r="L245" s="94">
        <v>1</v>
      </c>
      <c r="M245" s="94" t="s">
        <v>588</v>
      </c>
      <c r="N245" s="94" t="s">
        <v>589</v>
      </c>
      <c r="O245" s="94" t="s">
        <v>590</v>
      </c>
      <c r="P245" s="94">
        <f t="shared" si="3"/>
        <v>4.24</v>
      </c>
    </row>
    <row r="246" spans="2:16">
      <c r="B246" s="94" t="s">
        <v>585</v>
      </c>
      <c r="C246" s="94">
        <v>976</v>
      </c>
      <c r="D246" s="94" t="s">
        <v>586</v>
      </c>
      <c r="E246" s="94">
        <v>20</v>
      </c>
      <c r="F246" s="94">
        <v>70</v>
      </c>
      <c r="G246" s="94" t="s">
        <v>587</v>
      </c>
      <c r="H246" s="94">
        <v>40001411</v>
      </c>
      <c r="I246" s="94" t="s">
        <v>797</v>
      </c>
      <c r="J246" s="94">
        <v>4.24</v>
      </c>
      <c r="K246" s="94" t="s">
        <v>587</v>
      </c>
      <c r="L246" s="94">
        <v>1</v>
      </c>
      <c r="M246" s="94" t="s">
        <v>592</v>
      </c>
      <c r="N246" s="94" t="s">
        <v>589</v>
      </c>
      <c r="O246" s="94" t="s">
        <v>590</v>
      </c>
      <c r="P246" s="94">
        <f t="shared" si="3"/>
        <v>4.24</v>
      </c>
    </row>
    <row r="247" spans="2:16" hidden="1">
      <c r="B247" s="94" t="s">
        <v>585</v>
      </c>
      <c r="C247" s="94">
        <v>976</v>
      </c>
      <c r="D247" s="94" t="s">
        <v>586</v>
      </c>
      <c r="E247" s="94">
        <v>20</v>
      </c>
      <c r="F247" s="94">
        <v>70</v>
      </c>
      <c r="G247" s="94" t="s">
        <v>587</v>
      </c>
      <c r="H247" s="94">
        <v>40001411</v>
      </c>
      <c r="I247" s="94" t="s">
        <v>798</v>
      </c>
      <c r="J247" s="94">
        <v>932</v>
      </c>
      <c r="K247" s="94" t="s">
        <v>587</v>
      </c>
      <c r="L247" s="94">
        <v>1</v>
      </c>
      <c r="M247" s="94" t="s">
        <v>588</v>
      </c>
      <c r="N247" s="94" t="s">
        <v>589</v>
      </c>
      <c r="O247" s="94" t="s">
        <v>590</v>
      </c>
      <c r="P247" s="94">
        <f t="shared" si="3"/>
        <v>4.66</v>
      </c>
    </row>
    <row r="248" spans="2:16">
      <c r="B248" s="94" t="s">
        <v>585</v>
      </c>
      <c r="C248" s="94">
        <v>976</v>
      </c>
      <c r="D248" s="94" t="s">
        <v>586</v>
      </c>
      <c r="E248" s="94">
        <v>20</v>
      </c>
      <c r="F248" s="94">
        <v>70</v>
      </c>
      <c r="G248" s="94" t="s">
        <v>587</v>
      </c>
      <c r="H248" s="94">
        <v>40001411</v>
      </c>
      <c r="I248" s="94" t="s">
        <v>799</v>
      </c>
      <c r="J248" s="94">
        <v>4.66</v>
      </c>
      <c r="K248" s="94" t="s">
        <v>587</v>
      </c>
      <c r="L248" s="94">
        <v>1</v>
      </c>
      <c r="M248" s="94" t="s">
        <v>592</v>
      </c>
      <c r="N248" s="94" t="s">
        <v>589</v>
      </c>
      <c r="O248" s="94" t="s">
        <v>590</v>
      </c>
      <c r="P248" s="94">
        <f t="shared" si="3"/>
        <v>4.66</v>
      </c>
    </row>
    <row r="249" spans="2:16" hidden="1">
      <c r="B249" s="94" t="s">
        <v>585</v>
      </c>
      <c r="C249" s="94">
        <v>976</v>
      </c>
      <c r="D249" s="94" t="s">
        <v>586</v>
      </c>
      <c r="E249" s="94">
        <v>20</v>
      </c>
      <c r="F249" s="94">
        <v>70</v>
      </c>
      <c r="G249" s="94" t="s">
        <v>587</v>
      </c>
      <c r="H249" s="94">
        <v>40001411</v>
      </c>
      <c r="I249" s="94" t="s">
        <v>800</v>
      </c>
      <c r="J249" s="94">
        <v>928</v>
      </c>
      <c r="K249" s="94" t="s">
        <v>587</v>
      </c>
      <c r="L249" s="94">
        <v>1</v>
      </c>
      <c r="M249" s="94" t="s">
        <v>588</v>
      </c>
      <c r="N249" s="94" t="s">
        <v>589</v>
      </c>
      <c r="O249" s="94" t="s">
        <v>590</v>
      </c>
      <c r="P249" s="94">
        <f t="shared" si="3"/>
        <v>4.6399999999999997</v>
      </c>
    </row>
    <row r="250" spans="2:16">
      <c r="B250" s="94" t="s">
        <v>585</v>
      </c>
      <c r="C250" s="94">
        <v>976</v>
      </c>
      <c r="D250" s="94" t="s">
        <v>586</v>
      </c>
      <c r="E250" s="94">
        <v>20</v>
      </c>
      <c r="F250" s="94">
        <v>70</v>
      </c>
      <c r="G250" s="94" t="s">
        <v>587</v>
      </c>
      <c r="H250" s="94">
        <v>40001411</v>
      </c>
      <c r="I250" s="94" t="s">
        <v>801</v>
      </c>
      <c r="J250" s="94">
        <v>4.6399999999999997</v>
      </c>
      <c r="K250" s="94" t="s">
        <v>587</v>
      </c>
      <c r="L250" s="94">
        <v>1</v>
      </c>
      <c r="M250" s="94" t="s">
        <v>592</v>
      </c>
      <c r="N250" s="94" t="s">
        <v>589</v>
      </c>
      <c r="O250" s="94" t="s">
        <v>590</v>
      </c>
      <c r="P250" s="94">
        <f t="shared" si="3"/>
        <v>4.6399999999999997</v>
      </c>
    </row>
    <row r="251" spans="2:16" hidden="1">
      <c r="B251" s="94" t="s">
        <v>585</v>
      </c>
      <c r="C251" s="94">
        <v>976</v>
      </c>
      <c r="D251" s="94" t="s">
        <v>586</v>
      </c>
      <c r="E251" s="94">
        <v>20</v>
      </c>
      <c r="F251" s="94">
        <v>70</v>
      </c>
      <c r="G251" s="94" t="s">
        <v>587</v>
      </c>
      <c r="H251" s="94">
        <v>40001411</v>
      </c>
      <c r="I251" s="94" t="s">
        <v>802</v>
      </c>
      <c r="J251" s="94">
        <v>858</v>
      </c>
      <c r="K251" s="94" t="s">
        <v>587</v>
      </c>
      <c r="L251" s="94">
        <v>1</v>
      </c>
      <c r="M251" s="94" t="s">
        <v>588</v>
      </c>
      <c r="N251" s="94" t="s">
        <v>589</v>
      </c>
      <c r="O251" s="94" t="s">
        <v>590</v>
      </c>
      <c r="P251" s="94">
        <f t="shared" si="3"/>
        <v>4.29</v>
      </c>
    </row>
    <row r="252" spans="2:16">
      <c r="B252" s="94" t="s">
        <v>585</v>
      </c>
      <c r="C252" s="94">
        <v>976</v>
      </c>
      <c r="D252" s="94" t="s">
        <v>586</v>
      </c>
      <c r="E252" s="94">
        <v>20</v>
      </c>
      <c r="F252" s="94">
        <v>70</v>
      </c>
      <c r="G252" s="94" t="s">
        <v>587</v>
      </c>
      <c r="H252" s="94">
        <v>40001411</v>
      </c>
      <c r="I252" s="94" t="s">
        <v>803</v>
      </c>
      <c r="J252" s="94">
        <v>4.29</v>
      </c>
      <c r="K252" s="94" t="s">
        <v>587</v>
      </c>
      <c r="L252" s="94">
        <v>1</v>
      </c>
      <c r="M252" s="94" t="s">
        <v>592</v>
      </c>
      <c r="N252" s="94" t="s">
        <v>589</v>
      </c>
      <c r="O252" s="94" t="s">
        <v>590</v>
      </c>
      <c r="P252" s="94">
        <f t="shared" si="3"/>
        <v>4.29</v>
      </c>
    </row>
    <row r="253" spans="2:16" hidden="1">
      <c r="B253" s="94" t="s">
        <v>585</v>
      </c>
      <c r="C253" s="94">
        <v>976</v>
      </c>
      <c r="D253" s="94" t="s">
        <v>586</v>
      </c>
      <c r="E253" s="94">
        <v>20</v>
      </c>
      <c r="F253" s="94">
        <v>70</v>
      </c>
      <c r="G253" s="94" t="s">
        <v>587</v>
      </c>
      <c r="H253" s="94">
        <v>40001411</v>
      </c>
      <c r="I253" s="128" t="s">
        <v>804</v>
      </c>
      <c r="J253" s="94">
        <v>1280</v>
      </c>
      <c r="K253" s="94" t="s">
        <v>587</v>
      </c>
      <c r="L253" s="94">
        <v>1</v>
      </c>
      <c r="M253" s="94" t="s">
        <v>588</v>
      </c>
      <c r="N253" s="94" t="s">
        <v>589</v>
      </c>
      <c r="O253" s="94" t="s">
        <v>590</v>
      </c>
      <c r="P253" s="94">
        <f t="shared" si="3"/>
        <v>6.4</v>
      </c>
    </row>
    <row r="254" spans="2:16">
      <c r="B254" s="94" t="s">
        <v>585</v>
      </c>
      <c r="C254" s="94">
        <v>976</v>
      </c>
      <c r="D254" s="94" t="s">
        <v>586</v>
      </c>
      <c r="E254" s="94">
        <v>20</v>
      </c>
      <c r="F254" s="94">
        <v>70</v>
      </c>
      <c r="G254" s="94" t="s">
        <v>587</v>
      </c>
      <c r="H254" s="94">
        <v>40001411</v>
      </c>
      <c r="I254" s="128" t="s">
        <v>805</v>
      </c>
      <c r="J254" s="94">
        <v>6.4</v>
      </c>
      <c r="K254" s="94" t="s">
        <v>587</v>
      </c>
      <c r="L254" s="94">
        <v>1</v>
      </c>
      <c r="M254" s="94" t="s">
        <v>592</v>
      </c>
      <c r="N254" s="94" t="s">
        <v>589</v>
      </c>
      <c r="O254" s="94" t="s">
        <v>590</v>
      </c>
      <c r="P254" s="94">
        <f t="shared" si="3"/>
        <v>6.4</v>
      </c>
    </row>
    <row r="255" spans="2:16" hidden="1">
      <c r="B255" s="94" t="s">
        <v>585</v>
      </c>
      <c r="C255" s="94">
        <v>976</v>
      </c>
      <c r="D255" s="94" t="s">
        <v>586</v>
      </c>
      <c r="E255" s="94">
        <v>20</v>
      </c>
      <c r="F255" s="94">
        <v>70</v>
      </c>
      <c r="G255" s="94" t="s">
        <v>587</v>
      </c>
      <c r="H255" s="94">
        <v>40001411</v>
      </c>
      <c r="I255" s="128" t="s">
        <v>806</v>
      </c>
      <c r="J255" s="94">
        <v>1102</v>
      </c>
      <c r="K255" s="94" t="s">
        <v>587</v>
      </c>
      <c r="L255" s="94">
        <v>1</v>
      </c>
      <c r="M255" s="94" t="s">
        <v>588</v>
      </c>
      <c r="N255" s="94" t="s">
        <v>589</v>
      </c>
      <c r="O255" s="94" t="s">
        <v>590</v>
      </c>
      <c r="P255" s="94">
        <f t="shared" si="3"/>
        <v>5.51</v>
      </c>
    </row>
    <row r="256" spans="2:16" hidden="1">
      <c r="B256" s="94" t="s">
        <v>585</v>
      </c>
      <c r="C256" s="94">
        <v>976</v>
      </c>
      <c r="D256" s="94" t="s">
        <v>586</v>
      </c>
      <c r="E256" s="94">
        <v>20</v>
      </c>
      <c r="F256" s="94">
        <v>70</v>
      </c>
      <c r="G256" s="94" t="s">
        <v>587</v>
      </c>
      <c r="H256" s="94">
        <v>40001411</v>
      </c>
      <c r="I256" s="128" t="s">
        <v>807</v>
      </c>
      <c r="J256" s="94">
        <v>1274</v>
      </c>
      <c r="K256" s="94" t="s">
        <v>587</v>
      </c>
      <c r="L256" s="94">
        <v>1</v>
      </c>
      <c r="M256" s="94" t="s">
        <v>588</v>
      </c>
      <c r="N256" s="94" t="s">
        <v>589</v>
      </c>
      <c r="O256" s="94" t="s">
        <v>590</v>
      </c>
      <c r="P256" s="94">
        <f t="shared" si="3"/>
        <v>6.37</v>
      </c>
    </row>
    <row r="257" spans="2:16">
      <c r="B257" s="94" t="s">
        <v>585</v>
      </c>
      <c r="C257" s="94">
        <v>976</v>
      </c>
      <c r="D257" s="94" t="s">
        <v>586</v>
      </c>
      <c r="E257" s="94">
        <v>20</v>
      </c>
      <c r="F257" s="94">
        <v>70</v>
      </c>
      <c r="G257" s="94" t="s">
        <v>587</v>
      </c>
      <c r="H257" s="94">
        <v>40001411</v>
      </c>
      <c r="I257" s="128" t="s">
        <v>808</v>
      </c>
      <c r="J257" s="94">
        <v>6.37</v>
      </c>
      <c r="K257" s="94" t="s">
        <v>587</v>
      </c>
      <c r="L257" s="94">
        <v>1</v>
      </c>
      <c r="M257" s="94" t="s">
        <v>592</v>
      </c>
      <c r="N257" s="94" t="s">
        <v>589</v>
      </c>
      <c r="O257" s="94" t="s">
        <v>590</v>
      </c>
      <c r="P257" s="94">
        <f t="shared" si="3"/>
        <v>6.37</v>
      </c>
    </row>
    <row r="258" spans="2:16" hidden="1">
      <c r="B258" s="94" t="s">
        <v>585</v>
      </c>
      <c r="C258" s="94">
        <v>976</v>
      </c>
      <c r="D258" s="94" t="s">
        <v>586</v>
      </c>
      <c r="E258" s="94">
        <v>20</v>
      </c>
      <c r="F258" s="94">
        <v>70</v>
      </c>
      <c r="G258" s="94" t="s">
        <v>587</v>
      </c>
      <c r="H258" s="94">
        <v>40001411</v>
      </c>
      <c r="I258" s="128" t="s">
        <v>809</v>
      </c>
      <c r="J258" s="94">
        <v>1494</v>
      </c>
      <c r="K258" s="94" t="s">
        <v>587</v>
      </c>
      <c r="L258" s="94">
        <v>1</v>
      </c>
      <c r="M258" s="94" t="s">
        <v>588</v>
      </c>
      <c r="N258" s="94" t="s">
        <v>589</v>
      </c>
      <c r="O258" s="94" t="s">
        <v>590</v>
      </c>
      <c r="P258" s="94">
        <f t="shared" si="3"/>
        <v>7.47</v>
      </c>
    </row>
    <row r="259" spans="2:16">
      <c r="B259" s="94" t="s">
        <v>585</v>
      </c>
      <c r="C259" s="94">
        <v>976</v>
      </c>
      <c r="D259" s="94" t="s">
        <v>586</v>
      </c>
      <c r="E259" s="94">
        <v>20</v>
      </c>
      <c r="F259" s="94">
        <v>70</v>
      </c>
      <c r="G259" s="94" t="s">
        <v>587</v>
      </c>
      <c r="H259" s="94">
        <v>40001411</v>
      </c>
      <c r="I259" s="128" t="s">
        <v>810</v>
      </c>
      <c r="J259" s="94">
        <v>7.47</v>
      </c>
      <c r="K259" s="94" t="s">
        <v>587</v>
      </c>
      <c r="L259" s="94">
        <v>1</v>
      </c>
      <c r="M259" s="94" t="s">
        <v>592</v>
      </c>
      <c r="N259" s="94" t="s">
        <v>589</v>
      </c>
      <c r="O259" s="94" t="s">
        <v>590</v>
      </c>
      <c r="P259" s="94">
        <f t="shared" si="3"/>
        <v>7.47</v>
      </c>
    </row>
    <row r="260" spans="2:16">
      <c r="B260" s="94" t="s">
        <v>585</v>
      </c>
      <c r="C260" s="94">
        <v>976</v>
      </c>
      <c r="D260" s="94" t="s">
        <v>586</v>
      </c>
      <c r="E260" s="94">
        <v>20</v>
      </c>
      <c r="F260" s="94">
        <v>70</v>
      </c>
      <c r="G260" s="94" t="s">
        <v>587</v>
      </c>
      <c r="H260" s="94">
        <v>40001411</v>
      </c>
      <c r="I260" s="128" t="s">
        <v>811</v>
      </c>
      <c r="J260" s="94">
        <v>5.51</v>
      </c>
      <c r="K260" s="94" t="s">
        <v>587</v>
      </c>
      <c r="L260" s="94">
        <v>1</v>
      </c>
      <c r="M260" s="94" t="s">
        <v>592</v>
      </c>
      <c r="N260" s="94" t="s">
        <v>589</v>
      </c>
      <c r="O260" s="94" t="s">
        <v>590</v>
      </c>
      <c r="P260" s="94">
        <f t="shared" si="3"/>
        <v>5.51</v>
      </c>
    </row>
    <row r="261" spans="2:16" hidden="1">
      <c r="B261" s="2"/>
      <c r="C261" s="2"/>
      <c r="D261" s="2"/>
      <c r="E261" s="2"/>
      <c r="F261" s="2"/>
      <c r="G261" s="2"/>
      <c r="H261" s="2"/>
      <c r="I261" s="94" t="s">
        <v>473</v>
      </c>
      <c r="J261" s="2"/>
      <c r="K261" s="2"/>
      <c r="L261" s="2"/>
      <c r="M261" s="2"/>
      <c r="N261" s="2"/>
      <c r="O261" s="2"/>
      <c r="P261" s="94">
        <f t="shared" ref="P261:P284" si="4">+IF(M261="tam",J261/200,J261)</f>
        <v>0</v>
      </c>
    </row>
    <row r="262" spans="2:16" hidden="1">
      <c r="B262" s="94" t="s">
        <v>585</v>
      </c>
      <c r="C262" s="94">
        <v>976</v>
      </c>
      <c r="D262" s="94" t="s">
        <v>586</v>
      </c>
      <c r="E262" s="94">
        <v>20</v>
      </c>
      <c r="F262" s="94">
        <v>70</v>
      </c>
      <c r="G262" s="94" t="s">
        <v>587</v>
      </c>
      <c r="H262" s="94">
        <v>40001411</v>
      </c>
      <c r="I262" s="128" t="s">
        <v>296</v>
      </c>
      <c r="J262" s="94">
        <v>1364</v>
      </c>
      <c r="K262" s="94" t="s">
        <v>587</v>
      </c>
      <c r="L262" s="94">
        <v>1</v>
      </c>
      <c r="M262" s="94" t="s">
        <v>588</v>
      </c>
      <c r="N262" s="94" t="s">
        <v>589</v>
      </c>
      <c r="O262" s="94" t="s">
        <v>590</v>
      </c>
      <c r="P262" s="94">
        <f t="shared" si="4"/>
        <v>6.82</v>
      </c>
    </row>
    <row r="263" spans="2:16">
      <c r="B263" s="94" t="s">
        <v>585</v>
      </c>
      <c r="C263" s="94">
        <v>976</v>
      </c>
      <c r="D263" s="94" t="s">
        <v>586</v>
      </c>
      <c r="E263" s="94">
        <v>20</v>
      </c>
      <c r="F263" s="94">
        <v>70</v>
      </c>
      <c r="G263" s="94" t="s">
        <v>587</v>
      </c>
      <c r="H263" s="94">
        <v>40001411</v>
      </c>
      <c r="I263" s="128" t="s">
        <v>812</v>
      </c>
      <c r="J263" s="94">
        <v>6.82</v>
      </c>
      <c r="K263" s="94" t="s">
        <v>587</v>
      </c>
      <c r="L263" s="94">
        <v>1</v>
      </c>
      <c r="M263" s="94" t="s">
        <v>592</v>
      </c>
      <c r="N263" s="94" t="s">
        <v>589</v>
      </c>
      <c r="O263" s="94" t="s">
        <v>590</v>
      </c>
      <c r="P263" s="94">
        <f t="shared" si="4"/>
        <v>6.82</v>
      </c>
    </row>
    <row r="264" spans="2:16" hidden="1">
      <c r="B264" s="94" t="s">
        <v>585</v>
      </c>
      <c r="C264" s="94">
        <v>976</v>
      </c>
      <c r="D264" s="94" t="s">
        <v>586</v>
      </c>
      <c r="E264" s="94">
        <v>20</v>
      </c>
      <c r="F264" s="94">
        <v>70</v>
      </c>
      <c r="G264" s="94" t="s">
        <v>587</v>
      </c>
      <c r="H264" s="94">
        <v>40001411</v>
      </c>
      <c r="I264" s="128" t="s">
        <v>813</v>
      </c>
      <c r="J264" s="94">
        <v>1020</v>
      </c>
      <c r="K264" s="94" t="s">
        <v>587</v>
      </c>
      <c r="L264" s="94">
        <v>1</v>
      </c>
      <c r="M264" s="94" t="s">
        <v>588</v>
      </c>
      <c r="N264" s="94" t="s">
        <v>589</v>
      </c>
      <c r="O264" s="94" t="s">
        <v>590</v>
      </c>
      <c r="P264" s="94">
        <f t="shared" si="4"/>
        <v>5.0999999999999996</v>
      </c>
    </row>
    <row r="265" spans="2:16">
      <c r="B265" s="94" t="s">
        <v>585</v>
      </c>
      <c r="C265" s="94">
        <v>976</v>
      </c>
      <c r="D265" s="94" t="s">
        <v>586</v>
      </c>
      <c r="E265" s="94">
        <v>20</v>
      </c>
      <c r="F265" s="94">
        <v>70</v>
      </c>
      <c r="G265" s="94" t="s">
        <v>587</v>
      </c>
      <c r="H265" s="94">
        <v>40001411</v>
      </c>
      <c r="I265" s="128" t="s">
        <v>814</v>
      </c>
      <c r="J265" s="94">
        <v>5.0999999999999996</v>
      </c>
      <c r="K265" s="94" t="s">
        <v>587</v>
      </c>
      <c r="L265" s="94">
        <v>1</v>
      </c>
      <c r="M265" s="94" t="s">
        <v>592</v>
      </c>
      <c r="N265" s="94" t="s">
        <v>589</v>
      </c>
      <c r="O265" s="94" t="s">
        <v>590</v>
      </c>
      <c r="P265" s="94">
        <f t="shared" si="4"/>
        <v>5.0999999999999996</v>
      </c>
    </row>
    <row r="266" spans="2:16" hidden="1">
      <c r="B266" s="94" t="s">
        <v>585</v>
      </c>
      <c r="C266" s="94">
        <v>976</v>
      </c>
      <c r="D266" s="94" t="s">
        <v>586</v>
      </c>
      <c r="E266" s="94">
        <v>20</v>
      </c>
      <c r="F266" s="94">
        <v>70</v>
      </c>
      <c r="G266" s="94" t="s">
        <v>587</v>
      </c>
      <c r="H266" s="94">
        <v>40001411</v>
      </c>
      <c r="I266" s="128" t="s">
        <v>815</v>
      </c>
      <c r="J266" s="94">
        <v>1652</v>
      </c>
      <c r="K266" s="94" t="s">
        <v>587</v>
      </c>
      <c r="L266" s="94">
        <v>1</v>
      </c>
      <c r="M266" s="94" t="s">
        <v>588</v>
      </c>
      <c r="N266" s="94" t="s">
        <v>589</v>
      </c>
      <c r="O266" s="94" t="s">
        <v>590</v>
      </c>
      <c r="P266" s="94">
        <f t="shared" si="4"/>
        <v>8.26</v>
      </c>
    </row>
    <row r="267" spans="2:16">
      <c r="B267" s="94" t="s">
        <v>585</v>
      </c>
      <c r="C267" s="94">
        <v>976</v>
      </c>
      <c r="D267" s="94" t="s">
        <v>586</v>
      </c>
      <c r="E267" s="94">
        <v>20</v>
      </c>
      <c r="F267" s="94">
        <v>70</v>
      </c>
      <c r="G267" s="94" t="s">
        <v>587</v>
      </c>
      <c r="H267" s="94">
        <v>40001411</v>
      </c>
      <c r="I267" s="128" t="s">
        <v>816</v>
      </c>
      <c r="J267" s="94">
        <v>8.26</v>
      </c>
      <c r="K267" s="94" t="s">
        <v>587</v>
      </c>
      <c r="L267" s="94">
        <v>1</v>
      </c>
      <c r="M267" s="94" t="s">
        <v>592</v>
      </c>
      <c r="N267" s="94" t="s">
        <v>589</v>
      </c>
      <c r="O267" s="94" t="s">
        <v>590</v>
      </c>
      <c r="P267" s="94">
        <f t="shared" si="4"/>
        <v>8.26</v>
      </c>
    </row>
    <row r="268" spans="2:16" hidden="1">
      <c r="B268" s="94" t="s">
        <v>585</v>
      </c>
      <c r="C268" s="94">
        <v>976</v>
      </c>
      <c r="D268" s="94" t="s">
        <v>586</v>
      </c>
      <c r="E268" s="94">
        <v>20</v>
      </c>
      <c r="F268" s="94">
        <v>70</v>
      </c>
      <c r="G268" s="94" t="s">
        <v>587</v>
      </c>
      <c r="H268" s="94">
        <v>40001411</v>
      </c>
      <c r="I268" s="128" t="s">
        <v>817</v>
      </c>
      <c r="J268" s="94">
        <v>1704</v>
      </c>
      <c r="K268" s="94" t="s">
        <v>587</v>
      </c>
      <c r="L268" s="94">
        <v>1</v>
      </c>
      <c r="M268" s="94" t="s">
        <v>588</v>
      </c>
      <c r="N268" s="94" t="s">
        <v>589</v>
      </c>
      <c r="O268" s="94" t="s">
        <v>590</v>
      </c>
      <c r="P268" s="94">
        <f t="shared" si="4"/>
        <v>8.52</v>
      </c>
    </row>
    <row r="269" spans="2:16">
      <c r="B269" s="94" t="s">
        <v>585</v>
      </c>
      <c r="C269" s="94">
        <v>976</v>
      </c>
      <c r="D269" s="94" t="s">
        <v>586</v>
      </c>
      <c r="E269" s="94">
        <v>20</v>
      </c>
      <c r="F269" s="94">
        <v>70</v>
      </c>
      <c r="G269" s="94" t="s">
        <v>587</v>
      </c>
      <c r="H269" s="94">
        <v>40001411</v>
      </c>
      <c r="I269" s="128" t="s">
        <v>818</v>
      </c>
      <c r="J269" s="94">
        <v>8.52</v>
      </c>
      <c r="K269" s="94" t="s">
        <v>587</v>
      </c>
      <c r="L269" s="94">
        <v>1</v>
      </c>
      <c r="M269" s="94" t="s">
        <v>592</v>
      </c>
      <c r="N269" s="94" t="s">
        <v>589</v>
      </c>
      <c r="O269" s="94" t="s">
        <v>590</v>
      </c>
      <c r="P269" s="94">
        <f t="shared" si="4"/>
        <v>8.52</v>
      </c>
    </row>
    <row r="270" spans="2:16" hidden="1">
      <c r="B270" s="94" t="s">
        <v>585</v>
      </c>
      <c r="C270" s="94">
        <v>976</v>
      </c>
      <c r="D270" s="94" t="s">
        <v>586</v>
      </c>
      <c r="E270" s="94">
        <v>20</v>
      </c>
      <c r="F270" s="94">
        <v>70</v>
      </c>
      <c r="G270" s="94" t="s">
        <v>587</v>
      </c>
      <c r="H270" s="94">
        <v>40001411</v>
      </c>
      <c r="I270" s="128" t="s">
        <v>819</v>
      </c>
      <c r="J270" s="94">
        <v>1494</v>
      </c>
      <c r="K270" s="94" t="s">
        <v>587</v>
      </c>
      <c r="L270" s="94">
        <v>1</v>
      </c>
      <c r="M270" s="94" t="s">
        <v>588</v>
      </c>
      <c r="N270" s="94" t="s">
        <v>589</v>
      </c>
      <c r="O270" s="94" t="s">
        <v>590</v>
      </c>
      <c r="P270" s="94">
        <f t="shared" si="4"/>
        <v>7.47</v>
      </c>
    </row>
    <row r="271" spans="2:16">
      <c r="B271" s="94" t="s">
        <v>585</v>
      </c>
      <c r="C271" s="94">
        <v>976</v>
      </c>
      <c r="D271" s="94" t="s">
        <v>586</v>
      </c>
      <c r="E271" s="94">
        <v>20</v>
      </c>
      <c r="F271" s="94">
        <v>70</v>
      </c>
      <c r="G271" s="94" t="s">
        <v>587</v>
      </c>
      <c r="H271" s="94">
        <v>40001411</v>
      </c>
      <c r="I271" s="128" t="s">
        <v>820</v>
      </c>
      <c r="J271" s="94">
        <v>7.47</v>
      </c>
      <c r="K271" s="94" t="s">
        <v>587</v>
      </c>
      <c r="L271" s="94">
        <v>1</v>
      </c>
      <c r="M271" s="94" t="s">
        <v>592</v>
      </c>
      <c r="N271" s="94" t="s">
        <v>589</v>
      </c>
      <c r="O271" s="94" t="s">
        <v>590</v>
      </c>
      <c r="P271" s="94">
        <f t="shared" si="4"/>
        <v>7.47</v>
      </c>
    </row>
    <row r="272" spans="2:16" hidden="1">
      <c r="B272" s="94" t="s">
        <v>585</v>
      </c>
      <c r="C272" s="94">
        <v>976</v>
      </c>
      <c r="D272" s="94" t="s">
        <v>586</v>
      </c>
      <c r="E272" s="94">
        <v>20</v>
      </c>
      <c r="F272" s="94">
        <v>70</v>
      </c>
      <c r="G272" s="94" t="s">
        <v>587</v>
      </c>
      <c r="H272" s="94">
        <v>40001411</v>
      </c>
      <c r="I272" s="128" t="s">
        <v>821</v>
      </c>
      <c r="J272" s="94">
        <v>1488</v>
      </c>
      <c r="K272" s="94" t="s">
        <v>587</v>
      </c>
      <c r="L272" s="94">
        <v>1</v>
      </c>
      <c r="M272" s="94" t="s">
        <v>588</v>
      </c>
      <c r="N272" s="94" t="s">
        <v>589</v>
      </c>
      <c r="O272" s="94" t="s">
        <v>590</v>
      </c>
      <c r="P272" s="94">
        <f t="shared" si="4"/>
        <v>7.44</v>
      </c>
    </row>
    <row r="273" spans="2:18">
      <c r="B273" s="94" t="s">
        <v>585</v>
      </c>
      <c r="C273" s="94">
        <v>976</v>
      </c>
      <c r="D273" s="94" t="s">
        <v>586</v>
      </c>
      <c r="E273" s="94">
        <v>20</v>
      </c>
      <c r="F273" s="94">
        <v>70</v>
      </c>
      <c r="G273" s="94" t="s">
        <v>587</v>
      </c>
      <c r="H273" s="94">
        <v>40001411</v>
      </c>
      <c r="I273" s="128" t="s">
        <v>822</v>
      </c>
      <c r="J273" s="94">
        <v>7.44</v>
      </c>
      <c r="K273" s="94" t="s">
        <v>587</v>
      </c>
      <c r="L273" s="94">
        <v>1</v>
      </c>
      <c r="M273" s="94" t="s">
        <v>592</v>
      </c>
      <c r="N273" s="94" t="s">
        <v>589</v>
      </c>
      <c r="O273" s="94" t="s">
        <v>590</v>
      </c>
      <c r="P273" s="94">
        <f t="shared" si="4"/>
        <v>7.44</v>
      </c>
    </row>
    <row r="274" spans="2:18" hidden="1">
      <c r="B274" s="94" t="s">
        <v>585</v>
      </c>
      <c r="C274" s="94">
        <v>976</v>
      </c>
      <c r="D274" s="94" t="s">
        <v>586</v>
      </c>
      <c r="E274" s="94">
        <v>20</v>
      </c>
      <c r="F274" s="94">
        <v>70</v>
      </c>
      <c r="G274" s="94" t="s">
        <v>587</v>
      </c>
      <c r="H274" s="94">
        <v>40001411</v>
      </c>
      <c r="I274" s="128" t="s">
        <v>823</v>
      </c>
      <c r="J274" s="94">
        <v>1720</v>
      </c>
      <c r="K274" s="94" t="s">
        <v>587</v>
      </c>
      <c r="L274" s="94">
        <v>1</v>
      </c>
      <c r="M274" s="94" t="s">
        <v>588</v>
      </c>
      <c r="N274" s="94" t="s">
        <v>589</v>
      </c>
      <c r="O274" s="94" t="s">
        <v>590</v>
      </c>
      <c r="P274" s="94">
        <f t="shared" si="4"/>
        <v>8.6</v>
      </c>
    </row>
    <row r="275" spans="2:18">
      <c r="B275" s="94" t="s">
        <v>585</v>
      </c>
      <c r="C275" s="94">
        <v>976</v>
      </c>
      <c r="D275" s="94" t="s">
        <v>586</v>
      </c>
      <c r="E275" s="94">
        <v>20</v>
      </c>
      <c r="F275" s="94">
        <v>70</v>
      </c>
      <c r="G275" s="94" t="s">
        <v>587</v>
      </c>
      <c r="H275" s="94">
        <v>40001411</v>
      </c>
      <c r="I275" s="128" t="s">
        <v>824</v>
      </c>
      <c r="J275" s="94">
        <v>8.6</v>
      </c>
      <c r="K275" s="94" t="s">
        <v>587</v>
      </c>
      <c r="L275" s="94">
        <v>1</v>
      </c>
      <c r="M275" s="94" t="s">
        <v>592</v>
      </c>
      <c r="N275" s="94" t="s">
        <v>589</v>
      </c>
      <c r="O275" s="94" t="s">
        <v>590</v>
      </c>
      <c r="P275" s="94">
        <f t="shared" si="4"/>
        <v>8.6</v>
      </c>
    </row>
    <row r="276" spans="2:18" hidden="1">
      <c r="B276" s="94" t="s">
        <v>585</v>
      </c>
      <c r="C276" s="94">
        <v>976</v>
      </c>
      <c r="D276" s="94" t="s">
        <v>586</v>
      </c>
      <c r="E276" s="94">
        <v>20</v>
      </c>
      <c r="F276" s="94">
        <v>70</v>
      </c>
      <c r="G276" s="94" t="s">
        <v>587</v>
      </c>
      <c r="H276" s="94">
        <v>40001411</v>
      </c>
      <c r="I276" s="128" t="s">
        <v>825</v>
      </c>
      <c r="J276" s="94">
        <v>1560</v>
      </c>
      <c r="K276" s="94" t="s">
        <v>587</v>
      </c>
      <c r="L276" s="94">
        <v>1</v>
      </c>
      <c r="M276" s="94" t="s">
        <v>588</v>
      </c>
      <c r="N276" s="94" t="s">
        <v>589</v>
      </c>
      <c r="O276" s="94" t="s">
        <v>590</v>
      </c>
      <c r="P276" s="94">
        <f t="shared" si="4"/>
        <v>7.8</v>
      </c>
    </row>
    <row r="277" spans="2:18">
      <c r="B277" s="94" t="s">
        <v>585</v>
      </c>
      <c r="C277" s="94">
        <v>976</v>
      </c>
      <c r="D277" s="94" t="s">
        <v>586</v>
      </c>
      <c r="E277" s="94">
        <v>20</v>
      </c>
      <c r="F277" s="94">
        <v>70</v>
      </c>
      <c r="G277" s="94" t="s">
        <v>587</v>
      </c>
      <c r="H277" s="94">
        <v>40001411</v>
      </c>
      <c r="I277" s="128" t="s">
        <v>826</v>
      </c>
      <c r="J277" s="94">
        <v>7.8</v>
      </c>
      <c r="K277" s="94" t="s">
        <v>587</v>
      </c>
      <c r="L277" s="94">
        <v>1</v>
      </c>
      <c r="M277" s="94" t="s">
        <v>592</v>
      </c>
      <c r="N277" s="94" t="s">
        <v>589</v>
      </c>
      <c r="O277" s="94" t="s">
        <v>590</v>
      </c>
      <c r="P277" s="94">
        <f t="shared" si="4"/>
        <v>7.8</v>
      </c>
    </row>
    <row r="278" spans="2:18" hidden="1">
      <c r="B278" s="94" t="s">
        <v>585</v>
      </c>
      <c r="C278" s="94">
        <v>976</v>
      </c>
      <c r="D278" s="94" t="s">
        <v>586</v>
      </c>
      <c r="E278" s="94">
        <v>20</v>
      </c>
      <c r="F278" s="94">
        <v>70</v>
      </c>
      <c r="G278" s="94" t="s">
        <v>587</v>
      </c>
      <c r="H278" s="94">
        <v>40001411</v>
      </c>
      <c r="I278" s="94" t="s">
        <v>474</v>
      </c>
      <c r="J278" s="94">
        <v>282</v>
      </c>
      <c r="K278" s="94" t="s">
        <v>587</v>
      </c>
      <c r="L278" s="94">
        <v>1</v>
      </c>
      <c r="M278" s="94" t="s">
        <v>588</v>
      </c>
      <c r="N278" s="94" t="s">
        <v>589</v>
      </c>
      <c r="O278" s="94" t="s">
        <v>590</v>
      </c>
      <c r="P278" s="94">
        <f t="shared" si="4"/>
        <v>1.41</v>
      </c>
    </row>
    <row r="279" spans="2:18">
      <c r="B279" s="94" t="s">
        <v>585</v>
      </c>
      <c r="C279" s="94">
        <v>976</v>
      </c>
      <c r="D279" s="94" t="s">
        <v>586</v>
      </c>
      <c r="E279" s="94">
        <v>20</v>
      </c>
      <c r="F279" s="94">
        <v>70</v>
      </c>
      <c r="G279" s="94" t="s">
        <v>587</v>
      </c>
      <c r="H279" s="94">
        <v>40001411</v>
      </c>
      <c r="I279" s="94" t="s">
        <v>249</v>
      </c>
      <c r="J279" s="94">
        <v>1.41</v>
      </c>
      <c r="K279" s="94" t="s">
        <v>587</v>
      </c>
      <c r="L279" s="94">
        <v>1</v>
      </c>
      <c r="M279" s="94" t="s">
        <v>592</v>
      </c>
      <c r="N279" s="94" t="s">
        <v>589</v>
      </c>
      <c r="O279" s="94" t="s">
        <v>590</v>
      </c>
      <c r="P279" s="94">
        <f t="shared" si="4"/>
        <v>1.41</v>
      </c>
    </row>
    <row r="280" spans="2:18" hidden="1">
      <c r="B280" s="94" t="s">
        <v>585</v>
      </c>
      <c r="C280" s="94">
        <v>976</v>
      </c>
      <c r="D280" s="94" t="s">
        <v>586</v>
      </c>
      <c r="E280" s="94">
        <v>20</v>
      </c>
      <c r="F280" s="94">
        <v>70</v>
      </c>
      <c r="G280" s="94" t="s">
        <v>587</v>
      </c>
      <c r="H280" s="94">
        <v>40001411</v>
      </c>
      <c r="I280" s="94" t="s">
        <v>827</v>
      </c>
      <c r="J280" s="94">
        <v>274</v>
      </c>
      <c r="K280" s="94" t="s">
        <v>587</v>
      </c>
      <c r="L280" s="94">
        <v>1</v>
      </c>
      <c r="M280" s="94" t="s">
        <v>588</v>
      </c>
      <c r="N280" s="94" t="s">
        <v>589</v>
      </c>
      <c r="O280" s="94" t="s">
        <v>590</v>
      </c>
      <c r="P280" s="94">
        <f t="shared" si="4"/>
        <v>1.37</v>
      </c>
    </row>
    <row r="281" spans="2:18">
      <c r="B281" s="94" t="s">
        <v>585</v>
      </c>
      <c r="C281" s="94">
        <v>976</v>
      </c>
      <c r="D281" s="94" t="s">
        <v>586</v>
      </c>
      <c r="E281" s="94">
        <v>20</v>
      </c>
      <c r="F281" s="94">
        <v>70</v>
      </c>
      <c r="G281" s="94" t="s">
        <v>587</v>
      </c>
      <c r="H281" s="94">
        <v>40001411</v>
      </c>
      <c r="I281" s="94" t="s">
        <v>828</v>
      </c>
      <c r="J281" s="94">
        <v>1.37</v>
      </c>
      <c r="K281" s="94" t="s">
        <v>587</v>
      </c>
      <c r="L281" s="94">
        <v>1</v>
      </c>
      <c r="M281" s="94" t="s">
        <v>592</v>
      </c>
      <c r="N281" s="94" t="s">
        <v>589</v>
      </c>
      <c r="O281" s="94" t="s">
        <v>590</v>
      </c>
      <c r="P281" s="94">
        <f t="shared" si="4"/>
        <v>1.37</v>
      </c>
    </row>
    <row r="282" spans="2:18" hidden="1">
      <c r="B282" s="94" t="s">
        <v>585</v>
      </c>
      <c r="C282" s="94">
        <v>976</v>
      </c>
      <c r="D282" s="94" t="s">
        <v>586</v>
      </c>
      <c r="E282" s="94">
        <v>20</v>
      </c>
      <c r="F282" s="94">
        <v>70</v>
      </c>
      <c r="G282" s="94" t="s">
        <v>587</v>
      </c>
      <c r="H282" s="94">
        <v>40001411</v>
      </c>
      <c r="I282" s="94" t="s">
        <v>829</v>
      </c>
      <c r="J282" s="94">
        <v>462</v>
      </c>
      <c r="K282" s="94" t="s">
        <v>587</v>
      </c>
      <c r="L282" s="94">
        <v>1</v>
      </c>
      <c r="M282" s="94" t="s">
        <v>588</v>
      </c>
      <c r="N282" s="94" t="s">
        <v>589</v>
      </c>
      <c r="O282" s="94" t="s">
        <v>590</v>
      </c>
      <c r="P282" s="94">
        <f t="shared" si="4"/>
        <v>2.31</v>
      </c>
    </row>
    <row r="283" spans="2:18">
      <c r="B283" s="94" t="s">
        <v>585</v>
      </c>
      <c r="C283" s="94">
        <v>976</v>
      </c>
      <c r="D283" s="94" t="s">
        <v>586</v>
      </c>
      <c r="E283" s="94">
        <v>20</v>
      </c>
      <c r="F283" s="94">
        <v>70</v>
      </c>
      <c r="G283" s="94" t="s">
        <v>587</v>
      </c>
      <c r="H283" s="94">
        <v>40001411</v>
      </c>
      <c r="I283" s="94" t="s">
        <v>226</v>
      </c>
      <c r="J283" s="94">
        <v>2.31</v>
      </c>
      <c r="K283" s="94" t="s">
        <v>587</v>
      </c>
      <c r="L283" s="94">
        <v>1</v>
      </c>
      <c r="M283" s="94" t="s">
        <v>592</v>
      </c>
      <c r="N283" s="94" t="s">
        <v>589</v>
      </c>
      <c r="O283" s="94" t="s">
        <v>590</v>
      </c>
      <c r="P283" s="94">
        <f t="shared" si="4"/>
        <v>2.31</v>
      </c>
      <c r="R283" t="e">
        <f>J283/Q283</f>
        <v>#DIV/0!</v>
      </c>
    </row>
    <row r="284" spans="2:18" hidden="1">
      <c r="B284" s="94" t="s">
        <v>585</v>
      </c>
      <c r="C284" s="94">
        <v>976</v>
      </c>
      <c r="D284" s="94" t="s">
        <v>586</v>
      </c>
      <c r="E284" s="94">
        <v>20</v>
      </c>
      <c r="F284" s="94">
        <v>70</v>
      </c>
      <c r="G284" s="94" t="s">
        <v>587</v>
      </c>
      <c r="H284" s="94">
        <v>40001411</v>
      </c>
      <c r="I284" s="128" t="s">
        <v>265</v>
      </c>
      <c r="J284" s="94">
        <v>940</v>
      </c>
      <c r="K284" s="94" t="s">
        <v>587</v>
      </c>
      <c r="L284" s="94">
        <v>1</v>
      </c>
      <c r="M284" s="94" t="s">
        <v>588</v>
      </c>
      <c r="N284" s="94" t="s">
        <v>589</v>
      </c>
      <c r="O284" s="94" t="s">
        <v>590</v>
      </c>
      <c r="P284" s="94">
        <f t="shared" si="4"/>
        <v>4.7</v>
      </c>
    </row>
    <row r="285" spans="2:18">
      <c r="B285" s="170" t="s">
        <v>585</v>
      </c>
      <c r="C285" s="170">
        <v>976</v>
      </c>
      <c r="D285" s="170" t="s">
        <v>586</v>
      </c>
      <c r="E285" s="170">
        <v>20</v>
      </c>
      <c r="F285" s="170">
        <v>70</v>
      </c>
      <c r="G285" s="170" t="s">
        <v>587</v>
      </c>
      <c r="H285" s="170">
        <v>40001411</v>
      </c>
      <c r="I285" s="129" t="s">
        <v>830</v>
      </c>
      <c r="J285" s="170">
        <v>4.7</v>
      </c>
      <c r="K285" s="170" t="s">
        <v>587</v>
      </c>
      <c r="L285" s="170">
        <v>1</v>
      </c>
      <c r="M285" s="170" t="s">
        <v>592</v>
      </c>
      <c r="N285" s="170" t="s">
        <v>589</v>
      </c>
      <c r="O285" s="170" t="s">
        <v>590</v>
      </c>
      <c r="P285" s="130">
        <f>+'DBM-RT'!G9</f>
        <v>4.7108395721925129</v>
      </c>
    </row>
  </sheetData>
  <autoFilter ref="B2:O285" xr:uid="{6103CF46-08F9-4649-88DF-E7D7348EC133}">
    <filterColumn colId="11">
      <filters>
        <filter val="lt"/>
      </filters>
    </filterColumn>
    <sortState xmlns:xlrd2="http://schemas.microsoft.com/office/spreadsheetml/2017/richdata2" ref="B4:O285">
      <sortCondition ref="I2:I285"/>
    </sortState>
  </autoFilter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24C40-4CB9-465E-BE27-E5836B6809A0}">
  <dimension ref="A3:R30"/>
  <sheetViews>
    <sheetView showGridLines="0" zoomScale="90" zoomScaleNormal="90" workbookViewId="0">
      <selection activeCell="J15" sqref="J15"/>
    </sheetView>
  </sheetViews>
  <sheetFormatPr baseColWidth="10" defaultColWidth="11.42578125" defaultRowHeight="15"/>
  <cols>
    <col min="1" max="1" width="22.85546875" bestFit="1" customWidth="1"/>
    <col min="2" max="3" width="10.7109375" style="7" customWidth="1"/>
    <col min="4" max="4" width="15" style="7" bestFit="1" customWidth="1"/>
    <col min="5" max="6" width="10.7109375" style="7" customWidth="1"/>
    <col min="7" max="7" width="15" style="7" bestFit="1" customWidth="1"/>
    <col min="8" max="9" width="10.7109375" style="7" customWidth="1"/>
    <col min="10" max="10" width="15" style="7" bestFit="1" customWidth="1"/>
    <col min="11" max="12" width="10.7109375" style="7" customWidth="1"/>
    <col min="13" max="13" width="15" style="7" bestFit="1" customWidth="1"/>
    <col min="14" max="18" width="11.42578125" style="7"/>
  </cols>
  <sheetData>
    <row r="3" spans="1:14" ht="15.75" thickBot="1"/>
    <row r="4" spans="1:14">
      <c r="A4" s="458" t="s">
        <v>831</v>
      </c>
      <c r="B4" s="460" t="s">
        <v>832</v>
      </c>
      <c r="C4" s="461"/>
      <c r="D4" s="461"/>
      <c r="E4" s="461" t="s">
        <v>833</v>
      </c>
      <c r="F4" s="461"/>
      <c r="G4" s="462"/>
      <c r="H4" s="460" t="s">
        <v>834</v>
      </c>
      <c r="I4" s="461"/>
      <c r="J4" s="461"/>
      <c r="K4" s="461" t="s">
        <v>833</v>
      </c>
      <c r="L4" s="461"/>
      <c r="M4" s="462"/>
      <c r="N4"/>
    </row>
    <row r="5" spans="1:14" s="350" customFormat="1" ht="21.95" customHeight="1">
      <c r="A5" s="459"/>
      <c r="B5" s="347" t="s">
        <v>835</v>
      </c>
      <c r="C5" s="348" t="s">
        <v>836</v>
      </c>
      <c r="D5" s="348" t="s">
        <v>837</v>
      </c>
      <c r="E5" s="348" t="s">
        <v>835</v>
      </c>
      <c r="F5" s="348" t="s">
        <v>836</v>
      </c>
      <c r="G5" s="349" t="s">
        <v>837</v>
      </c>
      <c r="H5" s="347" t="s">
        <v>835</v>
      </c>
      <c r="I5" s="348" t="s">
        <v>836</v>
      </c>
      <c r="J5" s="348" t="s">
        <v>837</v>
      </c>
      <c r="K5" s="348" t="s">
        <v>835</v>
      </c>
      <c r="L5" s="348" t="s">
        <v>836</v>
      </c>
      <c r="M5" s="349" t="s">
        <v>837</v>
      </c>
    </row>
    <row r="6" spans="1:14" s="350" customFormat="1" ht="21.95" customHeight="1">
      <c r="A6" s="351" t="s">
        <v>838</v>
      </c>
      <c r="B6" s="466">
        <v>3</v>
      </c>
      <c r="C6" s="457">
        <v>5</v>
      </c>
      <c r="D6" s="463">
        <v>6</v>
      </c>
      <c r="E6" s="457">
        <v>1</v>
      </c>
      <c r="F6" s="457">
        <v>2</v>
      </c>
      <c r="G6" s="467">
        <v>2</v>
      </c>
      <c r="H6" s="466">
        <v>5</v>
      </c>
      <c r="I6" s="457">
        <v>9</v>
      </c>
      <c r="J6" s="457">
        <v>10</v>
      </c>
      <c r="K6" s="457">
        <v>1</v>
      </c>
      <c r="L6" s="457">
        <v>4</v>
      </c>
      <c r="M6" s="464">
        <v>4</v>
      </c>
    </row>
    <row r="7" spans="1:14" s="350" customFormat="1" ht="21.95" customHeight="1">
      <c r="A7" s="351" t="s">
        <v>69</v>
      </c>
      <c r="B7" s="466"/>
      <c r="C7" s="457"/>
      <c r="D7" s="463"/>
      <c r="E7" s="457"/>
      <c r="F7" s="457"/>
      <c r="G7" s="467"/>
      <c r="H7" s="466"/>
      <c r="I7" s="457"/>
      <c r="J7" s="457"/>
      <c r="K7" s="457"/>
      <c r="L7" s="457"/>
      <c r="M7" s="464"/>
    </row>
    <row r="8" spans="1:14" s="350" customFormat="1" ht="21.95" customHeight="1">
      <c r="A8" s="351" t="s">
        <v>66</v>
      </c>
      <c r="B8" s="466">
        <v>3</v>
      </c>
      <c r="C8" s="457">
        <v>5</v>
      </c>
      <c r="D8" s="463">
        <v>6</v>
      </c>
      <c r="E8" s="457">
        <v>1</v>
      </c>
      <c r="F8" s="457">
        <v>2</v>
      </c>
      <c r="G8" s="467">
        <v>2</v>
      </c>
      <c r="H8" s="466"/>
      <c r="I8" s="457"/>
      <c r="J8" s="457"/>
      <c r="K8" s="457"/>
      <c r="L8" s="457"/>
      <c r="M8" s="464"/>
    </row>
    <row r="9" spans="1:14" s="350" customFormat="1" ht="21.95" customHeight="1" thickBot="1">
      <c r="A9" s="351" t="s">
        <v>67</v>
      </c>
      <c r="B9" s="466"/>
      <c r="C9" s="457"/>
      <c r="D9" s="463"/>
      <c r="E9" s="457"/>
      <c r="F9" s="457"/>
      <c r="G9" s="467"/>
      <c r="H9" s="468"/>
      <c r="I9" s="469"/>
      <c r="J9" s="469"/>
      <c r="K9" s="469"/>
      <c r="L9" s="469"/>
      <c r="M9" s="465"/>
    </row>
    <row r="10" spans="1:14" s="350" customFormat="1" ht="37.5" customHeight="1" thickBot="1">
      <c r="A10" s="354" t="s">
        <v>65</v>
      </c>
      <c r="B10" s="352">
        <v>3</v>
      </c>
      <c r="C10" s="353">
        <v>6</v>
      </c>
      <c r="D10" s="410">
        <v>6</v>
      </c>
      <c r="E10" s="353">
        <v>1</v>
      </c>
      <c r="F10" s="353">
        <v>2</v>
      </c>
      <c r="G10" s="411">
        <v>2</v>
      </c>
    </row>
    <row r="11" spans="1:14" s="350" customFormat="1" ht="21.95" customHeight="1">
      <c r="D11" s="355" t="s">
        <v>839</v>
      </c>
    </row>
    <row r="12" spans="1:14" s="350" customFormat="1" ht="21.95" customHeight="1" thickBot="1"/>
    <row r="13" spans="1:14" s="350" customFormat="1" ht="21.95" customHeight="1">
      <c r="A13" s="471" t="s">
        <v>840</v>
      </c>
      <c r="B13" s="472"/>
      <c r="C13" s="475">
        <v>37</v>
      </c>
      <c r="E13" s="350" t="s">
        <v>138</v>
      </c>
      <c r="F13" s="350" t="s">
        <v>136</v>
      </c>
      <c r="G13" s="350" t="s">
        <v>137</v>
      </c>
    </row>
    <row r="14" spans="1:14" s="350" customFormat="1" ht="21.95" customHeight="1">
      <c r="A14" s="473"/>
      <c r="B14" s="474"/>
      <c r="C14" s="476"/>
      <c r="E14" s="350" t="s">
        <v>1364</v>
      </c>
      <c r="F14" s="350" t="s">
        <v>1368</v>
      </c>
      <c r="G14" s="350">
        <v>15</v>
      </c>
    </row>
    <row r="15" spans="1:14" s="350" customFormat="1" ht="21.95" customHeight="1">
      <c r="A15" s="357"/>
      <c r="B15" s="358"/>
      <c r="C15" s="359"/>
      <c r="E15" s="350" t="s">
        <v>1365</v>
      </c>
    </row>
    <row r="16" spans="1:14" s="350" customFormat="1" ht="21.95" customHeight="1">
      <c r="A16" s="360"/>
      <c r="B16" s="477" t="s">
        <v>841</v>
      </c>
      <c r="C16" s="479" t="s">
        <v>842</v>
      </c>
      <c r="E16" s="350" t="s">
        <v>1366</v>
      </c>
    </row>
    <row r="17" spans="1:5" s="350" customFormat="1" ht="21.95" customHeight="1">
      <c r="A17" s="360"/>
      <c r="B17" s="478"/>
      <c r="C17" s="480"/>
      <c r="E17" s="350" t="s">
        <v>1367</v>
      </c>
    </row>
    <row r="18" spans="1:5" s="350" customFormat="1" ht="21.95" customHeight="1">
      <c r="A18" s="361" t="s">
        <v>843</v>
      </c>
      <c r="B18" s="362">
        <v>3</v>
      </c>
      <c r="C18" s="363">
        <v>2</v>
      </c>
    </row>
    <row r="19" spans="1:5" s="350" customFormat="1" ht="21.95" customHeight="1">
      <c r="A19" s="361" t="s">
        <v>844</v>
      </c>
      <c r="B19" s="362">
        <v>11</v>
      </c>
      <c r="C19" s="356"/>
    </row>
    <row r="20" spans="1:5" s="350" customFormat="1" ht="21.95" customHeight="1">
      <c r="A20" s="361" t="s">
        <v>172</v>
      </c>
      <c r="B20" s="362">
        <v>13</v>
      </c>
      <c r="C20" s="356"/>
    </row>
    <row r="21" spans="1:5" s="350" customFormat="1" ht="21.95" customHeight="1">
      <c r="A21" s="361" t="s">
        <v>845</v>
      </c>
      <c r="B21" s="362">
        <v>11</v>
      </c>
      <c r="C21" s="356"/>
    </row>
    <row r="22" spans="1:5" s="350" customFormat="1" ht="21.95" customHeight="1" thickBot="1">
      <c r="A22" s="364" t="s">
        <v>846</v>
      </c>
      <c r="B22" s="365">
        <v>3</v>
      </c>
      <c r="C22" s="366"/>
    </row>
    <row r="23" spans="1:5" s="350" customFormat="1" ht="21.95" customHeight="1"/>
    <row r="24" spans="1:5" s="350" customFormat="1" ht="21.95" customHeight="1">
      <c r="A24" s="457" t="s">
        <v>847</v>
      </c>
      <c r="B24" s="470" t="s">
        <v>848</v>
      </c>
      <c r="C24" s="470"/>
      <c r="D24" s="470"/>
    </row>
    <row r="25" spans="1:5" s="350" customFormat="1" ht="21.95" customHeight="1">
      <c r="A25" s="457"/>
      <c r="B25" s="470" t="s">
        <v>849</v>
      </c>
      <c r="C25" s="470"/>
      <c r="D25" s="470"/>
    </row>
    <row r="26" spans="1:5" s="350" customFormat="1" ht="21.95" customHeight="1">
      <c r="A26" s="457"/>
      <c r="B26" s="470" t="s">
        <v>850</v>
      </c>
      <c r="C26" s="470"/>
      <c r="D26" s="470"/>
    </row>
    <row r="27" spans="1:5" s="350" customFormat="1" ht="21.95" customHeight="1">
      <c r="A27" s="457" t="s">
        <v>851</v>
      </c>
      <c r="B27" s="470" t="s">
        <v>848</v>
      </c>
      <c r="C27" s="470"/>
      <c r="D27" s="470"/>
    </row>
    <row r="28" spans="1:5" s="350" customFormat="1" ht="21.95" customHeight="1">
      <c r="A28" s="457"/>
      <c r="B28" s="470" t="s">
        <v>849</v>
      </c>
      <c r="C28" s="470"/>
      <c r="D28" s="470"/>
    </row>
    <row r="29" spans="1:5" s="350" customFormat="1" ht="21.95" customHeight="1">
      <c r="A29" s="457"/>
      <c r="B29" s="470" t="s">
        <v>852</v>
      </c>
      <c r="C29" s="470"/>
      <c r="D29" s="470"/>
    </row>
    <row r="30" spans="1:5" s="350" customFormat="1" ht="21.95" customHeight="1"/>
  </sheetData>
  <mergeCells count="35">
    <mergeCell ref="A27:A29"/>
    <mergeCell ref="B27:D27"/>
    <mergeCell ref="B28:D28"/>
    <mergeCell ref="B29:D29"/>
    <mergeCell ref="A13:B14"/>
    <mergeCell ref="C13:C14"/>
    <mergeCell ref="B16:B17"/>
    <mergeCell ref="C16:C17"/>
    <mergeCell ref="A24:A26"/>
    <mergeCell ref="B24:D24"/>
    <mergeCell ref="B25:D25"/>
    <mergeCell ref="B26:D26"/>
    <mergeCell ref="H4:J4"/>
    <mergeCell ref="K4:M4"/>
    <mergeCell ref="M6:M9"/>
    <mergeCell ref="B8:B9"/>
    <mergeCell ref="C8:C9"/>
    <mergeCell ref="D8:D9"/>
    <mergeCell ref="E8:E9"/>
    <mergeCell ref="F8:F9"/>
    <mergeCell ref="G8:G9"/>
    <mergeCell ref="G6:G7"/>
    <mergeCell ref="H6:H9"/>
    <mergeCell ref="I6:I9"/>
    <mergeCell ref="J6:J9"/>
    <mergeCell ref="K6:K9"/>
    <mergeCell ref="L6:L9"/>
    <mergeCell ref="B6:B7"/>
    <mergeCell ref="E6:E7"/>
    <mergeCell ref="F6:F7"/>
    <mergeCell ref="A4:A5"/>
    <mergeCell ref="B4:D4"/>
    <mergeCell ref="E4:G4"/>
    <mergeCell ref="C6:C7"/>
    <mergeCell ref="D6:D7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387D-14AC-429B-B8E4-36129CE2FFF2}">
  <dimension ref="C3:C283"/>
  <sheetViews>
    <sheetView topLeftCell="A173" workbookViewId="0">
      <selection activeCell="G18" sqref="G18"/>
    </sheetView>
  </sheetViews>
  <sheetFormatPr baseColWidth="10" defaultColWidth="11.42578125" defaultRowHeight="15"/>
  <sheetData>
    <row r="3" spans="3:3" ht="15.75" thickBot="1">
      <c r="C3" s="92" t="s">
        <v>233</v>
      </c>
    </row>
    <row r="4" spans="3:3" ht="15.75" thickBot="1">
      <c r="C4" s="92" t="s">
        <v>593</v>
      </c>
    </row>
    <row r="5" spans="3:3" ht="15.75" thickBot="1">
      <c r="C5" s="92" t="s">
        <v>595</v>
      </c>
    </row>
    <row r="6" spans="3:3" ht="15.75" thickBot="1">
      <c r="C6" s="92" t="s">
        <v>597</v>
      </c>
    </row>
    <row r="7" spans="3:3" ht="15.75" thickBot="1">
      <c r="C7" s="92" t="s">
        <v>599</v>
      </c>
    </row>
    <row r="8" spans="3:3" ht="15.75" thickBot="1">
      <c r="C8" s="92" t="s">
        <v>601</v>
      </c>
    </row>
    <row r="9" spans="3:3" ht="15.75" thickBot="1">
      <c r="C9" s="92" t="s">
        <v>603</v>
      </c>
    </row>
    <row r="10" spans="3:3" ht="15.75" thickBot="1">
      <c r="C10" s="92" t="s">
        <v>605</v>
      </c>
    </row>
    <row r="11" spans="3:3" ht="15.75" thickBot="1">
      <c r="C11" s="92" t="s">
        <v>607</v>
      </c>
    </row>
    <row r="12" spans="3:3" ht="15.75" thickBot="1">
      <c r="C12" s="92" t="s">
        <v>609</v>
      </c>
    </row>
    <row r="13" spans="3:3" ht="15.75" thickBot="1">
      <c r="C13" s="92" t="s">
        <v>298</v>
      </c>
    </row>
    <row r="14" spans="3:3" ht="15.75" thickBot="1">
      <c r="C14" s="92" t="s">
        <v>611</v>
      </c>
    </row>
    <row r="15" spans="3:3" ht="15.75" thickBot="1">
      <c r="C15" s="92" t="s">
        <v>613</v>
      </c>
    </row>
    <row r="16" spans="3:3" ht="15.75" thickBot="1">
      <c r="C16" s="92" t="s">
        <v>216</v>
      </c>
    </row>
    <row r="17" spans="3:3" ht="15.75" thickBot="1">
      <c r="C17" s="92" t="s">
        <v>616</v>
      </c>
    </row>
    <row r="18" spans="3:3" ht="15.75" thickBot="1">
      <c r="C18" s="92" t="s">
        <v>169</v>
      </c>
    </row>
    <row r="19" spans="3:3" ht="15.75" thickBot="1">
      <c r="C19" s="92" t="s">
        <v>619</v>
      </c>
    </row>
    <row r="20" spans="3:3" ht="15.75" thickBot="1">
      <c r="C20" s="92" t="s">
        <v>170</v>
      </c>
    </row>
    <row r="21" spans="3:3" ht="15.75" thickBot="1">
      <c r="C21" s="92" t="s">
        <v>621</v>
      </c>
    </row>
    <row r="22" spans="3:3" ht="15.75" thickBot="1">
      <c r="C22" s="92" t="s">
        <v>622</v>
      </c>
    </row>
    <row r="23" spans="3:3" ht="15.75" thickBot="1">
      <c r="C23" s="92" t="s">
        <v>624</v>
      </c>
    </row>
    <row r="24" spans="3:3" ht="15.75" thickBot="1">
      <c r="C24" s="92" t="s">
        <v>626</v>
      </c>
    </row>
    <row r="25" spans="3:3" ht="15.75" thickBot="1">
      <c r="C25" s="92" t="s">
        <v>237</v>
      </c>
    </row>
    <row r="26" spans="3:3" ht="15.75" thickBot="1">
      <c r="C26" s="92" t="s">
        <v>629</v>
      </c>
    </row>
    <row r="27" spans="3:3" ht="15.75" thickBot="1">
      <c r="C27" s="92" t="s">
        <v>301</v>
      </c>
    </row>
    <row r="28" spans="3:3" ht="15.75" thickBot="1">
      <c r="C28" s="92" t="s">
        <v>632</v>
      </c>
    </row>
    <row r="29" spans="3:3" ht="15.75" thickBot="1">
      <c r="C29" s="92" t="s">
        <v>634</v>
      </c>
    </row>
    <row r="30" spans="3:3" ht="15.75" thickBot="1">
      <c r="C30" s="92" t="s">
        <v>204</v>
      </c>
    </row>
    <row r="31" spans="3:3" ht="15.75" thickBot="1">
      <c r="C31" s="92" t="s">
        <v>637</v>
      </c>
    </row>
    <row r="32" spans="3:3" ht="15.75" thickBot="1">
      <c r="C32" s="92" t="s">
        <v>639</v>
      </c>
    </row>
    <row r="33" spans="3:3" ht="15.75" thickBot="1">
      <c r="C33" s="92" t="s">
        <v>644</v>
      </c>
    </row>
    <row r="34" spans="3:3" ht="15.75" thickBot="1">
      <c r="C34" s="92" t="s">
        <v>641</v>
      </c>
    </row>
    <row r="35" spans="3:3" ht="15.75" thickBot="1">
      <c r="C35" s="92" t="s">
        <v>643</v>
      </c>
    </row>
    <row r="36" spans="3:3" ht="15.75" thickBot="1">
      <c r="C36" s="92" t="s">
        <v>646</v>
      </c>
    </row>
    <row r="37" spans="3:3" ht="15.75" thickBot="1">
      <c r="C37" s="92" t="s">
        <v>648</v>
      </c>
    </row>
    <row r="38" spans="3:3" ht="15.75" thickBot="1">
      <c r="C38" s="92" t="s">
        <v>260</v>
      </c>
    </row>
    <row r="39" spans="3:3" ht="15.75" thickBot="1">
      <c r="C39" s="92" t="s">
        <v>651</v>
      </c>
    </row>
    <row r="40" spans="3:3" ht="15.75" thickBot="1">
      <c r="C40" s="92" t="s">
        <v>241</v>
      </c>
    </row>
    <row r="41" spans="3:3" ht="15.75" thickBot="1">
      <c r="C41" s="92" t="s">
        <v>654</v>
      </c>
    </row>
    <row r="42" spans="3:3" ht="15.75" thickBot="1">
      <c r="C42" s="92" t="s">
        <v>656</v>
      </c>
    </row>
    <row r="43" spans="3:3" ht="15.75" thickBot="1">
      <c r="C43" s="92" t="s">
        <v>658</v>
      </c>
    </row>
    <row r="44" spans="3:3" ht="15.75" thickBot="1">
      <c r="C44" s="92" t="s">
        <v>660</v>
      </c>
    </row>
    <row r="45" spans="3:3" ht="15.75" thickBot="1">
      <c r="C45" s="92" t="s">
        <v>662</v>
      </c>
    </row>
    <row r="46" spans="3:3" ht="15.75" thickBot="1">
      <c r="C46" s="92" t="s">
        <v>664</v>
      </c>
    </row>
    <row r="47" spans="3:3" ht="15.75" thickBot="1">
      <c r="C47" s="92" t="s">
        <v>666</v>
      </c>
    </row>
    <row r="48" spans="3:3" ht="15.75" thickBot="1">
      <c r="C48" s="92" t="s">
        <v>667</v>
      </c>
    </row>
    <row r="49" spans="3:3" ht="15.75" thickBot="1">
      <c r="C49" s="92" t="s">
        <v>182</v>
      </c>
    </row>
    <row r="50" spans="3:3" ht="15.75" thickBot="1">
      <c r="C50" s="92" t="s">
        <v>670</v>
      </c>
    </row>
    <row r="51" spans="3:3" ht="15.75" thickBot="1">
      <c r="C51" s="92" t="s">
        <v>303</v>
      </c>
    </row>
    <row r="52" spans="3:3" ht="15.75" thickBot="1">
      <c r="C52" s="92" t="s">
        <v>673</v>
      </c>
    </row>
    <row r="53" spans="3:3" ht="15.75" thickBot="1">
      <c r="C53" s="92" t="s">
        <v>675</v>
      </c>
    </row>
    <row r="54" spans="3:3" ht="15.75" thickBot="1">
      <c r="C54" s="92" t="s">
        <v>191</v>
      </c>
    </row>
    <row r="55" spans="3:3" ht="15.75" thickBot="1">
      <c r="C55" s="92" t="s">
        <v>678</v>
      </c>
    </row>
    <row r="56" spans="3:3" ht="15.75" thickBot="1">
      <c r="C56" s="92" t="s">
        <v>194</v>
      </c>
    </row>
    <row r="57" spans="3:3" ht="15.75" thickBot="1">
      <c r="C57" s="92" t="s">
        <v>680</v>
      </c>
    </row>
    <row r="58" spans="3:3" ht="15.75" thickBot="1">
      <c r="C58" s="92" t="s">
        <v>682</v>
      </c>
    </row>
    <row r="59" spans="3:3" ht="15.75" thickBot="1">
      <c r="C59" s="92" t="s">
        <v>684</v>
      </c>
    </row>
    <row r="60" spans="3:3" ht="15.75" thickBot="1">
      <c r="C60" s="92" t="s">
        <v>686</v>
      </c>
    </row>
    <row r="61" spans="3:3" ht="15.75" thickBot="1">
      <c r="C61" s="92" t="s">
        <v>688</v>
      </c>
    </row>
    <row r="62" spans="3:3" ht="15.75" thickBot="1">
      <c r="C62" s="92" t="s">
        <v>690</v>
      </c>
    </row>
    <row r="63" spans="3:3" ht="15.75" thickBot="1">
      <c r="C63" s="92" t="s">
        <v>188</v>
      </c>
    </row>
    <row r="64" spans="3:3" ht="15.75" thickBot="1">
      <c r="C64" s="92" t="s">
        <v>692</v>
      </c>
    </row>
    <row r="65" spans="3:3" ht="15.75" thickBot="1">
      <c r="C65" s="92" t="s">
        <v>694</v>
      </c>
    </row>
    <row r="66" spans="3:3" ht="15.75" thickBot="1">
      <c r="C66" s="92" t="s">
        <v>695</v>
      </c>
    </row>
    <row r="67" spans="3:3" ht="15.75" thickBot="1">
      <c r="C67" s="92" t="s">
        <v>696</v>
      </c>
    </row>
    <row r="68" spans="3:3" ht="15.75" thickBot="1">
      <c r="C68" s="92" t="s">
        <v>275</v>
      </c>
    </row>
    <row r="69" spans="3:3" ht="15.75" thickBot="1">
      <c r="C69" s="92" t="s">
        <v>174</v>
      </c>
    </row>
    <row r="70" spans="3:3" ht="15.75" thickBot="1">
      <c r="C70" s="92" t="s">
        <v>179</v>
      </c>
    </row>
    <row r="71" spans="3:3" ht="15.75" thickBot="1">
      <c r="C71" s="92" t="s">
        <v>703</v>
      </c>
    </row>
    <row r="72" spans="3:3" ht="15.75" thickBot="1">
      <c r="C72" s="92" t="s">
        <v>705</v>
      </c>
    </row>
    <row r="73" spans="3:3" ht="15.75" thickBot="1">
      <c r="C73" s="92" t="s">
        <v>707</v>
      </c>
    </row>
    <row r="74" spans="3:3" ht="15.75" thickBot="1">
      <c r="C74" s="92" t="s">
        <v>709</v>
      </c>
    </row>
    <row r="75" spans="3:3" ht="15.75" thickBot="1">
      <c r="C75" s="92" t="s">
        <v>711</v>
      </c>
    </row>
    <row r="76" spans="3:3" ht="15.75" thickBot="1">
      <c r="C76" s="92" t="s">
        <v>713</v>
      </c>
    </row>
    <row r="77" spans="3:3" ht="15.75" thickBot="1">
      <c r="C77" s="92" t="s">
        <v>365</v>
      </c>
    </row>
    <row r="78" spans="3:3" ht="15.75" thickBot="1">
      <c r="C78" s="92" t="s">
        <v>716</v>
      </c>
    </row>
    <row r="79" spans="3:3" ht="15.75" thickBot="1">
      <c r="C79" s="92" t="s">
        <v>238</v>
      </c>
    </row>
    <row r="80" spans="3:3" ht="15.75" thickBot="1">
      <c r="C80" s="92" t="s">
        <v>282</v>
      </c>
    </row>
    <row r="81" spans="3:3" ht="15.75" thickBot="1">
      <c r="C81" s="92" t="s">
        <v>208</v>
      </c>
    </row>
    <row r="82" spans="3:3" ht="15.75" thickBot="1">
      <c r="C82" s="92" t="s">
        <v>721</v>
      </c>
    </row>
    <row r="83" spans="3:3" ht="15.75" thickBot="1">
      <c r="C83" s="92" t="s">
        <v>723</v>
      </c>
    </row>
    <row r="84" spans="3:3" ht="15.75" thickBot="1">
      <c r="C84" s="92" t="s">
        <v>725</v>
      </c>
    </row>
    <row r="85" spans="3:3" ht="15.75" thickBot="1">
      <c r="C85" s="92" t="s">
        <v>727</v>
      </c>
    </row>
    <row r="86" spans="3:3" ht="15.75" thickBot="1">
      <c r="C86" s="92" t="s">
        <v>729</v>
      </c>
    </row>
    <row r="87" spans="3:3" ht="15.75" thickBot="1">
      <c r="C87" s="92" t="s">
        <v>731</v>
      </c>
    </row>
    <row r="88" spans="3:3" ht="15.75" thickBot="1">
      <c r="C88" s="92" t="s">
        <v>201</v>
      </c>
    </row>
    <row r="89" spans="3:3" ht="15.75" thickBot="1">
      <c r="C89" s="92" t="s">
        <v>734</v>
      </c>
    </row>
    <row r="90" spans="3:3" ht="15.75" thickBot="1">
      <c r="C90" s="92" t="s">
        <v>736</v>
      </c>
    </row>
    <row r="91" spans="3:3" ht="15.75" thickBot="1">
      <c r="C91" s="92" t="s">
        <v>738</v>
      </c>
    </row>
    <row r="92" spans="3:3" ht="15.75" thickBot="1">
      <c r="C92" s="92" t="s">
        <v>740</v>
      </c>
    </row>
    <row r="93" spans="3:3" ht="15.75" thickBot="1">
      <c r="C93" s="92" t="s">
        <v>742</v>
      </c>
    </row>
    <row r="94" spans="3:3" ht="15.75" thickBot="1">
      <c r="C94" s="92" t="s">
        <v>744</v>
      </c>
    </row>
    <row r="95" spans="3:3" ht="15.75" thickBot="1">
      <c r="C95" s="92" t="s">
        <v>246</v>
      </c>
    </row>
    <row r="96" spans="3:3" ht="15.75" thickBot="1">
      <c r="C96" s="92" t="s">
        <v>747</v>
      </c>
    </row>
    <row r="97" spans="3:3" ht="15.75" thickBot="1">
      <c r="C97" s="92" t="s">
        <v>749</v>
      </c>
    </row>
    <row r="98" spans="3:3" ht="15.75" thickBot="1">
      <c r="C98" s="92" t="s">
        <v>751</v>
      </c>
    </row>
    <row r="99" spans="3:3" ht="15.75" thickBot="1">
      <c r="C99" s="92" t="s">
        <v>214</v>
      </c>
    </row>
    <row r="100" spans="3:3" ht="15.75" thickBot="1">
      <c r="C100" s="92" t="s">
        <v>753</v>
      </c>
    </row>
    <row r="101" spans="3:3" ht="15.75" thickBot="1">
      <c r="C101" s="92" t="s">
        <v>287</v>
      </c>
    </row>
    <row r="102" spans="3:3" ht="15.75" thickBot="1">
      <c r="C102" s="92" t="s">
        <v>756</v>
      </c>
    </row>
    <row r="103" spans="3:3" ht="15.75" thickBot="1">
      <c r="C103" s="92" t="s">
        <v>758</v>
      </c>
    </row>
    <row r="104" spans="3:3" ht="15.75" thickBot="1">
      <c r="C104" s="92" t="s">
        <v>760</v>
      </c>
    </row>
    <row r="105" spans="3:3" ht="15.75" thickBot="1">
      <c r="C105" s="92" t="s">
        <v>762</v>
      </c>
    </row>
    <row r="106" spans="3:3" ht="15.75" thickBot="1">
      <c r="C106" s="92" t="s">
        <v>472</v>
      </c>
    </row>
    <row r="107" spans="3:3" ht="15.75" thickBot="1">
      <c r="C107" s="92" t="s">
        <v>765</v>
      </c>
    </row>
    <row r="108" spans="3:3" ht="15.75" thickBot="1">
      <c r="C108" s="92" t="s">
        <v>767</v>
      </c>
    </row>
    <row r="109" spans="3:3" ht="15.75" thickBot="1">
      <c r="C109" s="92" t="s">
        <v>769</v>
      </c>
    </row>
    <row r="110" spans="3:3" ht="15.75" thickBot="1">
      <c r="C110" s="92" t="s">
        <v>771</v>
      </c>
    </row>
    <row r="111" spans="3:3" ht="15.75" thickBot="1">
      <c r="C111" s="92" t="s">
        <v>772</v>
      </c>
    </row>
    <row r="112" spans="3:3" ht="15.75" thickBot="1">
      <c r="C112" s="92" t="s">
        <v>773</v>
      </c>
    </row>
    <row r="113" spans="3:3" ht="15.75" thickBot="1">
      <c r="C113" s="92" t="s">
        <v>775</v>
      </c>
    </row>
    <row r="114" spans="3:3" ht="15.75" thickBot="1">
      <c r="C114" s="92" t="s">
        <v>777</v>
      </c>
    </row>
    <row r="115" spans="3:3" ht="15.75" thickBot="1">
      <c r="C115" s="92" t="s">
        <v>779</v>
      </c>
    </row>
    <row r="116" spans="3:3" ht="15.75" thickBot="1">
      <c r="C116" s="92" t="s">
        <v>212</v>
      </c>
    </row>
    <row r="117" spans="3:3" ht="15.75" thickBot="1">
      <c r="C117" s="92" t="s">
        <v>782</v>
      </c>
    </row>
    <row r="118" spans="3:3" ht="15.75" thickBot="1">
      <c r="C118" s="92" t="s">
        <v>784</v>
      </c>
    </row>
    <row r="119" spans="3:3" ht="15.75" thickBot="1">
      <c r="C119" s="92" t="s">
        <v>786</v>
      </c>
    </row>
    <row r="120" spans="3:3" ht="15.75" thickBot="1">
      <c r="C120" s="92" t="s">
        <v>788</v>
      </c>
    </row>
    <row r="121" spans="3:3" ht="15.75" thickBot="1">
      <c r="C121" s="92" t="s">
        <v>790</v>
      </c>
    </row>
    <row r="122" spans="3:3" ht="15.75" thickBot="1">
      <c r="C122" s="92" t="s">
        <v>792</v>
      </c>
    </row>
    <row r="123" spans="3:3" ht="15.75" thickBot="1">
      <c r="C123" s="92" t="s">
        <v>794</v>
      </c>
    </row>
    <row r="124" spans="3:3" ht="15.75" thickBot="1">
      <c r="C124" s="92" t="s">
        <v>796</v>
      </c>
    </row>
    <row r="125" spans="3:3" ht="15.75" thickBot="1">
      <c r="C125" s="92" t="s">
        <v>798</v>
      </c>
    </row>
    <row r="126" spans="3:3" ht="15.75" thickBot="1">
      <c r="C126" s="92" t="s">
        <v>800</v>
      </c>
    </row>
    <row r="127" spans="3:3" ht="15.75" thickBot="1">
      <c r="C127" s="92" t="s">
        <v>802</v>
      </c>
    </row>
    <row r="128" spans="3:3" ht="15.75" thickBot="1">
      <c r="C128" s="92" t="s">
        <v>804</v>
      </c>
    </row>
    <row r="129" spans="3:3" ht="15.75" thickBot="1">
      <c r="C129" s="92" t="s">
        <v>806</v>
      </c>
    </row>
    <row r="130" spans="3:3" ht="15.75" thickBot="1">
      <c r="C130" s="92" t="s">
        <v>807</v>
      </c>
    </row>
    <row r="131" spans="3:3" ht="15.75" thickBot="1">
      <c r="C131" s="92" t="s">
        <v>809</v>
      </c>
    </row>
    <row r="132" spans="3:3" ht="15.75" thickBot="1">
      <c r="C132" s="92" t="s">
        <v>296</v>
      </c>
    </row>
    <row r="133" spans="3:3" ht="15.75" thickBot="1">
      <c r="C133" s="92" t="s">
        <v>813</v>
      </c>
    </row>
    <row r="134" spans="3:3" ht="15.75" thickBot="1">
      <c r="C134" s="92" t="s">
        <v>817</v>
      </c>
    </row>
    <row r="135" spans="3:3" ht="15.75" thickBot="1">
      <c r="C135" s="92" t="s">
        <v>819</v>
      </c>
    </row>
    <row r="136" spans="3:3" ht="15.75" thickBot="1">
      <c r="C136" s="92" t="s">
        <v>821</v>
      </c>
    </row>
    <row r="137" spans="3:3" ht="15.75" thickBot="1">
      <c r="C137" s="92" t="s">
        <v>823</v>
      </c>
    </row>
    <row r="138" spans="3:3" ht="15.75" thickBot="1">
      <c r="C138" s="92" t="s">
        <v>825</v>
      </c>
    </row>
    <row r="139" spans="3:3" ht="15.75" thickBot="1">
      <c r="C139" s="92" t="s">
        <v>474</v>
      </c>
    </row>
    <row r="140" spans="3:3" ht="15.75" thickBot="1">
      <c r="C140" s="92" t="s">
        <v>827</v>
      </c>
    </row>
    <row r="141" spans="3:3" ht="15.75" thickBot="1">
      <c r="C141" s="92" t="s">
        <v>829</v>
      </c>
    </row>
    <row r="142" spans="3:3" ht="15.75" thickBot="1">
      <c r="C142" s="92" t="s">
        <v>265</v>
      </c>
    </row>
    <row r="143" spans="3:3" ht="15.75" thickBot="1">
      <c r="C143" s="92" t="s">
        <v>815</v>
      </c>
    </row>
    <row r="144" spans="3:3" ht="15.75" thickBot="1">
      <c r="C144" s="92" t="s">
        <v>701</v>
      </c>
    </row>
    <row r="145" spans="3:3" ht="15.75" thickBot="1">
      <c r="C145" s="92" t="s">
        <v>591</v>
      </c>
    </row>
    <row r="146" spans="3:3" ht="15.75" thickBot="1">
      <c r="C146" s="92" t="s">
        <v>594</v>
      </c>
    </row>
    <row r="147" spans="3:3" ht="15.75" thickBot="1">
      <c r="C147" s="92" t="s">
        <v>596</v>
      </c>
    </row>
    <row r="148" spans="3:3" ht="15.75" thickBot="1">
      <c r="C148" s="92" t="s">
        <v>598</v>
      </c>
    </row>
    <row r="149" spans="3:3" ht="15.75" thickBot="1">
      <c r="C149" s="92" t="s">
        <v>600</v>
      </c>
    </row>
    <row r="150" spans="3:3" ht="15.75" thickBot="1">
      <c r="C150" s="92" t="s">
        <v>602</v>
      </c>
    </row>
    <row r="151" spans="3:3" ht="15.75" thickBot="1">
      <c r="C151" s="92" t="s">
        <v>604</v>
      </c>
    </row>
    <row r="152" spans="3:3" ht="15.75" thickBot="1">
      <c r="C152" s="92" t="s">
        <v>606</v>
      </c>
    </row>
    <row r="153" spans="3:3" ht="15.75" thickBot="1">
      <c r="C153" s="92" t="s">
        <v>608</v>
      </c>
    </row>
    <row r="154" spans="3:3" ht="15.75" thickBot="1">
      <c r="C154" s="92" t="s">
        <v>610</v>
      </c>
    </row>
    <row r="155" spans="3:3" ht="15.75" thickBot="1">
      <c r="C155" s="92" t="s">
        <v>230</v>
      </c>
    </row>
    <row r="156" spans="3:3" ht="15.75" thickBot="1">
      <c r="C156" s="92" t="s">
        <v>612</v>
      </c>
    </row>
    <row r="157" spans="3:3" ht="15.75" thickBot="1">
      <c r="C157" s="92" t="s">
        <v>614</v>
      </c>
    </row>
    <row r="158" spans="3:3" ht="15.75" thickBot="1">
      <c r="C158" s="92" t="s">
        <v>615</v>
      </c>
    </row>
    <row r="159" spans="3:3" ht="15.75" thickBot="1">
      <c r="C159" s="92" t="s">
        <v>617</v>
      </c>
    </row>
    <row r="160" spans="3:3" ht="15.75" thickBot="1">
      <c r="C160" s="92" t="s">
        <v>618</v>
      </c>
    </row>
    <row r="161" spans="3:3" ht="15.75" thickBot="1">
      <c r="C161" s="92" t="s">
        <v>620</v>
      </c>
    </row>
    <row r="162" spans="3:3" ht="15.75" thickBot="1">
      <c r="C162" s="92" t="s">
        <v>278</v>
      </c>
    </row>
    <row r="163" spans="3:3" ht="15.75" thickBot="1">
      <c r="C163" s="92" t="s">
        <v>258</v>
      </c>
    </row>
    <row r="164" spans="3:3" ht="15.75" thickBot="1">
      <c r="C164" s="92" t="s">
        <v>623</v>
      </c>
    </row>
    <row r="165" spans="3:3" ht="15.75" thickBot="1">
      <c r="C165" s="92" t="s">
        <v>625</v>
      </c>
    </row>
    <row r="166" spans="3:3" ht="15.75" thickBot="1">
      <c r="C166" s="92" t="s">
        <v>627</v>
      </c>
    </row>
    <row r="167" spans="3:3" ht="15.75" thickBot="1">
      <c r="C167" s="92" t="s">
        <v>628</v>
      </c>
    </row>
    <row r="168" spans="3:3" ht="15.75" thickBot="1">
      <c r="C168" s="92" t="s">
        <v>630</v>
      </c>
    </row>
    <row r="169" spans="3:3" ht="15.75" thickBot="1">
      <c r="C169" s="92" t="s">
        <v>631</v>
      </c>
    </row>
    <row r="170" spans="3:3" ht="15.75" thickBot="1">
      <c r="C170" s="92" t="s">
        <v>633</v>
      </c>
    </row>
    <row r="171" spans="3:3" ht="15.75" thickBot="1">
      <c r="C171" s="92" t="s">
        <v>635</v>
      </c>
    </row>
    <row r="172" spans="3:3" ht="15.75" thickBot="1">
      <c r="C172" s="92" t="s">
        <v>636</v>
      </c>
    </row>
    <row r="173" spans="3:3" ht="15.75" thickBot="1">
      <c r="C173" s="92" t="s">
        <v>638</v>
      </c>
    </row>
    <row r="174" spans="3:3" ht="15.75" thickBot="1">
      <c r="C174" s="92" t="s">
        <v>640</v>
      </c>
    </row>
    <row r="175" spans="3:3" ht="15.75" thickBot="1">
      <c r="C175" s="92" t="s">
        <v>645</v>
      </c>
    </row>
    <row r="176" spans="3:3" ht="15.75" thickBot="1">
      <c r="C176" s="92" t="s">
        <v>642</v>
      </c>
    </row>
    <row r="177" spans="3:3" ht="15.75" thickBot="1">
      <c r="C177" s="92" t="s">
        <v>283</v>
      </c>
    </row>
    <row r="178" spans="3:3" ht="15.75" thickBot="1">
      <c r="C178" s="92" t="s">
        <v>647</v>
      </c>
    </row>
    <row r="179" spans="3:3" ht="15.75" thickBot="1">
      <c r="C179" s="92" t="s">
        <v>649</v>
      </c>
    </row>
    <row r="180" spans="3:3" ht="15.75" thickBot="1">
      <c r="C180" s="92" t="s">
        <v>650</v>
      </c>
    </row>
    <row r="181" spans="3:3" ht="15.75" thickBot="1">
      <c r="C181" s="92" t="s">
        <v>652</v>
      </c>
    </row>
    <row r="182" spans="3:3" ht="15.75" thickBot="1">
      <c r="C182" s="92" t="s">
        <v>653</v>
      </c>
    </row>
    <row r="183" spans="3:3" ht="15.75" thickBot="1">
      <c r="C183" s="92" t="s">
        <v>655</v>
      </c>
    </row>
    <row r="184" spans="3:3" ht="15.75" thickBot="1">
      <c r="C184" s="92" t="s">
        <v>657</v>
      </c>
    </row>
    <row r="185" spans="3:3" ht="15.75" thickBot="1">
      <c r="C185" s="92" t="s">
        <v>659</v>
      </c>
    </row>
    <row r="186" spans="3:3" ht="15.75" thickBot="1">
      <c r="C186" s="92" t="s">
        <v>661</v>
      </c>
    </row>
    <row r="187" spans="3:3" ht="15.75" thickBot="1">
      <c r="C187" s="92" t="s">
        <v>663</v>
      </c>
    </row>
    <row r="188" spans="3:3" ht="15.75" thickBot="1">
      <c r="C188" s="92" t="s">
        <v>665</v>
      </c>
    </row>
    <row r="189" spans="3:3" ht="15.75" thickBot="1">
      <c r="C189" s="92" t="s">
        <v>262</v>
      </c>
    </row>
    <row r="190" spans="3:3" ht="15.75" thickBot="1">
      <c r="C190" s="92" t="s">
        <v>668</v>
      </c>
    </row>
    <row r="191" spans="3:3" ht="15.75" thickBot="1">
      <c r="C191" s="92" t="s">
        <v>669</v>
      </c>
    </row>
    <row r="192" spans="3:3" ht="15.75" thickBot="1">
      <c r="C192" s="92" t="s">
        <v>671</v>
      </c>
    </row>
    <row r="193" spans="3:3" ht="15.75" thickBot="1">
      <c r="C193" s="92" t="s">
        <v>672</v>
      </c>
    </row>
    <row r="194" spans="3:3" ht="15.75" thickBot="1">
      <c r="C194" s="92" t="s">
        <v>674</v>
      </c>
    </row>
    <row r="195" spans="3:3" ht="15.75" thickBot="1">
      <c r="C195" s="92" t="s">
        <v>676</v>
      </c>
    </row>
    <row r="196" spans="3:3" ht="15.75" thickBot="1">
      <c r="C196" s="92" t="s">
        <v>677</v>
      </c>
    </row>
    <row r="197" spans="3:3" ht="15.75" thickBot="1">
      <c r="C197" s="92" t="s">
        <v>679</v>
      </c>
    </row>
    <row r="198" spans="3:3" ht="15.75" thickBot="1">
      <c r="C198" s="92" t="s">
        <v>243</v>
      </c>
    </row>
    <row r="199" spans="3:3" ht="15.75" thickBot="1">
      <c r="C199" s="92" t="s">
        <v>681</v>
      </c>
    </row>
    <row r="200" spans="3:3" ht="15.75" thickBot="1">
      <c r="C200" s="92" t="s">
        <v>683</v>
      </c>
    </row>
    <row r="201" spans="3:3" ht="15.75" thickBot="1">
      <c r="C201" s="92" t="s">
        <v>685</v>
      </c>
    </row>
    <row r="202" spans="3:3" ht="15.75" thickBot="1">
      <c r="C202" s="92" t="s">
        <v>687</v>
      </c>
    </row>
    <row r="203" spans="3:3" ht="15.75" thickBot="1">
      <c r="C203" s="92" t="s">
        <v>689</v>
      </c>
    </row>
    <row r="204" spans="3:3" ht="15.75" thickBot="1">
      <c r="C204" s="92" t="s">
        <v>691</v>
      </c>
    </row>
    <row r="205" spans="3:3" ht="15.75" thickBot="1">
      <c r="C205" s="92" t="s">
        <v>263</v>
      </c>
    </row>
    <row r="206" spans="3:3" ht="15.75" thickBot="1">
      <c r="C206" s="92" t="s">
        <v>693</v>
      </c>
    </row>
    <row r="207" spans="3:3" ht="15.75" thickBot="1">
      <c r="C207" s="92" t="s">
        <v>697</v>
      </c>
    </row>
    <row r="208" spans="3:3" ht="15.75" thickBot="1">
      <c r="C208" s="92" t="s">
        <v>698</v>
      </c>
    </row>
    <row r="209" spans="3:3" ht="15.75" thickBot="1">
      <c r="C209" s="92" t="s">
        <v>699</v>
      </c>
    </row>
    <row r="210" spans="3:3" ht="15.75" thickBot="1">
      <c r="C210" s="92" t="s">
        <v>700</v>
      </c>
    </row>
    <row r="211" spans="3:3" ht="15.75" thickBot="1">
      <c r="C211" s="92" t="s">
        <v>704</v>
      </c>
    </row>
    <row r="212" spans="3:3" ht="15.75" thickBot="1">
      <c r="C212" s="92" t="s">
        <v>706</v>
      </c>
    </row>
    <row r="213" spans="3:3" ht="15.75" thickBot="1">
      <c r="C213" s="92" t="s">
        <v>708</v>
      </c>
    </row>
    <row r="214" spans="3:3" ht="15.75" thickBot="1">
      <c r="C214" s="92" t="s">
        <v>710</v>
      </c>
    </row>
    <row r="215" spans="3:3" ht="15.75" thickBot="1">
      <c r="C215" s="92" t="s">
        <v>712</v>
      </c>
    </row>
    <row r="216" spans="3:3" ht="15.75" thickBot="1">
      <c r="C216" s="92" t="s">
        <v>714</v>
      </c>
    </row>
    <row r="217" spans="3:3" ht="15.75" thickBot="1">
      <c r="C217" s="92" t="s">
        <v>715</v>
      </c>
    </row>
    <row r="218" spans="3:3" ht="15.75" thickBot="1">
      <c r="C218" s="92" t="s">
        <v>717</v>
      </c>
    </row>
    <row r="219" spans="3:3" ht="15.75" thickBot="1">
      <c r="C219" s="92" t="s">
        <v>718</v>
      </c>
    </row>
    <row r="220" spans="3:3" ht="15.75" thickBot="1">
      <c r="C220" s="92" t="s">
        <v>719</v>
      </c>
    </row>
    <row r="221" spans="3:3" ht="15.75" thickBot="1">
      <c r="C221" s="92" t="s">
        <v>720</v>
      </c>
    </row>
    <row r="222" spans="3:3" ht="15.75" thickBot="1">
      <c r="C222" s="92" t="s">
        <v>722</v>
      </c>
    </row>
    <row r="223" spans="3:3" ht="15.75" thickBot="1">
      <c r="C223" s="92" t="s">
        <v>724</v>
      </c>
    </row>
    <row r="224" spans="3:3" ht="15.75" thickBot="1">
      <c r="C224" s="92" t="s">
        <v>726</v>
      </c>
    </row>
    <row r="225" spans="3:3" ht="15.75" thickBot="1">
      <c r="C225" s="92" t="s">
        <v>728</v>
      </c>
    </row>
    <row r="226" spans="3:3" ht="15.75" thickBot="1">
      <c r="C226" s="92" t="s">
        <v>730</v>
      </c>
    </row>
    <row r="227" spans="3:3" ht="15.75" thickBot="1">
      <c r="C227" s="92" t="s">
        <v>732</v>
      </c>
    </row>
    <row r="228" spans="3:3" ht="15.75" thickBot="1">
      <c r="C228" s="92" t="s">
        <v>733</v>
      </c>
    </row>
    <row r="229" spans="3:3" ht="15.75" thickBot="1">
      <c r="C229" s="92" t="s">
        <v>735</v>
      </c>
    </row>
    <row r="230" spans="3:3" ht="15.75" thickBot="1">
      <c r="C230" s="92" t="s">
        <v>737</v>
      </c>
    </row>
    <row r="231" spans="3:3" ht="15.75" thickBot="1">
      <c r="C231" s="92" t="s">
        <v>739</v>
      </c>
    </row>
    <row r="232" spans="3:3" ht="15.75" thickBot="1">
      <c r="C232" s="92" t="s">
        <v>741</v>
      </c>
    </row>
    <row r="233" spans="3:3" ht="15.75" thickBot="1">
      <c r="C233" s="92" t="s">
        <v>743</v>
      </c>
    </row>
    <row r="234" spans="3:3" ht="15.75" thickBot="1">
      <c r="C234" s="92" t="s">
        <v>745</v>
      </c>
    </row>
    <row r="235" spans="3:3" ht="15.75" thickBot="1">
      <c r="C235" s="92" t="s">
        <v>746</v>
      </c>
    </row>
    <row r="236" spans="3:3" ht="15.75" thickBot="1">
      <c r="C236" s="92" t="s">
        <v>748</v>
      </c>
    </row>
    <row r="237" spans="3:3" ht="15.75" thickBot="1">
      <c r="C237" s="92" t="s">
        <v>750</v>
      </c>
    </row>
    <row r="238" spans="3:3" ht="15.75" thickBot="1">
      <c r="C238" s="92" t="s">
        <v>752</v>
      </c>
    </row>
    <row r="239" spans="3:3" ht="15.75" thickBot="1">
      <c r="C239" s="92" t="s">
        <v>754</v>
      </c>
    </row>
    <row r="240" spans="3:3" ht="15.75" thickBot="1">
      <c r="C240" s="92" t="s">
        <v>755</v>
      </c>
    </row>
    <row r="241" spans="3:3" ht="15.75" thickBot="1">
      <c r="C241" s="92" t="s">
        <v>757</v>
      </c>
    </row>
    <row r="242" spans="3:3" ht="15.75" thickBot="1">
      <c r="C242" s="92" t="s">
        <v>759</v>
      </c>
    </row>
    <row r="243" spans="3:3" ht="15.75" thickBot="1">
      <c r="C243" s="92" t="s">
        <v>761</v>
      </c>
    </row>
    <row r="244" spans="3:3" ht="15.75" thickBot="1">
      <c r="C244" s="92" t="s">
        <v>763</v>
      </c>
    </row>
    <row r="245" spans="3:3" ht="15.75" thickBot="1">
      <c r="C245" s="92" t="s">
        <v>764</v>
      </c>
    </row>
    <row r="246" spans="3:3" ht="15.75" thickBot="1">
      <c r="C246" s="92" t="s">
        <v>218</v>
      </c>
    </row>
    <row r="247" spans="3:3" ht="15.75" thickBot="1">
      <c r="C247" s="92" t="s">
        <v>766</v>
      </c>
    </row>
    <row r="248" spans="3:3" ht="15.75" thickBot="1">
      <c r="C248" s="92" t="s">
        <v>768</v>
      </c>
    </row>
    <row r="249" spans="3:3" ht="15.75" thickBot="1">
      <c r="C249" s="92" t="s">
        <v>770</v>
      </c>
    </row>
    <row r="250" spans="3:3" ht="15.75" thickBot="1">
      <c r="C250" s="92" t="s">
        <v>774</v>
      </c>
    </row>
    <row r="251" spans="3:3" ht="15.75" thickBot="1">
      <c r="C251" s="92" t="s">
        <v>776</v>
      </c>
    </row>
    <row r="252" spans="3:3" ht="15.75" thickBot="1">
      <c r="C252" s="92" t="s">
        <v>778</v>
      </c>
    </row>
    <row r="253" spans="3:3" ht="15.75" thickBot="1">
      <c r="C253" s="92" t="s">
        <v>780</v>
      </c>
    </row>
    <row r="254" spans="3:3" ht="15.75" thickBot="1">
      <c r="C254" s="92" t="s">
        <v>781</v>
      </c>
    </row>
    <row r="255" spans="3:3" ht="15.75" thickBot="1">
      <c r="C255" s="92" t="s">
        <v>783</v>
      </c>
    </row>
    <row r="256" spans="3:3" ht="15.75" thickBot="1">
      <c r="C256" s="92" t="s">
        <v>785</v>
      </c>
    </row>
    <row r="257" spans="3:3" ht="15.75" thickBot="1">
      <c r="C257" s="92" t="s">
        <v>787</v>
      </c>
    </row>
    <row r="258" spans="3:3" ht="15.75" thickBot="1">
      <c r="C258" s="92" t="s">
        <v>789</v>
      </c>
    </row>
    <row r="259" spans="3:3" ht="15.75" thickBot="1">
      <c r="C259" s="92" t="s">
        <v>791</v>
      </c>
    </row>
    <row r="260" spans="3:3" ht="15.75" thickBot="1">
      <c r="C260" s="92" t="s">
        <v>793</v>
      </c>
    </row>
    <row r="261" spans="3:3" ht="15.75" thickBot="1">
      <c r="C261" s="92" t="s">
        <v>795</v>
      </c>
    </row>
    <row r="262" spans="3:3" ht="15.75" thickBot="1">
      <c r="C262" s="92" t="s">
        <v>797</v>
      </c>
    </row>
    <row r="263" spans="3:3" ht="15.75" thickBot="1">
      <c r="C263" s="92" t="s">
        <v>799</v>
      </c>
    </row>
    <row r="264" spans="3:3" ht="15.75" thickBot="1">
      <c r="C264" s="92" t="s">
        <v>801</v>
      </c>
    </row>
    <row r="265" spans="3:3" ht="15.75" thickBot="1">
      <c r="C265" s="92" t="s">
        <v>803</v>
      </c>
    </row>
    <row r="266" spans="3:3" ht="15.75" thickBot="1">
      <c r="C266" s="92" t="s">
        <v>805</v>
      </c>
    </row>
    <row r="267" spans="3:3" ht="15.75" thickBot="1">
      <c r="C267" s="92" t="s">
        <v>811</v>
      </c>
    </row>
    <row r="268" spans="3:3" ht="15.75" thickBot="1">
      <c r="C268" s="92" t="s">
        <v>808</v>
      </c>
    </row>
    <row r="269" spans="3:3" ht="15.75" thickBot="1">
      <c r="C269" s="92" t="s">
        <v>810</v>
      </c>
    </row>
    <row r="270" spans="3:3" ht="15.75" thickBot="1">
      <c r="C270" s="92" t="s">
        <v>812</v>
      </c>
    </row>
    <row r="271" spans="3:3" ht="15.75" thickBot="1">
      <c r="C271" s="92" t="s">
        <v>814</v>
      </c>
    </row>
    <row r="272" spans="3:3" ht="15.75" thickBot="1">
      <c r="C272" s="92" t="s">
        <v>818</v>
      </c>
    </row>
    <row r="273" spans="3:3" ht="15.75" thickBot="1">
      <c r="C273" s="92" t="s">
        <v>820</v>
      </c>
    </row>
    <row r="274" spans="3:3" ht="15.75" thickBot="1">
      <c r="C274" s="92" t="s">
        <v>822</v>
      </c>
    </row>
    <row r="275" spans="3:3" ht="15.75" thickBot="1">
      <c r="C275" s="92" t="s">
        <v>824</v>
      </c>
    </row>
    <row r="276" spans="3:3" ht="15.75" thickBot="1">
      <c r="C276" s="92" t="s">
        <v>826</v>
      </c>
    </row>
    <row r="277" spans="3:3" ht="15.75" thickBot="1">
      <c r="C277" s="92" t="s">
        <v>249</v>
      </c>
    </row>
    <row r="278" spans="3:3" ht="15.75" thickBot="1">
      <c r="C278" s="92" t="s">
        <v>828</v>
      </c>
    </row>
    <row r="279" spans="3:3" ht="15.75" thickBot="1">
      <c r="C279" s="92" t="s">
        <v>226</v>
      </c>
    </row>
    <row r="280" spans="3:3" ht="15.75" thickBot="1">
      <c r="C280" s="92" t="s">
        <v>830</v>
      </c>
    </row>
    <row r="281" spans="3:3" ht="15.75" thickBot="1">
      <c r="C281" s="92" t="s">
        <v>816</v>
      </c>
    </row>
    <row r="282" spans="3:3" ht="15.75" thickBot="1">
      <c r="C282" s="92" t="s">
        <v>702</v>
      </c>
    </row>
    <row r="283" spans="3:3" ht="15.75" thickBot="1">
      <c r="C283" s="92" t="s">
        <v>177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C5496-AAC1-4D34-90F4-DF4CA15FBF05}">
  <dimension ref="A1:L34"/>
  <sheetViews>
    <sheetView showGridLines="0" workbookViewId="0">
      <selection activeCell="C25" sqref="C25"/>
    </sheetView>
  </sheetViews>
  <sheetFormatPr baseColWidth="10" defaultColWidth="11.42578125" defaultRowHeight="15"/>
  <cols>
    <col min="3" max="3" width="22.42578125" customWidth="1"/>
    <col min="4" max="4" width="5.7109375" customWidth="1"/>
    <col min="7" max="7" width="18.28515625" customWidth="1"/>
    <col min="8" max="8" width="4.42578125" customWidth="1"/>
    <col min="9" max="9" width="13.42578125" customWidth="1"/>
    <col min="10" max="10" width="16.42578125" customWidth="1"/>
  </cols>
  <sheetData>
    <row r="1" spans="1:11">
      <c r="A1" t="s">
        <v>853</v>
      </c>
      <c r="I1" s="121" t="s">
        <v>854</v>
      </c>
      <c r="J1" s="121" t="s">
        <v>855</v>
      </c>
    </row>
    <row r="2" spans="1:11">
      <c r="A2">
        <f>4100/22/850</f>
        <v>0.21925133689839574</v>
      </c>
      <c r="C2" s="10" t="s">
        <v>856</v>
      </c>
      <c r="D2" s="10" t="s">
        <v>163</v>
      </c>
      <c r="E2" s="10" t="s">
        <v>468</v>
      </c>
      <c r="F2" s="10" t="s">
        <v>76</v>
      </c>
      <c r="G2" s="10" t="s">
        <v>857</v>
      </c>
      <c r="I2" s="123" t="s">
        <v>656</v>
      </c>
      <c r="J2" s="123">
        <v>7.76</v>
      </c>
      <c r="K2" s="481" t="s">
        <v>858</v>
      </c>
    </row>
    <row r="3" spans="1:11">
      <c r="C3" s="114" t="s">
        <v>261</v>
      </c>
      <c r="D3" s="114">
        <v>4.43</v>
      </c>
      <c r="E3" s="125">
        <f>4100/22/850+D3</f>
        <v>4.6492513368983959</v>
      </c>
      <c r="F3" s="125">
        <v>1.55</v>
      </c>
      <c r="G3" s="125">
        <f>+F3*E3</f>
        <v>7.2063395721925136</v>
      </c>
      <c r="I3" s="122" t="s">
        <v>657</v>
      </c>
      <c r="J3" s="122">
        <v>7.76</v>
      </c>
      <c r="K3" s="481"/>
    </row>
    <row r="4" spans="1:11">
      <c r="C4" s="126" t="s">
        <v>242</v>
      </c>
      <c r="D4" s="126">
        <v>3.88</v>
      </c>
      <c r="E4" s="127">
        <f>4100/22/850+D4</f>
        <v>4.099251336898396</v>
      </c>
      <c r="F4" s="127">
        <v>1.55</v>
      </c>
      <c r="G4" s="127">
        <f>+F4*E4</f>
        <v>6.3538395721925145</v>
      </c>
      <c r="I4" s="122" t="s">
        <v>670</v>
      </c>
      <c r="J4" s="122">
        <v>7.5</v>
      </c>
      <c r="K4" s="481"/>
    </row>
    <row r="5" spans="1:11">
      <c r="C5" s="126" t="s">
        <v>183</v>
      </c>
      <c r="D5" s="126">
        <v>3.81</v>
      </c>
      <c r="E5" s="127">
        <f>4100/22/850+D5</f>
        <v>4.0292513368983958</v>
      </c>
      <c r="F5" s="127">
        <v>1.55</v>
      </c>
      <c r="G5" s="127">
        <f>+F5*E5</f>
        <v>6.2453395721925133</v>
      </c>
      <c r="I5" s="122" t="s">
        <v>671</v>
      </c>
      <c r="J5" s="122">
        <v>7.5</v>
      </c>
      <c r="K5" s="481"/>
    </row>
    <row r="6" spans="1:11">
      <c r="F6">
        <f>+G6/E3</f>
        <v>1.5378820119391312</v>
      </c>
      <c r="G6">
        <v>7.15</v>
      </c>
      <c r="I6" s="122" t="s">
        <v>675</v>
      </c>
      <c r="J6" s="122">
        <v>7.3</v>
      </c>
      <c r="K6" s="481"/>
    </row>
    <row r="7" spans="1:11">
      <c r="I7" s="122" t="s">
        <v>676</v>
      </c>
      <c r="J7" s="122">
        <v>7.3</v>
      </c>
      <c r="K7" s="481"/>
    </row>
    <row r="8" spans="1:11">
      <c r="C8" s="10" t="s">
        <v>859</v>
      </c>
      <c r="D8" s="10" t="s">
        <v>163</v>
      </c>
      <c r="E8" s="10" t="s">
        <v>468</v>
      </c>
      <c r="F8" s="10" t="s">
        <v>76</v>
      </c>
      <c r="G8" s="10" t="s">
        <v>857</v>
      </c>
      <c r="I8" s="122" t="s">
        <v>260</v>
      </c>
      <c r="J8" s="122">
        <v>7.22</v>
      </c>
      <c r="K8" s="481"/>
    </row>
    <row r="9" spans="1:11">
      <c r="C9" s="20" t="s">
        <v>473</v>
      </c>
      <c r="D9" s="20">
        <v>2.82</v>
      </c>
      <c r="E9" s="135">
        <f>+D9+$A$2</f>
        <v>3.0392513368983956</v>
      </c>
      <c r="F9" s="135">
        <v>1.55</v>
      </c>
      <c r="G9" s="135">
        <f>+F9*E9</f>
        <v>4.7108395721925129</v>
      </c>
      <c r="I9" s="122" t="s">
        <v>650</v>
      </c>
      <c r="J9" s="122">
        <v>7.22</v>
      </c>
      <c r="K9" s="481"/>
    </row>
    <row r="10" spans="1:11">
      <c r="C10" s="20" t="s">
        <v>199</v>
      </c>
      <c r="D10" s="20">
        <v>2.2999999999999998</v>
      </c>
      <c r="E10" s="135">
        <f>+D10+$A$2</f>
        <v>2.5192513368983955</v>
      </c>
      <c r="F10" s="135">
        <v>1.55</v>
      </c>
      <c r="G10" s="135">
        <f>+F10*E10</f>
        <v>3.9048395721925133</v>
      </c>
      <c r="I10" s="122" t="s">
        <v>654</v>
      </c>
      <c r="J10" s="122">
        <v>7.16</v>
      </c>
      <c r="K10" s="481"/>
    </row>
    <row r="11" spans="1:11">
      <c r="C11" s="20" t="s">
        <v>220</v>
      </c>
      <c r="D11" s="20">
        <v>0.62</v>
      </c>
      <c r="E11" s="135">
        <f>+D11+$A$2</f>
        <v>0.83925133689839571</v>
      </c>
      <c r="F11" s="135">
        <v>1.55</v>
      </c>
      <c r="G11" s="135">
        <f>+F11*E11</f>
        <v>1.3008395721925134</v>
      </c>
      <c r="I11" s="122" t="s">
        <v>655</v>
      </c>
      <c r="J11" s="122">
        <v>7.16</v>
      </c>
      <c r="K11" s="481"/>
    </row>
    <row r="12" spans="1:11">
      <c r="I12" s="122" t="s">
        <v>660</v>
      </c>
      <c r="J12" s="122">
        <v>7.16</v>
      </c>
      <c r="K12" s="481"/>
    </row>
    <row r="13" spans="1:11">
      <c r="I13" s="122" t="s">
        <v>661</v>
      </c>
      <c r="J13" s="122">
        <v>7.16</v>
      </c>
      <c r="K13" s="481"/>
    </row>
    <row r="14" spans="1:11">
      <c r="I14" s="122" t="s">
        <v>651</v>
      </c>
      <c r="J14" s="122">
        <v>7.15</v>
      </c>
      <c r="K14" s="481"/>
    </row>
    <row r="15" spans="1:11">
      <c r="I15" s="122" t="s">
        <v>652</v>
      </c>
      <c r="J15" s="122">
        <v>7.15</v>
      </c>
      <c r="K15" s="481"/>
    </row>
    <row r="16" spans="1:11">
      <c r="I16" s="124" t="s">
        <v>673</v>
      </c>
      <c r="J16" s="124">
        <v>6.93</v>
      </c>
      <c r="K16" s="482" t="s">
        <v>860</v>
      </c>
    </row>
    <row r="17" spans="9:11">
      <c r="I17" s="124" t="s">
        <v>674</v>
      </c>
      <c r="J17" s="124">
        <v>6.93</v>
      </c>
      <c r="K17" s="483"/>
    </row>
    <row r="18" spans="9:11">
      <c r="I18" s="124" t="s">
        <v>182</v>
      </c>
      <c r="J18" s="124">
        <v>6.82</v>
      </c>
      <c r="K18" s="483"/>
    </row>
    <row r="19" spans="9:11">
      <c r="I19" s="124" t="s">
        <v>669</v>
      </c>
      <c r="J19" s="124">
        <v>6.82</v>
      </c>
      <c r="K19" s="483"/>
    </row>
    <row r="20" spans="9:11">
      <c r="I20" s="124" t="s">
        <v>303</v>
      </c>
      <c r="J20" s="124">
        <v>6.62</v>
      </c>
      <c r="K20" s="483"/>
    </row>
    <row r="21" spans="9:11">
      <c r="I21" s="124" t="s">
        <v>672</v>
      </c>
      <c r="J21" s="124">
        <v>6.62</v>
      </c>
      <c r="K21" s="483"/>
    </row>
    <row r="22" spans="9:11">
      <c r="I22" s="124" t="s">
        <v>241</v>
      </c>
      <c r="J22" s="124">
        <v>6.61</v>
      </c>
      <c r="K22" s="483"/>
    </row>
    <row r="23" spans="9:11">
      <c r="I23" s="124" t="s">
        <v>653</v>
      </c>
      <c r="J23" s="124">
        <v>6.61</v>
      </c>
      <c r="K23" s="483"/>
    </row>
    <row r="24" spans="9:11">
      <c r="I24" s="124" t="s">
        <v>664</v>
      </c>
      <c r="J24" s="124">
        <v>6.39</v>
      </c>
      <c r="K24" s="483"/>
    </row>
    <row r="25" spans="9:11">
      <c r="I25" s="124" t="s">
        <v>665</v>
      </c>
      <c r="J25" s="124">
        <v>6.39</v>
      </c>
      <c r="K25" s="483"/>
    </row>
    <row r="26" spans="9:11">
      <c r="I26" s="124" t="s">
        <v>658</v>
      </c>
      <c r="J26" s="124">
        <v>6.26</v>
      </c>
      <c r="K26" s="483"/>
    </row>
    <row r="27" spans="9:11">
      <c r="I27" s="124" t="s">
        <v>659</v>
      </c>
      <c r="J27" s="124">
        <v>6.26</v>
      </c>
      <c r="K27" s="484"/>
    </row>
    <row r="28" spans="9:11">
      <c r="I28" s="120" t="s">
        <v>666</v>
      </c>
      <c r="J28" s="120">
        <v>5.85</v>
      </c>
    </row>
    <row r="29" spans="9:11">
      <c r="I29" s="119" t="s">
        <v>262</v>
      </c>
      <c r="J29" s="119">
        <v>5.85</v>
      </c>
    </row>
    <row r="30" spans="9:11">
      <c r="I30" s="119" t="s">
        <v>662</v>
      </c>
      <c r="J30" s="119">
        <v>5.0199999999999996</v>
      </c>
    </row>
    <row r="31" spans="9:11">
      <c r="I31" s="119" t="s">
        <v>663</v>
      </c>
      <c r="J31" s="119">
        <v>5.0199999999999996</v>
      </c>
    </row>
    <row r="32" spans="9:11">
      <c r="I32" s="119" t="s">
        <v>667</v>
      </c>
      <c r="J32" s="119">
        <v>5</v>
      </c>
    </row>
    <row r="33" spans="9:12">
      <c r="I33" s="119" t="s">
        <v>668</v>
      </c>
      <c r="J33" s="119">
        <v>5</v>
      </c>
    </row>
    <row r="34" spans="9:12">
      <c r="I34" s="119" t="s">
        <v>177</v>
      </c>
      <c r="J34" s="119">
        <v>3.25</v>
      </c>
      <c r="L34">
        <f>(J34+J10)/2</f>
        <v>5.2050000000000001</v>
      </c>
    </row>
  </sheetData>
  <autoFilter ref="I1:J34" xr:uid="{A87C5496-AAC1-4D34-90F4-DF4CA15FBF05}">
    <sortState xmlns:xlrd2="http://schemas.microsoft.com/office/spreadsheetml/2017/richdata2" ref="I2:J34">
      <sortCondition descending="1" ref="J1:J34"/>
    </sortState>
  </autoFilter>
  <mergeCells count="2">
    <mergeCell ref="K2:K15"/>
    <mergeCell ref="K16:K27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AC34-4796-4515-8551-396CF0D50BD2}">
  <dimension ref="A1:H40"/>
  <sheetViews>
    <sheetView workbookViewId="0">
      <selection activeCell="F31" sqref="F31"/>
    </sheetView>
  </sheetViews>
  <sheetFormatPr baseColWidth="10" defaultColWidth="11.42578125" defaultRowHeight="15"/>
  <cols>
    <col min="1" max="1" width="37.28515625" bestFit="1" customWidth="1"/>
    <col min="2" max="2" width="25.5703125" bestFit="1" customWidth="1"/>
    <col min="4" max="4" width="12.5703125" bestFit="1" customWidth="1"/>
    <col min="8" max="8" width="16" customWidth="1"/>
  </cols>
  <sheetData>
    <row r="1" spans="1:8" ht="15.75" thickBot="1">
      <c r="A1" s="23" t="s">
        <v>861</v>
      </c>
      <c r="B1" s="23" t="s">
        <v>862</v>
      </c>
      <c r="C1" s="23" t="s">
        <v>863</v>
      </c>
    </row>
    <row r="2" spans="1:8" ht="15.75" thickBot="1">
      <c r="A2" s="24" t="s">
        <v>864</v>
      </c>
      <c r="B2" s="25" t="s">
        <v>865</v>
      </c>
      <c r="C2" s="26">
        <v>0.6</v>
      </c>
      <c r="G2" s="58" t="s">
        <v>866</v>
      </c>
      <c r="H2" s="58" t="s">
        <v>867</v>
      </c>
    </row>
    <row r="3" spans="1:8" ht="15.75" thickBot="1">
      <c r="A3" s="27" t="s">
        <v>868</v>
      </c>
      <c r="B3" s="28" t="s">
        <v>869</v>
      </c>
      <c r="C3" s="29">
        <v>0.1</v>
      </c>
      <c r="G3" s="59">
        <v>44927</v>
      </c>
      <c r="H3" s="60">
        <v>570849.64963223436</v>
      </c>
    </row>
    <row r="4" spans="1:8" ht="15.75" thickBot="1">
      <c r="A4" s="27" t="s">
        <v>870</v>
      </c>
      <c r="B4" s="28" t="s">
        <v>871</v>
      </c>
      <c r="C4" s="29">
        <v>0.3</v>
      </c>
      <c r="G4" s="59">
        <v>44958</v>
      </c>
      <c r="H4" s="60">
        <v>570849.64963223436</v>
      </c>
    </row>
    <row r="5" spans="1:8">
      <c r="A5" s="30"/>
      <c r="B5" s="30"/>
      <c r="C5" s="31">
        <v>1</v>
      </c>
      <c r="G5" s="59">
        <v>44986</v>
      </c>
      <c r="H5" s="60">
        <v>651685.33424747386</v>
      </c>
    </row>
    <row r="6" spans="1:8">
      <c r="A6" s="32" t="s">
        <v>872</v>
      </c>
      <c r="B6" s="30"/>
      <c r="C6" s="30"/>
      <c r="G6" s="59">
        <v>45017</v>
      </c>
      <c r="H6" s="60">
        <v>659619.18646035274</v>
      </c>
    </row>
    <row r="7" spans="1:8">
      <c r="G7" s="59">
        <v>45047</v>
      </c>
      <c r="H7" s="60">
        <v>722553.74866520741</v>
      </c>
    </row>
    <row r="8" spans="1:8">
      <c r="A8" s="33" t="s">
        <v>864</v>
      </c>
      <c r="B8" s="33" t="s">
        <v>873</v>
      </c>
      <c r="C8" s="33" t="s">
        <v>874</v>
      </c>
      <c r="D8" s="33" t="s">
        <v>875</v>
      </c>
      <c r="G8" s="59">
        <v>45078</v>
      </c>
      <c r="H8" s="60">
        <v>802652.28238047718</v>
      </c>
    </row>
    <row r="9" spans="1:8">
      <c r="A9" s="34">
        <v>45200</v>
      </c>
      <c r="B9" s="35">
        <f>H12/$H$12</f>
        <v>1</v>
      </c>
      <c r="C9" s="36">
        <v>0</v>
      </c>
      <c r="D9" s="2"/>
      <c r="G9" s="59">
        <v>45108</v>
      </c>
      <c r="H9" s="60">
        <v>881737.22144349059</v>
      </c>
    </row>
    <row r="10" spans="1:8">
      <c r="A10" s="34">
        <v>45231</v>
      </c>
      <c r="B10" s="35">
        <f t="shared" ref="B10:B14" si="0">H13/$H$12</f>
        <v>1.1210844142963567</v>
      </c>
      <c r="C10" s="37">
        <f>+B10/B9-1</f>
        <v>0.12108441429635675</v>
      </c>
      <c r="D10" s="2"/>
      <c r="G10" s="59">
        <v>45139</v>
      </c>
      <c r="H10" s="60">
        <v>938950.45981154044</v>
      </c>
    </row>
    <row r="11" spans="1:8">
      <c r="A11" s="34">
        <v>45261</v>
      </c>
      <c r="B11" s="35">
        <f t="shared" si="0"/>
        <v>1.2128150311875359</v>
      </c>
      <c r="C11" s="37">
        <f t="shared" ref="C11:C13" si="1">+B11/B10-1</f>
        <v>8.1823113158480121E-2</v>
      </c>
      <c r="D11" s="38">
        <f>(B11-B9)/B9</f>
        <v>0.21281503118753586</v>
      </c>
      <c r="G11" s="59">
        <v>45170</v>
      </c>
      <c r="H11" s="60">
        <v>983484.26274223847</v>
      </c>
    </row>
    <row r="12" spans="1:8">
      <c r="A12" s="34">
        <v>45292</v>
      </c>
      <c r="B12" s="35">
        <f t="shared" si="0"/>
        <v>1.5068048439858561</v>
      </c>
      <c r="C12" s="37">
        <f t="shared" si="1"/>
        <v>0.24240284399382661</v>
      </c>
      <c r="D12" s="38">
        <f t="shared" ref="D12:D13" si="2">(B12-B10)/B10</f>
        <v>0.34406011248635093</v>
      </c>
      <c r="G12" s="59">
        <v>45200</v>
      </c>
      <c r="H12" s="60">
        <v>1093522.7163854612</v>
      </c>
    </row>
    <row r="13" spans="1:8">
      <c r="A13" s="34">
        <v>45323</v>
      </c>
      <c r="B13" s="35">
        <f t="shared" si="0"/>
        <v>1.7830450445667219</v>
      </c>
      <c r="C13" s="37">
        <f t="shared" si="1"/>
        <v>0.18332845270801279</v>
      </c>
      <c r="D13" s="38">
        <f t="shared" si="2"/>
        <v>0.47017063502324957</v>
      </c>
      <c r="G13" s="59">
        <v>45231</v>
      </c>
      <c r="H13" s="60">
        <v>1225931.2740187556</v>
      </c>
    </row>
    <row r="14" spans="1:8">
      <c r="A14" s="34">
        <v>45352</v>
      </c>
      <c r="B14" s="35">
        <f t="shared" si="0"/>
        <v>1.8354625399331099</v>
      </c>
      <c r="C14" s="37">
        <f>+B14/B13-1</f>
        <v>2.9397740413857898E-2</v>
      </c>
      <c r="D14" s="68">
        <f>(B14-B11)/B11</f>
        <v>0.51339032971573961</v>
      </c>
      <c r="G14" s="59">
        <v>45261</v>
      </c>
      <c r="H14" s="60">
        <v>1326240.7873773121</v>
      </c>
    </row>
    <row r="15" spans="1:8">
      <c r="G15" s="59">
        <v>45292</v>
      </c>
      <c r="H15" s="60">
        <v>1647725.3260581845</v>
      </c>
    </row>
    <row r="16" spans="1:8">
      <c r="A16" s="33" t="s">
        <v>876</v>
      </c>
      <c r="B16" s="33" t="s">
        <v>877</v>
      </c>
      <c r="C16" s="33" t="s">
        <v>874</v>
      </c>
      <c r="D16" s="33" t="s">
        <v>875</v>
      </c>
      <c r="G16" s="59">
        <v>45323</v>
      </c>
      <c r="H16" s="60">
        <v>1949800.2605722374</v>
      </c>
    </row>
    <row r="17" spans="1:8">
      <c r="A17" s="34">
        <v>45200</v>
      </c>
      <c r="B17" s="39">
        <v>293</v>
      </c>
      <c r="C17" s="36">
        <v>0</v>
      </c>
      <c r="D17" s="2"/>
      <c r="G17" s="59">
        <v>45352</v>
      </c>
      <c r="H17" s="60">
        <v>2007119.9824914124</v>
      </c>
    </row>
    <row r="18" spans="1:8">
      <c r="A18" s="34">
        <v>45231</v>
      </c>
      <c r="B18" s="39">
        <v>293</v>
      </c>
      <c r="C18" s="36">
        <v>0</v>
      </c>
      <c r="D18" s="2"/>
    </row>
    <row r="19" spans="1:8">
      <c r="A19" s="34">
        <v>45261</v>
      </c>
      <c r="B19" s="39">
        <v>302</v>
      </c>
      <c r="C19" s="40">
        <f>(B19-B18)/B18</f>
        <v>3.0716723549488054E-2</v>
      </c>
      <c r="D19" s="41">
        <f>C19</f>
        <v>3.0716723549488054E-2</v>
      </c>
    </row>
    <row r="20" spans="1:8">
      <c r="A20" s="34">
        <v>45292</v>
      </c>
      <c r="B20" s="39">
        <v>372</v>
      </c>
      <c r="C20" s="40">
        <f>(B20-B19)/B19</f>
        <v>0.23178807947019867</v>
      </c>
      <c r="D20" s="69">
        <f>C20</f>
        <v>0.23178807947019867</v>
      </c>
    </row>
    <row r="21" spans="1:8">
      <c r="A21" s="56"/>
      <c r="B21" s="61"/>
      <c r="C21" s="62"/>
      <c r="D21" s="63"/>
    </row>
    <row r="22" spans="1:8">
      <c r="A22" s="7"/>
      <c r="B22" s="7"/>
      <c r="C22" s="7"/>
      <c r="G22" s="66">
        <v>0.17952744770779305</v>
      </c>
    </row>
    <row r="23" spans="1:8">
      <c r="A23" s="33" t="s">
        <v>878</v>
      </c>
      <c r="B23" s="33" t="s">
        <v>877</v>
      </c>
      <c r="C23" s="33" t="s">
        <v>874</v>
      </c>
      <c r="D23" s="33" t="s">
        <v>875</v>
      </c>
    </row>
    <row r="24" spans="1:8">
      <c r="A24" s="34">
        <v>45200</v>
      </c>
      <c r="B24" s="35">
        <v>100</v>
      </c>
      <c r="C24" s="42">
        <v>0</v>
      </c>
      <c r="D24" s="2"/>
    </row>
    <row r="25" spans="1:8">
      <c r="A25" s="34">
        <v>45231</v>
      </c>
      <c r="B25" s="35">
        <f>B24*(1+C25)</f>
        <v>109.2</v>
      </c>
      <c r="C25" s="42">
        <v>9.1999999999999998E-2</v>
      </c>
      <c r="D25" s="2"/>
    </row>
    <row r="26" spans="1:8">
      <c r="A26" s="34">
        <v>45261</v>
      </c>
      <c r="B26" s="35">
        <f>B25*(1+C26)</f>
        <v>117.49920000000002</v>
      </c>
      <c r="C26" s="42">
        <v>7.5999999999999998E-2</v>
      </c>
      <c r="D26" s="43">
        <f>(B26-B24)/B24</f>
        <v>0.17499200000000015</v>
      </c>
    </row>
    <row r="27" spans="1:8">
      <c r="A27" s="34">
        <v>45292</v>
      </c>
      <c r="B27" s="35">
        <f>B26*(1+C27)</f>
        <v>138.59353148370752</v>
      </c>
      <c r="C27" s="67">
        <v>0.179527447707793</v>
      </c>
      <c r="D27" s="70">
        <f>(B27-B26)/B26</f>
        <v>0.17952744770779294</v>
      </c>
    </row>
    <row r="28" spans="1:8">
      <c r="A28" s="56"/>
      <c r="B28" s="57"/>
      <c r="C28" s="64"/>
      <c r="D28" s="65"/>
    </row>
    <row r="30" spans="1:8">
      <c r="A30" s="44" t="s">
        <v>879</v>
      </c>
      <c r="B30" s="41">
        <f>C2*D14+C3*D20+C4*D27</f>
        <v>0.3850712400888015</v>
      </c>
    </row>
    <row r="33" spans="1:4" ht="15.75" thickBot="1">
      <c r="A33" s="45" t="s">
        <v>880</v>
      </c>
    </row>
    <row r="34" spans="1:4" ht="15.75" thickBot="1">
      <c r="A34" s="46"/>
      <c r="B34" s="47"/>
      <c r="C34" s="48">
        <v>45200</v>
      </c>
      <c r="D34" s="48">
        <v>45261</v>
      </c>
    </row>
    <row r="35" spans="1:4" ht="30.75" thickBot="1">
      <c r="A35" s="49" t="s">
        <v>881</v>
      </c>
      <c r="B35" s="50">
        <v>0.1</v>
      </c>
      <c r="C35" s="51">
        <v>1</v>
      </c>
      <c r="D35" s="51" t="s">
        <v>882</v>
      </c>
    </row>
    <row r="36" spans="1:4" ht="15.75" thickBot="1">
      <c r="A36" s="49" t="s">
        <v>883</v>
      </c>
      <c r="B36" s="50">
        <v>0.45</v>
      </c>
      <c r="C36" s="51">
        <v>1</v>
      </c>
      <c r="D36" s="52">
        <f>D11</f>
        <v>0.21281503118753586</v>
      </c>
    </row>
    <row r="37" spans="1:4" ht="15.75" thickBot="1">
      <c r="A37" s="49" t="s">
        <v>884</v>
      </c>
      <c r="B37" s="50">
        <v>0.05</v>
      </c>
      <c r="C37" s="51">
        <v>1</v>
      </c>
      <c r="D37" s="52">
        <f>D19</f>
        <v>3.0716723549488054E-2</v>
      </c>
    </row>
    <row r="38" spans="1:4" ht="15.75" thickBot="1">
      <c r="A38" s="49" t="s">
        <v>885</v>
      </c>
      <c r="B38" s="50">
        <v>0.4</v>
      </c>
      <c r="C38" s="51">
        <v>1</v>
      </c>
      <c r="D38" s="52">
        <f>D26</f>
        <v>0.17499200000000015</v>
      </c>
    </row>
    <row r="39" spans="1:4">
      <c r="A39" s="53"/>
      <c r="B39" s="53"/>
      <c r="C39" s="53"/>
      <c r="D39" s="53"/>
    </row>
    <row r="40" spans="1:4">
      <c r="A40" s="54" t="s">
        <v>886</v>
      </c>
      <c r="B40" s="53"/>
      <c r="C40" s="53"/>
      <c r="D40" s="55">
        <f>1.1*(B36*D36+B37*D37+B38*D38)</f>
        <v>0.1840293402330522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53CD5-6C62-49FB-8E65-11489E4104C7}">
  <dimension ref="A1"/>
  <sheetViews>
    <sheetView workbookViewId="0"/>
  </sheetViews>
  <sheetFormatPr baseColWidth="10" defaultColWidth="9.140625"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FAFEA61DE254B44B363149992BD50B3" ma:contentTypeVersion="15" ma:contentTypeDescription="Crear nuevo documento." ma:contentTypeScope="" ma:versionID="a7687b2abb2e5b2b7cbfea3f4e3fb7e1">
  <xsd:schema xmlns:xsd="http://www.w3.org/2001/XMLSchema" xmlns:xs="http://www.w3.org/2001/XMLSchema" xmlns:p="http://schemas.microsoft.com/office/2006/metadata/properties" xmlns:ns2="730269a7-69c5-483f-a552-e74dab880ae2" xmlns:ns3="40de77e2-37bb-4c7a-ab4d-547915d99553" targetNamespace="http://schemas.microsoft.com/office/2006/metadata/properties" ma:root="true" ma:fieldsID="a66b2b815a291b54a697ebfda97dfbb7" ns2:_="" ns3:_="">
    <xsd:import namespace="730269a7-69c5-483f-a552-e74dab880ae2"/>
    <xsd:import namespace="40de77e2-37bb-4c7a-ab4d-547915d995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0269a7-69c5-483f-a552-e74dab880a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Etiquetas de imagen" ma:readOnly="false" ma:fieldId="{5cf76f15-5ced-4ddc-b409-7134ff3c332f}" ma:taxonomyMulti="true" ma:sspId="dbf393ec-c584-4b8d-8e77-20dadb2446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de77e2-37bb-4c7a-ab4d-547915d9955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24e01dc6-12f5-4119-ba22-46abcd2e9c3e}" ma:internalName="TaxCatchAll" ma:showField="CatchAllData" ma:web="40de77e2-37bb-4c7a-ab4d-547915d9955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06393226-6003-422D-BC7F-9BD605528DD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8B6E30C-CFEC-4A65-9C3A-49CD5D83637A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ED407AAE-6F81-4D22-8D04-D67F11E1B6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0269a7-69c5-483f-a552-e74dab880ae2"/>
    <ds:schemaRef ds:uri="40de77e2-37bb-4c7a-ab4d-547915d995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7587DF6-8C4D-4340-BA78-38F29E6F840D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1CAE7FBD-40FD-488A-87FE-6511F3F145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1</vt:i4>
      </vt:variant>
    </vt:vector>
  </HeadingPairs>
  <TitlesOfParts>
    <vt:vector size="26" baseType="lpstr">
      <vt:lpstr>LP</vt:lpstr>
      <vt:lpstr>Optimización_Estructura</vt:lpstr>
      <vt:lpstr>PUNTOS DE INYECCIÓN (2)</vt:lpstr>
      <vt:lpstr>EEERR Estructura</vt:lpstr>
      <vt:lpstr>EERR</vt:lpstr>
      <vt:lpstr>Hoja1</vt:lpstr>
      <vt:lpstr>Scio</vt:lpstr>
      <vt:lpstr>PUNTOS DE INYECCIÓN</vt:lpstr>
      <vt:lpstr>PQ fuera de lista</vt:lpstr>
      <vt:lpstr>Optimización de Estructura</vt:lpstr>
      <vt:lpstr>Optimización Batch</vt:lpstr>
      <vt:lpstr>Consumos importantes</vt:lpstr>
      <vt:lpstr>Ptos de Inyección 2</vt:lpstr>
      <vt:lpstr>CR</vt:lpstr>
      <vt:lpstr>Recopilación de PQs</vt:lpstr>
      <vt:lpstr>Hoja4</vt:lpstr>
      <vt:lpstr>EMB</vt:lpstr>
      <vt:lpstr>Hoja2</vt:lpstr>
      <vt:lpstr>Lista PQ Comp</vt:lpstr>
      <vt:lpstr>Lista PQ PECOM</vt:lpstr>
      <vt:lpstr>Personal</vt:lpstr>
      <vt:lpstr>Listas aux</vt:lpstr>
      <vt:lpstr>DBM-RT</vt:lpstr>
      <vt:lpstr>FA</vt:lpstr>
      <vt:lpstr>Hoja3</vt:lpstr>
      <vt:lpstr>'Lista PQ Comp'!Área_de_impresión</vt:lpstr>
    </vt:vector>
  </TitlesOfParts>
  <Manager/>
  <Company>YPF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GRAMAGLIA, PIA</dc:creator>
  <cp:keywords/>
  <dc:description/>
  <cp:lastModifiedBy>Bergerat, Juan Gabriel</cp:lastModifiedBy>
  <cp:revision/>
  <dcterms:created xsi:type="dcterms:W3CDTF">2024-02-26T13:40:36Z</dcterms:created>
  <dcterms:modified xsi:type="dcterms:W3CDTF">2024-04-30T14:02:41Z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701c5ec-e5b5-40ab-b632-dbf2eb8611fa_Enabled">
    <vt:lpwstr>true</vt:lpwstr>
  </property>
  <property fmtid="{D5CDD505-2E9C-101B-9397-08002B2CF9AE}" pid="3" name="MSIP_Label_b701c5ec-e5b5-40ab-b632-dbf2eb8611fa_SetDate">
    <vt:lpwstr>2024-02-26T13:50:39Z</vt:lpwstr>
  </property>
  <property fmtid="{D5CDD505-2E9C-101B-9397-08002B2CF9AE}" pid="4" name="MSIP_Label_b701c5ec-e5b5-40ab-b632-dbf2eb8611fa_Method">
    <vt:lpwstr>Privileged</vt:lpwstr>
  </property>
  <property fmtid="{D5CDD505-2E9C-101B-9397-08002B2CF9AE}" pid="5" name="MSIP_Label_b701c5ec-e5b5-40ab-b632-dbf2eb8611fa_Name">
    <vt:lpwstr>YPF - Privado</vt:lpwstr>
  </property>
  <property fmtid="{D5CDD505-2E9C-101B-9397-08002B2CF9AE}" pid="6" name="MSIP_Label_b701c5ec-e5b5-40ab-b632-dbf2eb8611fa_SiteId">
    <vt:lpwstr>038018c3-616c-4b46-ad9b-aa9007f701b5</vt:lpwstr>
  </property>
  <property fmtid="{D5CDD505-2E9C-101B-9397-08002B2CF9AE}" pid="7" name="MSIP_Label_b701c5ec-e5b5-40ab-b632-dbf2eb8611fa_ActionId">
    <vt:lpwstr>1254e466-3455-4426-b6f3-996f6f29a75c</vt:lpwstr>
  </property>
  <property fmtid="{D5CDD505-2E9C-101B-9397-08002B2CF9AE}" pid="8" name="MSIP_Label_b701c5ec-e5b5-40ab-b632-dbf2eb8611fa_ContentBits">
    <vt:lpwstr>3</vt:lpwstr>
  </property>
</Properties>
</file>